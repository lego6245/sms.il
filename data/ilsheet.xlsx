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<sst xmlns="http://schemas.openxmlformats.org/spreadsheetml/2006/main" count="27911" uniqueCount="11553">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</sst>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2302</v>
      </c>
      <c r="J50" s="112" t="s">
        <v>994</v>
      </c>
      <c r="K50" s="400" t="s">
        <v>2842</v>
      </c>
      <c r="L50" s="400" t="s">
        <v>2524</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2472</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2382</v>
      </c>
      <c r="BC50" s="126" t="s">
        <v>2680</v>
      </c>
      <c r="BD50" s="381" t="s">
        <v>2771</v>
      </c>
      <c r="BE50" s="381" t="s">
        <v>3205</v>
      </c>
      <c r="BF50" s="126" t="s">
        <v>2499</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2348</v>
      </c>
      <c r="DW50" s="204" t="s">
        <v>2896</v>
      </c>
      <c r="DX50" s="204" t="s">
        <v>2422</v>
      </c>
      <c r="DY50" s="204" t="s">
        <v>3244</v>
      </c>
      <c r="DZ50" s="204" t="s">
        <v>3245</v>
      </c>
      <c r="EA50" s="401" t="s">
        <v>3246</v>
      </c>
      <c r="EB50" s="204" t="s">
        <v>1192</v>
      </c>
      <c r="EC50" s="145" t="s">
        <v>1497</v>
      </c>
      <c r="ED50" s="286" t="s">
        <v>3247</v>
      </c>
    </row>
    <row r="51">
      <c r="A51" s="287" t="s">
        <v>3248</v>
      </c>
      <c r="B51" s="82" t="s">
        <v>3249</v>
      </c>
      <c r="C51" s="83" t="s">
        <v>1259</v>
      </c>
      <c r="D51" s="84" t="s">
        <v>1259</v>
      </c>
      <c r="E51" s="85" t="s">
        <v>548</v>
      </c>
      <c r="F51" s="86" t="s">
        <v>223</v>
      </c>
      <c r="G51" s="82" t="s">
        <v>2088</v>
      </c>
      <c r="H51" s="94" t="s">
        <v>1767</v>
      </c>
      <c r="I51" s="162" t="s">
        <v>3250</v>
      </c>
      <c r="J51" s="162" t="s">
        <v>3251</v>
      </c>
      <c r="K51" s="88" t="s">
        <v>2729</v>
      </c>
      <c r="L51" s="162" t="s">
        <v>1852</v>
      </c>
      <c r="M51" s="94" t="s">
        <v>3252</v>
      </c>
      <c r="N51" s="88" t="s">
        <v>3253</v>
      </c>
      <c r="O51" s="88" t="s">
        <v>3254</v>
      </c>
      <c r="P51" s="88" t="s">
        <v>3255</v>
      </c>
      <c r="Q51" s="99"/>
      <c r="R51" s="99"/>
      <c r="S51" s="99"/>
      <c r="T51" s="99"/>
      <c r="U51" s="99"/>
      <c r="V51" s="99"/>
      <c r="W51" s="92"/>
      <c r="X51" s="259" t="s">
        <v>1617</v>
      </c>
      <c r="Y51" s="94"/>
      <c r="Z51" s="94" t="s">
        <v>3256</v>
      </c>
      <c r="AA51" s="162" t="s">
        <v>3257</v>
      </c>
      <c r="AB51" s="94" t="s">
        <v>3258</v>
      </c>
      <c r="AC51" s="94" t="s">
        <v>2469</v>
      </c>
      <c r="AD51" s="88" t="s">
        <v>3259</v>
      </c>
      <c r="AE51" s="94" t="s">
        <v>3260</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3261</v>
      </c>
      <c r="AX51" s="99"/>
      <c r="AY51" s="99"/>
      <c r="AZ51" s="99"/>
      <c r="BA51" s="99"/>
      <c r="BB51" s="94" t="s">
        <v>3262</v>
      </c>
      <c r="BC51" s="94" t="s">
        <v>1378</v>
      </c>
      <c r="BD51" s="94" t="s">
        <v>1290</v>
      </c>
      <c r="BE51" s="162" t="s">
        <v>3263</v>
      </c>
      <c r="BF51" s="94" t="s">
        <v>3264</v>
      </c>
      <c r="BG51" s="94" t="s">
        <v>3265</v>
      </c>
      <c r="BH51" s="99"/>
      <c r="BI51" s="98" t="s">
        <v>150</v>
      </c>
      <c r="BJ51" s="94" t="s">
        <v>3266</v>
      </c>
      <c r="BK51" s="94" t="s">
        <v>1188</v>
      </c>
      <c r="BL51" s="94" t="s">
        <v>2494</v>
      </c>
      <c r="BM51" s="99"/>
      <c r="BN51" s="99"/>
      <c r="BO51" s="99"/>
      <c r="BP51" s="99"/>
      <c r="BQ51" s="236"/>
      <c r="BR51" s="94" t="s">
        <v>3267</v>
      </c>
      <c r="BS51" s="94" t="s">
        <v>777</v>
      </c>
      <c r="BT51" s="88" t="s">
        <v>3268</v>
      </c>
      <c r="BU51" s="88" t="s">
        <v>1710</v>
      </c>
      <c r="BV51" s="94" t="s">
        <v>2775</v>
      </c>
      <c r="BW51" s="270" t="s">
        <v>3269</v>
      </c>
      <c r="BX51" s="94" t="s">
        <v>456</v>
      </c>
      <c r="BY51" s="265" t="s">
        <v>3270</v>
      </c>
      <c r="BZ51" s="162" t="s">
        <v>3271</v>
      </c>
      <c r="CA51" s="162" t="s">
        <v>790</v>
      </c>
      <c r="CB51" s="99"/>
      <c r="CC51" s="99"/>
      <c r="CD51" s="94" t="s">
        <v>2952</v>
      </c>
      <c r="CE51" s="99"/>
      <c r="CF51" s="236"/>
      <c r="CG51" s="94" t="s">
        <v>3272</v>
      </c>
      <c r="CH51" s="88" t="s">
        <v>2691</v>
      </c>
      <c r="CI51" s="162" t="s">
        <v>3273</v>
      </c>
      <c r="CJ51" s="94" t="s">
        <v>3274</v>
      </c>
      <c r="CK51" s="94"/>
      <c r="CL51" s="415" t="s">
        <v>3275</v>
      </c>
      <c r="CM51" s="88" t="s">
        <v>1453</v>
      </c>
      <c r="CN51" s="88" t="s">
        <v>2316</v>
      </c>
      <c r="CO51" s="94" t="s">
        <v>2995</v>
      </c>
      <c r="CP51" s="99"/>
      <c r="CQ51" s="99"/>
      <c r="CR51" s="99"/>
      <c r="CS51" s="99"/>
      <c r="CT51" s="99"/>
      <c r="CU51" s="92"/>
      <c r="CV51" s="94" t="s">
        <v>3276</v>
      </c>
      <c r="CW51" s="162" t="s">
        <v>1538</v>
      </c>
      <c r="CX51" s="94" t="s">
        <v>612</v>
      </c>
      <c r="CY51" s="162" t="s">
        <v>3277</v>
      </c>
      <c r="CZ51" s="94" t="s">
        <v>2491</v>
      </c>
      <c r="DA51" s="94" t="s">
        <v>1077</v>
      </c>
      <c r="DB51" s="162" t="s">
        <v>2269</v>
      </c>
      <c r="DC51" s="88" t="s">
        <v>1402</v>
      </c>
      <c r="DD51" s="99"/>
      <c r="DE51" s="99"/>
      <c r="DF51" s="99"/>
      <c r="DG51" s="99"/>
      <c r="DH51" s="236"/>
      <c r="DI51" s="94" t="s">
        <v>1291</v>
      </c>
      <c r="DJ51" s="94" t="s">
        <v>529</v>
      </c>
      <c r="DK51" s="99"/>
      <c r="DL51" s="99"/>
      <c r="DM51" s="88" t="s">
        <v>3278</v>
      </c>
      <c r="DN51" s="94" t="s">
        <v>1119</v>
      </c>
      <c r="DO51" s="94" t="s">
        <v>2331</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1259</v>
      </c>
      <c r="D52" s="106" t="s">
        <v>1259</v>
      </c>
      <c r="E52" s="107" t="s">
        <v>548</v>
      </c>
      <c r="F52" s="108" t="s">
        <v>3283</v>
      </c>
      <c r="G52" s="104" t="s">
        <v>3284</v>
      </c>
      <c r="H52" s="167" t="s">
        <v>3285</v>
      </c>
      <c r="I52" s="167" t="s">
        <v>3286</v>
      </c>
      <c r="J52" s="167" t="s">
        <v>1663</v>
      </c>
      <c r="K52" s="167" t="s">
        <v>1885</v>
      </c>
      <c r="L52" s="167" t="s">
        <v>3287</v>
      </c>
      <c r="M52" s="167" t="s">
        <v>3288</v>
      </c>
      <c r="N52" s="167" t="s">
        <v>3289</v>
      </c>
      <c r="O52" s="225" t="s">
        <v>561</v>
      </c>
      <c r="P52" s="167" t="s">
        <v>3290</v>
      </c>
      <c r="Q52" s="167" t="s">
        <v>3291</v>
      </c>
      <c r="R52" s="112" t="s">
        <v>1732</v>
      </c>
      <c r="S52" s="110" t="str">
        <f>HYPERLINK("https://www.youtube.com/watch?v=LyUwSuOy_jk","39.79")</f>
        <v>39.79</v>
      </c>
      <c r="T52" s="167" t="s">
        <v>3292</v>
      </c>
      <c r="U52" s="167" t="s">
        <v>3107</v>
      </c>
      <c r="V52" s="167" t="s">
        <v>3293</v>
      </c>
      <c r="W52" s="92"/>
      <c r="X52" s="197" t="s">
        <v>3294</v>
      </c>
      <c r="Y52" s="197"/>
      <c r="Z52" s="197" t="s">
        <v>3295</v>
      </c>
      <c r="AA52" s="197" t="s">
        <v>2282</v>
      </c>
      <c r="AB52" s="197" t="s">
        <v>2884</v>
      </c>
      <c r="AC52" s="197" t="s">
        <v>1897</v>
      </c>
      <c r="AD52" s="197" t="s">
        <v>572</v>
      </c>
      <c r="AE52" s="116" t="s">
        <v>3296</v>
      </c>
      <c r="AF52" s="197" t="s">
        <v>3297</v>
      </c>
      <c r="AG52" s="197" t="s">
        <v>3298</v>
      </c>
      <c r="AH52" s="116" t="s">
        <v>1631</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2122</v>
      </c>
      <c r="AW52" s="168" t="s">
        <v>1180</v>
      </c>
      <c r="AX52" s="168" t="s">
        <v>930</v>
      </c>
      <c r="AY52" s="168" t="s">
        <v>2934</v>
      </c>
      <c r="AZ52" s="168" t="s">
        <v>3308</v>
      </c>
      <c r="BA52" s="246"/>
      <c r="BB52" s="174" t="s">
        <v>3309</v>
      </c>
      <c r="BC52" s="174" t="s">
        <v>1160</v>
      </c>
      <c r="BD52" s="174" t="s">
        <v>1014</v>
      </c>
      <c r="BE52" s="174" t="s">
        <v>3310</v>
      </c>
      <c r="BF52" s="174" t="s">
        <v>3311</v>
      </c>
      <c r="BG52" s="174" t="s">
        <v>3312</v>
      </c>
      <c r="BH52" s="174" t="s">
        <v>159</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1678</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2334</v>
      </c>
      <c r="DB52" s="232" t="s">
        <v>2250</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2342</v>
      </c>
      <c r="H53" s="94" t="s">
        <v>3338</v>
      </c>
      <c r="I53" s="94" t="s">
        <v>3339</v>
      </c>
      <c r="J53" s="88" t="s">
        <v>3340</v>
      </c>
      <c r="K53" s="88" t="s">
        <v>3341</v>
      </c>
      <c r="L53" s="88" t="s">
        <v>2144</v>
      </c>
      <c r="M53" s="94" t="s">
        <v>3342</v>
      </c>
      <c r="N53" s="88" t="s">
        <v>3343</v>
      </c>
      <c r="O53" s="88" t="s">
        <v>3344</v>
      </c>
      <c r="P53" s="88" t="s">
        <v>1566</v>
      </c>
      <c r="Q53" s="99"/>
      <c r="R53" s="99"/>
      <c r="S53" s="94" t="s">
        <v>3345</v>
      </c>
      <c r="T53" s="99"/>
      <c r="U53" s="94" t="s">
        <v>3346</v>
      </c>
      <c r="V53" s="99"/>
      <c r="W53" s="92"/>
      <c r="X53" s="352" t="s">
        <v>2687</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1662</v>
      </c>
      <c r="AV53" s="88" t="s">
        <v>2886</v>
      </c>
      <c r="AW53" s="99"/>
      <c r="AX53" s="99"/>
      <c r="AY53" s="99"/>
      <c r="AZ53" s="99"/>
      <c r="BA53" s="99"/>
      <c r="BB53" s="88" t="s">
        <v>1358</v>
      </c>
      <c r="BC53" s="88" t="s">
        <v>681</v>
      </c>
      <c r="BD53" s="88" t="s">
        <v>848</v>
      </c>
      <c r="BE53" s="265" t="s">
        <v>3352</v>
      </c>
      <c r="BF53" s="94" t="s">
        <v>3353</v>
      </c>
      <c r="BG53" s="99"/>
      <c r="BH53" s="99"/>
      <c r="BI53" s="88" t="s">
        <v>1413</v>
      </c>
      <c r="BJ53" s="99"/>
      <c r="BK53" s="88" t="s">
        <v>2529</v>
      </c>
      <c r="BL53" s="94" t="s">
        <v>3327</v>
      </c>
      <c r="BM53" s="99"/>
      <c r="BN53" s="99"/>
      <c r="BO53" s="99"/>
      <c r="BP53" s="99"/>
      <c r="BQ53" s="236"/>
      <c r="BR53" s="94" t="s">
        <v>3354</v>
      </c>
      <c r="BS53" s="88" t="s">
        <v>2178</v>
      </c>
      <c r="BT53" s="88" t="s">
        <v>3355</v>
      </c>
      <c r="BU53" s="94" t="s">
        <v>3356</v>
      </c>
      <c r="BV53" s="88" t="s">
        <v>3357</v>
      </c>
      <c r="BW53" s="88" t="s">
        <v>1922</v>
      </c>
      <c r="BX53" s="99"/>
      <c r="BY53" s="94" t="s">
        <v>3358</v>
      </c>
      <c r="BZ53" s="94" t="s">
        <v>3359</v>
      </c>
      <c r="CA53" s="88" t="s">
        <v>2919</v>
      </c>
      <c r="CB53" s="99"/>
      <c r="CC53" s="99"/>
      <c r="CD53" s="99"/>
      <c r="CE53" s="99"/>
      <c r="CF53" s="236"/>
      <c r="CG53" s="88" t="s">
        <v>1002</v>
      </c>
      <c r="CH53" s="94" t="s">
        <v>1451</v>
      </c>
      <c r="CI53" s="88" t="s">
        <v>608</v>
      </c>
      <c r="CJ53" s="94" t="s">
        <v>3360</v>
      </c>
      <c r="CK53" s="94"/>
      <c r="CL53" s="94" t="s">
        <v>2248</v>
      </c>
      <c r="CM53" s="94" t="s">
        <v>3361</v>
      </c>
      <c r="CN53" s="88" t="s">
        <v>2188</v>
      </c>
      <c r="CO53" s="94" t="s">
        <v>1579</v>
      </c>
      <c r="CP53" s="99"/>
      <c r="CQ53" s="99"/>
      <c r="CR53" s="99"/>
      <c r="CS53" s="99"/>
      <c r="CT53" s="99"/>
      <c r="CU53" s="92"/>
      <c r="CV53" s="89" t="s">
        <v>2037</v>
      </c>
      <c r="CW53" s="94" t="s">
        <v>3028</v>
      </c>
      <c r="CX53" s="88" t="s">
        <v>1077</v>
      </c>
      <c r="CY53" s="88" t="s">
        <v>719</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1484</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2428</v>
      </c>
      <c r="H54" s="112" t="s">
        <v>495</v>
      </c>
      <c r="I54" s="112" t="s">
        <v>3372</v>
      </c>
      <c r="J54" s="112" t="s">
        <v>3373</v>
      </c>
      <c r="K54" s="110" t="s">
        <v>2110</v>
      </c>
      <c r="L54" s="225" t="s">
        <v>1405</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1434</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1290</v>
      </c>
      <c r="BE54" s="200" t="s">
        <v>862</v>
      </c>
      <c r="BF54" s="247" t="s">
        <v>3382</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2229</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2334</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1881</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1756</v>
      </c>
      <c r="P55" s="94" t="s">
        <v>1566</v>
      </c>
      <c r="Q55" s="94" t="s">
        <v>3400</v>
      </c>
      <c r="R55" s="99"/>
      <c r="S55" s="94" t="s">
        <v>2199</v>
      </c>
      <c r="T55" s="94" t="s">
        <v>2474</v>
      </c>
      <c r="U55" s="94" t="s">
        <v>2348</v>
      </c>
      <c r="V55" s="94" t="s">
        <v>3401</v>
      </c>
      <c r="W55" s="92"/>
      <c r="X55" s="94" t="s">
        <v>2443</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1014</v>
      </c>
      <c r="AW55" s="99"/>
      <c r="AX55" s="99"/>
      <c r="AY55" s="162" t="s">
        <v>3166</v>
      </c>
      <c r="AZ55" s="99"/>
      <c r="BA55" s="99"/>
      <c r="BB55" s="94" t="s">
        <v>3412</v>
      </c>
      <c r="BC55" s="94" t="s">
        <v>1160</v>
      </c>
      <c r="BD55" s="94" t="s">
        <v>2324</v>
      </c>
      <c r="BE55" s="88" t="s">
        <v>1306</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2257</v>
      </c>
      <c r="BX55" s="99"/>
      <c r="BY55" s="99"/>
      <c r="BZ55" s="94" t="s">
        <v>3418</v>
      </c>
      <c r="CA55" s="94" t="s">
        <v>3419</v>
      </c>
      <c r="CB55" s="94" t="s">
        <v>3420</v>
      </c>
      <c r="CC55" s="94" t="s">
        <v>3421</v>
      </c>
      <c r="CD55" s="88" t="s">
        <v>1545</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2924</v>
      </c>
      <c r="CP55" s="99"/>
      <c r="CQ55" s="99"/>
      <c r="CR55" s="99"/>
      <c r="CS55" s="94" t="s">
        <v>3171</v>
      </c>
      <c r="CT55" s="99"/>
      <c r="CU55" s="92"/>
      <c r="CV55" s="88" t="s">
        <v>3122</v>
      </c>
      <c r="CW55" s="94" t="s">
        <v>2180</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1259</v>
      </c>
      <c r="F56" s="108" t="s">
        <v>440</v>
      </c>
      <c r="G56" s="104" t="s">
        <v>3432</v>
      </c>
      <c r="H56" s="167" t="s">
        <v>2213</v>
      </c>
      <c r="I56" s="167" t="s">
        <v>1380</v>
      </c>
      <c r="J56" s="167" t="s">
        <v>3433</v>
      </c>
      <c r="K56" s="112" t="s">
        <v>991</v>
      </c>
      <c r="L56" s="167" t="s">
        <v>465</v>
      </c>
      <c r="M56" s="243"/>
      <c r="N56" s="167" t="s">
        <v>3434</v>
      </c>
      <c r="O56" s="112" t="s">
        <v>3435</v>
      </c>
      <c r="P56" s="167" t="s">
        <v>109</v>
      </c>
      <c r="Q56" s="243"/>
      <c r="R56" s="243"/>
      <c r="S56" s="243"/>
      <c r="T56" s="243"/>
      <c r="U56" s="243"/>
      <c r="V56" s="243"/>
      <c r="W56" s="92"/>
      <c r="X56" s="116" t="s">
        <v>2124</v>
      </c>
      <c r="Y56" s="197"/>
      <c r="Z56" s="197" t="s">
        <v>1273</v>
      </c>
      <c r="AA56" s="197" t="s">
        <v>1827</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2158</v>
      </c>
      <c r="BD56" s="174" t="s">
        <v>3154</v>
      </c>
      <c r="BE56" s="174" t="s">
        <v>3443</v>
      </c>
      <c r="BF56" s="174" t="s">
        <v>3444</v>
      </c>
      <c r="BG56" s="247" t="s">
        <v>2390</v>
      </c>
      <c r="BH56" s="173"/>
      <c r="BI56" s="174" t="s">
        <v>1787</v>
      </c>
      <c r="BJ56" s="174"/>
      <c r="BK56" s="174" t="s">
        <v>3445</v>
      </c>
      <c r="BL56" s="174" t="s">
        <v>1842</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1108</v>
      </c>
      <c r="CI56" s="177" t="s">
        <v>1931</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3431</v>
      </c>
      <c r="C57" s="83" t="s">
        <v>1259</v>
      </c>
      <c r="D57" s="84" t="s">
        <v>1259</v>
      </c>
      <c r="E57" s="85" t="s">
        <v>1259</v>
      </c>
      <c r="F57" s="86" t="s">
        <v>648</v>
      </c>
      <c r="G57" s="82" t="s">
        <v>3284</v>
      </c>
      <c r="H57" s="102" t="s">
        <v>3466</v>
      </c>
      <c r="I57" s="95" t="s">
        <v>3467</v>
      </c>
      <c r="J57" s="102" t="s">
        <v>3468</v>
      </c>
      <c r="K57" s="102" t="s">
        <v>1885</v>
      </c>
      <c r="L57" s="88" t="s">
        <v>2843</v>
      </c>
      <c r="M57" s="102" t="s">
        <v>3469</v>
      </c>
      <c r="N57" s="102" t="s">
        <v>3470</v>
      </c>
      <c r="O57" s="102" t="s">
        <v>3471</v>
      </c>
      <c r="P57" s="102" t="s">
        <v>2547</v>
      </c>
      <c r="Q57" s="94" t="s">
        <v>3472</v>
      </c>
      <c r="R57" s="99"/>
      <c r="S57" s="94" t="s">
        <v>837</v>
      </c>
      <c r="T57" s="99"/>
      <c r="U57" s="94" t="s">
        <v>1833</v>
      </c>
      <c r="V57" s="94" t="s">
        <v>3473</v>
      </c>
      <c r="W57" s="92"/>
      <c r="X57" s="102" t="s">
        <v>1224</v>
      </c>
      <c r="Y57" s="102"/>
      <c r="Z57" s="102" t="s">
        <v>3474</v>
      </c>
      <c r="AA57" s="102" t="s">
        <v>2741</v>
      </c>
      <c r="AB57" s="88" t="s">
        <v>3475</v>
      </c>
      <c r="AC57" s="102" t="s">
        <v>2412</v>
      </c>
      <c r="AD57" s="102" t="s">
        <v>3476</v>
      </c>
      <c r="AE57" s="99"/>
      <c r="AF57" s="102" t="s">
        <v>3477</v>
      </c>
      <c r="AG57" s="102" t="s">
        <v>2002</v>
      </c>
      <c r="AH57" s="94" t="s">
        <v>3478</v>
      </c>
      <c r="AI57" s="99"/>
      <c r="AJ57" s="102" t="s">
        <v>3479</v>
      </c>
      <c r="AK57" s="94" t="s">
        <v>3480</v>
      </c>
      <c r="AL57" s="97"/>
      <c r="AM57" s="102" t="s">
        <v>3143</v>
      </c>
      <c r="AN57" s="102" t="s">
        <v>1656</v>
      </c>
      <c r="AO57" s="94" t="s">
        <v>3481</v>
      </c>
      <c r="AP57" s="99"/>
      <c r="AQ57" s="94"/>
      <c r="AR57" s="94" t="s">
        <v>3482</v>
      </c>
      <c r="AS57" s="99"/>
      <c r="AT57" s="99"/>
      <c r="AU57" s="102" t="s">
        <v>3483</v>
      </c>
      <c r="AV57" s="102" t="s">
        <v>878</v>
      </c>
      <c r="AW57" s="102" t="s">
        <v>1551</v>
      </c>
      <c r="AX57" s="99"/>
      <c r="AY57" s="94" t="s">
        <v>1207</v>
      </c>
      <c r="AZ57" s="94" t="s">
        <v>3484</v>
      </c>
      <c r="BA57" s="99"/>
      <c r="BB57" s="102" t="s">
        <v>191</v>
      </c>
      <c r="BC57" s="102" t="s">
        <v>3485</v>
      </c>
      <c r="BD57" s="102" t="s">
        <v>3154</v>
      </c>
      <c r="BE57" s="102" t="s">
        <v>931</v>
      </c>
      <c r="BF57" s="102" t="s">
        <v>3264</v>
      </c>
      <c r="BG57" s="102" t="s">
        <v>3330</v>
      </c>
      <c r="BH57" s="99"/>
      <c r="BI57" s="102" t="s">
        <v>878</v>
      </c>
      <c r="BJ57" s="94" t="s">
        <v>3486</v>
      </c>
      <c r="BK57" s="265" t="s">
        <v>3068</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3108</v>
      </c>
      <c r="CE57" s="422" t="s">
        <v>3500</v>
      </c>
      <c r="CF57" s="236"/>
      <c r="CG57" s="102" t="s">
        <v>3501</v>
      </c>
      <c r="CH57" s="102" t="s">
        <v>515</v>
      </c>
      <c r="CI57" s="102" t="s">
        <v>2635</v>
      </c>
      <c r="CJ57" s="88" t="s">
        <v>3502</v>
      </c>
      <c r="CK57" s="93"/>
      <c r="CL57" s="93" t="s">
        <v>3331</v>
      </c>
      <c r="CM57" s="102" t="s">
        <v>3503</v>
      </c>
      <c r="CN57" s="102" t="s">
        <v>3504</v>
      </c>
      <c r="CO57" s="102" t="s">
        <v>3505</v>
      </c>
      <c r="CP57" s="221"/>
      <c r="CQ57" s="99"/>
      <c r="CR57" s="99"/>
      <c r="CS57" s="99"/>
      <c r="CT57" s="94" t="s">
        <v>3506</v>
      </c>
      <c r="CU57" s="92"/>
      <c r="CV57" s="102" t="s">
        <v>412</v>
      </c>
      <c r="CW57" s="102" t="s">
        <v>3507</v>
      </c>
      <c r="CX57" s="88" t="s">
        <v>893</v>
      </c>
      <c r="CY57" s="102" t="s">
        <v>3277</v>
      </c>
      <c r="CZ57" s="102" t="s">
        <v>3508</v>
      </c>
      <c r="DA57" s="102" t="s">
        <v>2054</v>
      </c>
      <c r="DB57" s="162" t="s">
        <v>2887</v>
      </c>
      <c r="DC57" s="102" t="s">
        <v>575</v>
      </c>
      <c r="DD57" s="88" t="s">
        <v>1990</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1259</v>
      </c>
      <c r="D58" s="106" t="s">
        <v>548</v>
      </c>
      <c r="E58" s="107" t="s">
        <v>1259</v>
      </c>
      <c r="F58" s="108" t="s">
        <v>2675</v>
      </c>
      <c r="G58" s="104" t="s">
        <v>743</v>
      </c>
      <c r="H58" s="167" t="s">
        <v>2938</v>
      </c>
      <c r="I58" s="167" t="s">
        <v>3467</v>
      </c>
      <c r="J58" s="167" t="s">
        <v>450</v>
      </c>
      <c r="K58" s="112" t="s">
        <v>3517</v>
      </c>
      <c r="L58" s="167" t="s">
        <v>3518</v>
      </c>
      <c r="M58" s="167" t="s">
        <v>3519</v>
      </c>
      <c r="N58" s="167" t="s">
        <v>3132</v>
      </c>
      <c r="O58" s="112" t="s">
        <v>2846</v>
      </c>
      <c r="P58" s="112" t="s">
        <v>109</v>
      </c>
      <c r="Q58" s="112" t="s">
        <v>3520</v>
      </c>
      <c r="R58" s="243"/>
      <c r="S58" s="167" t="s">
        <v>3521</v>
      </c>
      <c r="T58" s="243"/>
      <c r="U58" s="112" t="s">
        <v>1666</v>
      </c>
      <c r="V58" s="243"/>
      <c r="W58" s="92"/>
      <c r="X58" s="117" t="s">
        <v>3522</v>
      </c>
      <c r="Y58" s="197"/>
      <c r="Z58" s="197" t="s">
        <v>3523</v>
      </c>
      <c r="AA58" s="197" t="s">
        <v>1535</v>
      </c>
      <c r="AB58" s="197" t="s">
        <v>3524</v>
      </c>
      <c r="AC58" s="116" t="s">
        <v>2412</v>
      </c>
      <c r="AD58" s="197" t="s">
        <v>3525</v>
      </c>
      <c r="AE58" s="197" t="s">
        <v>2998</v>
      </c>
      <c r="AF58" s="197" t="s">
        <v>3297</v>
      </c>
      <c r="AG58" s="300" t="s">
        <v>570</v>
      </c>
      <c r="AH58" s="300" t="s">
        <v>2178</v>
      </c>
      <c r="AI58" s="245"/>
      <c r="AJ58" s="197" t="s">
        <v>1743</v>
      </c>
      <c r="AK58" s="245"/>
      <c r="AL58" s="97"/>
      <c r="AM58" s="168" t="s">
        <v>3237</v>
      </c>
      <c r="AN58" s="168" t="s">
        <v>1236</v>
      </c>
      <c r="AO58" s="246"/>
      <c r="AP58" s="246"/>
      <c r="AQ58" s="246"/>
      <c r="AR58" s="168" t="s">
        <v>3526</v>
      </c>
      <c r="AS58" s="168" t="s">
        <v>1698</v>
      </c>
      <c r="AT58" s="246"/>
      <c r="AU58" s="424" t="s">
        <v>3527</v>
      </c>
      <c r="AV58" s="168" t="s">
        <v>3528</v>
      </c>
      <c r="AW58" s="168" t="s">
        <v>1874</v>
      </c>
      <c r="AX58" s="246"/>
      <c r="AY58" s="424" t="s">
        <v>1663</v>
      </c>
      <c r="AZ58" s="246"/>
      <c r="BA58" s="246"/>
      <c r="BB58" s="174" t="s">
        <v>3529</v>
      </c>
      <c r="BC58" s="174" t="s">
        <v>3066</v>
      </c>
      <c r="BD58" s="174" t="s">
        <v>3324</v>
      </c>
      <c r="BE58" s="174" t="s">
        <v>3530</v>
      </c>
      <c r="BF58" s="126" t="s">
        <v>3531</v>
      </c>
      <c r="BG58" s="126" t="s">
        <v>3532</v>
      </c>
      <c r="BH58" s="173"/>
      <c r="BI58" s="174" t="s">
        <v>3533</v>
      </c>
      <c r="BJ58" s="173"/>
      <c r="BK58" s="174" t="s">
        <v>3534</v>
      </c>
      <c r="BL58" s="174" t="s">
        <v>2602</v>
      </c>
      <c r="BM58" s="173"/>
      <c r="BN58" s="174" t="s">
        <v>3535</v>
      </c>
      <c r="BO58" s="174" t="s">
        <v>888</v>
      </c>
      <c r="BP58" s="174" t="s">
        <v>3536</v>
      </c>
      <c r="BQ58" s="248"/>
      <c r="BR58" s="175" t="s">
        <v>3537</v>
      </c>
      <c r="BS58" s="175" t="s">
        <v>1911</v>
      </c>
      <c r="BT58" s="175" t="s">
        <v>833</v>
      </c>
      <c r="BU58" s="175" t="s">
        <v>897</v>
      </c>
      <c r="BV58" s="175" t="s">
        <v>3538</v>
      </c>
      <c r="BW58" s="129" t="s">
        <v>790</v>
      </c>
      <c r="BX58" s="175" t="s">
        <v>3539</v>
      </c>
      <c r="BY58" s="251"/>
      <c r="BZ58" s="175" t="s">
        <v>3540</v>
      </c>
      <c r="CA58" s="425" t="s">
        <v>204</v>
      </c>
      <c r="CB58" s="175" t="s">
        <v>3541</v>
      </c>
      <c r="CC58" s="129" t="s">
        <v>3542</v>
      </c>
      <c r="CD58" s="129" t="s">
        <v>340</v>
      </c>
      <c r="CE58" s="251"/>
      <c r="CF58" s="252"/>
      <c r="CG58" s="177" t="s">
        <v>3543</v>
      </c>
      <c r="CH58" s="177" t="s">
        <v>261</v>
      </c>
      <c r="CI58" s="177" t="s">
        <v>1815</v>
      </c>
      <c r="CJ58" s="177" t="s">
        <v>3544</v>
      </c>
      <c r="CK58" s="177"/>
      <c r="CL58" s="177" t="s">
        <v>1324</v>
      </c>
      <c r="CM58" s="177" t="s">
        <v>3029</v>
      </c>
      <c r="CN58" s="177" t="s">
        <v>3545</v>
      </c>
      <c r="CO58" s="177" t="s">
        <v>3546</v>
      </c>
      <c r="CP58" s="254"/>
      <c r="CQ58" s="177" t="s">
        <v>3547</v>
      </c>
      <c r="CR58" s="254"/>
      <c r="CS58" s="177" t="s">
        <v>3548</v>
      </c>
      <c r="CT58" s="254"/>
      <c r="CU58" s="92"/>
      <c r="CV58" s="203" t="s">
        <v>3549</v>
      </c>
      <c r="CW58" s="203" t="s">
        <v>1785</v>
      </c>
      <c r="CX58" s="203" t="s">
        <v>1627</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2633</v>
      </c>
      <c r="DZ58" s="145" t="s">
        <v>953</v>
      </c>
      <c r="EA58" s="257"/>
      <c r="EB58" s="204" t="s">
        <v>2784</v>
      </c>
      <c r="EC58" s="204" t="s">
        <v>686</v>
      </c>
      <c r="ED58" s="143" t="s">
        <v>3559</v>
      </c>
    </row>
    <row r="59">
      <c r="A59" s="81" t="s">
        <v>3560</v>
      </c>
      <c r="B59" s="82" t="s">
        <v>3561</v>
      </c>
      <c r="C59" s="83" t="s">
        <v>1259</v>
      </c>
      <c r="D59" s="84" t="s">
        <v>1259</v>
      </c>
      <c r="E59" s="85" t="s">
        <v>1259</v>
      </c>
      <c r="F59" s="86" t="s">
        <v>3562</v>
      </c>
      <c r="G59" s="82" t="s">
        <v>3563</v>
      </c>
      <c r="H59" s="88" t="s">
        <v>3285</v>
      </c>
      <c r="I59" s="88" t="s">
        <v>3564</v>
      </c>
      <c r="J59" s="88" t="s">
        <v>3565</v>
      </c>
      <c r="K59" s="88" t="s">
        <v>1422</v>
      </c>
      <c r="L59" s="88" t="s">
        <v>412</v>
      </c>
      <c r="M59" s="265" t="s">
        <v>1265</v>
      </c>
      <c r="N59" s="88" t="s">
        <v>3566</v>
      </c>
      <c r="O59" s="88" t="s">
        <v>3375</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1644</v>
      </c>
      <c r="AK59" s="99"/>
      <c r="AL59" s="97"/>
      <c r="AM59" s="94" t="s">
        <v>199</v>
      </c>
      <c r="AN59" s="265" t="s">
        <v>3199</v>
      </c>
      <c r="AO59" s="360" t="s">
        <v>3575</v>
      </c>
      <c r="AP59" s="94" t="s">
        <v>3576</v>
      </c>
      <c r="AQ59" s="99"/>
      <c r="AR59" s="99"/>
      <c r="AS59" s="99"/>
      <c r="AT59" s="99"/>
      <c r="AU59" s="265" t="s">
        <v>1876</v>
      </c>
      <c r="AV59" s="265" t="s">
        <v>2469</v>
      </c>
      <c r="AW59" s="94" t="s">
        <v>535</v>
      </c>
      <c r="AX59" s="99"/>
      <c r="AY59" s="265" t="s">
        <v>837</v>
      </c>
      <c r="AZ59" s="88" t="s">
        <v>3577</v>
      </c>
      <c r="BA59" s="99"/>
      <c r="BB59" s="88" t="s">
        <v>3578</v>
      </c>
      <c r="BC59" s="88" t="s">
        <v>3579</v>
      </c>
      <c r="BD59" s="88" t="s">
        <v>3580</v>
      </c>
      <c r="BE59" s="265" t="s">
        <v>3435</v>
      </c>
      <c r="BF59" s="88" t="s">
        <v>2470</v>
      </c>
      <c r="BG59" s="94" t="s">
        <v>444</v>
      </c>
      <c r="BH59" s="94" t="s">
        <v>3581</v>
      </c>
      <c r="BI59" s="265" t="s">
        <v>1320</v>
      </c>
      <c r="BJ59" s="94"/>
      <c r="BK59" s="265" t="s">
        <v>723</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2624</v>
      </c>
      <c r="CH59" s="88" t="s">
        <v>2881</v>
      </c>
      <c r="CI59" s="94" t="s">
        <v>1267</v>
      </c>
      <c r="CJ59" s="94" t="s">
        <v>3597</v>
      </c>
      <c r="CK59" s="94" t="s">
        <v>3598</v>
      </c>
      <c r="CL59" s="94" t="s">
        <v>3456</v>
      </c>
      <c r="CM59" s="94" t="s">
        <v>3599</v>
      </c>
      <c r="CN59" s="265" t="s">
        <v>3600</v>
      </c>
      <c r="CO59" s="94" t="s">
        <v>3601</v>
      </c>
      <c r="CP59" s="94" t="s">
        <v>1989</v>
      </c>
      <c r="CQ59" s="88" t="s">
        <v>3602</v>
      </c>
      <c r="CR59" s="99"/>
      <c r="CS59" s="88" t="s">
        <v>3603</v>
      </c>
      <c r="CT59" s="99"/>
      <c r="CU59" s="92"/>
      <c r="CV59" s="94" t="s">
        <v>895</v>
      </c>
      <c r="CW59" s="88" t="s">
        <v>1689</v>
      </c>
      <c r="CX59" s="265" t="s">
        <v>2951</v>
      </c>
      <c r="CY59" s="265" t="s">
        <v>3604</v>
      </c>
      <c r="CZ59" s="94" t="s">
        <v>3605</v>
      </c>
      <c r="DA59" s="265" t="s">
        <v>515</v>
      </c>
      <c r="DB59" s="426" t="s">
        <v>3606</v>
      </c>
      <c r="DC59" s="88" t="s">
        <v>1747</v>
      </c>
      <c r="DD59" s="99"/>
      <c r="DE59" s="265" t="s">
        <v>3479</v>
      </c>
      <c r="DF59" s="94" t="s">
        <v>3607</v>
      </c>
      <c r="DG59" s="99"/>
      <c r="DH59" s="236"/>
      <c r="DI59" s="94" t="s">
        <v>858</v>
      </c>
      <c r="DJ59" s="99"/>
      <c r="DK59" s="94"/>
      <c r="DL59" s="99"/>
      <c r="DM59" s="88" t="s">
        <v>513</v>
      </c>
      <c r="DN59" s="94" t="s">
        <v>2018</v>
      </c>
      <c r="DO59" s="265" t="s">
        <v>3608</v>
      </c>
      <c r="DP59" s="94" t="s">
        <v>962</v>
      </c>
      <c r="DQ59" s="99"/>
      <c r="DR59" s="94" t="s">
        <v>3609</v>
      </c>
      <c r="DS59" s="94" t="s">
        <v>3610</v>
      </c>
      <c r="DT59" s="94" t="s">
        <v>424</v>
      </c>
      <c r="DU59" s="88" t="s">
        <v>3611</v>
      </c>
      <c r="DV59" s="94" t="s">
        <v>777</v>
      </c>
      <c r="DW59" s="162" t="s">
        <v>3558</v>
      </c>
      <c r="DX59" s="99"/>
      <c r="DY59" s="162" t="s">
        <v>303</v>
      </c>
      <c r="DZ59" s="94" t="s">
        <v>2870</v>
      </c>
      <c r="EA59" s="94" t="s">
        <v>3612</v>
      </c>
      <c r="EB59" s="265" t="s">
        <v>499</v>
      </c>
      <c r="EC59" s="265" t="s">
        <v>3613</v>
      </c>
      <c r="ED59" s="259" t="s">
        <v>3614</v>
      </c>
    </row>
    <row r="60">
      <c r="A60" s="427" t="s">
        <v>3615</v>
      </c>
      <c r="B60" s="104" t="s">
        <v>3616</v>
      </c>
      <c r="C60" s="105" t="s">
        <v>1259</v>
      </c>
      <c r="D60" s="106" t="s">
        <v>1259</v>
      </c>
      <c r="E60" s="107" t="s">
        <v>1259</v>
      </c>
      <c r="F60" s="108" t="s">
        <v>2088</v>
      </c>
      <c r="G60" s="104" t="s">
        <v>3617</v>
      </c>
      <c r="H60" s="112" t="s">
        <v>3618</v>
      </c>
      <c r="I60" s="112" t="s">
        <v>3619</v>
      </c>
      <c r="J60" s="112" t="s">
        <v>3620</v>
      </c>
      <c r="K60" s="112" t="s">
        <v>1885</v>
      </c>
      <c r="L60" s="112" t="s">
        <v>2793</v>
      </c>
      <c r="M60" s="112" t="s">
        <v>3621</v>
      </c>
      <c r="N60" s="112" t="s">
        <v>3622</v>
      </c>
      <c r="O60" s="112" t="s">
        <v>3623</v>
      </c>
      <c r="P60" s="112" t="s">
        <v>3624</v>
      </c>
      <c r="Q60" s="167" t="s">
        <v>3625</v>
      </c>
      <c r="R60" s="243"/>
      <c r="S60" s="112" t="s">
        <v>2273</v>
      </c>
      <c r="T60" s="243"/>
      <c r="U60" s="112" t="s">
        <v>3626</v>
      </c>
      <c r="V60" s="167" t="s">
        <v>3627</v>
      </c>
      <c r="W60" s="92"/>
      <c r="X60" s="116" t="s">
        <v>2938</v>
      </c>
      <c r="Y60" s="269"/>
      <c r="Z60" s="116" t="s">
        <v>3628</v>
      </c>
      <c r="AA60" s="116" t="s">
        <v>3629</v>
      </c>
      <c r="AB60" s="116" t="s">
        <v>3402</v>
      </c>
      <c r="AC60" s="116" t="s">
        <v>3348</v>
      </c>
      <c r="AD60" s="116" t="s">
        <v>3272</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2042</v>
      </c>
      <c r="AV60" s="121" t="s">
        <v>848</v>
      </c>
      <c r="AW60" s="246"/>
      <c r="AX60" s="246"/>
      <c r="AY60" s="121" t="s">
        <v>3637</v>
      </c>
      <c r="AZ60" s="168" t="s">
        <v>3638</v>
      </c>
      <c r="BA60" s="168"/>
      <c r="BB60" s="126" t="s">
        <v>2936</v>
      </c>
      <c r="BC60" s="126" t="s">
        <v>2488</v>
      </c>
      <c r="BD60" s="126" t="s">
        <v>3639</v>
      </c>
      <c r="BE60" s="172" t="s">
        <v>3640</v>
      </c>
      <c r="BF60" s="126" t="s">
        <v>3641</v>
      </c>
      <c r="BG60" s="126" t="s">
        <v>3642</v>
      </c>
      <c r="BH60" s="173"/>
      <c r="BI60" s="126" t="s">
        <v>368</v>
      </c>
      <c r="BJ60" s="126" t="s">
        <v>3643</v>
      </c>
      <c r="BK60" s="126" t="s">
        <v>3644</v>
      </c>
      <c r="BL60" s="126" t="s">
        <v>3645</v>
      </c>
      <c r="BM60" s="173"/>
      <c r="BN60" s="126" t="s">
        <v>3646</v>
      </c>
      <c r="BO60" s="126" t="s">
        <v>1458</v>
      </c>
      <c r="BP60" s="173"/>
      <c r="BQ60" s="248"/>
      <c r="BR60" s="129" t="s">
        <v>3647</v>
      </c>
      <c r="BS60" s="129" t="s">
        <v>934</v>
      </c>
      <c r="BT60" s="129" t="s">
        <v>2229</v>
      </c>
      <c r="BU60" s="129" t="s">
        <v>3648</v>
      </c>
      <c r="BV60" s="129" t="s">
        <v>3649</v>
      </c>
      <c r="BW60" s="129" t="s">
        <v>1597</v>
      </c>
      <c r="BX60" s="251"/>
      <c r="BY60" s="129" t="s">
        <v>3650</v>
      </c>
      <c r="BZ60" s="129" t="s">
        <v>3651</v>
      </c>
      <c r="CA60" s="129" t="s">
        <v>2058</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1408</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2042</v>
      </c>
      <c r="DD60" s="255"/>
      <c r="DE60" s="255"/>
      <c r="DF60" s="255"/>
      <c r="DG60" s="203" t="s">
        <v>3666</v>
      </c>
      <c r="DH60" s="203"/>
      <c r="DI60" s="145" t="s">
        <v>2843</v>
      </c>
      <c r="DJ60" s="257"/>
      <c r="DK60" s="257"/>
      <c r="DL60" s="257"/>
      <c r="DM60" s="145" t="s">
        <v>513</v>
      </c>
      <c r="DN60" s="257"/>
      <c r="DO60" s="257"/>
      <c r="DP60" s="145" t="s">
        <v>3667</v>
      </c>
      <c r="DQ60" s="257"/>
      <c r="DR60" s="145" t="s">
        <v>3668</v>
      </c>
      <c r="DS60" s="206" t="s">
        <v>2317</v>
      </c>
      <c r="DT60" s="204" t="s">
        <v>3669</v>
      </c>
      <c r="DU60" s="257"/>
      <c r="DV60" s="257"/>
      <c r="DW60" s="145" t="s">
        <v>1717</v>
      </c>
      <c r="DX60" s="257"/>
      <c r="DY60" s="257"/>
      <c r="DZ60" s="257"/>
      <c r="EA60" s="145" t="s">
        <v>3670</v>
      </c>
      <c r="EB60" s="257"/>
      <c r="EC60" s="145" t="s">
        <v>3671</v>
      </c>
      <c r="ED60" s="142" t="s">
        <v>3672</v>
      </c>
    </row>
    <row r="61">
      <c r="A61" s="428" t="s">
        <v>3673</v>
      </c>
      <c r="B61" s="82" t="s">
        <v>3674</v>
      </c>
      <c r="C61" s="83" t="s">
        <v>1259</v>
      </c>
      <c r="D61" s="84" t="s">
        <v>1259</v>
      </c>
      <c r="E61" s="85" t="s">
        <v>1259</v>
      </c>
      <c r="F61" s="86" t="s">
        <v>2675</v>
      </c>
      <c r="G61" s="82" t="s">
        <v>224</v>
      </c>
      <c r="H61" s="94" t="s">
        <v>3675</v>
      </c>
      <c r="I61" s="94" t="s">
        <v>1944</v>
      </c>
      <c r="J61" s="94" t="s">
        <v>3676</v>
      </c>
      <c r="K61" s="88" t="s">
        <v>2842</v>
      </c>
      <c r="L61" s="88" t="s">
        <v>1264</v>
      </c>
      <c r="M61" s="94" t="s">
        <v>3677</v>
      </c>
      <c r="N61" s="88" t="s">
        <v>3678</v>
      </c>
      <c r="O61" s="94" t="s">
        <v>3640</v>
      </c>
      <c r="P61" s="94" t="s">
        <v>3290</v>
      </c>
      <c r="Q61" s="162" t="s">
        <v>3679</v>
      </c>
      <c r="R61" s="88" t="s">
        <v>3680</v>
      </c>
      <c r="S61" s="94" t="s">
        <v>3681</v>
      </c>
      <c r="T61" s="94" t="s">
        <v>1630</v>
      </c>
      <c r="U61" s="88" t="s">
        <v>3682</v>
      </c>
      <c r="V61" s="162" t="s">
        <v>3683</v>
      </c>
      <c r="W61" s="113"/>
      <c r="X61" s="94" t="s">
        <v>3684</v>
      </c>
      <c r="Y61" s="94"/>
      <c r="Z61" s="94" t="s">
        <v>3685</v>
      </c>
      <c r="AA61" s="94" t="s">
        <v>1800</v>
      </c>
      <c r="AB61" s="94" t="s">
        <v>855</v>
      </c>
      <c r="AC61" s="94" t="s">
        <v>3686</v>
      </c>
      <c r="AD61" s="94" t="s">
        <v>3687</v>
      </c>
      <c r="AE61" s="94" t="s">
        <v>3688</v>
      </c>
      <c r="AF61" s="94" t="s">
        <v>3689</v>
      </c>
      <c r="AG61" s="94" t="s">
        <v>3243</v>
      </c>
      <c r="AH61" s="94" t="s">
        <v>3569</v>
      </c>
      <c r="AI61" s="94" t="s">
        <v>3108</v>
      </c>
      <c r="AJ61" s="94" t="s">
        <v>3036</v>
      </c>
      <c r="AK61" s="94" t="s">
        <v>3690</v>
      </c>
      <c r="AL61" s="97"/>
      <c r="AM61" s="94" t="s">
        <v>2566</v>
      </c>
      <c r="AN61" s="94" t="s">
        <v>1414</v>
      </c>
      <c r="AO61" s="94" t="s">
        <v>3691</v>
      </c>
      <c r="AP61" s="94" t="s">
        <v>3692</v>
      </c>
      <c r="AQ61" s="94" t="s">
        <v>3693</v>
      </c>
      <c r="AR61" s="94" t="s">
        <v>3694</v>
      </c>
      <c r="AS61" s="94" t="s">
        <v>3695</v>
      </c>
      <c r="AT61" s="94"/>
      <c r="AU61" s="94" t="s">
        <v>3696</v>
      </c>
      <c r="AV61" s="88" t="s">
        <v>3697</v>
      </c>
      <c r="AW61" s="94" t="s">
        <v>322</v>
      </c>
      <c r="AX61" s="94"/>
      <c r="AY61" s="94" t="s">
        <v>845</v>
      </c>
      <c r="AZ61" s="94" t="s">
        <v>3698</v>
      </c>
      <c r="BA61" s="94"/>
      <c r="BB61" s="94" t="s">
        <v>1480</v>
      </c>
      <c r="BC61" s="88" t="s">
        <v>2668</v>
      </c>
      <c r="BD61" s="88" t="s">
        <v>2222</v>
      </c>
      <c r="BE61" s="94" t="s">
        <v>3699</v>
      </c>
      <c r="BF61" s="94" t="s">
        <v>3700</v>
      </c>
      <c r="BG61" s="94" t="s">
        <v>1221</v>
      </c>
      <c r="BH61" s="94" t="s">
        <v>3701</v>
      </c>
      <c r="BI61" s="88" t="s">
        <v>1754</v>
      </c>
      <c r="BJ61" s="94" t="s">
        <v>2659</v>
      </c>
      <c r="BK61" s="94" t="s">
        <v>3702</v>
      </c>
      <c r="BL61" s="94" t="s">
        <v>3703</v>
      </c>
      <c r="BM61" s="94"/>
      <c r="BN61" s="88" t="s">
        <v>1586</v>
      </c>
      <c r="BO61" s="94" t="s">
        <v>3704</v>
      </c>
      <c r="BP61" s="94" t="s">
        <v>3297</v>
      </c>
      <c r="BQ61" s="94"/>
      <c r="BR61" s="88" t="s">
        <v>3705</v>
      </c>
      <c r="BS61" s="94" t="s">
        <v>3706</v>
      </c>
      <c r="BT61" s="94" t="s">
        <v>3707</v>
      </c>
      <c r="BU61" s="94" t="s">
        <v>3318</v>
      </c>
      <c r="BV61" s="94" t="s">
        <v>2781</v>
      </c>
      <c r="BW61" s="94" t="s">
        <v>3708</v>
      </c>
      <c r="BX61" s="94" t="s">
        <v>3539</v>
      </c>
      <c r="BY61" s="94" t="s">
        <v>3709</v>
      </c>
      <c r="BZ61" s="94" t="s">
        <v>3116</v>
      </c>
      <c r="CA61" s="94" t="s">
        <v>3710</v>
      </c>
      <c r="CB61" s="94" t="s">
        <v>2409</v>
      </c>
      <c r="CC61" s="94" t="s">
        <v>1270</v>
      </c>
      <c r="CD61" s="94" t="s">
        <v>1643</v>
      </c>
      <c r="CE61" s="94" t="s">
        <v>3711</v>
      </c>
      <c r="CF61" s="94"/>
      <c r="CG61" s="94" t="s">
        <v>3712</v>
      </c>
      <c r="CH61" s="162" t="s">
        <v>298</v>
      </c>
      <c r="CI61" s="94" t="s">
        <v>2054</v>
      </c>
      <c r="CJ61" s="94" t="s">
        <v>3017</v>
      </c>
      <c r="CK61" s="94"/>
      <c r="CL61" s="94" t="s">
        <v>3713</v>
      </c>
      <c r="CM61" s="94" t="s">
        <v>3714</v>
      </c>
      <c r="CN61" s="94" t="s">
        <v>1585</v>
      </c>
      <c r="CO61" s="94" t="s">
        <v>3715</v>
      </c>
      <c r="CP61" s="94" t="s">
        <v>3716</v>
      </c>
      <c r="CQ61" s="88" t="s">
        <v>820</v>
      </c>
      <c r="CR61" s="94"/>
      <c r="CS61" s="94" t="s">
        <v>3717</v>
      </c>
      <c r="CT61" s="94" t="s">
        <v>3718</v>
      </c>
      <c r="CU61" s="92"/>
      <c r="CV61" s="94" t="s">
        <v>3719</v>
      </c>
      <c r="CW61" s="94" t="s">
        <v>1607</v>
      </c>
      <c r="CX61" s="88" t="s">
        <v>1254</v>
      </c>
      <c r="CY61" s="94" t="s">
        <v>3720</v>
      </c>
      <c r="CZ61" s="162" t="s">
        <v>3437</v>
      </c>
      <c r="DA61" s="94" t="s">
        <v>3721</v>
      </c>
      <c r="DB61" s="265" t="s">
        <v>2345</v>
      </c>
      <c r="DC61" s="88" t="s">
        <v>2626</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2054</v>
      </c>
      <c r="DV61" s="94" t="s">
        <v>3103</v>
      </c>
      <c r="DW61" s="94" t="s">
        <v>1722</v>
      </c>
      <c r="DX61" s="94" t="s">
        <v>3735</v>
      </c>
      <c r="DY61" s="94" t="s">
        <v>2714</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1952</v>
      </c>
      <c r="I62" s="273" t="s">
        <v>3741</v>
      </c>
      <c r="J62" s="273" t="s">
        <v>3742</v>
      </c>
      <c r="K62" s="273" t="s">
        <v>1561</v>
      </c>
      <c r="L62" s="273" t="s">
        <v>778</v>
      </c>
      <c r="M62" s="273" t="s">
        <v>3743</v>
      </c>
      <c r="N62" s="273" t="s">
        <v>3744</v>
      </c>
      <c r="O62" s="273" t="s">
        <v>808</v>
      </c>
      <c r="P62" s="273" t="s">
        <v>3624</v>
      </c>
      <c r="Q62" s="273"/>
      <c r="R62" s="273" t="s">
        <v>3745</v>
      </c>
      <c r="S62" s="273" t="s">
        <v>3646</v>
      </c>
      <c r="T62" s="273" t="s">
        <v>1527</v>
      </c>
      <c r="U62" s="273" t="s">
        <v>3746</v>
      </c>
      <c r="V62" s="273" t="s">
        <v>3747</v>
      </c>
      <c r="W62" s="429"/>
      <c r="X62" s="196" t="s">
        <v>3170</v>
      </c>
      <c r="Y62" s="196"/>
      <c r="Z62" s="196" t="s">
        <v>1049</v>
      </c>
      <c r="AA62" s="196" t="s">
        <v>3748</v>
      </c>
      <c r="AB62" s="196" t="s">
        <v>3749</v>
      </c>
      <c r="AC62" s="368" t="s">
        <v>3750</v>
      </c>
      <c r="AD62" s="196" t="s">
        <v>3751</v>
      </c>
      <c r="AE62" s="196" t="s">
        <v>3752</v>
      </c>
      <c r="AF62" s="196" t="s">
        <v>2808</v>
      </c>
      <c r="AG62" s="196" t="s">
        <v>3753</v>
      </c>
      <c r="AH62" s="196" t="s">
        <v>2560</v>
      </c>
      <c r="AI62" s="430"/>
      <c r="AJ62" s="430"/>
      <c r="AK62" s="196" t="s">
        <v>3754</v>
      </c>
      <c r="AL62" s="431"/>
      <c r="AM62" s="198" t="s">
        <v>144</v>
      </c>
      <c r="AN62" s="198" t="s">
        <v>3030</v>
      </c>
      <c r="AO62" s="198" t="s">
        <v>3755</v>
      </c>
      <c r="AP62" s="198" t="s">
        <v>3756</v>
      </c>
      <c r="AQ62" s="198" t="s">
        <v>3757</v>
      </c>
      <c r="AR62" s="198" t="s">
        <v>3758</v>
      </c>
      <c r="AS62" s="198" t="s">
        <v>3327</v>
      </c>
      <c r="AT62" s="432"/>
      <c r="AU62" s="198" t="s">
        <v>3759</v>
      </c>
      <c r="AV62" s="198" t="s">
        <v>1451</v>
      </c>
      <c r="AW62" s="198" t="s">
        <v>3760</v>
      </c>
      <c r="AX62" s="432"/>
      <c r="AY62" s="198" t="s">
        <v>1136</v>
      </c>
      <c r="AZ62" s="198" t="s">
        <v>3761</v>
      </c>
      <c r="BA62" s="198"/>
      <c r="BB62" s="172" t="s">
        <v>3762</v>
      </c>
      <c r="BC62" s="172" t="s">
        <v>1562</v>
      </c>
      <c r="BD62" s="172" t="s">
        <v>1320</v>
      </c>
      <c r="BE62" s="172" t="s">
        <v>3763</v>
      </c>
      <c r="BF62" s="172" t="s">
        <v>3764</v>
      </c>
      <c r="BG62" s="172" t="s">
        <v>3765</v>
      </c>
      <c r="BH62" s="172" t="s">
        <v>3766</v>
      </c>
      <c r="BI62" s="172" t="s">
        <v>878</v>
      </c>
      <c r="BJ62" s="172" t="s">
        <v>3767</v>
      </c>
      <c r="BK62" s="172" t="s">
        <v>3768</v>
      </c>
      <c r="BL62" s="172" t="s">
        <v>3769</v>
      </c>
      <c r="BM62" s="433"/>
      <c r="BN62" s="172" t="s">
        <v>1306</v>
      </c>
      <c r="BO62" s="172" t="s">
        <v>3770</v>
      </c>
      <c r="BP62" s="172" t="s">
        <v>1598</v>
      </c>
      <c r="BQ62" s="172"/>
      <c r="BR62" s="279" t="s">
        <v>3771</v>
      </c>
      <c r="BS62" s="279" t="s">
        <v>2864</v>
      </c>
      <c r="BT62" s="279" t="s">
        <v>2199</v>
      </c>
      <c r="BU62" s="279" t="s">
        <v>3772</v>
      </c>
      <c r="BV62" s="279" t="s">
        <v>3773</v>
      </c>
      <c r="BW62" s="279" t="s">
        <v>3774</v>
      </c>
      <c r="BX62" s="279" t="s">
        <v>3775</v>
      </c>
      <c r="BY62" s="279"/>
      <c r="BZ62" s="279" t="s">
        <v>3776</v>
      </c>
      <c r="CA62" s="279" t="s">
        <v>1628</v>
      </c>
      <c r="CB62" s="279" t="s">
        <v>3777</v>
      </c>
      <c r="CC62" s="279" t="s">
        <v>3778</v>
      </c>
      <c r="CD62" s="279" t="s">
        <v>3779</v>
      </c>
      <c r="CE62" s="279" t="s">
        <v>3780</v>
      </c>
      <c r="CF62" s="279"/>
      <c r="CG62" s="386" t="s">
        <v>751</v>
      </c>
      <c r="CH62" s="386" t="s">
        <v>2181</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1094</v>
      </c>
      <c r="CW62" s="435" t="s">
        <v>2576</v>
      </c>
      <c r="CX62" s="435" t="s">
        <v>535</v>
      </c>
      <c r="CY62" s="435" t="s">
        <v>3786</v>
      </c>
      <c r="CZ62" s="435" t="s">
        <v>3787</v>
      </c>
      <c r="DA62" s="435" t="s">
        <v>2886</v>
      </c>
      <c r="DB62" s="435" t="s">
        <v>3788</v>
      </c>
      <c r="DC62" s="435" t="s">
        <v>3364</v>
      </c>
      <c r="DD62" s="435" t="s">
        <v>3789</v>
      </c>
      <c r="DE62" s="435" t="s">
        <v>3262</v>
      </c>
      <c r="DF62" s="435" t="s">
        <v>3790</v>
      </c>
      <c r="DG62" s="435" t="s">
        <v>3791</v>
      </c>
      <c r="DH62" s="435"/>
      <c r="DI62" s="206" t="s">
        <v>3792</v>
      </c>
      <c r="DJ62" s="206" t="s">
        <v>200</v>
      </c>
      <c r="DK62" s="206" t="s">
        <v>3793</v>
      </c>
      <c r="DL62" s="206"/>
      <c r="DM62" s="206" t="s">
        <v>531</v>
      </c>
      <c r="DN62" s="206" t="s">
        <v>1489</v>
      </c>
      <c r="DO62" s="206" t="s">
        <v>3794</v>
      </c>
      <c r="DP62" s="206" t="s">
        <v>3795</v>
      </c>
      <c r="DQ62" s="206" t="s">
        <v>3243</v>
      </c>
      <c r="DR62" s="206" t="s">
        <v>3796</v>
      </c>
      <c r="DS62" s="206" t="s">
        <v>3273</v>
      </c>
      <c r="DT62" s="206" t="s">
        <v>2576</v>
      </c>
      <c r="DU62" s="206" t="s">
        <v>3797</v>
      </c>
      <c r="DV62" s="206" t="s">
        <v>3798</v>
      </c>
      <c r="DW62" s="206" t="s">
        <v>3799</v>
      </c>
      <c r="DX62" s="206" t="s">
        <v>1847</v>
      </c>
      <c r="DY62" s="206" t="s">
        <v>2714</v>
      </c>
      <c r="DZ62" s="206" t="s">
        <v>3800</v>
      </c>
      <c r="EA62" s="206" t="s">
        <v>1056</v>
      </c>
      <c r="EB62" s="206" t="s">
        <v>848</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2841</v>
      </c>
      <c r="K63" s="98" t="s">
        <v>446</v>
      </c>
      <c r="L63" s="88" t="s">
        <v>1640</v>
      </c>
      <c r="M63" s="94" t="s">
        <v>3807</v>
      </c>
      <c r="N63" s="94" t="s">
        <v>3808</v>
      </c>
      <c r="O63" s="94" t="s">
        <v>3699</v>
      </c>
      <c r="P63" s="94" t="s">
        <v>2547</v>
      </c>
      <c r="Q63" s="94" t="s">
        <v>3809</v>
      </c>
      <c r="R63" s="99"/>
      <c r="S63" s="99"/>
      <c r="T63" s="99"/>
      <c r="U63" s="99"/>
      <c r="V63" s="94" t="s">
        <v>3810</v>
      </c>
      <c r="W63" s="92"/>
      <c r="X63" s="88" t="s">
        <v>2533</v>
      </c>
      <c r="Y63" s="102"/>
      <c r="Z63" s="88" t="s">
        <v>3811</v>
      </c>
      <c r="AA63" s="88" t="s">
        <v>1827</v>
      </c>
      <c r="AB63" s="94" t="s">
        <v>3060</v>
      </c>
      <c r="AC63" s="94" t="s">
        <v>3061</v>
      </c>
      <c r="AD63" s="93" t="s">
        <v>3812</v>
      </c>
      <c r="AE63" s="99"/>
      <c r="AF63" s="94" t="s">
        <v>2549</v>
      </c>
      <c r="AG63" s="94" t="s">
        <v>2036</v>
      </c>
      <c r="AH63" s="99"/>
      <c r="AI63" s="99"/>
      <c r="AJ63" s="99"/>
      <c r="AK63" s="99"/>
      <c r="AL63" s="97"/>
      <c r="AM63" s="94" t="s">
        <v>3813</v>
      </c>
      <c r="AN63" s="94" t="s">
        <v>3814</v>
      </c>
      <c r="AO63" s="94" t="s">
        <v>3815</v>
      </c>
      <c r="AP63" s="99"/>
      <c r="AQ63" s="94" t="s">
        <v>279</v>
      </c>
      <c r="AR63" s="94"/>
      <c r="AS63" s="99"/>
      <c r="AT63" s="99"/>
      <c r="AU63" s="88" t="s">
        <v>3816</v>
      </c>
      <c r="AV63" s="88" t="s">
        <v>1897</v>
      </c>
      <c r="AW63" s="99"/>
      <c r="AX63" s="99"/>
      <c r="AY63" s="99"/>
      <c r="AZ63" s="99"/>
      <c r="BA63" s="99"/>
      <c r="BB63" s="99"/>
      <c r="BC63" s="94" t="s">
        <v>1160</v>
      </c>
      <c r="BD63" s="88" t="s">
        <v>1451</v>
      </c>
      <c r="BE63" s="88" t="s">
        <v>3817</v>
      </c>
      <c r="BF63" s="94" t="s">
        <v>1603</v>
      </c>
      <c r="BG63" s="99"/>
      <c r="BH63" s="99"/>
      <c r="BI63" s="94" t="s">
        <v>325</v>
      </c>
      <c r="BJ63" s="99"/>
      <c r="BK63" s="94" t="s">
        <v>3818</v>
      </c>
      <c r="BL63" s="94" t="s">
        <v>1324</v>
      </c>
      <c r="BM63" s="99"/>
      <c r="BN63" s="99"/>
      <c r="BO63" s="99"/>
      <c r="BP63" s="99"/>
      <c r="BQ63" s="236"/>
      <c r="BR63" s="94"/>
      <c r="BS63" s="94" t="s">
        <v>659</v>
      </c>
      <c r="BT63" s="94" t="s">
        <v>2666</v>
      </c>
      <c r="BU63" s="94" t="s">
        <v>2230</v>
      </c>
      <c r="BV63" s="94" t="s">
        <v>3819</v>
      </c>
      <c r="BW63" s="94" t="s">
        <v>3820</v>
      </c>
      <c r="BX63" s="99"/>
      <c r="BY63" s="99"/>
      <c r="BZ63" s="99"/>
      <c r="CA63" s="94" t="s">
        <v>3821</v>
      </c>
      <c r="CB63" s="94" t="s">
        <v>3822</v>
      </c>
      <c r="CC63" s="99"/>
      <c r="CD63" s="99"/>
      <c r="CE63" s="99"/>
      <c r="CF63" s="236"/>
      <c r="CG63" s="94" t="s">
        <v>3823</v>
      </c>
      <c r="CH63" s="88" t="s">
        <v>878</v>
      </c>
      <c r="CI63" s="98" t="str">
        <f>HYPERLINK("https://youtu.be/weD44uJQ8hg","35.17")</f>
        <v>35.17</v>
      </c>
      <c r="CJ63" s="99"/>
      <c r="CK63" s="99"/>
      <c r="CL63" s="99"/>
      <c r="CM63" s="88" t="s">
        <v>3824</v>
      </c>
      <c r="CN63" s="94" t="s">
        <v>1585</v>
      </c>
      <c r="CO63" s="94" t="s">
        <v>3825</v>
      </c>
      <c r="CP63" s="99"/>
      <c r="CQ63" s="94" t="s">
        <v>3826</v>
      </c>
      <c r="CR63" s="94"/>
      <c r="CS63" s="94" t="s">
        <v>3827</v>
      </c>
      <c r="CT63" s="99"/>
      <c r="CU63" s="92"/>
      <c r="CV63" s="94" t="s">
        <v>1275</v>
      </c>
      <c r="CW63" s="99"/>
      <c r="CX63" s="88" t="s">
        <v>1934</v>
      </c>
      <c r="CY63" s="94" t="s">
        <v>2413</v>
      </c>
      <c r="CZ63" s="94"/>
      <c r="DA63" s="94"/>
      <c r="DB63" s="94" t="s">
        <v>3828</v>
      </c>
      <c r="DC63" s="94" t="s">
        <v>1216</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2397</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2842</v>
      </c>
      <c r="L64" s="167" t="s">
        <v>605</v>
      </c>
      <c r="M64" s="345" t="s">
        <v>3836</v>
      </c>
      <c r="N64" s="167" t="s">
        <v>673</v>
      </c>
      <c r="O64" s="167" t="s">
        <v>3837</v>
      </c>
      <c r="P64" s="167" t="s">
        <v>1692</v>
      </c>
      <c r="Q64" s="243"/>
      <c r="R64" s="243"/>
      <c r="S64" s="243"/>
      <c r="T64" s="243"/>
      <c r="U64" s="243"/>
      <c r="V64" s="243"/>
      <c r="W64" s="92"/>
      <c r="X64" s="197" t="s">
        <v>2850</v>
      </c>
      <c r="Y64" s="197"/>
      <c r="Z64" s="197" t="s">
        <v>3838</v>
      </c>
      <c r="AA64" s="197" t="s">
        <v>1973</v>
      </c>
      <c r="AB64" s="197" t="s">
        <v>3839</v>
      </c>
      <c r="AC64" s="197" t="s">
        <v>2469</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930</v>
      </c>
      <c r="BD64" s="174" t="s">
        <v>2222</v>
      </c>
      <c r="BE64" s="174" t="s">
        <v>3844</v>
      </c>
      <c r="BF64" s="433" t="s">
        <v>3845</v>
      </c>
      <c r="BG64" s="173"/>
      <c r="BH64" s="173"/>
      <c r="BI64" s="174" t="s">
        <v>1983</v>
      </c>
      <c r="BJ64" s="417" t="s">
        <v>3846</v>
      </c>
      <c r="BK64" s="417"/>
      <c r="BL64" s="174" t="s">
        <v>2531</v>
      </c>
      <c r="BM64" s="173"/>
      <c r="BN64" s="173"/>
      <c r="BO64" s="173"/>
      <c r="BP64" s="173"/>
      <c r="BQ64" s="248"/>
      <c r="BR64" s="436"/>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1975</v>
      </c>
      <c r="CH64" s="177" t="s">
        <v>3850</v>
      </c>
      <c r="CI64" s="177" t="s">
        <v>1164</v>
      </c>
      <c r="CJ64" s="177" t="s">
        <v>3851</v>
      </c>
      <c r="CK64" s="177"/>
      <c r="CL64" s="177" t="s">
        <v>1842</v>
      </c>
      <c r="CM64" s="177" t="s">
        <v>2880</v>
      </c>
      <c r="CN64" s="177" t="s">
        <v>1626</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3859</v>
      </c>
      <c r="B65" s="82" t="s">
        <v>3860</v>
      </c>
      <c r="C65" s="83" t="s">
        <v>1259</v>
      </c>
      <c r="D65" s="84" t="s">
        <v>1259</v>
      </c>
      <c r="E65" s="85" t="s">
        <v>1259</v>
      </c>
      <c r="F65" s="86" t="s">
        <v>1200</v>
      </c>
      <c r="G65" s="82" t="s">
        <v>2989</v>
      </c>
      <c r="H65" s="88" t="s">
        <v>3466</v>
      </c>
      <c r="I65" s="94" t="s">
        <v>2302</v>
      </c>
      <c r="J65" s="94" t="s">
        <v>3861</v>
      </c>
      <c r="K65" s="94" t="s">
        <v>3862</v>
      </c>
      <c r="L65" s="94" t="s">
        <v>3863</v>
      </c>
      <c r="M65" s="94" t="s">
        <v>2184</v>
      </c>
      <c r="N65" s="94" t="s">
        <v>3864</v>
      </c>
      <c r="O65" s="94" t="s">
        <v>3865</v>
      </c>
      <c r="P65" s="94" t="s">
        <v>3098</v>
      </c>
      <c r="Q65" s="94" t="s">
        <v>3866</v>
      </c>
      <c r="R65" s="259" t="s">
        <v>3867</v>
      </c>
      <c r="S65" s="88" t="s">
        <v>1639</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1434</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1805</v>
      </c>
      <c r="BE65" s="88" t="s">
        <v>941</v>
      </c>
      <c r="BF65" s="94" t="s">
        <v>2977</v>
      </c>
      <c r="BG65" s="94" t="s">
        <v>3886</v>
      </c>
      <c r="BH65" s="94" t="s">
        <v>3887</v>
      </c>
      <c r="BI65" s="94" t="s">
        <v>2509</v>
      </c>
      <c r="BJ65" s="94" t="s">
        <v>3013</v>
      </c>
      <c r="BK65" s="94"/>
      <c r="BL65" s="94" t="s">
        <v>3888</v>
      </c>
      <c r="BM65" s="94" t="s">
        <v>1532</v>
      </c>
      <c r="BN65" s="94" t="s">
        <v>3681</v>
      </c>
      <c r="BO65" s="94" t="s">
        <v>2553</v>
      </c>
      <c r="BP65" s="94" t="s">
        <v>3889</v>
      </c>
      <c r="BQ65" s="100"/>
      <c r="BR65" s="94" t="s">
        <v>3890</v>
      </c>
      <c r="BS65" s="88" t="s">
        <v>3891</v>
      </c>
      <c r="BT65" s="94" t="s">
        <v>3892</v>
      </c>
      <c r="BU65" s="94" t="s">
        <v>3893</v>
      </c>
      <c r="BV65" s="94" t="s">
        <v>3660</v>
      </c>
      <c r="BW65" s="94" t="s">
        <v>1628</v>
      </c>
      <c r="BX65" s="94" t="s">
        <v>3894</v>
      </c>
      <c r="BY65" s="94" t="s">
        <v>3895</v>
      </c>
      <c r="BZ65" s="99"/>
      <c r="CA65" s="94" t="s">
        <v>3896</v>
      </c>
      <c r="CB65" s="94" t="s">
        <v>3897</v>
      </c>
      <c r="CC65" s="94" t="s">
        <v>917</v>
      </c>
      <c r="CD65" s="94" t="s">
        <v>3898</v>
      </c>
      <c r="CE65" s="94" t="s">
        <v>3899</v>
      </c>
      <c r="CF65" s="236"/>
      <c r="CG65" s="438">
        <v>55.85</v>
      </c>
      <c r="CH65" s="94" t="s">
        <v>245</v>
      </c>
      <c r="CI65" s="94" t="s">
        <v>3900</v>
      </c>
      <c r="CJ65" s="94" t="s">
        <v>3027</v>
      </c>
      <c r="CK65" s="94"/>
      <c r="CL65" s="94" t="s">
        <v>1474</v>
      </c>
      <c r="CM65" s="94" t="s">
        <v>3901</v>
      </c>
      <c r="CN65" s="94" t="s">
        <v>2530</v>
      </c>
      <c r="CO65" s="93" t="s">
        <v>3902</v>
      </c>
      <c r="CP65" s="94" t="s">
        <v>3903</v>
      </c>
      <c r="CQ65" s="94" t="s">
        <v>3904</v>
      </c>
      <c r="CR65" s="99"/>
      <c r="CS65" s="94" t="s">
        <v>3905</v>
      </c>
      <c r="CT65" s="94" t="s">
        <v>3906</v>
      </c>
      <c r="CU65" s="92"/>
      <c r="CV65" s="94" t="s">
        <v>3907</v>
      </c>
      <c r="CW65" s="88" t="s">
        <v>1689</v>
      </c>
      <c r="CX65" s="98" t="str">
        <f>HYPERLINK("https://youtu.be/1NiHXh4G_7o","31.54")</f>
        <v>31.54</v>
      </c>
      <c r="CY65" s="94" t="s">
        <v>3908</v>
      </c>
      <c r="CZ65" s="94" t="s">
        <v>3909</v>
      </c>
      <c r="DA65" s="94" t="s">
        <v>3910</v>
      </c>
      <c r="DB65" s="94" t="s">
        <v>3911</v>
      </c>
      <c r="DC65" s="88" t="s">
        <v>3912</v>
      </c>
      <c r="DD65" s="94" t="s">
        <v>3913</v>
      </c>
      <c r="DE65" s="94" t="s">
        <v>3914</v>
      </c>
      <c r="DF65" s="94" t="s">
        <v>1225</v>
      </c>
      <c r="DG65" s="94" t="s">
        <v>3915</v>
      </c>
      <c r="DH65" s="236"/>
      <c r="DI65" s="88" t="s">
        <v>2182</v>
      </c>
      <c r="DJ65" s="94"/>
      <c r="DK65" s="94" t="s">
        <v>1949</v>
      </c>
      <c r="DL65" s="94" t="s">
        <v>3916</v>
      </c>
      <c r="DM65" s="94" t="s">
        <v>3917</v>
      </c>
      <c r="DN65" s="94" t="s">
        <v>696</v>
      </c>
      <c r="DO65" s="94" t="s">
        <v>3918</v>
      </c>
      <c r="DP65" s="94" t="s">
        <v>3919</v>
      </c>
      <c r="DQ65" s="94" t="s">
        <v>3920</v>
      </c>
      <c r="DR65" s="94" t="s">
        <v>1963</v>
      </c>
      <c r="DS65" s="88" t="s">
        <v>3067</v>
      </c>
      <c r="DT65" s="94" t="s">
        <v>446</v>
      </c>
      <c r="DU65" s="94" t="s">
        <v>3345</v>
      </c>
      <c r="DV65" s="94" t="s">
        <v>3921</v>
      </c>
      <c r="DW65" s="94" t="s">
        <v>3922</v>
      </c>
      <c r="DX65" s="94" t="s">
        <v>378</v>
      </c>
      <c r="DY65" s="439" t="s">
        <v>3174</v>
      </c>
      <c r="DZ65" s="94" t="s">
        <v>3923</v>
      </c>
      <c r="EA65" s="94" t="s">
        <v>3924</v>
      </c>
      <c r="EB65" s="94" t="s">
        <v>161</v>
      </c>
      <c r="EC65" s="94" t="s">
        <v>3925</v>
      </c>
      <c r="ED65" s="259" t="s">
        <v>3926</v>
      </c>
    </row>
    <row r="66">
      <c r="A66" s="440" t="s">
        <v>3927</v>
      </c>
      <c r="B66" s="441" t="s">
        <v>3928</v>
      </c>
      <c r="C66" s="442" t="s">
        <v>1259</v>
      </c>
      <c r="D66" s="443" t="s">
        <v>1259</v>
      </c>
      <c r="E66" s="444" t="s">
        <v>1259</v>
      </c>
      <c r="F66" s="445" t="s">
        <v>3929</v>
      </c>
      <c r="G66" s="441" t="s">
        <v>443</v>
      </c>
      <c r="H66" s="446" t="s">
        <v>1802</v>
      </c>
      <c r="I66" s="446" t="s">
        <v>3930</v>
      </c>
      <c r="J66" s="310" t="s">
        <v>1507</v>
      </c>
      <c r="K66" s="446" t="s">
        <v>3931</v>
      </c>
      <c r="L66" s="446" t="s">
        <v>2519</v>
      </c>
      <c r="M66" s="446" t="s">
        <v>3932</v>
      </c>
      <c r="N66" s="310" t="s">
        <v>3201</v>
      </c>
      <c r="O66" s="447" t="s">
        <v>3933</v>
      </c>
      <c r="P66" s="446" t="s">
        <v>2892</v>
      </c>
      <c r="Q66" s="446" t="s">
        <v>3934</v>
      </c>
      <c r="R66" s="446" t="s">
        <v>3935</v>
      </c>
      <c r="S66" s="446" t="s">
        <v>3936</v>
      </c>
      <c r="T66" s="446" t="s">
        <v>2645</v>
      </c>
      <c r="U66" s="446" t="s">
        <v>3937</v>
      </c>
      <c r="V66" s="446" t="s">
        <v>3938</v>
      </c>
      <c r="W66" s="154"/>
      <c r="X66" s="315" t="s">
        <v>3939</v>
      </c>
      <c r="Y66" s="448"/>
      <c r="Z66" s="315" t="s">
        <v>3940</v>
      </c>
      <c r="AA66" s="313" t="s">
        <v>1318</v>
      </c>
      <c r="AB66" s="315" t="s">
        <v>2385</v>
      </c>
      <c r="AC66" s="315" t="s">
        <v>1906</v>
      </c>
      <c r="AD66" s="315" t="s">
        <v>3941</v>
      </c>
      <c r="AE66" s="313" t="s">
        <v>2358</v>
      </c>
      <c r="AF66" s="313" t="s">
        <v>1473</v>
      </c>
      <c r="AG66" s="315" t="s">
        <v>3753</v>
      </c>
      <c r="AH66" s="313" t="s">
        <v>2615</v>
      </c>
      <c r="AI66" s="315" t="s">
        <v>3942</v>
      </c>
      <c r="AJ66" s="313" t="s">
        <v>2470</v>
      </c>
      <c r="AK66" s="313" t="s">
        <v>3943</v>
      </c>
      <c r="AL66" s="159"/>
      <c r="AM66" s="319" t="s">
        <v>398</v>
      </c>
      <c r="AN66" s="449" t="s">
        <v>1489</v>
      </c>
      <c r="AO66" s="450" t="s">
        <v>3944</v>
      </c>
      <c r="AP66" s="318" t="s">
        <v>3945</v>
      </c>
      <c r="AQ66" s="318" t="s">
        <v>3946</v>
      </c>
      <c r="AR66" s="318" t="s">
        <v>2614</v>
      </c>
      <c r="AS66" s="318" t="s">
        <v>3947</v>
      </c>
      <c r="AT66" s="318" t="s">
        <v>3948</v>
      </c>
      <c r="AU66" s="450" t="s">
        <v>2626</v>
      </c>
      <c r="AV66" s="319" t="s">
        <v>368</v>
      </c>
      <c r="AW66" s="318" t="s">
        <v>3459</v>
      </c>
      <c r="AX66" s="318" t="s">
        <v>1801</v>
      </c>
      <c r="AY66" s="318" t="s">
        <v>3949</v>
      </c>
      <c r="AZ66" s="318" t="s">
        <v>3950</v>
      </c>
      <c r="BA66" s="318"/>
      <c r="BB66" s="451" t="s">
        <v>3951</v>
      </c>
      <c r="BC66" s="324" t="s">
        <v>2680</v>
      </c>
      <c r="BD66" s="451" t="s">
        <v>1395</v>
      </c>
      <c r="BE66" s="451" t="s">
        <v>3130</v>
      </c>
      <c r="BF66" s="451" t="s">
        <v>3209</v>
      </c>
      <c r="BG66" s="452" t="s">
        <v>3952</v>
      </c>
      <c r="BH66" s="324" t="s">
        <v>3953</v>
      </c>
      <c r="BI66" s="452" t="s">
        <v>3954</v>
      </c>
      <c r="BJ66" s="324" t="s">
        <v>3955</v>
      </c>
      <c r="BK66" s="324" t="s">
        <v>3956</v>
      </c>
      <c r="BL66" s="451" t="s">
        <v>3947</v>
      </c>
      <c r="BM66" s="451" t="s">
        <v>3957</v>
      </c>
      <c r="BN66" s="451" t="s">
        <v>3958</v>
      </c>
      <c r="BO66" s="451" t="s">
        <v>157</v>
      </c>
      <c r="BP66" s="451" t="s">
        <v>3959</v>
      </c>
      <c r="BQ66" s="451"/>
      <c r="BR66" s="329" t="s">
        <v>3960</v>
      </c>
      <c r="BS66" s="453" t="s">
        <v>3152</v>
      </c>
      <c r="BT66" s="329" t="s">
        <v>3961</v>
      </c>
      <c r="BU66" s="454" t="s">
        <v>271</v>
      </c>
      <c r="BV66" s="455" t="s">
        <v>3962</v>
      </c>
      <c r="BW66" s="455" t="s">
        <v>395</v>
      </c>
      <c r="BX66" s="455" t="s">
        <v>3963</v>
      </c>
      <c r="BY66" s="329" t="s">
        <v>2234</v>
      </c>
      <c r="BZ66" s="453" t="s">
        <v>3964</v>
      </c>
      <c r="CA66" s="455" t="s">
        <v>2504</v>
      </c>
      <c r="CB66" s="455" t="s">
        <v>3965</v>
      </c>
      <c r="CC66" s="455" t="s">
        <v>348</v>
      </c>
      <c r="CD66" s="455" t="s">
        <v>3966</v>
      </c>
      <c r="CE66" s="329" t="s">
        <v>3967</v>
      </c>
      <c r="CF66" s="456"/>
      <c r="CG66" s="457" t="s">
        <v>2253</v>
      </c>
      <c r="CH66" s="457" t="s">
        <v>3150</v>
      </c>
      <c r="CI66" s="457" t="s">
        <v>3968</v>
      </c>
      <c r="CJ66" s="331" t="s">
        <v>3969</v>
      </c>
      <c r="CK66" s="458"/>
      <c r="CL66" s="458" t="s">
        <v>3970</v>
      </c>
      <c r="CM66" s="457" t="s">
        <v>3971</v>
      </c>
      <c r="CN66" s="331" t="s">
        <v>3231</v>
      </c>
      <c r="CO66" s="331" t="s">
        <v>3972</v>
      </c>
      <c r="CP66" s="457" t="s">
        <v>3973</v>
      </c>
      <c r="CQ66" s="457" t="s">
        <v>3974</v>
      </c>
      <c r="CR66" s="457"/>
      <c r="CS66" s="457" t="s">
        <v>1436</v>
      </c>
      <c r="CT66" s="457" t="s">
        <v>3386</v>
      </c>
      <c r="CU66" s="154"/>
      <c r="CV66" s="335" t="s">
        <v>270</v>
      </c>
      <c r="CW66" s="335" t="s">
        <v>3975</v>
      </c>
      <c r="CX66" s="335" t="s">
        <v>3423</v>
      </c>
      <c r="CY66" s="335" t="s">
        <v>3976</v>
      </c>
      <c r="CZ66" s="335" t="s">
        <v>3977</v>
      </c>
      <c r="DA66" s="335" t="s">
        <v>3978</v>
      </c>
      <c r="DB66" s="459" t="s">
        <v>3979</v>
      </c>
      <c r="DC66" s="335" t="s">
        <v>3980</v>
      </c>
      <c r="DD66" s="335" t="s">
        <v>3981</v>
      </c>
      <c r="DE66" s="335" t="s">
        <v>2299</v>
      </c>
      <c r="DF66" s="335" t="s">
        <v>2517</v>
      </c>
      <c r="DG66" s="335" t="s">
        <v>3481</v>
      </c>
      <c r="DH66" s="335"/>
      <c r="DI66" s="342" t="s">
        <v>1839</v>
      </c>
      <c r="DJ66" s="342"/>
      <c r="DK66" s="342" t="s">
        <v>3982</v>
      </c>
      <c r="DL66" s="342" t="s">
        <v>3983</v>
      </c>
      <c r="DM66" s="342" t="s">
        <v>2632</v>
      </c>
      <c r="DN66" s="342" t="s">
        <v>696</v>
      </c>
      <c r="DO66" s="342" t="s">
        <v>3984</v>
      </c>
      <c r="DP66" s="342" t="s">
        <v>3985</v>
      </c>
      <c r="DQ66" s="342" t="s">
        <v>3728</v>
      </c>
      <c r="DR66" s="342" t="s">
        <v>3829</v>
      </c>
      <c r="DS66" s="342" t="s">
        <v>3986</v>
      </c>
      <c r="DT66" s="342" t="s">
        <v>3474</v>
      </c>
      <c r="DU66" s="342" t="s">
        <v>3987</v>
      </c>
      <c r="DV66" s="460" t="s">
        <v>3988</v>
      </c>
      <c r="DW66" s="461" t="s">
        <v>640</v>
      </c>
      <c r="DX66" s="342" t="s">
        <v>3989</v>
      </c>
      <c r="DY66" s="342" t="s">
        <v>3850</v>
      </c>
      <c r="DZ66" s="342" t="s">
        <v>3694</v>
      </c>
      <c r="EA66" s="342" t="s">
        <v>2193</v>
      </c>
      <c r="EB66" s="342" t="s">
        <v>3847</v>
      </c>
      <c r="EC66" s="342" t="s">
        <v>1906</v>
      </c>
      <c r="ED66" s="286" t="s">
        <v>3990</v>
      </c>
    </row>
    <row r="67">
      <c r="A67" s="81" t="s">
        <v>3991</v>
      </c>
      <c r="B67" s="82" t="s">
        <v>3992</v>
      </c>
      <c r="C67" s="83" t="s">
        <v>1259</v>
      </c>
      <c r="D67" s="84" t="s">
        <v>1259</v>
      </c>
      <c r="E67" s="85" t="s">
        <v>1259</v>
      </c>
      <c r="F67" s="86" t="s">
        <v>1201</v>
      </c>
      <c r="G67" s="82" t="s">
        <v>3993</v>
      </c>
      <c r="H67" s="94" t="s">
        <v>3660</v>
      </c>
      <c r="I67" s="94" t="s">
        <v>3994</v>
      </c>
      <c r="J67" s="94" t="s">
        <v>3995</v>
      </c>
      <c r="K67" s="265" t="s">
        <v>1561</v>
      </c>
      <c r="L67" s="88" t="s">
        <v>3996</v>
      </c>
      <c r="M67" s="94" t="s">
        <v>3997</v>
      </c>
      <c r="N67" s="94" t="s">
        <v>673</v>
      </c>
      <c r="O67" s="94" t="s">
        <v>3998</v>
      </c>
      <c r="P67" s="88" t="s">
        <v>109</v>
      </c>
      <c r="Q67" s="99"/>
      <c r="R67" s="99"/>
      <c r="S67" s="88" t="s">
        <v>2907</v>
      </c>
      <c r="T67" s="99"/>
      <c r="U67" s="94" t="s">
        <v>3107</v>
      </c>
      <c r="V67" s="99"/>
      <c r="W67" s="92"/>
      <c r="X67" s="94" t="s">
        <v>1676</v>
      </c>
      <c r="Y67" s="94"/>
      <c r="Z67" s="94" t="s">
        <v>3999</v>
      </c>
      <c r="AA67" s="94" t="s">
        <v>3624</v>
      </c>
      <c r="AB67" s="94" t="s">
        <v>1173</v>
      </c>
      <c r="AC67" s="94" t="s">
        <v>1408</v>
      </c>
      <c r="AD67" s="94" t="s">
        <v>4000</v>
      </c>
      <c r="AE67" s="99"/>
      <c r="AF67" s="94" t="s">
        <v>2999</v>
      </c>
      <c r="AG67" s="94" t="s">
        <v>4001</v>
      </c>
      <c r="AH67" s="99"/>
      <c r="AI67" s="94"/>
      <c r="AJ67" s="94" t="s">
        <v>2864</v>
      </c>
      <c r="AK67" s="99"/>
      <c r="AL67" s="97"/>
      <c r="AM67" s="94" t="s">
        <v>4002</v>
      </c>
      <c r="AN67" s="94" t="s">
        <v>4003</v>
      </c>
      <c r="AO67" s="99"/>
      <c r="AP67" s="99"/>
      <c r="AQ67" s="99"/>
      <c r="AR67" s="99"/>
      <c r="AS67" s="99"/>
      <c r="AT67" s="99"/>
      <c r="AU67" s="265" t="s">
        <v>3408</v>
      </c>
      <c r="AV67" s="94" t="s">
        <v>878</v>
      </c>
      <c r="AW67" s="94" t="s">
        <v>4004</v>
      </c>
      <c r="AX67" s="99"/>
      <c r="AY67" s="94" t="s">
        <v>3058</v>
      </c>
      <c r="AZ67" s="99"/>
      <c r="BA67" s="99"/>
      <c r="BB67" s="94" t="s">
        <v>2687</v>
      </c>
      <c r="BC67" s="94" t="s">
        <v>889</v>
      </c>
      <c r="BD67" s="94" t="s">
        <v>3639</v>
      </c>
      <c r="BE67" s="88" t="s">
        <v>4005</v>
      </c>
      <c r="BF67" s="88" t="s">
        <v>2060</v>
      </c>
      <c r="BG67" s="94" t="s">
        <v>1527</v>
      </c>
      <c r="BH67" s="99"/>
      <c r="BI67" s="94" t="s">
        <v>2062</v>
      </c>
      <c r="BJ67" s="99"/>
      <c r="BK67" s="94" t="s">
        <v>4006</v>
      </c>
      <c r="BL67" s="94" t="s">
        <v>3158</v>
      </c>
      <c r="BM67" s="99"/>
      <c r="BN67" s="88" t="s">
        <v>1655</v>
      </c>
      <c r="BO67" s="94" t="s">
        <v>3584</v>
      </c>
      <c r="BP67" s="99"/>
      <c r="BQ67" s="236"/>
      <c r="BR67" s="94"/>
      <c r="BS67" s="94" t="s">
        <v>2404</v>
      </c>
      <c r="BT67" s="94" t="s">
        <v>3892</v>
      </c>
      <c r="BU67" s="94" t="s">
        <v>4007</v>
      </c>
      <c r="BV67" s="94" t="s">
        <v>462</v>
      </c>
      <c r="BW67" s="94" t="s">
        <v>4008</v>
      </c>
      <c r="BX67" s="99"/>
      <c r="BY67" s="99"/>
      <c r="BZ67" s="94" t="s">
        <v>4009</v>
      </c>
      <c r="CA67" s="94" t="s">
        <v>970</v>
      </c>
      <c r="CB67" s="94" t="s">
        <v>4010</v>
      </c>
      <c r="CC67" s="94" t="s">
        <v>3033</v>
      </c>
      <c r="CD67" s="94" t="s">
        <v>237</v>
      </c>
      <c r="CE67" s="99"/>
      <c r="CF67" s="236"/>
      <c r="CG67" s="94" t="s">
        <v>4011</v>
      </c>
      <c r="CH67" s="94" t="s">
        <v>3008</v>
      </c>
      <c r="CI67" s="94" t="s">
        <v>4012</v>
      </c>
      <c r="CJ67" s="94" t="s">
        <v>4013</v>
      </c>
      <c r="CK67" s="94"/>
      <c r="CL67" s="94"/>
      <c r="CM67" s="94" t="s">
        <v>1913</v>
      </c>
      <c r="CN67" s="94" t="s">
        <v>818</v>
      </c>
      <c r="CO67" s="94" t="s">
        <v>2924</v>
      </c>
      <c r="CP67" s="99"/>
      <c r="CQ67" s="99"/>
      <c r="CR67" s="94"/>
      <c r="CS67" s="94" t="s">
        <v>2313</v>
      </c>
      <c r="CT67" s="99"/>
      <c r="CU67" s="92"/>
      <c r="CV67" s="94" t="s">
        <v>4014</v>
      </c>
      <c r="CW67" s="94" t="s">
        <v>2576</v>
      </c>
      <c r="CX67" s="94" t="s">
        <v>4015</v>
      </c>
      <c r="CY67" s="94" t="s">
        <v>4016</v>
      </c>
      <c r="CZ67" s="94" t="s">
        <v>4017</v>
      </c>
      <c r="DA67" s="94" t="s">
        <v>4018</v>
      </c>
      <c r="DB67" s="88" t="s">
        <v>3428</v>
      </c>
      <c r="DC67" s="94" t="s">
        <v>1702</v>
      </c>
      <c r="DD67" s="99"/>
      <c r="DE67" s="99"/>
      <c r="DF67" s="99"/>
      <c r="DG67" s="99"/>
      <c r="DH67" s="236"/>
      <c r="DI67" s="94" t="s">
        <v>262</v>
      </c>
      <c r="DJ67" s="99"/>
      <c r="DK67" s="99"/>
      <c r="DL67" s="94"/>
      <c r="DM67" s="99"/>
      <c r="DN67" s="94" t="s">
        <v>3831</v>
      </c>
      <c r="DO67" s="99"/>
      <c r="DP67" s="99"/>
      <c r="DQ67" s="99"/>
      <c r="DR67" s="94" t="s">
        <v>4019</v>
      </c>
      <c r="DS67" s="94"/>
      <c r="DT67" s="99"/>
      <c r="DU67" s="99"/>
      <c r="DV67" s="94" t="s">
        <v>4020</v>
      </c>
      <c r="DW67" s="99"/>
      <c r="DX67" s="99"/>
      <c r="DY67" s="99"/>
      <c r="DZ67" s="99"/>
      <c r="EA67" s="94" t="s">
        <v>4021</v>
      </c>
      <c r="EB67" s="99"/>
      <c r="EC67" s="99"/>
      <c r="ED67" s="259" t="s">
        <v>4022</v>
      </c>
    </row>
    <row r="68">
      <c r="A68" s="166" t="s">
        <v>4023</v>
      </c>
      <c r="B68" s="104" t="s">
        <v>4024</v>
      </c>
      <c r="C68" s="105" t="s">
        <v>1259</v>
      </c>
      <c r="D68" s="106" t="s">
        <v>1259</v>
      </c>
      <c r="E68" s="107" t="s">
        <v>1259</v>
      </c>
      <c r="F68" s="108" t="s">
        <v>3092</v>
      </c>
      <c r="G68" s="104" t="s">
        <v>4025</v>
      </c>
      <c r="H68" s="243"/>
      <c r="I68" s="400" t="s">
        <v>4026</v>
      </c>
      <c r="J68" s="112" t="s">
        <v>4027</v>
      </c>
      <c r="K68" s="112" t="s">
        <v>2679</v>
      </c>
      <c r="L68" s="400" t="s">
        <v>2730</v>
      </c>
      <c r="M68" s="243"/>
      <c r="N68" s="112" t="s">
        <v>1642</v>
      </c>
      <c r="O68" s="112" t="s">
        <v>1732</v>
      </c>
      <c r="P68" s="112" t="s">
        <v>558</v>
      </c>
      <c r="Q68" s="243"/>
      <c r="R68" s="243"/>
      <c r="S68" s="243"/>
      <c r="T68" s="243"/>
      <c r="U68" s="243"/>
      <c r="V68" s="243"/>
      <c r="W68" s="92"/>
      <c r="X68" s="116" t="s">
        <v>694</v>
      </c>
      <c r="Y68" s="117"/>
      <c r="Z68" s="116" t="s">
        <v>4028</v>
      </c>
      <c r="AA68" s="116" t="s">
        <v>1737</v>
      </c>
      <c r="AB68" s="116" t="s">
        <v>4029</v>
      </c>
      <c r="AC68" s="116" t="s">
        <v>542</v>
      </c>
      <c r="AD68" s="116" t="s">
        <v>4030</v>
      </c>
      <c r="AE68" s="245"/>
      <c r="AF68" s="245"/>
      <c r="AG68" s="116" t="s">
        <v>3574</v>
      </c>
      <c r="AH68" s="245"/>
      <c r="AI68" s="117"/>
      <c r="AJ68" s="116" t="s">
        <v>4031</v>
      </c>
      <c r="AK68" s="245"/>
      <c r="AL68" s="97"/>
      <c r="AM68" s="246"/>
      <c r="AN68" s="121" t="s">
        <v>1656</v>
      </c>
      <c r="AO68" s="246"/>
      <c r="AP68" s="246"/>
      <c r="AQ68" s="246"/>
      <c r="AR68" s="246"/>
      <c r="AS68" s="246"/>
      <c r="AT68" s="246"/>
      <c r="AU68" s="121" t="s">
        <v>3527</v>
      </c>
      <c r="AV68" s="121" t="s">
        <v>4032</v>
      </c>
      <c r="AW68" s="246"/>
      <c r="AX68" s="246"/>
      <c r="AY68" s="246"/>
      <c r="AZ68" s="246"/>
      <c r="BA68" s="246"/>
      <c r="BB68" s="126" t="s">
        <v>191</v>
      </c>
      <c r="BC68" s="172" t="s">
        <v>554</v>
      </c>
      <c r="BD68" s="126" t="s">
        <v>145</v>
      </c>
      <c r="BE68" s="126" t="s">
        <v>1004</v>
      </c>
      <c r="BF68" s="126" t="s">
        <v>3503</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1307</v>
      </c>
      <c r="BX68" s="251"/>
      <c r="BY68" s="251"/>
      <c r="BZ68" s="251"/>
      <c r="CA68" s="129" t="s">
        <v>1711</v>
      </c>
      <c r="CB68" s="251"/>
      <c r="CC68" s="251"/>
      <c r="CD68" s="251"/>
      <c r="CE68" s="251"/>
      <c r="CF68" s="252"/>
      <c r="CG68" s="386" t="s">
        <v>3939</v>
      </c>
      <c r="CH68" s="386" t="s">
        <v>1755</v>
      </c>
      <c r="CI68" s="254"/>
      <c r="CJ68" s="254"/>
      <c r="CK68" s="254"/>
      <c r="CL68" s="254"/>
      <c r="CM68" s="254"/>
      <c r="CN68" s="135" t="s">
        <v>2244</v>
      </c>
      <c r="CO68" s="135" t="s">
        <v>1780</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3930</v>
      </c>
      <c r="J69" s="94" t="s">
        <v>3735</v>
      </c>
      <c r="K69" s="94" t="s">
        <v>4045</v>
      </c>
      <c r="L69" s="162" t="s">
        <v>3518</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701</v>
      </c>
      <c r="AL69" s="97"/>
      <c r="AM69" s="94" t="s">
        <v>3532</v>
      </c>
      <c r="AN69" s="88" t="s">
        <v>4003</v>
      </c>
      <c r="AO69" s="94" t="s">
        <v>4058</v>
      </c>
      <c r="AP69" s="94" t="s">
        <v>4059</v>
      </c>
      <c r="AQ69" s="94" t="s">
        <v>4060</v>
      </c>
      <c r="AR69" s="94" t="s">
        <v>2660</v>
      </c>
      <c r="AS69" s="99"/>
      <c r="AT69" s="99"/>
      <c r="AU69" s="94" t="s">
        <v>1876</v>
      </c>
      <c r="AV69" s="94" t="s">
        <v>1054</v>
      </c>
      <c r="AW69" s="94" t="s">
        <v>1750</v>
      </c>
      <c r="AX69" s="99"/>
      <c r="AY69" s="88" t="s">
        <v>4061</v>
      </c>
      <c r="AZ69" s="94" t="s">
        <v>4062</v>
      </c>
      <c r="BA69" s="94"/>
      <c r="BB69" s="88" t="s">
        <v>2093</v>
      </c>
      <c r="BC69" s="94" t="s">
        <v>1478</v>
      </c>
      <c r="BD69" s="88" t="s">
        <v>1395</v>
      </c>
      <c r="BE69" s="88" t="s">
        <v>3435</v>
      </c>
      <c r="BF69" s="162" t="s">
        <v>4063</v>
      </c>
      <c r="BG69" s="94" t="s">
        <v>2276</v>
      </c>
      <c r="BH69" s="94" t="s">
        <v>1913</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4008</v>
      </c>
      <c r="BX69" s="99"/>
      <c r="BY69" s="94" t="s">
        <v>4072</v>
      </c>
      <c r="BZ69" s="94" t="s">
        <v>4073</v>
      </c>
      <c r="CA69" s="94" t="s">
        <v>1806</v>
      </c>
      <c r="CB69" s="88" t="s">
        <v>4074</v>
      </c>
      <c r="CC69" s="88" t="s">
        <v>4075</v>
      </c>
      <c r="CD69" s="162" t="s">
        <v>849</v>
      </c>
      <c r="CE69" s="162" t="s">
        <v>4076</v>
      </c>
      <c r="CF69" s="94"/>
      <c r="CG69" s="88" t="s">
        <v>4020</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2575</v>
      </c>
      <c r="DY69" s="94" t="s">
        <v>1054</v>
      </c>
      <c r="DZ69" s="94" t="s">
        <v>2598</v>
      </c>
      <c r="EA69" s="94" t="s">
        <v>1496</v>
      </c>
      <c r="EB69" s="94" t="s">
        <v>4100</v>
      </c>
      <c r="EC69" s="88" t="s">
        <v>3244</v>
      </c>
      <c r="ED69" s="259" t="s">
        <v>4101</v>
      </c>
    </row>
    <row r="70">
      <c r="A70" s="103" t="s">
        <v>4102</v>
      </c>
      <c r="B70" s="462" t="s">
        <v>4103</v>
      </c>
      <c r="C70" s="463" t="s">
        <v>1259</v>
      </c>
      <c r="D70" s="464" t="s">
        <v>548</v>
      </c>
      <c r="E70" s="465" t="s">
        <v>548</v>
      </c>
      <c r="F70" s="466" t="s">
        <v>4104</v>
      </c>
      <c r="G70" s="462" t="s">
        <v>1501</v>
      </c>
      <c r="H70" s="467" t="s">
        <v>4105</v>
      </c>
      <c r="I70" s="467" t="s">
        <v>3055</v>
      </c>
      <c r="J70" s="467" t="s">
        <v>4106</v>
      </c>
      <c r="K70" s="467" t="s">
        <v>1729</v>
      </c>
      <c r="L70" s="467" t="s">
        <v>1023</v>
      </c>
      <c r="M70" s="467" t="s">
        <v>4107</v>
      </c>
      <c r="N70" s="468" t="s">
        <v>4108</v>
      </c>
      <c r="O70" s="468" t="s">
        <v>4109</v>
      </c>
      <c r="P70" s="467" t="s">
        <v>654</v>
      </c>
      <c r="Q70" s="468"/>
      <c r="R70" s="468"/>
      <c r="S70" s="468"/>
      <c r="T70" s="468"/>
      <c r="U70" s="468"/>
      <c r="V70" s="468"/>
      <c r="W70" s="469"/>
      <c r="X70" s="470" t="s">
        <v>1429</v>
      </c>
      <c r="Y70" s="471"/>
      <c r="Z70" s="470" t="s">
        <v>4110</v>
      </c>
      <c r="AA70" s="118" t="s">
        <v>999</v>
      </c>
      <c r="AB70" s="470" t="s">
        <v>4111</v>
      </c>
      <c r="AC70" s="470" t="s">
        <v>757</v>
      </c>
      <c r="AD70" s="472" t="s">
        <v>4054</v>
      </c>
      <c r="AE70" s="470" t="s">
        <v>1075</v>
      </c>
      <c r="AF70" s="472" t="s">
        <v>4112</v>
      </c>
      <c r="AG70" s="470" t="s">
        <v>1434</v>
      </c>
      <c r="AH70" s="472"/>
      <c r="AI70" s="472"/>
      <c r="AJ70" s="472"/>
      <c r="AK70" s="472"/>
      <c r="AL70" s="469"/>
      <c r="AM70" s="473" t="s">
        <v>4113</v>
      </c>
      <c r="AN70" s="474" t="s">
        <v>1876</v>
      </c>
      <c r="AO70" s="475"/>
      <c r="AP70" s="475"/>
      <c r="AQ70" s="475"/>
      <c r="AR70" s="475"/>
      <c r="AS70" s="475" t="s">
        <v>4114</v>
      </c>
      <c r="AT70" s="475"/>
      <c r="AU70" s="474" t="s">
        <v>3199</v>
      </c>
      <c r="AV70" s="474" t="s">
        <v>4115</v>
      </c>
      <c r="AW70" s="475"/>
      <c r="AX70" s="475"/>
      <c r="AY70" s="475"/>
      <c r="AZ70" s="475"/>
      <c r="BA70" s="475"/>
      <c r="BB70" s="476" t="s">
        <v>4116</v>
      </c>
      <c r="BC70" s="476" t="s">
        <v>1294</v>
      </c>
      <c r="BD70" s="477" t="s">
        <v>2324</v>
      </c>
      <c r="BE70" s="477" t="s">
        <v>586</v>
      </c>
      <c r="BF70" s="476" t="s">
        <v>2560</v>
      </c>
      <c r="BG70" s="477"/>
      <c r="BH70" s="477"/>
      <c r="BI70" s="477" t="s">
        <v>2335</v>
      </c>
      <c r="BJ70" s="477"/>
      <c r="BK70" s="477" t="s">
        <v>4117</v>
      </c>
      <c r="BL70" s="477" t="s">
        <v>1431</v>
      </c>
      <c r="BM70" s="477"/>
      <c r="BN70" s="477"/>
      <c r="BO70" s="477"/>
      <c r="BP70" s="477"/>
      <c r="BQ70" s="477"/>
      <c r="BR70" s="478"/>
      <c r="BS70" s="478" t="s">
        <v>4118</v>
      </c>
      <c r="BT70" s="479" t="s">
        <v>2660</v>
      </c>
      <c r="BU70" s="478"/>
      <c r="BV70" s="478"/>
      <c r="BW70" s="478" t="s">
        <v>2018</v>
      </c>
      <c r="BX70" s="478"/>
      <c r="BY70" s="478"/>
      <c r="BZ70" s="478"/>
      <c r="CA70" s="478"/>
      <c r="CB70" s="478"/>
      <c r="CC70" s="478"/>
      <c r="CD70" s="478"/>
      <c r="CE70" s="478"/>
      <c r="CF70" s="251"/>
      <c r="CG70" s="480" t="s">
        <v>4119</v>
      </c>
      <c r="CH70" s="132" t="s">
        <v>1521</v>
      </c>
      <c r="CI70" s="481"/>
      <c r="CJ70" s="481"/>
      <c r="CK70" s="481"/>
      <c r="CL70" s="481"/>
      <c r="CM70" s="254"/>
      <c r="CN70" s="480" t="s">
        <v>1077</v>
      </c>
      <c r="CO70" s="481" t="s">
        <v>4120</v>
      </c>
      <c r="CP70" s="481"/>
      <c r="CQ70" s="481"/>
      <c r="CR70" s="481"/>
      <c r="CS70" s="481"/>
      <c r="CT70" s="481"/>
      <c r="CU70" s="469"/>
      <c r="CV70" s="255"/>
      <c r="CW70" s="482"/>
      <c r="CX70" s="483" t="s">
        <v>245</v>
      </c>
      <c r="CY70" s="482"/>
      <c r="CZ70" s="255"/>
      <c r="DA70" s="482"/>
      <c r="DB70" s="482" t="s">
        <v>3743</v>
      </c>
      <c r="DC70" s="482"/>
      <c r="DD70" s="482"/>
      <c r="DE70" s="482"/>
      <c r="DF70" s="482"/>
      <c r="DG70" s="255"/>
      <c r="DH70" s="482"/>
      <c r="DI70" s="484" t="s">
        <v>716</v>
      </c>
      <c r="DJ70" s="257"/>
      <c r="DK70" s="485"/>
      <c r="DL70" s="486"/>
      <c r="DM70" s="485" t="s">
        <v>531</v>
      </c>
      <c r="DN70" s="487" t="s">
        <v>1030</v>
      </c>
      <c r="DO70" s="485"/>
      <c r="DP70" s="205"/>
      <c r="DQ70" s="257"/>
      <c r="DR70" s="487" t="s">
        <v>4121</v>
      </c>
      <c r="DS70" s="485"/>
      <c r="DT70" s="485"/>
      <c r="DU70" s="485"/>
      <c r="DV70" s="485"/>
      <c r="DW70" s="487" t="s">
        <v>976</v>
      </c>
      <c r="DX70" s="485"/>
      <c r="DY70" s="485"/>
      <c r="DZ70" s="485"/>
      <c r="EA70" s="257"/>
      <c r="EB70" s="257"/>
      <c r="EC70" s="257"/>
      <c r="ED70" s="485"/>
    </row>
    <row r="71">
      <c r="A71" s="81" t="s">
        <v>4122</v>
      </c>
      <c r="B71" s="82" t="s">
        <v>4123</v>
      </c>
      <c r="C71" s="83" t="s">
        <v>1259</v>
      </c>
      <c r="D71" s="84" t="s">
        <v>1259</v>
      </c>
      <c r="E71" s="85" t="s">
        <v>1259</v>
      </c>
      <c r="F71" s="86" t="s">
        <v>3395</v>
      </c>
      <c r="G71" s="82" t="s">
        <v>3284</v>
      </c>
      <c r="H71" s="88" t="s">
        <v>147</v>
      </c>
      <c r="I71" s="88" t="s">
        <v>4124</v>
      </c>
      <c r="J71" s="88" t="s">
        <v>3968</v>
      </c>
      <c r="K71" s="88" t="s">
        <v>1885</v>
      </c>
      <c r="L71" s="88" t="s">
        <v>4125</v>
      </c>
      <c r="M71" s="88" t="s">
        <v>4126</v>
      </c>
      <c r="N71" s="88" t="s">
        <v>4127</v>
      </c>
      <c r="O71" s="88" t="s">
        <v>2123</v>
      </c>
      <c r="P71" s="88" t="s">
        <v>109</v>
      </c>
      <c r="Q71" s="99"/>
      <c r="R71" s="99"/>
      <c r="S71" s="99"/>
      <c r="T71" s="99"/>
      <c r="U71" s="99"/>
      <c r="V71" s="99"/>
      <c r="W71" s="92"/>
      <c r="X71" s="88" t="s">
        <v>3706</v>
      </c>
      <c r="Y71" s="93"/>
      <c r="Z71" s="88" t="s">
        <v>2851</v>
      </c>
      <c r="AA71" s="88" t="s">
        <v>4128</v>
      </c>
      <c r="AB71" s="88" t="s">
        <v>4129</v>
      </c>
      <c r="AC71" s="88" t="s">
        <v>4130</v>
      </c>
      <c r="AD71" s="88" t="s">
        <v>4131</v>
      </c>
      <c r="AE71" s="99"/>
      <c r="AF71" s="88" t="s">
        <v>4132</v>
      </c>
      <c r="AG71" s="88" t="s">
        <v>4133</v>
      </c>
      <c r="AH71" s="88" t="s">
        <v>4134</v>
      </c>
      <c r="AI71" s="99"/>
      <c r="AJ71" s="99"/>
      <c r="AK71" s="99"/>
      <c r="AL71" s="97"/>
      <c r="AM71" s="88" t="s">
        <v>1909</v>
      </c>
      <c r="AN71" s="88" t="s">
        <v>4135</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4136</v>
      </c>
      <c r="BG71" s="88" t="s">
        <v>3172</v>
      </c>
      <c r="BH71" s="88" t="s">
        <v>4137</v>
      </c>
      <c r="BI71" s="88" t="s">
        <v>2316</v>
      </c>
      <c r="BJ71" s="88" t="s">
        <v>4138</v>
      </c>
      <c r="BK71" s="88" t="s">
        <v>4139</v>
      </c>
      <c r="BL71" s="88" t="s">
        <v>4035</v>
      </c>
      <c r="BM71" s="88" t="s">
        <v>4140</v>
      </c>
      <c r="BN71" s="88" t="s">
        <v>4067</v>
      </c>
      <c r="BO71" s="88" t="s">
        <v>4141</v>
      </c>
      <c r="BP71" s="99"/>
      <c r="BQ71" s="236"/>
      <c r="BR71" s="88" t="s">
        <v>4142</v>
      </c>
      <c r="BS71" s="88" t="s">
        <v>4080</v>
      </c>
      <c r="BT71" s="88" t="s">
        <v>3797</v>
      </c>
      <c r="BU71" s="88" t="s">
        <v>3356</v>
      </c>
      <c r="BV71" s="88" t="s">
        <v>1470</v>
      </c>
      <c r="BW71" s="88" t="s">
        <v>1125</v>
      </c>
      <c r="BX71" s="88" t="s">
        <v>164</v>
      </c>
      <c r="BY71" s="88" t="s">
        <v>4143</v>
      </c>
      <c r="BZ71" s="99"/>
      <c r="CA71" s="88" t="s">
        <v>2638</v>
      </c>
      <c r="CB71" s="99"/>
      <c r="CC71" s="99"/>
      <c r="CD71" s="88" t="s">
        <v>2546</v>
      </c>
      <c r="CE71" s="99"/>
      <c r="CF71" s="236"/>
      <c r="CG71" s="88" t="s">
        <v>4144</v>
      </c>
      <c r="CH71" s="88" t="s">
        <v>4145</v>
      </c>
      <c r="CI71" s="88" t="s">
        <v>2157</v>
      </c>
      <c r="CJ71" s="88" t="s">
        <v>4146</v>
      </c>
      <c r="CK71" s="93"/>
      <c r="CL71" s="88" t="s">
        <v>3158</v>
      </c>
      <c r="CM71" s="88" t="s">
        <v>370</v>
      </c>
      <c r="CN71" s="88" t="s">
        <v>1609</v>
      </c>
      <c r="CO71" s="88" t="s">
        <v>4147</v>
      </c>
      <c r="CP71" s="99"/>
      <c r="CQ71" s="99"/>
      <c r="CR71" s="99"/>
      <c r="CS71" s="99"/>
      <c r="CT71" s="99"/>
      <c r="CU71" s="92"/>
      <c r="CV71" s="88" t="s">
        <v>1939</v>
      </c>
      <c r="CW71" s="88" t="s">
        <v>553</v>
      </c>
      <c r="CX71" s="88" t="s">
        <v>4148</v>
      </c>
      <c r="CY71" s="88" t="s">
        <v>4149</v>
      </c>
      <c r="CZ71" s="88" t="s">
        <v>4150</v>
      </c>
      <c r="DA71" s="88" t="s">
        <v>1906</v>
      </c>
      <c r="DB71" s="88" t="s">
        <v>4151</v>
      </c>
      <c r="DC71" s="88" t="s">
        <v>4152</v>
      </c>
      <c r="DD71" s="99"/>
      <c r="DE71" s="99"/>
      <c r="DF71" s="88" t="s">
        <v>2381</v>
      </c>
      <c r="DG71" s="99"/>
      <c r="DH71" s="236"/>
      <c r="DI71" s="99"/>
      <c r="DJ71" s="99"/>
      <c r="DK71" s="94" t="s">
        <v>3584</v>
      </c>
      <c r="DL71" s="99"/>
      <c r="DM71" s="88" t="s">
        <v>531</v>
      </c>
      <c r="DN71" s="88" t="s">
        <v>4153</v>
      </c>
      <c r="DO71" s="94" t="s">
        <v>3608</v>
      </c>
      <c r="DP71" s="94" t="s">
        <v>4110</v>
      </c>
      <c r="DQ71" s="99"/>
      <c r="DR71" s="88" t="s">
        <v>4154</v>
      </c>
      <c r="DS71" s="88" t="s">
        <v>3745</v>
      </c>
      <c r="DT71" s="94" t="s">
        <v>4155</v>
      </c>
      <c r="DU71" s="94" t="s">
        <v>1955</v>
      </c>
      <c r="DV71" s="94" t="s">
        <v>4156</v>
      </c>
      <c r="DW71" s="88" t="s">
        <v>1712</v>
      </c>
      <c r="DX71" s="94" t="s">
        <v>3637</v>
      </c>
      <c r="DY71" s="94" t="s">
        <v>1551</v>
      </c>
      <c r="DZ71" s="88" t="s">
        <v>4157</v>
      </c>
      <c r="EA71" s="88" t="s">
        <v>2217</v>
      </c>
      <c r="EB71" s="94" t="s">
        <v>4158</v>
      </c>
      <c r="EC71" s="94" t="s">
        <v>1604</v>
      </c>
      <c r="ED71" s="344" t="s">
        <v>4159</v>
      </c>
    </row>
    <row r="72">
      <c r="A72" s="166" t="s">
        <v>4160</v>
      </c>
      <c r="B72" s="104" t="s">
        <v>4161</v>
      </c>
      <c r="C72" s="105" t="s">
        <v>1259</v>
      </c>
      <c r="D72" s="106" t="s">
        <v>1259</v>
      </c>
      <c r="E72" s="107" t="s">
        <v>1259</v>
      </c>
      <c r="F72" s="108" t="s">
        <v>1259</v>
      </c>
      <c r="G72" s="104" t="s">
        <v>4162</v>
      </c>
      <c r="H72" s="167" t="s">
        <v>1370</v>
      </c>
      <c r="I72" s="167" t="s">
        <v>4163</v>
      </c>
      <c r="J72" s="167" t="s">
        <v>4164</v>
      </c>
      <c r="K72" s="167" t="s">
        <v>3173</v>
      </c>
      <c r="L72" s="167" t="s">
        <v>3402</v>
      </c>
      <c r="M72" s="167" t="s">
        <v>524</v>
      </c>
      <c r="N72" s="167" t="s">
        <v>4165</v>
      </c>
      <c r="O72" s="167" t="s">
        <v>4166</v>
      </c>
      <c r="P72" s="167" t="s">
        <v>4167</v>
      </c>
      <c r="Q72" s="167" t="s">
        <v>4168</v>
      </c>
      <c r="R72" s="243"/>
      <c r="S72" s="167" t="s">
        <v>4169</v>
      </c>
      <c r="T72" s="243"/>
      <c r="U72" s="243"/>
      <c r="V72" s="167" t="s">
        <v>4170</v>
      </c>
      <c r="W72" s="92"/>
      <c r="X72" s="197" t="s">
        <v>1370</v>
      </c>
      <c r="Y72" s="197"/>
      <c r="Z72" s="197" t="s">
        <v>722</v>
      </c>
      <c r="AA72" s="197" t="s">
        <v>1780</v>
      </c>
      <c r="AB72" s="197" t="s">
        <v>4171</v>
      </c>
      <c r="AC72" s="197" t="s">
        <v>4172</v>
      </c>
      <c r="AD72" s="197" t="s">
        <v>1743</v>
      </c>
      <c r="AE72" s="197"/>
      <c r="AF72" s="197" t="s">
        <v>794</v>
      </c>
      <c r="AG72" s="197" t="s">
        <v>4173</v>
      </c>
      <c r="AH72" s="197" t="s">
        <v>2350</v>
      </c>
      <c r="AI72" s="197"/>
      <c r="AJ72" s="197" t="s">
        <v>4174</v>
      </c>
      <c r="AK72" s="197" t="s">
        <v>2612</v>
      </c>
      <c r="AL72" s="97"/>
      <c r="AM72" s="168" t="s">
        <v>3839</v>
      </c>
      <c r="AN72" s="168" t="s">
        <v>3483</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4118</v>
      </c>
      <c r="BC72" s="174" t="s">
        <v>2890</v>
      </c>
      <c r="BD72" s="174" t="s">
        <v>2665</v>
      </c>
      <c r="BE72" s="174" t="s">
        <v>4180</v>
      </c>
      <c r="BF72" s="174" t="s">
        <v>4181</v>
      </c>
      <c r="BG72" s="174" t="s">
        <v>413</v>
      </c>
      <c r="BH72" s="174" t="s">
        <v>4182</v>
      </c>
      <c r="BI72" s="174" t="s">
        <v>4183</v>
      </c>
      <c r="BJ72" s="174" t="s">
        <v>4184</v>
      </c>
      <c r="BK72" s="174" t="s">
        <v>4185</v>
      </c>
      <c r="BL72" s="174" t="s">
        <v>3713</v>
      </c>
      <c r="BM72" s="174" t="s">
        <v>4186</v>
      </c>
      <c r="BN72" s="173"/>
      <c r="BO72" s="173"/>
      <c r="BP72" s="173"/>
      <c r="BQ72" s="248"/>
      <c r="BR72" s="175" t="s">
        <v>4187</v>
      </c>
      <c r="BS72" s="175" t="s">
        <v>4188</v>
      </c>
      <c r="BT72" s="175" t="s">
        <v>4189</v>
      </c>
      <c r="BU72" s="175" t="s">
        <v>4190</v>
      </c>
      <c r="BV72" s="175" t="s">
        <v>4191</v>
      </c>
      <c r="BW72" s="175" t="s">
        <v>1518</v>
      </c>
      <c r="BX72" s="175" t="s">
        <v>1328</v>
      </c>
      <c r="BY72" s="175" t="s">
        <v>4192</v>
      </c>
      <c r="BZ72" s="175" t="s">
        <v>4193</v>
      </c>
      <c r="CA72" s="175" t="s">
        <v>3820</v>
      </c>
      <c r="CB72" s="175" t="s">
        <v>4194</v>
      </c>
      <c r="CC72" s="251"/>
      <c r="CD72" s="251"/>
      <c r="CE72" s="251"/>
      <c r="CF72" s="252"/>
      <c r="CG72" s="177" t="s">
        <v>4195</v>
      </c>
      <c r="CH72" s="177" t="s">
        <v>4196</v>
      </c>
      <c r="CI72" s="177" t="s">
        <v>4197</v>
      </c>
      <c r="CJ72" s="177" t="s">
        <v>4198</v>
      </c>
      <c r="CK72" s="177"/>
      <c r="CL72" s="177" t="s">
        <v>1263</v>
      </c>
      <c r="CM72" s="177" t="s">
        <v>1443</v>
      </c>
      <c r="CN72" s="177" t="s">
        <v>893</v>
      </c>
      <c r="CO72" s="177" t="s">
        <v>3715</v>
      </c>
      <c r="CP72" s="177" t="s">
        <v>4199</v>
      </c>
      <c r="CQ72" s="177" t="s">
        <v>4200</v>
      </c>
      <c r="CR72" s="254"/>
      <c r="CS72" s="254"/>
      <c r="CT72" s="254"/>
      <c r="CU72" s="92"/>
      <c r="CV72" s="203" t="s">
        <v>4201</v>
      </c>
      <c r="CW72" s="203" t="s">
        <v>4202</v>
      </c>
      <c r="CX72" s="203" t="s">
        <v>4203</v>
      </c>
      <c r="CY72" s="203" t="s">
        <v>2466</v>
      </c>
      <c r="CZ72" s="203" t="s">
        <v>4204</v>
      </c>
      <c r="DA72" s="203" t="s">
        <v>4205</v>
      </c>
      <c r="DB72" s="203" t="s">
        <v>4206</v>
      </c>
      <c r="DC72" s="203" t="s">
        <v>4207</v>
      </c>
      <c r="DD72" s="203"/>
      <c r="DE72" s="255"/>
      <c r="DF72" s="255"/>
      <c r="DG72" s="255"/>
      <c r="DH72" s="256"/>
      <c r="DI72" s="204" t="s">
        <v>2069</v>
      </c>
      <c r="DJ72" s="257"/>
      <c r="DK72" s="204" t="s">
        <v>4208</v>
      </c>
      <c r="DL72" s="204"/>
      <c r="DM72" s="204" t="s">
        <v>4209</v>
      </c>
      <c r="DN72" s="204" t="s">
        <v>4210</v>
      </c>
      <c r="DO72" s="204" t="s">
        <v>1597</v>
      </c>
      <c r="DP72" s="204" t="s">
        <v>1012</v>
      </c>
      <c r="DQ72" s="204" t="s">
        <v>4211</v>
      </c>
      <c r="DR72" s="204" t="s">
        <v>2254</v>
      </c>
      <c r="DS72" s="204" t="s">
        <v>3261</v>
      </c>
      <c r="DT72" s="204" t="s">
        <v>4086</v>
      </c>
      <c r="DU72" s="204" t="s">
        <v>4212</v>
      </c>
      <c r="DV72" s="204" t="s">
        <v>4213</v>
      </c>
      <c r="DW72" s="204" t="s">
        <v>970</v>
      </c>
      <c r="DX72" s="204" t="s">
        <v>4214</v>
      </c>
      <c r="DY72" s="204" t="s">
        <v>1314</v>
      </c>
      <c r="DZ72" s="204" t="s">
        <v>4109</v>
      </c>
      <c r="EA72" s="204" t="s">
        <v>4215</v>
      </c>
      <c r="EB72" s="204" t="s">
        <v>3671</v>
      </c>
      <c r="EC72" s="204" t="s">
        <v>4216</v>
      </c>
      <c r="ED72" s="286" t="s">
        <v>4217</v>
      </c>
    </row>
    <row r="73">
      <c r="A73" s="81" t="s">
        <v>4218</v>
      </c>
      <c r="B73" s="82" t="s">
        <v>4219</v>
      </c>
      <c r="C73" s="83" t="s">
        <v>1259</v>
      </c>
      <c r="D73" s="84" t="s">
        <v>1259</v>
      </c>
      <c r="E73" s="85" t="s">
        <v>1259</v>
      </c>
      <c r="F73" s="86" t="s">
        <v>4220</v>
      </c>
      <c r="G73" s="82" t="s">
        <v>2373</v>
      </c>
      <c r="H73" s="98" t="str">
        <f>HYPERLINK("https://clips.twitch.tv/LachrymoseCourteousDelicataSeemsGood","51.28")</f>
        <v>51.28</v>
      </c>
      <c r="I73" s="93" t="s">
        <v>4221</v>
      </c>
      <c r="J73" s="93" t="s">
        <v>725</v>
      </c>
      <c r="K73" s="94" t="s">
        <v>1422</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488" t="str">
        <f>HYPERLINK("https://clips.twitch.tv/BovineSecretiveTireItsBoshyTime","49.95")</f>
        <v>49.95</v>
      </c>
      <c r="BC73" s="94" t="s">
        <v>930</v>
      </c>
      <c r="BD73" s="98" t="str">
        <f>HYPERLINK("https://youtu.be/TzgOslc32vU","28.68")</f>
        <v>28.68</v>
      </c>
      <c r="BE73" s="94" t="s">
        <v>4229</v>
      </c>
      <c r="BF73" s="94" t="s">
        <v>3589</v>
      </c>
      <c r="BG73" s="99"/>
      <c r="BH73" s="99"/>
      <c r="BI73" s="94"/>
      <c r="BJ73" s="99"/>
      <c r="BK73" s="94" t="s">
        <v>1188</v>
      </c>
      <c r="BL73" s="94" t="s">
        <v>3888</v>
      </c>
      <c r="BM73" s="99"/>
      <c r="BN73" s="99"/>
      <c r="BO73" s="99"/>
      <c r="BP73" s="99"/>
      <c r="BQ73" s="236"/>
      <c r="BR73" s="94"/>
      <c r="BS73" s="93" t="s">
        <v>707</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2491</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4042</v>
      </c>
      <c r="G74" s="104" t="s">
        <v>2642</v>
      </c>
      <c r="H74" s="112" t="s">
        <v>4105</v>
      </c>
      <c r="I74" s="243"/>
      <c r="J74" s="243"/>
      <c r="K74" s="243"/>
      <c r="L74" s="167" t="s">
        <v>346</v>
      </c>
      <c r="M74" s="243"/>
      <c r="N74" s="243"/>
      <c r="O74" s="167" t="s">
        <v>4243</v>
      </c>
      <c r="P74" s="167" t="s">
        <v>2547</v>
      </c>
      <c r="Q74" s="110" t="s">
        <v>235</v>
      </c>
      <c r="R74" s="243"/>
      <c r="S74" s="243"/>
      <c r="T74" s="167" t="s">
        <v>2274</v>
      </c>
      <c r="U74" s="167" t="s">
        <v>3569</v>
      </c>
      <c r="V74" s="240" t="s">
        <v>4244</v>
      </c>
      <c r="W74" s="92"/>
      <c r="X74" s="245"/>
      <c r="Y74" s="197"/>
      <c r="Z74" s="197" t="s">
        <v>3136</v>
      </c>
      <c r="AA74" s="114" t="str">
        <f>HYPERLINK("https://youtu.be/esd_xoh2Wlk","14.77")</f>
        <v>14.77</v>
      </c>
      <c r="AB74" s="245"/>
      <c r="AC74" s="116" t="s">
        <v>3454</v>
      </c>
      <c r="AD74" s="197" t="s">
        <v>4245</v>
      </c>
      <c r="AE74" s="245"/>
      <c r="AF74" s="245"/>
      <c r="AG74" s="197" t="s">
        <v>3753</v>
      </c>
      <c r="AH74" s="197" t="s">
        <v>3277</v>
      </c>
      <c r="AI74" s="197"/>
      <c r="AJ74" s="197" t="s">
        <v>4246</v>
      </c>
      <c r="AK74" s="244" t="s">
        <v>4247</v>
      </c>
      <c r="AL74" s="97"/>
      <c r="AM74" s="246"/>
      <c r="AN74" s="246"/>
      <c r="AO74" s="121" t="s">
        <v>4248</v>
      </c>
      <c r="AP74" s="246"/>
      <c r="AQ74" s="198" t="s">
        <v>375</v>
      </c>
      <c r="AR74" s="121" t="s">
        <v>2365</v>
      </c>
      <c r="AS74" s="246"/>
      <c r="AT74" s="168" t="s">
        <v>3751</v>
      </c>
      <c r="AU74" s="168" t="s">
        <v>4249</v>
      </c>
      <c r="AV74" s="121" t="s">
        <v>139</v>
      </c>
      <c r="AW74" s="121" t="s">
        <v>1782</v>
      </c>
      <c r="AX74" s="246"/>
      <c r="AY74" s="246"/>
      <c r="AZ74" s="171" t="s">
        <v>4250</v>
      </c>
      <c r="BA74" s="246"/>
      <c r="BB74" s="173"/>
      <c r="BC74" s="173"/>
      <c r="BD74" s="174"/>
      <c r="BE74" s="126" t="s">
        <v>3733</v>
      </c>
      <c r="BF74" s="173"/>
      <c r="BG74" s="126" t="s">
        <v>2004</v>
      </c>
      <c r="BH74" s="173"/>
      <c r="BI74" s="126" t="s">
        <v>2535</v>
      </c>
      <c r="BJ74" s="173"/>
      <c r="BK74" s="173"/>
      <c r="BL74" s="174" t="s">
        <v>2756</v>
      </c>
      <c r="BM74" s="173"/>
      <c r="BN74" s="173"/>
      <c r="BO74" s="173"/>
      <c r="BP74" s="247" t="s">
        <v>4251</v>
      </c>
      <c r="BQ74" s="174"/>
      <c r="BR74" s="251"/>
      <c r="BS74" s="251"/>
      <c r="BT74" s="175" t="s">
        <v>4252</v>
      </c>
      <c r="BU74" s="175" t="s">
        <v>4253</v>
      </c>
      <c r="BV74" s="251"/>
      <c r="BW74" s="175" t="s">
        <v>899</v>
      </c>
      <c r="BX74" s="251"/>
      <c r="BY74" s="251"/>
      <c r="BZ74" s="251"/>
      <c r="CA74" s="251"/>
      <c r="CB74" s="129" t="s">
        <v>4254</v>
      </c>
      <c r="CC74" s="175" t="s">
        <v>1601</v>
      </c>
      <c r="CD74" s="175" t="s">
        <v>373</v>
      </c>
      <c r="CE74" s="250" t="s">
        <v>4255</v>
      </c>
      <c r="CF74" s="294"/>
      <c r="CG74" s="177" t="s">
        <v>3103</v>
      </c>
      <c r="CH74" s="135" t="s">
        <v>3324</v>
      </c>
      <c r="CI74" s="281" t="s">
        <v>3423</v>
      </c>
      <c r="CJ74" s="177" t="s">
        <v>186</v>
      </c>
      <c r="CK74" s="177"/>
      <c r="CL74" s="177" t="s">
        <v>3327</v>
      </c>
      <c r="CM74" s="177" t="s">
        <v>1156</v>
      </c>
      <c r="CN74" s="177" t="s">
        <v>2570</v>
      </c>
      <c r="CO74" s="254"/>
      <c r="CP74" s="254"/>
      <c r="CQ74" s="386" t="s">
        <v>1894</v>
      </c>
      <c r="CR74" s="254"/>
      <c r="CS74" s="254"/>
      <c r="CT74" s="230" t="s">
        <v>4240</v>
      </c>
      <c r="CU74" s="92"/>
      <c r="CV74" s="255"/>
      <c r="CW74" s="255"/>
      <c r="CX74" s="255"/>
      <c r="CY74" s="255"/>
      <c r="CZ74" s="255"/>
      <c r="DA74" s="203" t="s">
        <v>2244</v>
      </c>
      <c r="DB74" s="203" t="s">
        <v>2111</v>
      </c>
      <c r="DC74" s="255"/>
      <c r="DD74" s="138" t="s">
        <v>4256</v>
      </c>
      <c r="DE74" s="203"/>
      <c r="DF74" s="140" t="s">
        <v>4257</v>
      </c>
      <c r="DG74" s="138" t="s">
        <v>1840</v>
      </c>
      <c r="DH74" s="296"/>
      <c r="DI74" s="257"/>
      <c r="DJ74" s="257"/>
      <c r="DK74" s="257"/>
      <c r="DL74" s="234" t="s">
        <v>3569</v>
      </c>
      <c r="DM74" s="204" t="s">
        <v>531</v>
      </c>
      <c r="DN74" s="257"/>
      <c r="DO74" s="204" t="s">
        <v>1028</v>
      </c>
      <c r="DP74" s="204" t="s">
        <v>4258</v>
      </c>
      <c r="DQ74" s="257"/>
      <c r="DR74" s="257"/>
      <c r="DS74" s="145" t="s">
        <v>2244</v>
      </c>
      <c r="DT74" s="257"/>
      <c r="DU74" s="257"/>
      <c r="DV74" s="204" t="s">
        <v>2862</v>
      </c>
      <c r="DW74" s="257"/>
      <c r="DX74" s="257"/>
      <c r="DY74" s="204" t="s">
        <v>4259</v>
      </c>
      <c r="DZ74" s="142" t="s">
        <v>3046</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2973</v>
      </c>
      <c r="AB75" s="94" t="s">
        <v>4275</v>
      </c>
      <c r="AC75" s="94" t="s">
        <v>3464</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757</v>
      </c>
      <c r="AS75" s="94" t="s">
        <v>1010</v>
      </c>
      <c r="AT75" s="94" t="s">
        <v>4286</v>
      </c>
      <c r="AU75" s="94" t="s">
        <v>329</v>
      </c>
      <c r="AV75" s="94" t="s">
        <v>4287</v>
      </c>
      <c r="AW75" s="94" t="s">
        <v>4288</v>
      </c>
      <c r="AX75" s="94" t="s">
        <v>1663</v>
      </c>
      <c r="AY75" s="94" t="s">
        <v>1639</v>
      </c>
      <c r="AZ75" s="94" t="s">
        <v>4289</v>
      </c>
      <c r="BA75" s="94"/>
      <c r="BB75" s="94" t="s">
        <v>595</v>
      </c>
      <c r="BC75" s="94" t="s">
        <v>4290</v>
      </c>
      <c r="BD75" s="94" t="s">
        <v>3008</v>
      </c>
      <c r="BE75" s="94" t="s">
        <v>266</v>
      </c>
      <c r="BF75" s="94" t="s">
        <v>4020</v>
      </c>
      <c r="BG75" s="94" t="s">
        <v>1221</v>
      </c>
      <c r="BH75" s="94" t="s">
        <v>2942</v>
      </c>
      <c r="BI75" s="94" t="s">
        <v>520</v>
      </c>
      <c r="BJ75" s="99"/>
      <c r="BK75" s="94" t="s">
        <v>4291</v>
      </c>
      <c r="BL75" s="94" t="s">
        <v>2910</v>
      </c>
      <c r="BM75" s="99"/>
      <c r="BN75" s="94" t="s">
        <v>3958</v>
      </c>
      <c r="BO75" s="94" t="s">
        <v>4292</v>
      </c>
      <c r="BP75" s="94" t="s">
        <v>4293</v>
      </c>
      <c r="BQ75" s="94"/>
      <c r="BR75" s="94"/>
      <c r="BS75" s="94" t="s">
        <v>4294</v>
      </c>
      <c r="BT75" s="94" t="s">
        <v>4295</v>
      </c>
      <c r="BU75" s="94" t="s">
        <v>4296</v>
      </c>
      <c r="BV75" s="94" t="s">
        <v>4297</v>
      </c>
      <c r="BW75" s="94" t="s">
        <v>4298</v>
      </c>
      <c r="BX75" s="94" t="s">
        <v>1401</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489" t="s">
        <v>4308</v>
      </c>
      <c r="CN75" s="94" t="s">
        <v>3279</v>
      </c>
      <c r="CO75" s="94" t="s">
        <v>3715</v>
      </c>
      <c r="CP75" s="99"/>
      <c r="CQ75" s="94" t="s">
        <v>1386</v>
      </c>
      <c r="CR75" s="94"/>
      <c r="CS75" s="94" t="s">
        <v>4309</v>
      </c>
      <c r="CT75" s="94" t="s">
        <v>4310</v>
      </c>
      <c r="CU75" s="92"/>
      <c r="CV75" s="94" t="s">
        <v>3035</v>
      </c>
      <c r="CW75" s="94" t="s">
        <v>4311</v>
      </c>
      <c r="CX75" s="94" t="s">
        <v>4312</v>
      </c>
      <c r="CY75" s="94" t="s">
        <v>1550</v>
      </c>
      <c r="CZ75" s="94" t="s">
        <v>4313</v>
      </c>
      <c r="DA75" s="94" t="s">
        <v>4314</v>
      </c>
      <c r="DB75" s="94" t="s">
        <v>4315</v>
      </c>
      <c r="DC75" s="94" t="s">
        <v>4316</v>
      </c>
      <c r="DD75" s="94" t="s">
        <v>727</v>
      </c>
      <c r="DE75" s="94" t="s">
        <v>4317</v>
      </c>
      <c r="DF75" s="94" t="s">
        <v>3122</v>
      </c>
      <c r="DG75" s="94" t="s">
        <v>4318</v>
      </c>
      <c r="DH75" s="94"/>
      <c r="DI75" s="94" t="s">
        <v>4319</v>
      </c>
      <c r="DJ75" s="94" t="s">
        <v>198</v>
      </c>
      <c r="DK75" s="94" t="s">
        <v>4320</v>
      </c>
      <c r="DL75" s="94"/>
      <c r="DM75" s="94" t="s">
        <v>3972</v>
      </c>
      <c r="DN75" s="94" t="s">
        <v>4321</v>
      </c>
      <c r="DO75" s="94" t="s">
        <v>395</v>
      </c>
      <c r="DP75" s="94" t="s">
        <v>4322</v>
      </c>
      <c r="DQ75" s="99"/>
      <c r="DR75" s="94" t="s">
        <v>4323</v>
      </c>
      <c r="DS75" s="94" t="s">
        <v>4324</v>
      </c>
      <c r="DT75" s="99"/>
      <c r="DU75" s="94" t="s">
        <v>3611</v>
      </c>
      <c r="DV75" s="94" t="s">
        <v>1361</v>
      </c>
      <c r="DW75" s="94" t="s">
        <v>970</v>
      </c>
      <c r="DX75" s="99"/>
      <c r="DY75" s="94" t="s">
        <v>2261</v>
      </c>
      <c r="DZ75" s="94" t="s">
        <v>3355</v>
      </c>
      <c r="EA75" s="94" t="s">
        <v>1095</v>
      </c>
      <c r="EB75" s="94" t="s">
        <v>4325</v>
      </c>
      <c r="EC75" s="94" t="s">
        <v>2414</v>
      </c>
      <c r="ED75" s="259" t="s">
        <v>3247</v>
      </c>
    </row>
    <row r="76">
      <c r="A76" s="357" t="s">
        <v>4326</v>
      </c>
      <c r="B76" s="104" t="s">
        <v>4327</v>
      </c>
      <c r="C76" s="105" t="s">
        <v>441</v>
      </c>
      <c r="D76" s="106" t="s">
        <v>439</v>
      </c>
      <c r="E76" s="107" t="s">
        <v>439</v>
      </c>
      <c r="F76" s="108" t="s">
        <v>1811</v>
      </c>
      <c r="G76" s="104" t="s">
        <v>1811</v>
      </c>
      <c r="H76" s="243"/>
      <c r="I76" s="112" t="s">
        <v>1131</v>
      </c>
      <c r="J76" s="243"/>
      <c r="K76" s="112" t="s">
        <v>1263</v>
      </c>
      <c r="L76" s="243"/>
      <c r="M76" s="490"/>
      <c r="N76" s="491" t="s">
        <v>4328</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3571</v>
      </c>
      <c r="AH76" s="116" t="s">
        <v>2570</v>
      </c>
      <c r="AI76" s="245"/>
      <c r="AJ76" s="493"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4336</v>
      </c>
      <c r="DB76" s="140" t="s">
        <v>4337</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4338</v>
      </c>
      <c r="B77" s="82" t="s">
        <v>4339</v>
      </c>
      <c r="C77" s="83" t="s">
        <v>548</v>
      </c>
      <c r="D77" s="84" t="s">
        <v>1259</v>
      </c>
      <c r="E77" s="85" t="s">
        <v>1259</v>
      </c>
      <c r="F77" s="86" t="s">
        <v>334</v>
      </c>
      <c r="G77" s="82" t="s">
        <v>3432</v>
      </c>
      <c r="H77" s="94" t="s">
        <v>683</v>
      </c>
      <c r="I77" s="93" t="s">
        <v>4340</v>
      </c>
      <c r="J77" s="93" t="s">
        <v>3898</v>
      </c>
      <c r="K77" s="94" t="s">
        <v>2842</v>
      </c>
      <c r="L77" s="93" t="s">
        <v>4341</v>
      </c>
      <c r="M77" s="99"/>
      <c r="N77" s="93" t="s">
        <v>4342</v>
      </c>
      <c r="O77" s="93" t="s">
        <v>3194</v>
      </c>
      <c r="P77" s="94" t="s">
        <v>109</v>
      </c>
      <c r="Q77" s="99"/>
      <c r="R77" s="99"/>
      <c r="S77" s="94" t="s">
        <v>3568</v>
      </c>
      <c r="T77" s="94" t="s">
        <v>1704</v>
      </c>
      <c r="U77" s="99"/>
      <c r="V77" s="99"/>
      <c r="W77" s="92"/>
      <c r="X77" s="94" t="s">
        <v>4343</v>
      </c>
      <c r="Y77" s="94"/>
      <c r="Z77" s="94" t="s">
        <v>4344</v>
      </c>
      <c r="AA77" s="94" t="s">
        <v>3970</v>
      </c>
      <c r="AB77" s="94" t="s">
        <v>4345</v>
      </c>
      <c r="AC77" s="94" t="s">
        <v>4081</v>
      </c>
      <c r="AD77" s="94" t="s">
        <v>4346</v>
      </c>
      <c r="AE77" s="99"/>
      <c r="AF77" s="94"/>
      <c r="AG77" s="94" t="s">
        <v>3734</v>
      </c>
      <c r="AH77" s="99"/>
      <c r="AI77" s="94"/>
      <c r="AJ77" s="94" t="s">
        <v>2652</v>
      </c>
      <c r="AK77" s="99"/>
      <c r="AL77" s="97"/>
      <c r="AM77" s="94" t="s">
        <v>927</v>
      </c>
      <c r="AN77" s="94" t="s">
        <v>4347</v>
      </c>
      <c r="AO77" s="99"/>
      <c r="AP77" s="94" t="s">
        <v>2065</v>
      </c>
      <c r="AQ77" s="99"/>
      <c r="AR77" s="99"/>
      <c r="AS77" s="99"/>
      <c r="AT77" s="99"/>
      <c r="AU77" s="94" t="s">
        <v>4348</v>
      </c>
      <c r="AV77" s="94" t="s">
        <v>1372</v>
      </c>
      <c r="AW77" s="94"/>
      <c r="AX77" s="99"/>
      <c r="AY77" s="94" t="s">
        <v>130</v>
      </c>
      <c r="AZ77" s="99"/>
      <c r="BA77" s="99"/>
      <c r="BB77" s="94" t="s">
        <v>4349</v>
      </c>
      <c r="BC77" s="94" t="s">
        <v>452</v>
      </c>
      <c r="BD77" s="94" t="s">
        <v>3154</v>
      </c>
      <c r="BE77" s="93" t="s">
        <v>4350</v>
      </c>
      <c r="BF77" s="94" t="s">
        <v>1603</v>
      </c>
      <c r="BG77" s="99"/>
      <c r="BH77" s="99"/>
      <c r="BI77" s="94" t="s">
        <v>1327</v>
      </c>
      <c r="BJ77" s="94"/>
      <c r="BK77" s="94"/>
      <c r="BL77" s="94" t="s">
        <v>1988</v>
      </c>
      <c r="BM77" s="99"/>
      <c r="BN77" s="94" t="s">
        <v>3108</v>
      </c>
      <c r="BO77" s="94" t="s">
        <v>4292</v>
      </c>
      <c r="BP77" s="99"/>
      <c r="BQ77" s="236"/>
      <c r="BR77" s="94"/>
      <c r="BS77" s="93" t="s">
        <v>4351</v>
      </c>
      <c r="BT77" s="94" t="s">
        <v>4037</v>
      </c>
      <c r="BU77" s="94" t="s">
        <v>2550</v>
      </c>
      <c r="BV77" s="94" t="s">
        <v>4352</v>
      </c>
      <c r="BW77" s="94" t="s">
        <v>740</v>
      </c>
      <c r="BX77" s="87" t="s">
        <v>4353</v>
      </c>
      <c r="BY77" s="99"/>
      <c r="BZ77" s="94" t="s">
        <v>4354</v>
      </c>
      <c r="CA77" s="94" t="s">
        <v>2414</v>
      </c>
      <c r="CB77" s="93" t="s">
        <v>4355</v>
      </c>
      <c r="CC77" s="94" t="s">
        <v>4356</v>
      </c>
      <c r="CD77" s="94" t="s">
        <v>690</v>
      </c>
      <c r="CE77" s="99"/>
      <c r="CF77" s="236"/>
      <c r="CG77" s="93" t="s">
        <v>4357</v>
      </c>
      <c r="CH77" s="94" t="s">
        <v>4358</v>
      </c>
      <c r="CI77" s="93"/>
      <c r="CJ77" s="88" t="s">
        <v>4359</v>
      </c>
      <c r="CK77" s="102"/>
      <c r="CL77" s="102"/>
      <c r="CM77" s="94" t="s">
        <v>2869</v>
      </c>
      <c r="CN77" s="94" t="s">
        <v>1551</v>
      </c>
      <c r="CO77" s="94" t="s">
        <v>2547</v>
      </c>
      <c r="CP77" s="99"/>
      <c r="CQ77" s="99"/>
      <c r="CR77" s="99"/>
      <c r="CS77" s="99"/>
      <c r="CT77" s="99"/>
      <c r="CU77" s="92"/>
      <c r="CV77" s="94" t="s">
        <v>4360</v>
      </c>
      <c r="CW77" s="99"/>
      <c r="CX77" s="94" t="s">
        <v>1694</v>
      </c>
      <c r="CY77" s="94" t="s">
        <v>3907</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1971</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2154</v>
      </c>
      <c r="H78" s="167"/>
      <c r="I78" s="167" t="s">
        <v>4364</v>
      </c>
      <c r="J78" s="167" t="s">
        <v>4365</v>
      </c>
      <c r="K78" s="167" t="s">
        <v>1885</v>
      </c>
      <c r="L78" s="167" t="s">
        <v>3719</v>
      </c>
      <c r="M78" s="167" t="s">
        <v>4366</v>
      </c>
      <c r="N78" s="167" t="s">
        <v>4367</v>
      </c>
      <c r="O78" s="167" t="s">
        <v>4109</v>
      </c>
      <c r="P78" s="167" t="s">
        <v>4368</v>
      </c>
      <c r="Q78" s="243"/>
      <c r="R78" s="243"/>
      <c r="S78" s="243"/>
      <c r="T78" s="243"/>
      <c r="U78" s="243"/>
      <c r="V78" s="243"/>
      <c r="W78" s="92"/>
      <c r="X78" s="197" t="s">
        <v>1676</v>
      </c>
      <c r="Y78" s="197"/>
      <c r="Z78" s="197" t="s">
        <v>4369</v>
      </c>
      <c r="AA78" s="197" t="s">
        <v>4370</v>
      </c>
      <c r="AB78" s="197" t="s">
        <v>1226</v>
      </c>
      <c r="AC78" s="197" t="s">
        <v>1782</v>
      </c>
      <c r="AD78" s="197" t="s">
        <v>2942</v>
      </c>
      <c r="AE78" s="245"/>
      <c r="AF78" s="300" t="s">
        <v>1279</v>
      </c>
      <c r="AG78" s="197" t="s">
        <v>4028</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4371</v>
      </c>
      <c r="BD78" s="174" t="s">
        <v>2753</v>
      </c>
      <c r="BE78" s="174" t="s">
        <v>4372</v>
      </c>
      <c r="BF78" s="174" t="s">
        <v>4373</v>
      </c>
      <c r="BG78" s="174" t="s">
        <v>4374</v>
      </c>
      <c r="BH78" s="173"/>
      <c r="BI78" s="174" t="s">
        <v>2897</v>
      </c>
      <c r="BJ78" s="174" t="s">
        <v>4375</v>
      </c>
      <c r="BK78" s="174" t="s">
        <v>4376</v>
      </c>
      <c r="BL78" s="174" t="s">
        <v>3769</v>
      </c>
      <c r="BM78" s="173"/>
      <c r="BN78" s="173"/>
      <c r="BO78" s="173"/>
      <c r="BP78" s="173"/>
      <c r="BQ78" s="248"/>
      <c r="BR78" s="175" t="s">
        <v>4377</v>
      </c>
      <c r="BS78" s="175" t="s">
        <v>4378</v>
      </c>
      <c r="BT78" s="175" t="s">
        <v>4037</v>
      </c>
      <c r="BU78" s="175" t="s">
        <v>3072</v>
      </c>
      <c r="BV78" s="175" t="s">
        <v>924</v>
      </c>
      <c r="BW78" s="175" t="s">
        <v>4379</v>
      </c>
      <c r="BX78" s="175" t="s">
        <v>4380</v>
      </c>
      <c r="BY78" s="175" t="s">
        <v>4381</v>
      </c>
      <c r="BZ78" s="175" t="s">
        <v>4382</v>
      </c>
      <c r="CA78" s="175" t="s">
        <v>3708</v>
      </c>
      <c r="CB78" s="251"/>
      <c r="CC78" s="251"/>
      <c r="CD78" s="251"/>
      <c r="CE78" s="251"/>
      <c r="CF78" s="252"/>
      <c r="CG78" s="177" t="s">
        <v>2205</v>
      </c>
      <c r="CH78" s="177" t="s">
        <v>2805</v>
      </c>
      <c r="CI78" s="177" t="s">
        <v>4005</v>
      </c>
      <c r="CJ78" s="177" t="s">
        <v>4383</v>
      </c>
      <c r="CK78" s="177"/>
      <c r="CL78" s="177" t="s">
        <v>4384</v>
      </c>
      <c r="CM78" s="177" t="s">
        <v>559</v>
      </c>
      <c r="CN78" s="177" t="s">
        <v>3924</v>
      </c>
      <c r="CO78" s="177" t="s">
        <v>3391</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499" t="s">
        <v>4393</v>
      </c>
      <c r="B79" s="82" t="s">
        <v>4394</v>
      </c>
      <c r="C79" s="83" t="s">
        <v>1259</v>
      </c>
      <c r="D79" s="84" t="s">
        <v>1259</v>
      </c>
      <c r="E79" s="85" t="s">
        <v>1259</v>
      </c>
      <c r="F79" s="86" t="s">
        <v>548</v>
      </c>
      <c r="G79" s="82" t="s">
        <v>4395</v>
      </c>
      <c r="H79" s="94" t="s">
        <v>2125</v>
      </c>
      <c r="I79" s="94" t="s">
        <v>4396</v>
      </c>
      <c r="J79" s="94" t="s">
        <v>3623</v>
      </c>
      <c r="K79" s="94" t="s">
        <v>2278</v>
      </c>
      <c r="L79" s="94" t="s">
        <v>1113</v>
      </c>
      <c r="M79" s="94" t="s">
        <v>4397</v>
      </c>
      <c r="N79" s="94" t="s">
        <v>4398</v>
      </c>
      <c r="O79" s="94" t="s">
        <v>4399</v>
      </c>
      <c r="P79" s="94" t="s">
        <v>2547</v>
      </c>
      <c r="Q79" s="99"/>
      <c r="R79" s="99"/>
      <c r="S79" s="94" t="s">
        <v>1340</v>
      </c>
      <c r="T79" s="99"/>
      <c r="U79" s="94" t="s">
        <v>4400</v>
      </c>
      <c r="V79" s="99"/>
      <c r="W79" s="92"/>
      <c r="X79" s="94" t="s">
        <v>4401</v>
      </c>
      <c r="Y79" s="94"/>
      <c r="Z79" s="94" t="s">
        <v>4402</v>
      </c>
      <c r="AA79" s="94" t="s">
        <v>513</v>
      </c>
      <c r="AB79" s="94" t="s">
        <v>4403</v>
      </c>
      <c r="AC79" s="94" t="s">
        <v>3882</v>
      </c>
      <c r="AD79" s="94" t="s">
        <v>4404</v>
      </c>
      <c r="AE79" s="99"/>
      <c r="AF79" s="94" t="s">
        <v>2999</v>
      </c>
      <c r="AG79" s="94" t="s">
        <v>4405</v>
      </c>
      <c r="AH79" s="94" t="s">
        <v>4406</v>
      </c>
      <c r="AI79" s="99"/>
      <c r="AJ79" s="99"/>
      <c r="AK79" s="99"/>
      <c r="AL79" s="97"/>
      <c r="AM79" s="99"/>
      <c r="AN79" s="94" t="s">
        <v>865</v>
      </c>
      <c r="AO79" s="99"/>
      <c r="AP79" s="99"/>
      <c r="AQ79" s="99"/>
      <c r="AR79" s="99"/>
      <c r="AS79" s="99"/>
      <c r="AT79" s="99"/>
      <c r="AU79" s="94" t="s">
        <v>1876</v>
      </c>
      <c r="AV79" s="94" t="s">
        <v>3954</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54" t="s">
        <v>3538</v>
      </c>
      <c r="BT79" s="354" t="s">
        <v>4412</v>
      </c>
      <c r="BU79" s="354" t="s">
        <v>4413</v>
      </c>
      <c r="BV79" s="353" t="s">
        <v>1838</v>
      </c>
      <c r="BW79" s="354" t="s">
        <v>1722</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1694</v>
      </c>
      <c r="CO79" s="354" t="s">
        <v>2478</v>
      </c>
      <c r="CP79" s="99"/>
      <c r="CQ79" s="99"/>
      <c r="CR79" s="99"/>
      <c r="CS79" s="99"/>
      <c r="CT79" s="99"/>
      <c r="CU79" s="92"/>
      <c r="CV79" s="354" t="s">
        <v>4421</v>
      </c>
      <c r="CW79" s="353" t="s">
        <v>2576</v>
      </c>
      <c r="CX79" s="354" t="s">
        <v>1649</v>
      </c>
      <c r="CY79" s="354" t="s">
        <v>3142</v>
      </c>
      <c r="CZ79" s="354" t="s">
        <v>4422</v>
      </c>
      <c r="DA79" s="354" t="s">
        <v>1649</v>
      </c>
      <c r="DB79" s="353" t="s">
        <v>4423</v>
      </c>
      <c r="DC79" s="354" t="s">
        <v>3505</v>
      </c>
      <c r="DD79" s="99"/>
      <c r="DE79" s="99"/>
      <c r="DF79" s="99"/>
      <c r="DG79" s="99"/>
      <c r="DH79" s="236"/>
      <c r="DI79" s="354"/>
      <c r="DJ79" s="354"/>
      <c r="DK79" s="354"/>
      <c r="DL79" s="354"/>
      <c r="DM79" s="354"/>
      <c r="DN79" s="94" t="s">
        <v>4424</v>
      </c>
      <c r="DO79" s="354"/>
      <c r="DP79" s="354"/>
      <c r="DQ79" s="94" t="s">
        <v>3917</v>
      </c>
      <c r="DR79" s="94" t="s">
        <v>4425</v>
      </c>
      <c r="DS79" s="94" t="s">
        <v>4426</v>
      </c>
      <c r="DT79" s="94" t="s">
        <v>3753</v>
      </c>
      <c r="DU79" s="94" t="s">
        <v>3129</v>
      </c>
      <c r="DV79" s="354"/>
      <c r="DW79" s="354"/>
      <c r="DX79" s="99"/>
      <c r="DY79" s="94" t="s">
        <v>4427</v>
      </c>
      <c r="DZ79" s="354"/>
      <c r="EA79" s="354"/>
      <c r="EB79" s="354"/>
      <c r="EC79" s="94" t="s">
        <v>1081</v>
      </c>
      <c r="ED79" s="353" t="s">
        <v>4428</v>
      </c>
    </row>
    <row r="80">
      <c r="A80" s="384" t="s">
        <v>4429</v>
      </c>
      <c r="B80" s="104" t="s">
        <v>4430</v>
      </c>
      <c r="C80" s="105" t="s">
        <v>1259</v>
      </c>
      <c r="D80" s="106" t="s">
        <v>1259</v>
      </c>
      <c r="E80" s="107" t="s">
        <v>1259</v>
      </c>
      <c r="F80" s="108" t="s">
        <v>2675</v>
      </c>
      <c r="G80" s="104" t="s">
        <v>1882</v>
      </c>
      <c r="H80" s="112" t="s">
        <v>2814</v>
      </c>
      <c r="I80" s="400" t="s">
        <v>4431</v>
      </c>
      <c r="J80" s="167" t="s">
        <v>108</v>
      </c>
      <c r="K80" s="167" t="s">
        <v>4432</v>
      </c>
      <c r="L80" s="167" t="s">
        <v>4433</v>
      </c>
      <c r="M80" s="167" t="s">
        <v>4434</v>
      </c>
      <c r="N80" s="167" t="s">
        <v>4435</v>
      </c>
      <c r="O80" s="167" t="s">
        <v>373</v>
      </c>
      <c r="P80" s="167" t="s">
        <v>2973</v>
      </c>
      <c r="Q80" s="112" t="s">
        <v>4436</v>
      </c>
      <c r="R80" s="167" t="s">
        <v>2509</v>
      </c>
      <c r="S80" s="273" t="s">
        <v>3009</v>
      </c>
      <c r="T80" s="167" t="s">
        <v>3000</v>
      </c>
      <c r="U80" s="167" t="s">
        <v>2049</v>
      </c>
      <c r="V80" s="167" t="s">
        <v>4437</v>
      </c>
      <c r="W80" s="92"/>
      <c r="X80" s="380" t="s">
        <v>4438</v>
      </c>
      <c r="Y80" s="197"/>
      <c r="Z80" s="197" t="s">
        <v>3086</v>
      </c>
      <c r="AA80" s="269" t="s">
        <v>3546</v>
      </c>
      <c r="AB80" s="196" t="s">
        <v>3749</v>
      </c>
      <c r="AC80" s="196" t="s">
        <v>4439</v>
      </c>
      <c r="AD80" s="116" t="s">
        <v>4440</v>
      </c>
      <c r="AE80" s="245"/>
      <c r="AF80" s="116" t="s">
        <v>3297</v>
      </c>
      <c r="AG80" s="269" t="s">
        <v>1741</v>
      </c>
      <c r="AH80" s="197" t="s">
        <v>1911</v>
      </c>
      <c r="AI80" s="245"/>
      <c r="AJ80" s="197" t="s">
        <v>3971</v>
      </c>
      <c r="AK80" s="197" t="s">
        <v>4441</v>
      </c>
      <c r="AL80" s="97"/>
      <c r="AM80" s="168" t="s">
        <v>141</v>
      </c>
      <c r="AN80" s="168" t="s">
        <v>4442</v>
      </c>
      <c r="AO80" s="168" t="s">
        <v>4443</v>
      </c>
      <c r="AP80" s="168" t="s">
        <v>4444</v>
      </c>
      <c r="AQ80" s="168" t="s">
        <v>1425</v>
      </c>
      <c r="AR80" s="168" t="s">
        <v>3745</v>
      </c>
      <c r="AS80" s="168" t="s">
        <v>3659</v>
      </c>
      <c r="AT80" s="168" t="s">
        <v>4445</v>
      </c>
      <c r="AU80" s="168" t="s">
        <v>2721</v>
      </c>
      <c r="AV80" s="168" t="s">
        <v>1626</v>
      </c>
      <c r="AW80" s="168" t="s">
        <v>4446</v>
      </c>
      <c r="AX80" s="246"/>
      <c r="AY80" s="168" t="s">
        <v>1070</v>
      </c>
      <c r="AZ80" s="278" t="s">
        <v>4447</v>
      </c>
      <c r="BA80" s="168"/>
      <c r="BB80" s="174" t="s">
        <v>4448</v>
      </c>
      <c r="BC80" s="174" t="s">
        <v>4449</v>
      </c>
      <c r="BD80" s="126" t="s">
        <v>1395</v>
      </c>
      <c r="BE80" s="174" t="s">
        <v>4450</v>
      </c>
      <c r="BF80" s="174" t="s">
        <v>3723</v>
      </c>
      <c r="BG80" s="174" t="s">
        <v>4451</v>
      </c>
      <c r="BH80" s="174" t="s">
        <v>4452</v>
      </c>
      <c r="BI80" s="174" t="s">
        <v>2509</v>
      </c>
      <c r="BJ80" s="174" t="s">
        <v>4453</v>
      </c>
      <c r="BK80" s="174" t="s">
        <v>4454</v>
      </c>
      <c r="BL80" s="174" t="s">
        <v>2756</v>
      </c>
      <c r="BM80" s="174" t="s">
        <v>4455</v>
      </c>
      <c r="BN80" s="301" t="s">
        <v>3904</v>
      </c>
      <c r="BO80" s="174" t="s">
        <v>3770</v>
      </c>
      <c r="BP80" s="174" t="s">
        <v>4456</v>
      </c>
      <c r="BQ80" s="174"/>
      <c r="BR80" s="129" t="s">
        <v>4457</v>
      </c>
      <c r="BS80" s="175" t="s">
        <v>3353</v>
      </c>
      <c r="BT80" s="175" t="s">
        <v>4458</v>
      </c>
      <c r="BU80" s="129" t="s">
        <v>4459</v>
      </c>
      <c r="BV80" s="175" t="s">
        <v>4460</v>
      </c>
      <c r="BW80" s="175" t="s">
        <v>330</v>
      </c>
      <c r="BX80" s="251"/>
      <c r="BY80" s="175" t="s">
        <v>1682</v>
      </c>
      <c r="BZ80" s="176" t="s">
        <v>3651</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3" t="s">
        <v>4473</v>
      </c>
      <c r="CW80" s="203" t="s">
        <v>1141</v>
      </c>
      <c r="CX80" s="203" t="s">
        <v>4474</v>
      </c>
      <c r="CY80" s="203" t="s">
        <v>3285</v>
      </c>
      <c r="CZ80" s="203" t="s">
        <v>1483</v>
      </c>
      <c r="DA80" s="203" t="s">
        <v>4475</v>
      </c>
      <c r="DB80" s="232" t="s">
        <v>4476</v>
      </c>
      <c r="DC80" s="203" t="s">
        <v>4477</v>
      </c>
      <c r="DD80" s="203" t="s">
        <v>4478</v>
      </c>
      <c r="DE80" s="203" t="s">
        <v>2997</v>
      </c>
      <c r="DF80" s="203" t="s">
        <v>148</v>
      </c>
      <c r="DG80" s="140" t="s">
        <v>4479</v>
      </c>
      <c r="DH80" s="203"/>
      <c r="DI80" s="257"/>
      <c r="DJ80" s="257"/>
      <c r="DK80" s="204" t="s">
        <v>4480</v>
      </c>
      <c r="DL80" s="257"/>
      <c r="DM80" s="145" t="s">
        <v>3278</v>
      </c>
      <c r="DN80" s="204" t="s">
        <v>1930</v>
      </c>
      <c r="DO80" s="204" t="s">
        <v>3984</v>
      </c>
      <c r="DP80" s="204" t="s">
        <v>4481</v>
      </c>
      <c r="DQ80" s="204" t="s">
        <v>4482</v>
      </c>
      <c r="DR80" s="204" t="s">
        <v>4248</v>
      </c>
      <c r="DS80" s="204" t="s">
        <v>4483</v>
      </c>
      <c r="DT80" s="204" t="s">
        <v>3838</v>
      </c>
      <c r="DU80" s="204" t="s">
        <v>1804</v>
      </c>
      <c r="DV80" s="204" t="s">
        <v>2686</v>
      </c>
      <c r="DW80" s="204" t="s">
        <v>4484</v>
      </c>
      <c r="DX80" s="204" t="s">
        <v>4485</v>
      </c>
      <c r="DY80" s="204" t="s">
        <v>4486</v>
      </c>
      <c r="DZ80" s="204" t="s">
        <v>4487</v>
      </c>
      <c r="EA80" s="204" t="s">
        <v>4488</v>
      </c>
      <c r="EB80" s="145" t="s">
        <v>4489</v>
      </c>
      <c r="EC80" s="145" t="s">
        <v>4100</v>
      </c>
      <c r="ED80" s="142" t="s">
        <v>3052</v>
      </c>
    </row>
    <row r="81">
      <c r="A81" s="81" t="s">
        <v>4490</v>
      </c>
      <c r="B81" s="82" t="s">
        <v>4491</v>
      </c>
      <c r="C81" s="83" t="s">
        <v>1259</v>
      </c>
      <c r="D81" s="84" t="s">
        <v>1259</v>
      </c>
      <c r="E81" s="85" t="s">
        <v>1259</v>
      </c>
      <c r="F81" s="86" t="s">
        <v>222</v>
      </c>
      <c r="G81" s="82" t="s">
        <v>3092</v>
      </c>
      <c r="H81" s="94"/>
      <c r="I81" s="88" t="s">
        <v>4492</v>
      </c>
      <c r="J81" s="99" t="s">
        <v>1639</v>
      </c>
      <c r="K81" s="162" t="s">
        <v>4493</v>
      </c>
      <c r="L81" s="88" t="s">
        <v>105</v>
      </c>
      <c r="M81" s="259" t="s">
        <v>1730</v>
      </c>
      <c r="N81" s="99"/>
      <c r="O81" s="93" t="s">
        <v>4494</v>
      </c>
      <c r="P81" s="88" t="s">
        <v>2547</v>
      </c>
      <c r="Q81" s="99"/>
      <c r="R81" s="94"/>
      <c r="S81" s="94"/>
      <c r="T81" s="99"/>
      <c r="U81" s="99"/>
      <c r="V81" s="99"/>
      <c r="W81" s="92"/>
      <c r="X81" s="88" t="s">
        <v>1659</v>
      </c>
      <c r="Y81" s="94"/>
      <c r="Z81" s="94" t="s">
        <v>4402</v>
      </c>
      <c r="AA81" s="88" t="s">
        <v>1431</v>
      </c>
      <c r="AB81" s="94" t="s">
        <v>4495</v>
      </c>
      <c r="AC81" s="88" t="s">
        <v>3329</v>
      </c>
      <c r="AD81" s="94" t="s">
        <v>2820</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2870</v>
      </c>
      <c r="BU81" s="88" t="s">
        <v>3710</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4502</v>
      </c>
      <c r="CW81" s="99"/>
      <c r="CX81" s="93" t="s">
        <v>757</v>
      </c>
      <c r="CY81" s="94" t="s">
        <v>3258</v>
      </c>
      <c r="CZ81" s="94" t="s">
        <v>1933</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00" t="s">
        <v>4504</v>
      </c>
      <c r="B82" s="501" t="s">
        <v>4505</v>
      </c>
      <c r="C82" s="502" t="s">
        <v>1259</v>
      </c>
      <c r="D82" s="503" t="s">
        <v>1259</v>
      </c>
      <c r="E82" s="504" t="s">
        <v>1259</v>
      </c>
      <c r="F82" s="505" t="s">
        <v>439</v>
      </c>
      <c r="G82" s="501" t="s">
        <v>2541</v>
      </c>
      <c r="H82" s="400"/>
      <c r="I82" s="345" t="s">
        <v>4506</v>
      </c>
      <c r="J82" s="400" t="s">
        <v>763</v>
      </c>
      <c r="K82" s="400" t="s">
        <v>4507</v>
      </c>
      <c r="L82" s="400" t="s">
        <v>2940</v>
      </c>
      <c r="M82" s="112" t="s">
        <v>4508</v>
      </c>
      <c r="N82" s="400" t="s">
        <v>4509</v>
      </c>
      <c r="O82" s="400" t="s">
        <v>3998</v>
      </c>
      <c r="P82" s="400" t="s">
        <v>3098</v>
      </c>
      <c r="Q82" s="506"/>
      <c r="R82" s="506"/>
      <c r="S82" s="506"/>
      <c r="T82" s="506"/>
      <c r="U82" s="506"/>
      <c r="V82" s="506"/>
      <c r="W82" s="507"/>
      <c r="X82" s="380" t="s">
        <v>2053</v>
      </c>
      <c r="Y82" s="380"/>
      <c r="Z82" s="380" t="s">
        <v>3064</v>
      </c>
      <c r="AA82" s="380" t="s">
        <v>2203</v>
      </c>
      <c r="AB82" s="380" t="s">
        <v>4016</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4510</v>
      </c>
      <c r="AV82" s="278" t="s">
        <v>1451</v>
      </c>
      <c r="AW82" s="278"/>
      <c r="AX82" s="510"/>
      <c r="AY82" s="510"/>
      <c r="AZ82" s="510"/>
      <c r="BA82" s="510"/>
      <c r="BB82" s="302" t="s">
        <v>2752</v>
      </c>
      <c r="BC82" s="302" t="s">
        <v>810</v>
      </c>
      <c r="BD82" s="302" t="s">
        <v>298</v>
      </c>
      <c r="BE82" s="302" t="s">
        <v>4511</v>
      </c>
      <c r="BF82" s="302" t="s">
        <v>4512</v>
      </c>
      <c r="BG82" s="302"/>
      <c r="BH82" s="512"/>
      <c r="BI82" s="302" t="s">
        <v>1372</v>
      </c>
      <c r="BJ82" s="512"/>
      <c r="BK82" s="302" t="s">
        <v>4513</v>
      </c>
      <c r="BL82" s="302" t="s">
        <v>3582</v>
      </c>
      <c r="BM82" s="512"/>
      <c r="BN82" s="512"/>
      <c r="BO82" s="302"/>
      <c r="BP82" s="512"/>
      <c r="BQ82" s="513"/>
      <c r="BR82" s="293" t="s">
        <v>4514</v>
      </c>
      <c r="BS82" s="293" t="s">
        <v>4515</v>
      </c>
      <c r="BT82" s="293" t="s">
        <v>4516</v>
      </c>
      <c r="BU82" s="293" t="s">
        <v>4517</v>
      </c>
      <c r="BV82" s="293" t="s">
        <v>4518</v>
      </c>
      <c r="BW82" s="293" t="s">
        <v>823</v>
      </c>
      <c r="BX82" s="129" t="s">
        <v>4519</v>
      </c>
      <c r="BY82" s="293"/>
      <c r="BZ82" s="293" t="s">
        <v>4520</v>
      </c>
      <c r="CA82" s="293" t="s">
        <v>4521</v>
      </c>
      <c r="CB82" s="514"/>
      <c r="CC82" s="514"/>
      <c r="CD82" s="514"/>
      <c r="CE82" s="514"/>
      <c r="CF82" s="515"/>
      <c r="CG82" s="295" t="s">
        <v>4522</v>
      </c>
      <c r="CH82" s="295" t="s">
        <v>189</v>
      </c>
      <c r="CI82" s="295" t="s">
        <v>3637</v>
      </c>
      <c r="CJ82" s="295" t="s">
        <v>4523</v>
      </c>
      <c r="CK82" s="295"/>
      <c r="CL82" s="295" t="s">
        <v>4524</v>
      </c>
      <c r="CM82" s="295" t="s">
        <v>4525</v>
      </c>
      <c r="CN82" s="295" t="s">
        <v>1631</v>
      </c>
      <c r="CO82" s="295" t="s">
        <v>4526</v>
      </c>
      <c r="CP82" s="516"/>
      <c r="CQ82" s="517"/>
      <c r="CR82" s="517"/>
      <c r="CS82" s="517"/>
      <c r="CT82" s="517"/>
      <c r="CU82" s="507"/>
      <c r="CV82" s="371" t="s">
        <v>4527</v>
      </c>
      <c r="CW82" s="371" t="s">
        <v>4528</v>
      </c>
      <c r="CX82" s="371" t="s">
        <v>1118</v>
      </c>
      <c r="CY82" s="371" t="s">
        <v>3749</v>
      </c>
      <c r="CZ82" s="371" t="s">
        <v>2197</v>
      </c>
      <c r="DA82" s="371" t="s">
        <v>3853</v>
      </c>
      <c r="DB82" s="371" t="s">
        <v>4529</v>
      </c>
      <c r="DC82" s="371" t="s">
        <v>4316</v>
      </c>
      <c r="DD82" s="518"/>
      <c r="DE82" s="518"/>
      <c r="DF82" s="518"/>
      <c r="DG82" s="518"/>
      <c r="DH82" s="519"/>
      <c r="DI82" s="401" t="s">
        <v>4530</v>
      </c>
      <c r="DJ82" s="520"/>
      <c r="DK82" s="520"/>
      <c r="DL82" s="401"/>
      <c r="DM82" s="401"/>
      <c r="DN82" s="401"/>
      <c r="DO82" s="520"/>
      <c r="DP82" s="520"/>
      <c r="DQ82" s="520"/>
      <c r="DR82" s="401" t="s">
        <v>4531</v>
      </c>
      <c r="DS82" s="401" t="s">
        <v>4532</v>
      </c>
      <c r="DT82" s="520"/>
      <c r="DU82" s="401"/>
      <c r="DV82" s="520"/>
      <c r="DW82" s="520"/>
      <c r="DX82" s="520"/>
      <c r="DY82" s="520"/>
      <c r="DZ82" s="520"/>
      <c r="EA82" s="401"/>
      <c r="EB82" s="520"/>
      <c r="EC82" s="520"/>
      <c r="ED82" s="286"/>
    </row>
    <row r="83">
      <c r="A83" s="81" t="s">
        <v>4533</v>
      </c>
      <c r="B83" s="82" t="s">
        <v>4534</v>
      </c>
      <c r="C83" s="83" t="s">
        <v>1259</v>
      </c>
      <c r="D83" s="84" t="s">
        <v>1259</v>
      </c>
      <c r="E83" s="85" t="s">
        <v>1259</v>
      </c>
      <c r="F83" s="86" t="s">
        <v>2373</v>
      </c>
      <c r="G83" s="82" t="s">
        <v>744</v>
      </c>
      <c r="H83" s="88" t="s">
        <v>4535</v>
      </c>
      <c r="I83" s="88" t="s">
        <v>4536</v>
      </c>
      <c r="J83" s="265" t="s">
        <v>750</v>
      </c>
      <c r="K83" s="88" t="s">
        <v>4537</v>
      </c>
      <c r="L83" s="88" t="s">
        <v>210</v>
      </c>
      <c r="M83" s="88" t="s">
        <v>4538</v>
      </c>
      <c r="N83" s="88" t="s">
        <v>4539</v>
      </c>
      <c r="O83" s="88" t="s">
        <v>4540</v>
      </c>
      <c r="P83" s="88" t="s">
        <v>242</v>
      </c>
      <c r="Q83" s="88" t="s">
        <v>4541</v>
      </c>
      <c r="R83" s="94" t="s">
        <v>1987</v>
      </c>
      <c r="S83" s="94" t="s">
        <v>4230</v>
      </c>
      <c r="T83" s="94" t="s">
        <v>2146</v>
      </c>
      <c r="U83" s="94" t="s">
        <v>4542</v>
      </c>
      <c r="V83" s="94" t="s">
        <v>4543</v>
      </c>
      <c r="W83" s="92"/>
      <c r="X83" s="88" t="s">
        <v>1470</v>
      </c>
      <c r="Y83" s="102"/>
      <c r="Z83" s="88" t="s">
        <v>470</v>
      </c>
      <c r="AA83" s="88" t="s">
        <v>296</v>
      </c>
      <c r="AB83" s="94" t="s">
        <v>4544</v>
      </c>
      <c r="AC83" s="94" t="s">
        <v>3150</v>
      </c>
      <c r="AD83" s="88" t="s">
        <v>2889</v>
      </c>
      <c r="AE83" s="88" t="s">
        <v>4545</v>
      </c>
      <c r="AF83" s="88" t="s">
        <v>4546</v>
      </c>
      <c r="AG83" s="88" t="s">
        <v>1566</v>
      </c>
      <c r="AH83" s="94" t="s">
        <v>4547</v>
      </c>
      <c r="AI83" s="94" t="s">
        <v>4548</v>
      </c>
      <c r="AJ83" s="94" t="s">
        <v>3630</v>
      </c>
      <c r="AK83" s="94" t="s">
        <v>4549</v>
      </c>
      <c r="AL83" s="97"/>
      <c r="AM83" s="94" t="s">
        <v>716</v>
      </c>
      <c r="AN83" s="94" t="s">
        <v>4550</v>
      </c>
      <c r="AO83" s="94" t="s">
        <v>4551</v>
      </c>
      <c r="AP83" s="94" t="s">
        <v>4552</v>
      </c>
      <c r="AQ83" s="94" t="s">
        <v>4553</v>
      </c>
      <c r="AR83" s="94"/>
      <c r="AS83" s="94" t="s">
        <v>3635</v>
      </c>
      <c r="AT83" s="94" t="s">
        <v>3016</v>
      </c>
      <c r="AU83" s="88" t="s">
        <v>2749</v>
      </c>
      <c r="AV83" s="88" t="s">
        <v>182</v>
      </c>
      <c r="AW83" s="88" t="s">
        <v>637</v>
      </c>
      <c r="AX83" s="94" t="s">
        <v>4554</v>
      </c>
      <c r="AY83" s="94" t="s">
        <v>3301</v>
      </c>
      <c r="AZ83" s="94" t="s">
        <v>4555</v>
      </c>
      <c r="BA83" s="94"/>
      <c r="BB83" s="88" t="s">
        <v>290</v>
      </c>
      <c r="BC83" s="88" t="s">
        <v>4290</v>
      </c>
      <c r="BD83" s="88" t="s">
        <v>4556</v>
      </c>
      <c r="BE83" s="88" t="s">
        <v>3550</v>
      </c>
      <c r="BF83" s="94" t="s">
        <v>4557</v>
      </c>
      <c r="BG83" s="94" t="s">
        <v>4558</v>
      </c>
      <c r="BH83" s="94" t="s">
        <v>4559</v>
      </c>
      <c r="BI83" s="88" t="s">
        <v>298</v>
      </c>
      <c r="BJ83" s="94" t="s">
        <v>4560</v>
      </c>
      <c r="BK83" s="94"/>
      <c r="BL83" s="88" t="s">
        <v>4561</v>
      </c>
      <c r="BM83" s="94" t="s">
        <v>4562</v>
      </c>
      <c r="BN83" s="94" t="s">
        <v>197</v>
      </c>
      <c r="BO83" s="88" t="s">
        <v>2758</v>
      </c>
      <c r="BP83" s="94" t="s">
        <v>4563</v>
      </c>
      <c r="BQ83" s="94"/>
      <c r="BR83" s="99"/>
      <c r="BS83" s="94" t="s">
        <v>4564</v>
      </c>
      <c r="BT83" s="88" t="s">
        <v>3995</v>
      </c>
      <c r="BU83" s="88" t="s">
        <v>1047</v>
      </c>
      <c r="BV83" s="88" t="s">
        <v>4565</v>
      </c>
      <c r="BW83" s="88" t="s">
        <v>2133</v>
      </c>
      <c r="BX83" s="94" t="s">
        <v>701</v>
      </c>
      <c r="BY83" s="94" t="s">
        <v>4566</v>
      </c>
      <c r="BZ83" s="99"/>
      <c r="CA83" s="88" t="s">
        <v>4567</v>
      </c>
      <c r="CB83" s="88" t="s">
        <v>4568</v>
      </c>
      <c r="CC83" s="88" t="s">
        <v>1137</v>
      </c>
      <c r="CD83" s="94" t="s">
        <v>112</v>
      </c>
      <c r="CE83" s="94" t="s">
        <v>4569</v>
      </c>
      <c r="CF83" s="94"/>
      <c r="CG83" s="265" t="s">
        <v>4570</v>
      </c>
      <c r="CH83" s="88" t="s">
        <v>1739</v>
      </c>
      <c r="CI83" s="88" t="s">
        <v>4571</v>
      </c>
      <c r="CJ83" s="94" t="s">
        <v>3320</v>
      </c>
      <c r="CK83" s="94"/>
      <c r="CL83" s="415" t="s">
        <v>4202</v>
      </c>
      <c r="CM83" s="88" t="s">
        <v>4572</v>
      </c>
      <c r="CN83" s="88" t="s">
        <v>4468</v>
      </c>
      <c r="CO83" s="88" t="s">
        <v>1780</v>
      </c>
      <c r="CP83" s="94" t="s">
        <v>4573</v>
      </c>
      <c r="CQ83" s="94" t="s">
        <v>776</v>
      </c>
      <c r="CR83" s="94" t="s">
        <v>2300</v>
      </c>
      <c r="CS83" s="94" t="s">
        <v>4574</v>
      </c>
      <c r="CT83" s="94" t="s">
        <v>945</v>
      </c>
      <c r="CU83" s="92"/>
      <c r="CV83" s="265" t="s">
        <v>4575</v>
      </c>
      <c r="CW83" s="88" t="s">
        <v>2000</v>
      </c>
      <c r="CX83" s="94" t="s">
        <v>2500</v>
      </c>
      <c r="CY83" s="94" t="s">
        <v>3494</v>
      </c>
      <c r="CZ83" s="94" t="s">
        <v>551</v>
      </c>
      <c r="DA83" s="94" t="s">
        <v>3986</v>
      </c>
      <c r="DB83" s="88" t="s">
        <v>4576</v>
      </c>
      <c r="DC83" s="94" t="s">
        <v>364</v>
      </c>
      <c r="DD83" s="94" t="s">
        <v>4577</v>
      </c>
      <c r="DE83" s="94" t="s">
        <v>2060</v>
      </c>
      <c r="DF83" s="94" t="s">
        <v>4578</v>
      </c>
      <c r="DG83" s="94" t="s">
        <v>4579</v>
      </c>
      <c r="DH83" s="94"/>
      <c r="DI83" s="94" t="s">
        <v>4580</v>
      </c>
      <c r="DJ83" s="94" t="s">
        <v>4581</v>
      </c>
      <c r="DK83" s="94" t="s">
        <v>4582</v>
      </c>
      <c r="DL83" s="88" t="s">
        <v>1468</v>
      </c>
      <c r="DM83" s="88" t="s">
        <v>3972</v>
      </c>
      <c r="DN83" s="94" t="s">
        <v>4583</v>
      </c>
      <c r="DO83" s="94" t="s">
        <v>4584</v>
      </c>
      <c r="DP83" s="94" t="s">
        <v>3086</v>
      </c>
      <c r="DQ83" s="94" t="s">
        <v>4211</v>
      </c>
      <c r="DR83" s="88" t="s">
        <v>4585</v>
      </c>
      <c r="DS83" s="88" t="s">
        <v>3535</v>
      </c>
      <c r="DT83" s="88" t="s">
        <v>3783</v>
      </c>
      <c r="DU83" s="94" t="s">
        <v>2114</v>
      </c>
      <c r="DV83" s="94" t="s">
        <v>4586</v>
      </c>
      <c r="DW83" s="88" t="s">
        <v>2896</v>
      </c>
      <c r="DX83" s="94" t="s">
        <v>2229</v>
      </c>
      <c r="DY83" s="94" t="s">
        <v>1906</v>
      </c>
      <c r="DZ83" s="94" t="s">
        <v>2486</v>
      </c>
      <c r="EA83" s="94" t="s">
        <v>1457</v>
      </c>
      <c r="EB83" s="94" t="s">
        <v>2043</v>
      </c>
      <c r="EC83" s="94" t="s">
        <v>2786</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849</v>
      </c>
      <c r="P84" s="167" t="s">
        <v>4052</v>
      </c>
      <c r="Q84" s="243"/>
      <c r="R84" s="167" t="s">
        <v>3745</v>
      </c>
      <c r="S84" s="167" t="s">
        <v>1507</v>
      </c>
      <c r="T84" s="243"/>
      <c r="U84" s="243"/>
      <c r="V84" s="243"/>
      <c r="W84" s="92"/>
      <c r="X84" s="197" t="s">
        <v>3578</v>
      </c>
      <c r="Y84" s="197"/>
      <c r="Z84" s="197" t="s">
        <v>364</v>
      </c>
      <c r="AA84" s="197" t="s">
        <v>2547</v>
      </c>
      <c r="AB84" s="300" t="s">
        <v>4596</v>
      </c>
      <c r="AC84" s="521" t="s">
        <v>4081</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4602</v>
      </c>
      <c r="BF84" s="174" t="s">
        <v>1603</v>
      </c>
      <c r="BG84" s="173"/>
      <c r="BH84" s="173"/>
      <c r="BI84" s="174" t="s">
        <v>2324</v>
      </c>
      <c r="BJ84" s="174" t="s">
        <v>4603</v>
      </c>
      <c r="BK84" s="174"/>
      <c r="BL84" s="173"/>
      <c r="BM84" s="173"/>
      <c r="BN84" s="174" t="s">
        <v>4604</v>
      </c>
      <c r="BO84" s="173"/>
      <c r="BP84" s="173"/>
      <c r="BQ84" s="248"/>
      <c r="BR84" s="175" t="s">
        <v>4605</v>
      </c>
      <c r="BS84" s="175" t="s">
        <v>3675</v>
      </c>
      <c r="BT84" s="175" t="s">
        <v>3221</v>
      </c>
      <c r="BU84" s="175" t="s">
        <v>4261</v>
      </c>
      <c r="BV84" s="175" t="s">
        <v>3000</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1749</v>
      </c>
      <c r="CN84" s="177" t="s">
        <v>2733</v>
      </c>
      <c r="CO84" s="177" t="s">
        <v>434</v>
      </c>
      <c r="CP84" s="254"/>
      <c r="CQ84" s="254"/>
      <c r="CR84" s="254"/>
      <c r="CS84" s="254"/>
      <c r="CT84" s="177" t="s">
        <v>4613</v>
      </c>
      <c r="CU84" s="92"/>
      <c r="CV84" s="203" t="s">
        <v>4614</v>
      </c>
      <c r="CW84" s="255"/>
      <c r="CX84" s="203" t="s">
        <v>3949</v>
      </c>
      <c r="CY84" s="203" t="s">
        <v>4615</v>
      </c>
      <c r="CZ84" s="203" t="s">
        <v>4616</v>
      </c>
      <c r="DA84" s="203" t="s">
        <v>931</v>
      </c>
      <c r="DB84" s="203" t="s">
        <v>4617</v>
      </c>
      <c r="DC84" s="203" t="s">
        <v>4091</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2841</v>
      </c>
      <c r="K85" s="94" t="s">
        <v>3862</v>
      </c>
      <c r="L85" s="94" t="s">
        <v>4624</v>
      </c>
      <c r="M85" s="99"/>
      <c r="N85" s="94" t="s">
        <v>1227</v>
      </c>
      <c r="O85" s="94" t="s">
        <v>4625</v>
      </c>
      <c r="P85" s="94" t="s">
        <v>242</v>
      </c>
      <c r="Q85" s="99"/>
      <c r="R85" s="99"/>
      <c r="S85" s="99"/>
      <c r="T85" s="99"/>
      <c r="U85" s="99"/>
      <c r="V85" s="99"/>
      <c r="W85" s="92"/>
      <c r="X85" s="94" t="s">
        <v>4626</v>
      </c>
      <c r="Y85" s="94"/>
      <c r="Z85" s="94" t="s">
        <v>580</v>
      </c>
      <c r="AA85" s="94" t="s">
        <v>3624</v>
      </c>
      <c r="AB85" s="94" t="s">
        <v>4627</v>
      </c>
      <c r="AC85" s="94" t="s">
        <v>3686</v>
      </c>
      <c r="AD85" s="94" t="s">
        <v>4628</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1451</v>
      </c>
      <c r="BE85" s="94" t="s">
        <v>4412</v>
      </c>
      <c r="BF85" s="94" t="s">
        <v>853</v>
      </c>
      <c r="BG85" s="99"/>
      <c r="BH85" s="99"/>
      <c r="BI85" s="94" t="s">
        <v>770</v>
      </c>
      <c r="BJ85" s="99"/>
      <c r="BK85" s="94" t="s">
        <v>4629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4630</v>
      </c>
      <c r="CJ85" s="94" t="s">
        <v>4631</v>
      </c>
      <c r="CK85" s="94"/>
      <c r="CL85" s="94"/>
      <c r="CM85" s="94" t="s">
        <v>3599</v>
      </c>
      <c r="CN85" s="94" t="s">
        <v>2172</v>
      </c>
      <c r="CO85" s="94" t="s">
        <v>4526</v>
      </c>
      <c r="CP85" s="99"/>
      <c r="CQ85" s="99"/>
      <c r="CR85" s="99"/>
      <c r="CS85" s="99"/>
      <c r="CT85" s="99"/>
      <c r="CU85" s="92"/>
      <c r="CV85" s="94" t="s">
        <v>4632</v>
      </c>
      <c r="CW85" s="99"/>
      <c r="CX85" s="94" t="s">
        <v>1906</v>
      </c>
      <c r="CY85" s="88" t="s">
        <v>4633</v>
      </c>
      <c r="CZ85" s="94" t="s">
        <v>4634</v>
      </c>
      <c r="DA85" s="94" t="s">
        <v>3377</v>
      </c>
      <c r="DB85" s="94" t="s">
        <v>4635</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24" t="str">
        <f>HYPERLINK("https://www.twitch.tv/videos/203127903","1:35.90")</f>
        <v>1:35.90</v>
      </c>
      <c r="CK86" s="525"/>
      <c r="CL86" s="525"/>
      <c r="CM86" s="262" t="s">
        <v>4642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3668</v>
      </c>
      <c r="J87" s="94" t="s">
        <v>4645</v>
      </c>
      <c r="K87" s="94" t="s">
        <v>4646</v>
      </c>
      <c r="L87" s="94" t="s">
        <v>4647</v>
      </c>
      <c r="M87" s="99"/>
      <c r="N87" s="94" t="s">
        <v>4648</v>
      </c>
      <c r="O87" s="94" t="s">
        <v>4243</v>
      </c>
      <c r="P87" s="94" t="s">
        <v>4649</v>
      </c>
      <c r="Q87" s="99"/>
      <c r="R87" s="99"/>
      <c r="S87" s="94" t="s">
        <v>1207</v>
      </c>
      <c r="T87" s="99"/>
      <c r="U87" s="94" t="s">
        <v>1862</v>
      </c>
      <c r="V87" s="99"/>
      <c r="W87" s="92"/>
      <c r="X87" s="94" t="s">
        <v>1317</v>
      </c>
      <c r="Y87" s="94"/>
      <c r="Z87" s="94" t="s">
        <v>722</v>
      </c>
      <c r="AA87" s="94" t="s">
        <v>4650</v>
      </c>
      <c r="AB87" s="94" t="s">
        <v>3604</v>
      </c>
      <c r="AC87" s="94" t="s">
        <v>1694</v>
      </c>
      <c r="AD87" s="94" t="s">
        <v>1644</v>
      </c>
      <c r="AE87" s="99"/>
      <c r="AF87" s="94" t="s">
        <v>3140</v>
      </c>
      <c r="AG87" s="99"/>
      <c r="AH87" s="99"/>
      <c r="AI87" s="94"/>
      <c r="AJ87" s="94" t="s">
        <v>3134</v>
      </c>
      <c r="AK87" s="99"/>
      <c r="AL87" s="97"/>
      <c r="AM87" s="99"/>
      <c r="AN87" s="94" t="s">
        <v>4227</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1426</v>
      </c>
      <c r="BF87" s="94" t="s">
        <v>1512</v>
      </c>
      <c r="BG87" s="99"/>
      <c r="BH87" s="99"/>
      <c r="BI87" s="94" t="s">
        <v>1176</v>
      </c>
      <c r="BJ87" s="94" t="s">
        <v>4654</v>
      </c>
      <c r="BK87" s="94"/>
      <c r="BL87" s="99"/>
      <c r="BM87" s="99"/>
      <c r="BN87" s="94" t="s">
        <v>3681</v>
      </c>
      <c r="BO87" s="99"/>
      <c r="BP87" s="99"/>
      <c r="BQ87" s="236"/>
      <c r="BR87" s="94" t="s">
        <v>4655</v>
      </c>
      <c r="BS87" s="94" t="s">
        <v>3675</v>
      </c>
      <c r="BT87" s="94" t="s">
        <v>2305</v>
      </c>
      <c r="BU87" s="94" t="s">
        <v>4656</v>
      </c>
      <c r="BV87" s="94" t="s">
        <v>246</v>
      </c>
      <c r="BW87" s="94" t="s">
        <v>3847</v>
      </c>
      <c r="BX87" s="99"/>
      <c r="BY87" s="94" t="s">
        <v>2448</v>
      </c>
      <c r="BZ87" s="94" t="s">
        <v>4657</v>
      </c>
      <c r="CA87" s="94"/>
      <c r="CB87" s="99"/>
      <c r="CC87" s="94" t="s">
        <v>1483</v>
      </c>
      <c r="CD87" s="94" t="s">
        <v>237</v>
      </c>
      <c r="CE87" s="99"/>
      <c r="CF87" s="236"/>
      <c r="CG87" s="94" t="s">
        <v>4057</v>
      </c>
      <c r="CH87" s="94" t="s">
        <v>512</v>
      </c>
      <c r="CI87" s="527"/>
      <c r="CJ87" s="94" t="s">
        <v>4658</v>
      </c>
      <c r="CK87" s="94"/>
      <c r="CL87" s="94"/>
      <c r="CM87" s="94" t="s">
        <v>4659</v>
      </c>
      <c r="CN87" s="94" t="s">
        <v>2188</v>
      </c>
      <c r="CO87" s="99"/>
      <c r="CP87" s="99"/>
      <c r="CQ87" s="99"/>
      <c r="CR87" s="94"/>
      <c r="CS87" s="94" t="s">
        <v>4660</v>
      </c>
      <c r="CT87" s="99"/>
      <c r="CU87" s="92"/>
      <c r="CV87" s="94" t="s">
        <v>3852</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59"/>
    </row>
    <row r="88">
      <c r="A88" s="528" t="s">
        <v>4667</v>
      </c>
      <c r="B88" s="104" t="s">
        <v>4668</v>
      </c>
      <c r="C88" s="105" t="s">
        <v>1259</v>
      </c>
      <c r="D88" s="106" t="s">
        <v>439</v>
      </c>
      <c r="E88" s="107" t="s">
        <v>1259</v>
      </c>
      <c r="F88" s="108" t="s">
        <v>4669</v>
      </c>
      <c r="G88" s="104" t="s">
        <v>2023</v>
      </c>
      <c r="H88" s="112" t="s">
        <v>3675</v>
      </c>
      <c r="I88" s="529"/>
      <c r="J88" s="414" t="s">
        <v>4670</v>
      </c>
      <c r="K88" s="112" t="s">
        <v>991</v>
      </c>
      <c r="L88" s="112" t="s">
        <v>2200</v>
      </c>
      <c r="M88" s="112" t="s">
        <v>4671</v>
      </c>
      <c r="N88" s="414"/>
      <c r="O88" s="414" t="s">
        <v>108</v>
      </c>
      <c r="P88" s="112" t="s">
        <v>558</v>
      </c>
      <c r="Q88" s="112" t="s">
        <v>4672</v>
      </c>
      <c r="R88" s="112" t="s">
        <v>3966</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3998</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1392</v>
      </c>
      <c r="CH88" s="135" t="s">
        <v>2353</v>
      </c>
      <c r="CI88" s="135" t="s">
        <v>1746</v>
      </c>
      <c r="CJ88" s="136"/>
      <c r="CK88" s="136"/>
      <c r="CL88" s="136"/>
      <c r="CM88" s="136"/>
      <c r="CN88" s="135" t="s">
        <v>1782</v>
      </c>
      <c r="CO88" s="135" t="s">
        <v>3902</v>
      </c>
      <c r="CP88" s="530"/>
      <c r="CQ88" s="254"/>
      <c r="CR88" s="231" t="s">
        <v>4687</v>
      </c>
      <c r="CS88" s="135" t="s">
        <v>2003</v>
      </c>
      <c r="CT88" s="254"/>
      <c r="CU88" s="92"/>
      <c r="CV88" s="284"/>
      <c r="CW88" s="284"/>
      <c r="CX88" s="140" t="s">
        <v>4688</v>
      </c>
      <c r="CY88" s="140" t="s">
        <v>2208</v>
      </c>
      <c r="CZ88" s="284"/>
      <c r="DA88" s="284"/>
      <c r="DB88" s="140" t="s">
        <v>4206</v>
      </c>
      <c r="DC88" s="140" t="s">
        <v>3825</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3602</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3618</v>
      </c>
      <c r="AI89" s="539" t="s">
        <v>1403</v>
      </c>
      <c r="AJ89" s="88" t="s">
        <v>2209</v>
      </c>
      <c r="AK89" s="539" t="s">
        <v>4707</v>
      </c>
      <c r="AL89" s="541"/>
      <c r="AM89" s="537" t="s">
        <v>3427</v>
      </c>
      <c r="AN89" s="537" t="s">
        <v>1307</v>
      </c>
      <c r="AO89" s="537" t="s">
        <v>4708</v>
      </c>
      <c r="AP89" s="539" t="s">
        <v>2992</v>
      </c>
      <c r="AQ89" s="539" t="s">
        <v>134</v>
      </c>
      <c r="AR89" s="539" t="s">
        <v>2071</v>
      </c>
      <c r="AS89" s="537" t="s">
        <v>4709</v>
      </c>
      <c r="AT89" s="539" t="s">
        <v>4710</v>
      </c>
      <c r="AU89" s="539" t="s">
        <v>3148</v>
      </c>
      <c r="AV89" s="298" t="s">
        <v>2532</v>
      </c>
      <c r="AW89" s="537" t="s">
        <v>3261</v>
      </c>
      <c r="AX89" s="539" t="s">
        <v>263</v>
      </c>
      <c r="AY89" s="539" t="s">
        <v>752</v>
      </c>
      <c r="AZ89" s="539" t="s">
        <v>4711</v>
      </c>
      <c r="BA89" s="542"/>
      <c r="BB89" s="537" t="s">
        <v>4712</v>
      </c>
      <c r="BC89" s="298" t="s">
        <v>419</v>
      </c>
      <c r="BD89" s="537" t="s">
        <v>618</v>
      </c>
      <c r="BE89" s="538" t="s">
        <v>141</v>
      </c>
      <c r="BF89" s="537" t="s">
        <v>4713</v>
      </c>
      <c r="BG89" s="537" t="s">
        <v>4714</v>
      </c>
      <c r="BH89" s="537" t="s">
        <v>4373</v>
      </c>
      <c r="BI89" s="537" t="s">
        <v>2469</v>
      </c>
      <c r="BJ89" s="537" t="s">
        <v>4715</v>
      </c>
      <c r="BK89" s="94"/>
      <c r="BL89" s="538" t="s">
        <v>2494</v>
      </c>
      <c r="BM89" s="543"/>
      <c r="BN89" s="543"/>
      <c r="BO89" s="543"/>
      <c r="BP89" s="543"/>
      <c r="BQ89" s="544"/>
      <c r="BR89" s="543"/>
      <c r="BS89" s="298" t="s">
        <v>4716</v>
      </c>
      <c r="BT89" s="537" t="s">
        <v>4717</v>
      </c>
      <c r="BU89" s="298" t="s">
        <v>2815</v>
      </c>
      <c r="BV89" s="537" t="s">
        <v>4373</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3601</v>
      </c>
      <c r="CP89" s="537"/>
      <c r="CQ89" s="539" t="s">
        <v>3268</v>
      </c>
      <c r="CR89" s="539" t="s">
        <v>4725</v>
      </c>
      <c r="CS89" s="543"/>
      <c r="CT89" s="543"/>
      <c r="CU89" s="540"/>
      <c r="CV89" s="537" t="s">
        <v>4558</v>
      </c>
      <c r="CW89" s="538" t="s">
        <v>2143</v>
      </c>
      <c r="CX89" s="539" t="s">
        <v>4726</v>
      </c>
      <c r="CY89" s="538" t="s">
        <v>4727</v>
      </c>
      <c r="CZ89" s="539" t="s">
        <v>4728</v>
      </c>
      <c r="DA89" s="537" t="s">
        <v>2132</v>
      </c>
      <c r="DB89" s="546" t="s">
        <v>4729</v>
      </c>
      <c r="DC89" s="298" t="s">
        <v>1058</v>
      </c>
      <c r="DD89" s="543"/>
      <c r="DE89" s="543"/>
      <c r="DF89" s="543"/>
      <c r="DG89" s="543"/>
      <c r="DH89" s="544"/>
      <c r="DI89" s="537" t="s">
        <v>3863</v>
      </c>
      <c r="DJ89" s="543"/>
      <c r="DK89" s="537" t="s">
        <v>4730</v>
      </c>
      <c r="DL89" s="537"/>
      <c r="DM89" s="538" t="s">
        <v>4731</v>
      </c>
      <c r="DN89" s="537" t="s">
        <v>4732</v>
      </c>
      <c r="DO89" s="537" t="s">
        <v>4733</v>
      </c>
      <c r="DP89" s="537" t="s">
        <v>1948</v>
      </c>
      <c r="DQ89" s="537" t="s">
        <v>4734</v>
      </c>
      <c r="DR89" s="537" t="s">
        <v>4735</v>
      </c>
      <c r="DS89" s="539" t="s">
        <v>4736</v>
      </c>
      <c r="DT89" s="537" t="s">
        <v>3341</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3993</v>
      </c>
      <c r="H90" s="167" t="s">
        <v>4741</v>
      </c>
      <c r="I90" s="167" t="s">
        <v>4124</v>
      </c>
      <c r="J90" s="167" t="s">
        <v>4306</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3869</v>
      </c>
      <c r="AA90" s="197" t="s">
        <v>4748</v>
      </c>
      <c r="AB90" s="197" t="s">
        <v>2565</v>
      </c>
      <c r="AC90" s="197" t="s">
        <v>4148</v>
      </c>
      <c r="AD90" s="197" t="s">
        <v>2474</v>
      </c>
      <c r="AE90" s="197"/>
      <c r="AF90" s="197" t="s">
        <v>293</v>
      </c>
      <c r="AG90" s="197" t="s">
        <v>1434</v>
      </c>
      <c r="AH90" s="245"/>
      <c r="AI90" s="245"/>
      <c r="AJ90" s="197" t="s">
        <v>1820</v>
      </c>
      <c r="AK90" s="245"/>
      <c r="AL90" s="97"/>
      <c r="AM90" s="168" t="s">
        <v>3440</v>
      </c>
      <c r="AN90" s="168" t="s">
        <v>1579</v>
      </c>
      <c r="AO90" s="246"/>
      <c r="AP90" s="246"/>
      <c r="AQ90" s="246"/>
      <c r="AR90" s="246"/>
      <c r="AS90" s="246"/>
      <c r="AT90" s="246"/>
      <c r="AU90" s="168" t="s">
        <v>3715</v>
      </c>
      <c r="AV90" s="168" t="s">
        <v>3681</v>
      </c>
      <c r="AW90" s="246"/>
      <c r="AX90" s="246"/>
      <c r="AY90" s="168" t="s">
        <v>2196</v>
      </c>
      <c r="AZ90" s="246"/>
      <c r="BA90" s="246"/>
      <c r="BB90" s="174" t="s">
        <v>4749</v>
      </c>
      <c r="BC90" s="174" t="s">
        <v>3265</v>
      </c>
      <c r="BD90" s="174" t="s">
        <v>2665</v>
      </c>
      <c r="BE90" s="174" t="s">
        <v>4750</v>
      </c>
      <c r="BF90" s="174" t="s">
        <v>3378</v>
      </c>
      <c r="BG90" s="174"/>
      <c r="BH90" s="173"/>
      <c r="BI90" s="174" t="s">
        <v>2044</v>
      </c>
      <c r="BJ90" s="174" t="s">
        <v>4751</v>
      </c>
      <c r="BK90" s="174"/>
      <c r="BL90" s="174" t="s">
        <v>2531</v>
      </c>
      <c r="BM90" s="174" t="s">
        <v>4752</v>
      </c>
      <c r="BN90" s="174" t="s">
        <v>4753</v>
      </c>
      <c r="BO90" s="173"/>
      <c r="BP90" s="173"/>
      <c r="BQ90" s="248"/>
      <c r="BR90" s="175"/>
      <c r="BS90" s="175" t="s">
        <v>2214</v>
      </c>
      <c r="BT90" s="175" t="s">
        <v>4458</v>
      </c>
      <c r="BU90" s="129" t="s">
        <v>891</v>
      </c>
      <c r="BV90" s="175" t="s">
        <v>4754</v>
      </c>
      <c r="BW90" s="129" t="s">
        <v>163</v>
      </c>
      <c r="BX90" s="175" t="s">
        <v>3399</v>
      </c>
      <c r="BY90" s="175" t="s">
        <v>4755</v>
      </c>
      <c r="BZ90" s="251"/>
      <c r="CA90" s="129" t="s">
        <v>1240</v>
      </c>
      <c r="CB90" s="175" t="s">
        <v>4756</v>
      </c>
      <c r="CC90" s="175" t="s">
        <v>4757</v>
      </c>
      <c r="CD90" s="175" t="s">
        <v>2597</v>
      </c>
      <c r="CE90" s="251"/>
      <c r="CF90" s="252"/>
      <c r="CG90" s="177" t="s">
        <v>4758</v>
      </c>
      <c r="CH90" s="177" t="s">
        <v>3329</v>
      </c>
      <c r="CI90" s="177" t="s">
        <v>3518</v>
      </c>
      <c r="CJ90" s="177" t="s">
        <v>4759</v>
      </c>
      <c r="CK90" s="177"/>
      <c r="CL90" s="177"/>
      <c r="CM90" s="177" t="s">
        <v>4760</v>
      </c>
      <c r="CN90" s="177" t="s">
        <v>3830</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3419</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3637</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3545</v>
      </c>
      <c r="CO91" s="88" t="s">
        <v>2924</v>
      </c>
      <c r="CP91" s="99"/>
      <c r="CQ91" s="99"/>
      <c r="CR91" s="99"/>
      <c r="CS91" s="99"/>
      <c r="CT91" s="99"/>
      <c r="CU91" s="92"/>
      <c r="CV91" s="88" t="s">
        <v>4786</v>
      </c>
      <c r="CW91" s="415" t="str">
        <f>HYPERLINK("https://youtu.be/E3G9EWGMU-8?t=986", "14.55")</f>
        <v>14.55</v>
      </c>
      <c r="CX91" s="88" t="s">
        <v>3464</v>
      </c>
      <c r="CY91" s="88" t="s">
        <v>4787</v>
      </c>
      <c r="CZ91" s="88" t="s">
        <v>625</v>
      </c>
      <c r="DA91" s="99"/>
      <c r="DB91" s="88" t="s">
        <v>4788</v>
      </c>
      <c r="DC91" s="88" t="s">
        <v>3912</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3491</v>
      </c>
      <c r="I92" s="167" t="s">
        <v>4792</v>
      </c>
      <c r="J92" s="167" t="s">
        <v>1366</v>
      </c>
      <c r="K92" s="167" t="s">
        <v>4593</v>
      </c>
      <c r="L92" s="167" t="s">
        <v>4793</v>
      </c>
      <c r="M92" s="243"/>
      <c r="N92" s="167" t="s">
        <v>2243</v>
      </c>
      <c r="O92" s="167" t="s">
        <v>4407</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4472</v>
      </c>
      <c r="AF92" s="197" t="s">
        <v>1385</v>
      </c>
      <c r="AG92" s="197" t="s">
        <v>4368</v>
      </c>
      <c r="AH92" s="197" t="s">
        <v>1341</v>
      </c>
      <c r="AI92" s="197"/>
      <c r="AJ92" s="116" t="s">
        <v>4800</v>
      </c>
      <c r="AK92" s="197" t="s">
        <v>4801</v>
      </c>
      <c r="AL92" s="97"/>
      <c r="AM92" s="168" t="s">
        <v>3725</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3345</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3230</v>
      </c>
      <c r="CM92" s="254"/>
      <c r="CN92" s="177" t="s">
        <v>4817</v>
      </c>
      <c r="CO92" s="177" t="s">
        <v>3408</v>
      </c>
      <c r="CP92" s="254"/>
      <c r="CQ92" s="177" t="s">
        <v>4067</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4320</v>
      </c>
      <c r="DK92" s="257"/>
      <c r="DL92" s="204"/>
      <c r="DM92" s="204" t="s">
        <v>4649</v>
      </c>
      <c r="DN92" s="204" t="s">
        <v>4824</v>
      </c>
      <c r="DO92" s="145" t="s">
        <v>3918</v>
      </c>
      <c r="DP92" s="204" t="s">
        <v>3180</v>
      </c>
      <c r="DQ92" s="204" t="s">
        <v>2293</v>
      </c>
      <c r="DR92" s="204" t="s">
        <v>1037</v>
      </c>
      <c r="DS92" s="257"/>
      <c r="DT92" s="204" t="s">
        <v>4825</v>
      </c>
      <c r="DU92" s="204" t="s">
        <v>4826</v>
      </c>
      <c r="DV92" s="204" t="s">
        <v>4827</v>
      </c>
      <c r="DW92" s="204" t="s">
        <v>4828</v>
      </c>
      <c r="DX92" s="204" t="s">
        <v>1847</v>
      </c>
      <c r="DY92" s="204" t="s">
        <v>1314</v>
      </c>
      <c r="DZ92" s="204" t="s">
        <v>3565</v>
      </c>
      <c r="EA92" s="204" t="s">
        <v>3697</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4317</v>
      </c>
      <c r="AE93" s="94"/>
      <c r="AF93" s="162" t="s">
        <v>3438</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4467</v>
      </c>
      <c r="BC93" s="94" t="s">
        <v>1947</v>
      </c>
      <c r="BD93" s="94" t="s">
        <v>2217</v>
      </c>
      <c r="BE93" s="88" t="s">
        <v>380</v>
      </c>
      <c r="BF93" s="94" t="s">
        <v>1230</v>
      </c>
      <c r="BG93" s="99"/>
      <c r="BH93" s="99"/>
      <c r="BI93" s="265" t="s">
        <v>2655</v>
      </c>
      <c r="BJ93" s="99"/>
      <c r="BK93" s="94" t="s">
        <v>4842</v>
      </c>
      <c r="BL93" s="99"/>
      <c r="BM93" s="94"/>
      <c r="BN93" s="94" t="s">
        <v>3268</v>
      </c>
      <c r="BO93" s="94" t="s">
        <v>4480</v>
      </c>
      <c r="BP93" s="99"/>
      <c r="BQ93" s="236"/>
      <c r="BR93" s="99"/>
      <c r="BS93" s="94" t="s">
        <v>2237</v>
      </c>
      <c r="BT93" s="98" t="s">
        <v>3680</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4421</v>
      </c>
      <c r="CZ93" s="94" t="s">
        <v>4850</v>
      </c>
      <c r="DA93" s="94" t="s">
        <v>4851</v>
      </c>
      <c r="DB93" s="265" t="s">
        <v>4662</v>
      </c>
      <c r="DC93" s="94" t="s">
        <v>4091</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3862</v>
      </c>
      <c r="L94" s="112" t="s">
        <v>2944</v>
      </c>
      <c r="M94" s="112" t="s">
        <v>3469</v>
      </c>
      <c r="N94" s="112" t="s">
        <v>4863</v>
      </c>
      <c r="O94" s="112" t="s">
        <v>4243</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3438</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3505</v>
      </c>
      <c r="AV94" s="121" t="s">
        <v>3174</v>
      </c>
      <c r="AW94" s="121" t="s">
        <v>4872</v>
      </c>
      <c r="AX94" s="246"/>
      <c r="AY94" s="121" t="s">
        <v>4271</v>
      </c>
      <c r="AZ94" s="246"/>
      <c r="BA94" s="246"/>
      <c r="BB94" s="174" t="s">
        <v>2089</v>
      </c>
      <c r="BC94" s="174" t="s">
        <v>2793</v>
      </c>
      <c r="BD94" s="174" t="s">
        <v>2044</v>
      </c>
      <c r="BE94" s="126" t="s">
        <v>4873</v>
      </c>
      <c r="BF94" s="126" t="s">
        <v>4628</v>
      </c>
      <c r="BG94" s="173"/>
      <c r="BH94" s="173"/>
      <c r="BI94" s="126" t="s">
        <v>2897</v>
      </c>
      <c r="BJ94" s="173"/>
      <c r="BK94" s="126" t="s">
        <v>4874</v>
      </c>
      <c r="BL94" s="126" t="s">
        <v>2787</v>
      </c>
      <c r="BM94" s="173"/>
      <c r="BN94" s="126" t="s">
        <v>2486</v>
      </c>
      <c r="BO94" s="173"/>
      <c r="BP94" s="173"/>
      <c r="BQ94" s="248"/>
      <c r="BR94" s="129" t="s">
        <v>4875</v>
      </c>
      <c r="BS94" s="251"/>
      <c r="BT94" s="175" t="s">
        <v>4876</v>
      </c>
      <c r="BU94" s="129" t="s">
        <v>4521</v>
      </c>
      <c r="BV94" s="251"/>
      <c r="BW94" s="251"/>
      <c r="BX94" s="251"/>
      <c r="BY94" s="175" t="s">
        <v>4877</v>
      </c>
      <c r="BZ94" s="279" t="s">
        <v>804</v>
      </c>
      <c r="CA94" s="129" t="s">
        <v>4878</v>
      </c>
      <c r="CB94" s="129" t="s">
        <v>4879</v>
      </c>
      <c r="CC94" s="175" t="s">
        <v>4690</v>
      </c>
      <c r="CD94" s="129" t="s">
        <v>4061</v>
      </c>
      <c r="CE94" s="251"/>
      <c r="CF94" s="252"/>
      <c r="CG94" s="135" t="s">
        <v>4880</v>
      </c>
      <c r="CH94" s="135" t="s">
        <v>1397</v>
      </c>
      <c r="CI94" s="177" t="s">
        <v>4881</v>
      </c>
      <c r="CJ94" s="135" t="s">
        <v>4882</v>
      </c>
      <c r="CK94" s="136"/>
      <c r="CL94" s="135" t="s">
        <v>4883</v>
      </c>
      <c r="CM94" s="135" t="s">
        <v>4498</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3367</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4633</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3321</v>
      </c>
      <c r="BZ95" s="94" t="s">
        <v>4901</v>
      </c>
      <c r="CA95" s="94" t="s">
        <v>4902</v>
      </c>
      <c r="CB95" s="99"/>
      <c r="CC95" s="99"/>
      <c r="CD95" s="99"/>
      <c r="CE95" s="99"/>
      <c r="CF95" s="236"/>
      <c r="CG95" s="88" t="s">
        <v>172</v>
      </c>
      <c r="CH95" s="94" t="s">
        <v>893</v>
      </c>
      <c r="CI95" s="99"/>
      <c r="CJ95" s="88" t="s">
        <v>4903</v>
      </c>
      <c r="CK95" s="93"/>
      <c r="CL95" s="93"/>
      <c r="CM95" s="94" t="s">
        <v>3700</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4669</v>
      </c>
      <c r="H96" s="414" t="s">
        <v>4119</v>
      </c>
      <c r="I96" s="529" t="s">
        <v>4909</v>
      </c>
      <c r="J96" s="112" t="s">
        <v>4910</v>
      </c>
      <c r="K96" s="112" t="s">
        <v>2842</v>
      </c>
      <c r="L96" s="414" t="s">
        <v>282</v>
      </c>
      <c r="M96" s="414"/>
      <c r="N96" s="414"/>
      <c r="O96" s="414" t="s">
        <v>3217</v>
      </c>
      <c r="P96" s="414" t="s">
        <v>1072</v>
      </c>
      <c r="Q96" s="243"/>
      <c r="R96" s="243"/>
      <c r="S96" s="243"/>
      <c r="T96" s="243"/>
      <c r="U96" s="243"/>
      <c r="V96" s="243"/>
      <c r="W96" s="92"/>
      <c r="X96" s="380" t="s">
        <v>831</v>
      </c>
      <c r="Y96" s="117"/>
      <c r="Z96" s="117" t="s">
        <v>3838</v>
      </c>
      <c r="AA96" s="117" t="s">
        <v>3624</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3384</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4626</v>
      </c>
      <c r="Y97" s="102"/>
      <c r="Z97" s="88" t="s">
        <v>2202</v>
      </c>
      <c r="AA97" s="88" t="s">
        <v>4370</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4449</v>
      </c>
      <c r="BD97" s="88" t="s">
        <v>2222</v>
      </c>
      <c r="BE97" s="88" t="s">
        <v>4106</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4301</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4617</v>
      </c>
      <c r="DC97" s="99"/>
      <c r="DD97" s="99"/>
      <c r="DE97" s="99"/>
      <c r="DF97" s="94" t="s">
        <v>373</v>
      </c>
      <c r="DG97" s="99"/>
      <c r="DH97" s="236"/>
      <c r="DI97" s="99"/>
      <c r="DJ97" s="99"/>
      <c r="DK97" s="99"/>
      <c r="DL97" s="88" t="s">
        <v>4548</v>
      </c>
      <c r="DM97" s="101" t="s">
        <v>180</v>
      </c>
      <c r="DN97" s="99"/>
      <c r="DO97" s="88" t="s">
        <v>423</v>
      </c>
      <c r="DP97" s="89" t="s">
        <v>4939</v>
      </c>
      <c r="DQ97" s="88" t="s">
        <v>4940</v>
      </c>
      <c r="DR97" s="99"/>
      <c r="DS97" s="99"/>
      <c r="DT97" s="99"/>
      <c r="DU97" s="94" t="s">
        <v>4458</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3706</v>
      </c>
      <c r="I98" s="400" t="s">
        <v>3643</v>
      </c>
      <c r="J98" s="400" t="s">
        <v>2114</v>
      </c>
      <c r="K98" s="112" t="s">
        <v>1885</v>
      </c>
      <c r="L98" s="400" t="s">
        <v>1094</v>
      </c>
      <c r="M98" s="112" t="s">
        <v>4943</v>
      </c>
      <c r="N98" s="400" t="s">
        <v>4944</v>
      </c>
      <c r="O98" s="400" t="s">
        <v>4873</v>
      </c>
      <c r="P98" s="400" t="s">
        <v>3098</v>
      </c>
      <c r="Q98" s="400" t="s">
        <v>4945</v>
      </c>
      <c r="R98" s="112" t="s">
        <v>3244</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4653</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3299</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4397</v>
      </c>
      <c r="BY98" s="293" t="s">
        <v>4971</v>
      </c>
      <c r="BZ98" s="251"/>
      <c r="CA98" s="293" t="s">
        <v>4972</v>
      </c>
      <c r="CB98" s="129" t="s">
        <v>4973</v>
      </c>
      <c r="CC98" s="251"/>
      <c r="CD98" s="251"/>
      <c r="CE98" s="251"/>
      <c r="CF98" s="252"/>
      <c r="CG98" s="135" t="s">
        <v>4974</v>
      </c>
      <c r="CH98" s="135" t="s">
        <v>322</v>
      </c>
      <c r="CI98" s="135" t="s">
        <v>3813</v>
      </c>
      <c r="CJ98" s="177" t="s">
        <v>4975</v>
      </c>
      <c r="CK98" s="177"/>
      <c r="CL98" s="495" t="s">
        <v>4976</v>
      </c>
      <c r="CM98" s="177" t="s">
        <v>4977</v>
      </c>
      <c r="CN98" s="135" t="s">
        <v>1438</v>
      </c>
      <c r="CO98" s="135" t="s">
        <v>3601</v>
      </c>
      <c r="CP98" s="254"/>
      <c r="CQ98" s="254"/>
      <c r="CR98" s="254"/>
      <c r="CS98" s="254"/>
      <c r="CT98" s="135" t="s">
        <v>4978</v>
      </c>
      <c r="CU98" s="92"/>
      <c r="CV98" s="140" t="s">
        <v>4979</v>
      </c>
      <c r="CW98" s="371" t="s">
        <v>3975</v>
      </c>
      <c r="CX98" s="371" t="s">
        <v>4350</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4210</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3371</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3517</v>
      </c>
      <c r="L100" s="345" t="s">
        <v>4991</v>
      </c>
      <c r="M100" s="345"/>
      <c r="N100" s="345" t="s">
        <v>2883</v>
      </c>
      <c r="O100" s="345" t="s">
        <v>1450</v>
      </c>
      <c r="P100" s="345" t="s">
        <v>2892</v>
      </c>
      <c r="Q100" s="565"/>
      <c r="R100" s="565"/>
      <c r="S100" s="565"/>
      <c r="T100" s="565"/>
      <c r="U100" s="565"/>
      <c r="V100" s="565"/>
      <c r="W100" s="92"/>
      <c r="X100" s="300" t="s">
        <v>3939</v>
      </c>
      <c r="Y100" s="300"/>
      <c r="Z100" s="300" t="s">
        <v>364</v>
      </c>
      <c r="AA100" s="300" t="s">
        <v>2242</v>
      </c>
      <c r="AB100" s="300" t="s">
        <v>1071</v>
      </c>
      <c r="AC100" s="300" t="s">
        <v>4439</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3351</v>
      </c>
      <c r="AV100" s="424" t="s">
        <v>4995</v>
      </c>
      <c r="AW100" s="424"/>
      <c r="AX100" s="568"/>
      <c r="AY100" s="568"/>
      <c r="AZ100" s="568"/>
      <c r="BA100" s="568"/>
      <c r="BB100" s="200" t="s">
        <v>4044</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3415</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3814</v>
      </c>
      <c r="CP100" s="577"/>
      <c r="CQ100" s="578"/>
      <c r="CR100" s="578"/>
      <c r="CS100" s="578"/>
      <c r="CT100" s="578"/>
      <c r="CU100" s="579"/>
      <c r="CV100" s="283" t="s">
        <v>3908</v>
      </c>
      <c r="CW100" s="283" t="s">
        <v>243</v>
      </c>
      <c r="CX100" s="283" t="s">
        <v>1627</v>
      </c>
      <c r="CY100" s="283" t="s">
        <v>997</v>
      </c>
      <c r="CZ100" s="283" t="s">
        <v>3819</v>
      </c>
      <c r="DA100" s="283" t="s">
        <v>4314</v>
      </c>
      <c r="DB100" s="283" t="s">
        <v>5005</v>
      </c>
      <c r="DC100" s="283" t="s">
        <v>4391</v>
      </c>
      <c r="DD100" s="580"/>
      <c r="DE100" s="580"/>
      <c r="DF100" s="580"/>
      <c r="DG100" s="580"/>
      <c r="DH100" s="581"/>
      <c r="DI100" s="286"/>
      <c r="DJ100" s="582"/>
      <c r="DK100" s="582"/>
      <c r="DL100" s="286"/>
      <c r="DM100" s="286"/>
      <c r="DN100" s="286"/>
      <c r="DO100" s="582"/>
      <c r="DP100" s="582"/>
      <c r="DQ100" s="582"/>
      <c r="DR100" s="286" t="s">
        <v>3241</v>
      </c>
      <c r="DS100" s="286" t="s">
        <v>4485</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3397</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3499</v>
      </c>
      <c r="BV101" s="94" t="s">
        <v>5013</v>
      </c>
      <c r="BW101" s="94" t="s">
        <v>3419</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4098</v>
      </c>
      <c r="T102" s="243"/>
      <c r="U102" s="167" t="s">
        <v>638</v>
      </c>
      <c r="V102" s="243"/>
      <c r="W102" s="92"/>
      <c r="X102" s="197" t="s">
        <v>2006</v>
      </c>
      <c r="Y102" s="197"/>
      <c r="Z102" s="197" t="s">
        <v>1901</v>
      </c>
      <c r="AA102" s="197" t="s">
        <v>5028</v>
      </c>
      <c r="AB102" s="197" t="s">
        <v>3682</v>
      </c>
      <c r="AC102" s="584" t="s">
        <v>2570</v>
      </c>
      <c r="AD102" s="197" t="s">
        <v>4464</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4200</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3451</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4616</v>
      </c>
      <c r="CN102" s="457" t="s">
        <v>1408</v>
      </c>
      <c r="CO102" s="177" t="s">
        <v>3144</v>
      </c>
      <c r="CP102" s="254"/>
      <c r="CQ102" s="254"/>
      <c r="CR102" s="177"/>
      <c r="CS102" s="177" t="s">
        <v>5043</v>
      </c>
      <c r="CT102" s="254"/>
      <c r="CU102" s="92"/>
      <c r="CV102" s="203" t="s">
        <v>5044</v>
      </c>
      <c r="CW102" s="203" t="s">
        <v>2576</v>
      </c>
      <c r="CX102" s="203" t="s">
        <v>5045</v>
      </c>
      <c r="CY102" s="203" t="s">
        <v>4404</v>
      </c>
      <c r="CZ102" s="255"/>
      <c r="DA102" s="203" t="s">
        <v>390</v>
      </c>
      <c r="DB102" s="203" t="s">
        <v>5046</v>
      </c>
      <c r="DC102" s="203" t="s">
        <v>4249</v>
      </c>
      <c r="DD102" s="255"/>
      <c r="DE102" s="255"/>
      <c r="DF102" s="203" t="s">
        <v>3554</v>
      </c>
      <c r="DG102" s="203" t="s">
        <v>1542</v>
      </c>
      <c r="DH102" s="296"/>
      <c r="DI102" s="257"/>
      <c r="DJ102" s="257"/>
      <c r="DK102" s="257"/>
      <c r="DL102" s="204"/>
      <c r="DM102" s="204" t="s">
        <v>5047</v>
      </c>
      <c r="DN102" s="204" t="s">
        <v>5048</v>
      </c>
      <c r="DO102" s="257"/>
      <c r="DP102" s="257"/>
      <c r="DQ102" s="257"/>
      <c r="DR102" s="257"/>
      <c r="DS102" s="257"/>
      <c r="DT102" s="204" t="s">
        <v>4474</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4220</v>
      </c>
      <c r="G103" s="82" t="s">
        <v>5052</v>
      </c>
      <c r="H103" s="88" t="s">
        <v>5053</v>
      </c>
      <c r="I103" s="88" t="s">
        <v>3015</v>
      </c>
      <c r="J103" s="88" t="s">
        <v>3966</v>
      </c>
      <c r="K103" s="94" t="s">
        <v>1274</v>
      </c>
      <c r="L103" s="94" t="s">
        <v>5054</v>
      </c>
      <c r="M103" s="94" t="s">
        <v>5055</v>
      </c>
      <c r="N103" s="94" t="s">
        <v>5056</v>
      </c>
      <c r="O103" s="94" t="s">
        <v>5057</v>
      </c>
      <c r="P103" s="88" t="s">
        <v>4052</v>
      </c>
      <c r="Q103" s="94" t="s">
        <v>5058</v>
      </c>
      <c r="R103" s="99"/>
      <c r="S103" s="94" t="s">
        <v>1386</v>
      </c>
      <c r="T103" s="99"/>
      <c r="U103" s="94" t="s">
        <v>236</v>
      </c>
      <c r="V103" s="259" t="s">
        <v>5059</v>
      </c>
      <c r="W103" s="226"/>
      <c r="X103" s="94" t="s">
        <v>1603</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3757</v>
      </c>
      <c r="AR103" s="94" t="s">
        <v>1356</v>
      </c>
      <c r="AS103" s="99"/>
      <c r="AT103" s="94" t="s">
        <v>5069</v>
      </c>
      <c r="AU103" s="88" t="s">
        <v>5070</v>
      </c>
      <c r="AV103" s="94" t="s">
        <v>3263</v>
      </c>
      <c r="AW103" s="94" t="s">
        <v>4148</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4458</v>
      </c>
      <c r="BU103" s="94" t="s">
        <v>2046</v>
      </c>
      <c r="BV103" s="99"/>
      <c r="BW103" s="93" t="s">
        <v>432</v>
      </c>
      <c r="BX103" s="99"/>
      <c r="BY103" s="99"/>
      <c r="BZ103" s="94" t="s">
        <v>3810</v>
      </c>
      <c r="CA103" s="94" t="s">
        <v>641</v>
      </c>
      <c r="CB103" s="88" t="s">
        <v>5077</v>
      </c>
      <c r="CC103" s="94" t="s">
        <v>5078</v>
      </c>
      <c r="CD103" s="94" t="s">
        <v>3654</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3870</v>
      </c>
      <c r="CX103" s="88" t="s">
        <v>5088</v>
      </c>
      <c r="CY103" s="94" t="s">
        <v>5089</v>
      </c>
      <c r="CZ103" s="99"/>
      <c r="DA103" s="94" t="s">
        <v>4306</v>
      </c>
      <c r="DB103" s="94" t="s">
        <v>5090</v>
      </c>
      <c r="DC103" s="94" t="s">
        <v>3601</v>
      </c>
      <c r="DD103" s="94" t="s">
        <v>5091</v>
      </c>
      <c r="DE103" s="94" t="s">
        <v>3425</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4663</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3426</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1519</v>
      </c>
      <c r="BF104" s="174"/>
      <c r="BG104" s="174" t="s">
        <v>5108</v>
      </c>
      <c r="BH104" s="173"/>
      <c r="BI104" s="125" t="str">
        <f>HYPERLINK("https://www.youtube.com/watch?v=D3qit_yrtB8&amp;feature=youtu.be","27.76")</f>
        <v>27.76</v>
      </c>
      <c r="BJ104" s="174" t="s">
        <v>4431</v>
      </c>
      <c r="BK104" s="174"/>
      <c r="BL104" s="174" t="s">
        <v>5109</v>
      </c>
      <c r="BM104" s="173"/>
      <c r="BN104" s="174" t="s">
        <v>1596</v>
      </c>
      <c r="BO104" s="173"/>
      <c r="BP104" s="173"/>
      <c r="BQ104" s="248"/>
      <c r="BR104" s="251"/>
      <c r="BS104" s="175" t="s">
        <v>5110</v>
      </c>
      <c r="BT104" s="175" t="s">
        <v>5111</v>
      </c>
      <c r="BU104" s="175" t="s">
        <v>4379</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4669</v>
      </c>
      <c r="H105" s="94" t="s">
        <v>2763</v>
      </c>
      <c r="I105" s="94" t="s">
        <v>3982</v>
      </c>
      <c r="J105" s="94" t="s">
        <v>5121</v>
      </c>
      <c r="K105" s="94" t="s">
        <v>3931</v>
      </c>
      <c r="L105" s="94" t="s">
        <v>5122</v>
      </c>
      <c r="M105" s="94" t="s">
        <v>5123</v>
      </c>
      <c r="N105" s="94" t="s">
        <v>5124</v>
      </c>
      <c r="O105" s="94" t="s">
        <v>5125</v>
      </c>
      <c r="P105" s="94" t="s">
        <v>2683</v>
      </c>
      <c r="Q105" s="99"/>
      <c r="R105" s="99"/>
      <c r="S105" s="99"/>
      <c r="T105" s="99"/>
      <c r="U105" s="99"/>
      <c r="V105" s="99"/>
      <c r="W105" s="92"/>
      <c r="X105" s="94" t="s">
        <v>3437</v>
      </c>
      <c r="Y105" s="94"/>
      <c r="Z105" s="94" t="s">
        <v>3527</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920</v>
      </c>
      <c r="CJ105" s="99"/>
      <c r="CK105" s="99"/>
      <c r="CL105" s="99"/>
      <c r="CM105" s="94" t="s">
        <v>4020</v>
      </c>
      <c r="CN105" s="94" t="s">
        <v>3464</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4266</v>
      </c>
      <c r="L106" s="167" t="s">
        <v>2322</v>
      </c>
      <c r="M106" s="243"/>
      <c r="N106" s="167" t="s">
        <v>4342</v>
      </c>
      <c r="O106" s="167" t="s">
        <v>5142</v>
      </c>
      <c r="P106" s="167" t="s">
        <v>4052</v>
      </c>
      <c r="Q106" s="243"/>
      <c r="R106" s="243"/>
      <c r="S106" s="243"/>
      <c r="T106" s="243"/>
      <c r="U106" s="243"/>
      <c r="V106" s="243"/>
      <c r="W106" s="92"/>
      <c r="X106" s="197" t="s">
        <v>4800</v>
      </c>
      <c r="Y106" s="197"/>
      <c r="Z106" s="197" t="s">
        <v>3351</v>
      </c>
      <c r="AA106" s="197" t="s">
        <v>5143</v>
      </c>
      <c r="AB106" s="197" t="s">
        <v>4868</v>
      </c>
      <c r="AC106" s="245"/>
      <c r="AD106" s="197" t="s">
        <v>4174</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4136</v>
      </c>
      <c r="BG106" s="174" t="s">
        <v>1341</v>
      </c>
      <c r="BH106" s="173"/>
      <c r="BI106" s="174" t="s">
        <v>2665</v>
      </c>
      <c r="BJ106" s="174" t="s">
        <v>5147</v>
      </c>
      <c r="BK106" s="174"/>
      <c r="BL106" s="173"/>
      <c r="BM106" s="173"/>
      <c r="BN106" s="173"/>
      <c r="BO106" s="173"/>
      <c r="BP106" s="173"/>
      <c r="BQ106" s="248"/>
      <c r="BR106" s="175" t="s">
        <v>3782</v>
      </c>
      <c r="BS106" s="251"/>
      <c r="BT106" s="175" t="s">
        <v>2637</v>
      </c>
      <c r="BU106" s="175" t="s">
        <v>5148</v>
      </c>
      <c r="BV106" s="251"/>
      <c r="BW106" s="175" t="s">
        <v>5149</v>
      </c>
      <c r="BX106" s="251"/>
      <c r="BY106" s="251"/>
      <c r="BZ106" s="175" t="s">
        <v>3810</v>
      </c>
      <c r="CA106" s="251"/>
      <c r="CB106" s="251"/>
      <c r="CC106" s="251"/>
      <c r="CD106" s="251"/>
      <c r="CE106" s="251"/>
      <c r="CF106" s="252"/>
      <c r="CG106" s="177" t="s">
        <v>4404</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3464</v>
      </c>
      <c r="CY106" s="203" t="s">
        <v>2944</v>
      </c>
      <c r="CZ106" s="255"/>
      <c r="DA106" s="140" t="s">
        <v>3325</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4199</v>
      </c>
      <c r="J107" s="94" t="s">
        <v>2464</v>
      </c>
      <c r="K107" s="93" t="s">
        <v>4384</v>
      </c>
      <c r="L107" s="94" t="s">
        <v>5156</v>
      </c>
      <c r="M107" s="99"/>
      <c r="N107" s="94" t="s">
        <v>673</v>
      </c>
      <c r="O107" s="94" t="s">
        <v>3837</v>
      </c>
      <c r="P107" s="94" t="s">
        <v>4344</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4349</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3918</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3309</v>
      </c>
      <c r="Y108" s="197"/>
      <c r="Z108" s="197" t="s">
        <v>4402</v>
      </c>
      <c r="AA108" s="197" t="s">
        <v>4086</v>
      </c>
      <c r="AB108" s="197" t="s">
        <v>4924</v>
      </c>
      <c r="AC108" s="197" t="s">
        <v>4305</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4347</v>
      </c>
      <c r="AV108" s="168" t="s">
        <v>2172</v>
      </c>
      <c r="AW108" s="246"/>
      <c r="AX108" s="246"/>
      <c r="AY108" s="246"/>
      <c r="AZ108" s="246"/>
      <c r="BA108" s="246"/>
      <c r="BB108" s="174" t="s">
        <v>4448</v>
      </c>
      <c r="BC108" s="174" t="s">
        <v>3996</v>
      </c>
      <c r="BD108" s="173"/>
      <c r="BE108" s="174" t="s">
        <v>4407</v>
      </c>
      <c r="BF108" s="174" t="s">
        <v>5175</v>
      </c>
      <c r="BG108" s="173"/>
      <c r="BH108" s="173"/>
      <c r="BI108" s="174" t="s">
        <v>3348</v>
      </c>
      <c r="BJ108" s="174" t="s">
        <v>5176</v>
      </c>
      <c r="BK108" s="173"/>
      <c r="BL108" s="174" t="s">
        <v>1493</v>
      </c>
      <c r="BM108" s="173"/>
      <c r="BN108" s="173"/>
      <c r="BO108" s="173"/>
      <c r="BP108" s="173"/>
      <c r="BQ108" s="248"/>
      <c r="BR108" s="175" t="s">
        <v>5177</v>
      </c>
      <c r="BS108" s="175" t="s">
        <v>4276</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3439</v>
      </c>
      <c r="CN108" s="177" t="s">
        <v>4004</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3467</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3337</v>
      </c>
      <c r="H110" s="243"/>
      <c r="I110" s="167" t="s">
        <v>5196</v>
      </c>
      <c r="J110" s="112" t="s">
        <v>5197</v>
      </c>
      <c r="K110" s="167" t="s">
        <v>4493</v>
      </c>
      <c r="L110" s="400" t="s">
        <v>567</v>
      </c>
      <c r="M110" s="243"/>
      <c r="N110" s="167" t="s">
        <v>5198</v>
      </c>
      <c r="O110" s="167" t="s">
        <v>1023</v>
      </c>
      <c r="P110" s="167" t="s">
        <v>3624</v>
      </c>
      <c r="Q110" s="243"/>
      <c r="R110" s="243"/>
      <c r="S110" s="243"/>
      <c r="T110" s="243"/>
      <c r="U110" s="243"/>
      <c r="V110" s="243"/>
      <c r="W110" s="92"/>
      <c r="X110" s="197" t="s">
        <v>2631</v>
      </c>
      <c r="Y110" s="197"/>
      <c r="Z110" s="197" t="s">
        <v>1008</v>
      </c>
      <c r="AA110" s="197" t="s">
        <v>3255</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3408</v>
      </c>
      <c r="AV110" s="168" t="s">
        <v>5201</v>
      </c>
      <c r="AW110" s="246"/>
      <c r="AX110" s="246"/>
      <c r="AY110" s="246"/>
      <c r="AZ110" s="246"/>
      <c r="BA110" s="246"/>
      <c r="BB110" s="174" t="s">
        <v>1107</v>
      </c>
      <c r="BC110" s="174" t="s">
        <v>373</v>
      </c>
      <c r="BD110" s="174" t="s">
        <v>4666</v>
      </c>
      <c r="BE110" s="174" t="s">
        <v>4873</v>
      </c>
      <c r="BF110" s="174" t="s">
        <v>1743</v>
      </c>
      <c r="BG110" s="173"/>
      <c r="BH110" s="173"/>
      <c r="BI110" s="174" t="s">
        <v>1983</v>
      </c>
      <c r="BJ110" s="174" t="s">
        <v>5202</v>
      </c>
      <c r="BK110" s="174" t="s">
        <v>691</v>
      </c>
      <c r="BL110" s="174" t="s">
        <v>4561</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3456</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4305</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4866</v>
      </c>
      <c r="BC111" s="94" t="s">
        <v>3312</v>
      </c>
      <c r="BD111" s="94" t="s">
        <v>2181</v>
      </c>
      <c r="BE111" s="94" t="s">
        <v>4494</v>
      </c>
      <c r="BF111" s="94" t="s">
        <v>4408</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3696</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3562</v>
      </c>
      <c r="H112" s="167" t="s">
        <v>779</v>
      </c>
      <c r="I112" s="195" t="s">
        <v>3598</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3845</v>
      </c>
      <c r="CW112" s="203" t="s">
        <v>4384</v>
      </c>
      <c r="CX112" s="232" t="s">
        <v>3514</v>
      </c>
      <c r="CY112" s="203" t="s">
        <v>1084</v>
      </c>
      <c r="CZ112" s="203" t="s">
        <v>2840</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3305</v>
      </c>
      <c r="AC113" s="593" t="s">
        <v>5243</v>
      </c>
      <c r="AD113" s="94" t="s">
        <v>5244</v>
      </c>
      <c r="AE113" s="99"/>
      <c r="AF113" s="99"/>
      <c r="AG113" s="100" t="s">
        <v>5245</v>
      </c>
      <c r="AH113" s="99"/>
      <c r="AI113" s="99"/>
      <c r="AJ113" s="94" t="s">
        <v>4653</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4666</v>
      </c>
      <c r="BE113" s="593" t="s">
        <v>2144</v>
      </c>
      <c r="BF113" s="94" t="s">
        <v>4273</v>
      </c>
      <c r="BG113" s="99"/>
      <c r="BH113" s="99"/>
      <c r="BI113" s="100" t="s">
        <v>1897</v>
      </c>
      <c r="BJ113" s="594"/>
      <c r="BK113" s="100" t="s">
        <v>5251</v>
      </c>
      <c r="BL113" s="100" t="s">
        <v>5252</v>
      </c>
      <c r="BM113" s="94"/>
      <c r="BN113" s="88" t="s">
        <v>3268</v>
      </c>
      <c r="BO113" s="99"/>
      <c r="BP113" s="99"/>
      <c r="BQ113" s="236"/>
      <c r="BR113" s="100" t="s">
        <v>5253</v>
      </c>
      <c r="BS113" s="94" t="s">
        <v>5254</v>
      </c>
      <c r="BT113" s="100" t="s">
        <v>994</v>
      </c>
      <c r="BU113" s="99"/>
      <c r="BV113" s="94" t="s">
        <v>4557</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4322</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3535</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4045</v>
      </c>
      <c r="L114" s="112" t="s">
        <v>4105</v>
      </c>
      <c r="M114" s="167" t="s">
        <v>867</v>
      </c>
      <c r="N114" s="167" t="s">
        <v>5271</v>
      </c>
      <c r="O114" s="400" t="s">
        <v>155</v>
      </c>
      <c r="P114" s="112" t="s">
        <v>2683</v>
      </c>
      <c r="Q114" s="243"/>
      <c r="R114" s="243"/>
      <c r="S114" s="167" t="s">
        <v>3279</v>
      </c>
      <c r="T114" s="243"/>
      <c r="U114" s="167" t="s">
        <v>1457</v>
      </c>
      <c r="V114" s="243"/>
      <c r="W114" s="92"/>
      <c r="X114" s="380" t="s">
        <v>4800</v>
      </c>
      <c r="Y114" s="380"/>
      <c r="Z114" s="380" t="s">
        <v>3814</v>
      </c>
      <c r="AA114" s="116" t="s">
        <v>5272</v>
      </c>
      <c r="AB114" s="197" t="s">
        <v>5273</v>
      </c>
      <c r="AC114" s="116" t="s">
        <v>2619</v>
      </c>
      <c r="AD114" s="380" t="s">
        <v>5274</v>
      </c>
      <c r="AE114" s="245"/>
      <c r="AF114" s="197" t="s">
        <v>5275</v>
      </c>
      <c r="AG114" s="380" t="s">
        <v>5162</v>
      </c>
      <c r="AH114" s="197" t="s">
        <v>5276</v>
      </c>
      <c r="AI114" s="245"/>
      <c r="AJ114" s="245"/>
      <c r="AK114" s="245"/>
      <c r="AL114" s="97"/>
      <c r="AM114" s="168" t="s">
        <v>4449</v>
      </c>
      <c r="AN114" s="168" t="s">
        <v>1052</v>
      </c>
      <c r="AO114" s="246"/>
      <c r="AP114" s="168" t="s">
        <v>5277</v>
      </c>
      <c r="AQ114" s="168" t="s">
        <v>5278</v>
      </c>
      <c r="AR114" s="168" t="s">
        <v>2543</v>
      </c>
      <c r="AS114" s="121" t="s">
        <v>1660</v>
      </c>
      <c r="AT114" s="246"/>
      <c r="AU114" s="424" t="s">
        <v>3696</v>
      </c>
      <c r="AV114" s="278" t="s">
        <v>4745</v>
      </c>
      <c r="AW114" s="121" t="s">
        <v>3210</v>
      </c>
      <c r="AX114" s="246"/>
      <c r="AY114" s="168" t="s">
        <v>5279</v>
      </c>
      <c r="AZ114" s="246"/>
      <c r="BA114" s="246"/>
      <c r="BB114" s="174" t="s">
        <v>4357</v>
      </c>
      <c r="BC114" s="174" t="s">
        <v>1189</v>
      </c>
      <c r="BD114" s="126" t="s">
        <v>4666</v>
      </c>
      <c r="BE114" s="174" t="s">
        <v>3107</v>
      </c>
      <c r="BF114" s="174" t="s">
        <v>4346</v>
      </c>
      <c r="BG114" s="174" t="s">
        <v>2533</v>
      </c>
      <c r="BH114" s="174" t="s">
        <v>5280</v>
      </c>
      <c r="BI114" s="174" t="s">
        <v>3545</v>
      </c>
      <c r="BJ114" s="174" t="s">
        <v>5281</v>
      </c>
      <c r="BK114" s="173"/>
      <c r="BL114" s="174" t="s">
        <v>3341</v>
      </c>
      <c r="BM114" s="173"/>
      <c r="BN114" s="174" t="s">
        <v>4471</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3408</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3349</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3817</v>
      </c>
      <c r="AD115" s="94" t="s">
        <v>5307</v>
      </c>
      <c r="AE115" s="94"/>
      <c r="AF115" s="94" t="s">
        <v>3956</v>
      </c>
      <c r="AG115" s="88" t="s">
        <v>2002</v>
      </c>
      <c r="AH115" s="94" t="s">
        <v>169</v>
      </c>
      <c r="AI115" s="102"/>
      <c r="AJ115" s="88" t="s">
        <v>3062</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1663</v>
      </c>
      <c r="AZ115" s="94" t="s">
        <v>5314</v>
      </c>
      <c r="BA115" s="94"/>
      <c r="BB115" s="99"/>
      <c r="BC115" s="94" t="s">
        <v>2163</v>
      </c>
      <c r="BD115" s="94" t="s">
        <v>3436</v>
      </c>
      <c r="BE115" s="94" t="s">
        <v>839</v>
      </c>
      <c r="BF115" s="94" t="s">
        <v>2600</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2870</v>
      </c>
      <c r="CE115" s="94" t="s">
        <v>5323</v>
      </c>
      <c r="CF115" s="94"/>
      <c r="CG115" s="94" t="s">
        <v>2767</v>
      </c>
      <c r="CH115" s="94" t="s">
        <v>3482</v>
      </c>
      <c r="CI115" s="94" t="s">
        <v>484</v>
      </c>
      <c r="CJ115" s="94" t="s">
        <v>5324</v>
      </c>
      <c r="CK115" s="94"/>
      <c r="CL115" s="94"/>
      <c r="CM115" s="94" t="s">
        <v>5325</v>
      </c>
      <c r="CN115" s="265" t="s">
        <v>5326</v>
      </c>
      <c r="CO115" s="88" t="s">
        <v>3624</v>
      </c>
      <c r="CP115" s="99"/>
      <c r="CQ115" s="94" t="s">
        <v>5327</v>
      </c>
      <c r="CR115" s="99"/>
      <c r="CS115" s="99"/>
      <c r="CT115" s="94" t="s">
        <v>3539</v>
      </c>
      <c r="CU115" s="92"/>
      <c r="CV115" s="94" t="s">
        <v>2610</v>
      </c>
      <c r="CW115" s="94" t="s">
        <v>4763</v>
      </c>
      <c r="CX115" s="94" t="s">
        <v>3317</v>
      </c>
      <c r="CY115" s="94" t="s">
        <v>659</v>
      </c>
      <c r="CZ115" s="99"/>
      <c r="DA115" s="99"/>
      <c r="DB115" s="88" t="s">
        <v>5328</v>
      </c>
      <c r="DC115" s="88" t="s">
        <v>2416</v>
      </c>
      <c r="DD115" s="94" t="s">
        <v>5329</v>
      </c>
      <c r="DE115" s="94" t="s">
        <v>5212</v>
      </c>
      <c r="DF115" s="94" t="s">
        <v>5330</v>
      </c>
      <c r="DG115" s="94" t="s">
        <v>5331</v>
      </c>
      <c r="DH115" s="94"/>
      <c r="DI115" s="94" t="s">
        <v>4129</v>
      </c>
      <c r="DJ115" s="94"/>
      <c r="DK115" s="94" t="s">
        <v>5332</v>
      </c>
      <c r="DL115" s="94"/>
      <c r="DM115" s="94" t="s">
        <v>5333</v>
      </c>
      <c r="DN115" s="94" t="s">
        <v>2886</v>
      </c>
      <c r="DO115" s="162" t="s">
        <v>5334</v>
      </c>
      <c r="DP115" s="94" t="s">
        <v>4110</v>
      </c>
      <c r="DQ115" s="99"/>
      <c r="DR115" s="94" t="s">
        <v>5335</v>
      </c>
      <c r="DS115" s="94" t="s">
        <v>5336</v>
      </c>
      <c r="DT115" s="94" t="s">
        <v>3759</v>
      </c>
      <c r="DU115" s="94" t="s">
        <v>3435</v>
      </c>
      <c r="DV115" s="94" t="s">
        <v>1080</v>
      </c>
      <c r="DW115" s="94" t="s">
        <v>1343</v>
      </c>
      <c r="DX115" s="94" t="s">
        <v>4157</v>
      </c>
      <c r="DY115" s="94" t="s">
        <v>1017</v>
      </c>
      <c r="DZ115" s="94" t="s">
        <v>2827</v>
      </c>
      <c r="EA115" s="94" t="s">
        <v>3937</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4368</v>
      </c>
      <c r="AH116" s="197" t="s">
        <v>1833</v>
      </c>
      <c r="AI116" s="197"/>
      <c r="AJ116" s="197" t="s">
        <v>1361</v>
      </c>
      <c r="AK116" s="197" t="s">
        <v>5349</v>
      </c>
      <c r="AL116" s="97"/>
      <c r="AM116" s="168" t="s">
        <v>2029</v>
      </c>
      <c r="AN116" s="168" t="s">
        <v>4258</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4231</v>
      </c>
      <c r="BH116" s="174" t="s">
        <v>4557</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3388</v>
      </c>
      <c r="CY116" s="203" t="s">
        <v>2781</v>
      </c>
      <c r="CZ116" s="203" t="s">
        <v>5369</v>
      </c>
      <c r="DA116" s="203" t="s">
        <v>3987</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4045</v>
      </c>
      <c r="L117" s="94" t="s">
        <v>4614</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4570</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4214</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4433</v>
      </c>
      <c r="AN118" s="168" t="s">
        <v>3737</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4527</v>
      </c>
      <c r="BF118" s="174" t="s">
        <v>5416</v>
      </c>
      <c r="BG118" s="174" t="s">
        <v>5417</v>
      </c>
      <c r="BH118" s="174" t="s">
        <v>4673</v>
      </c>
      <c r="BI118" s="174" t="s">
        <v>2324</v>
      </c>
      <c r="BJ118" s="174" t="s">
        <v>5418</v>
      </c>
      <c r="BK118" s="174" t="s">
        <v>5419</v>
      </c>
      <c r="BL118" s="174" t="s">
        <v>5420</v>
      </c>
      <c r="BM118" s="173"/>
      <c r="BN118" s="174" t="s">
        <v>2324</v>
      </c>
      <c r="BO118" s="174" t="s">
        <v>3566</v>
      </c>
      <c r="BP118" s="173"/>
      <c r="BQ118" s="248"/>
      <c r="BR118" s="175" t="s">
        <v>5421</v>
      </c>
      <c r="BS118" s="251"/>
      <c r="BT118" s="175" t="s">
        <v>4458</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4167</v>
      </c>
      <c r="CM118" s="177" t="s">
        <v>5429</v>
      </c>
      <c r="CN118" s="177" t="s">
        <v>5430</v>
      </c>
      <c r="CO118" s="177" t="s">
        <v>4147</v>
      </c>
      <c r="CP118" s="254"/>
      <c r="CQ118" s="177" t="s">
        <v>5431</v>
      </c>
      <c r="CR118" s="254"/>
      <c r="CS118" s="254"/>
      <c r="CT118" s="254"/>
      <c r="CU118" s="92"/>
      <c r="CV118" s="203" t="s">
        <v>5432</v>
      </c>
      <c r="CW118" s="203" t="s">
        <v>5433</v>
      </c>
      <c r="CX118" s="203" t="s">
        <v>5434</v>
      </c>
      <c r="CY118" s="203" t="s">
        <v>3437</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3395</v>
      </c>
      <c r="H119" s="265" t="s">
        <v>1317</v>
      </c>
      <c r="I119" s="265" t="s">
        <v>5449</v>
      </c>
      <c r="J119" s="265" t="s">
        <v>5450</v>
      </c>
      <c r="K119" s="265" t="s">
        <v>4432</v>
      </c>
      <c r="L119" s="265" t="s">
        <v>4451</v>
      </c>
      <c r="M119" s="265" t="s">
        <v>5451</v>
      </c>
      <c r="N119" s="265" t="s">
        <v>1903</v>
      </c>
      <c r="O119" s="265" t="s">
        <v>1457</v>
      </c>
      <c r="P119" s="88" t="s">
        <v>1008</v>
      </c>
      <c r="Q119" s="88" t="s">
        <v>5452</v>
      </c>
      <c r="R119" s="99"/>
      <c r="S119" s="99"/>
      <c r="T119" s="99"/>
      <c r="U119" s="99"/>
      <c r="V119" s="99"/>
      <c r="W119" s="92"/>
      <c r="X119" s="265" t="s">
        <v>5453</v>
      </c>
      <c r="Y119" s="265"/>
      <c r="Z119" s="265" t="s">
        <v>3919</v>
      </c>
      <c r="AA119" s="265" t="s">
        <v>5454</v>
      </c>
      <c r="AB119" s="265" t="s">
        <v>3529</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3902</v>
      </c>
      <c r="BM119" s="99"/>
      <c r="BN119" s="94" t="s">
        <v>5434</v>
      </c>
      <c r="BO119" s="94" t="s">
        <v>4435</v>
      </c>
      <c r="BP119" s="94" t="s">
        <v>5468</v>
      </c>
      <c r="BQ119" s="94"/>
      <c r="BR119" s="94"/>
      <c r="BS119" s="94" t="s">
        <v>4020</v>
      </c>
      <c r="BT119" s="94" t="s">
        <v>3800</v>
      </c>
      <c r="BU119" s="94" t="s">
        <v>5469</v>
      </c>
      <c r="BV119" s="94" t="s">
        <v>4850</v>
      </c>
      <c r="BW119" s="94" t="s">
        <v>4413</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4167</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2413</v>
      </c>
      <c r="DJ119" s="99"/>
      <c r="DK119" s="99"/>
      <c r="DL119" s="94"/>
      <c r="DM119" s="99"/>
      <c r="DN119" s="94" t="s">
        <v>5485</v>
      </c>
      <c r="DO119" s="94" t="s">
        <v>3794</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4167</v>
      </c>
      <c r="Q120" s="243"/>
      <c r="R120" s="243"/>
      <c r="S120" s="243"/>
      <c r="T120" s="243"/>
      <c r="U120" s="243"/>
      <c r="V120" s="243"/>
      <c r="W120" s="92"/>
      <c r="X120" s="197" t="s">
        <v>3000</v>
      </c>
      <c r="Y120" s="197"/>
      <c r="Z120" s="197" t="s">
        <v>5493</v>
      </c>
      <c r="AA120" s="197" t="s">
        <v>4703</v>
      </c>
      <c r="AB120" s="197" t="s">
        <v>997</v>
      </c>
      <c r="AC120" s="197" t="s">
        <v>4130</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4137</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4656</v>
      </c>
      <c r="BX120" s="251"/>
      <c r="BY120" s="175" t="s">
        <v>721</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1629</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2026</v>
      </c>
      <c r="M121" s="99"/>
      <c r="N121" s="99"/>
      <c r="O121" s="98" t="s">
        <v>3620</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4590</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3413</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3245</v>
      </c>
      <c r="CY122" s="203" t="s">
        <v>4542</v>
      </c>
      <c r="CZ122" s="203" t="s">
        <v>5202</v>
      </c>
      <c r="DA122" s="203" t="s">
        <v>4775</v>
      </c>
      <c r="DB122" s="203" t="s">
        <v>5545</v>
      </c>
      <c r="DC122" s="203" t="s">
        <v>4003</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4172</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4388</v>
      </c>
      <c r="AK123" s="94" t="s">
        <v>5557</v>
      </c>
      <c r="AL123" s="97"/>
      <c r="AM123" s="94" t="s">
        <v>3455</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4527</v>
      </c>
      <c r="BF123" s="99"/>
      <c r="BG123" s="94" t="s">
        <v>4239</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3250</v>
      </c>
      <c r="O124" s="112" t="s">
        <v>1114</v>
      </c>
      <c r="P124" s="112" t="s">
        <v>1079</v>
      </c>
      <c r="Q124" s="243"/>
      <c r="R124" s="243"/>
      <c r="S124" s="243"/>
      <c r="T124" s="243"/>
      <c r="U124" s="243"/>
      <c r="V124" s="243"/>
      <c r="W124" s="92"/>
      <c r="X124" s="116" t="s">
        <v>5423</v>
      </c>
      <c r="Y124" s="269"/>
      <c r="Z124" s="116" t="s">
        <v>3351</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4288</v>
      </c>
      <c r="BJ124" s="173"/>
      <c r="BK124" s="126" t="s">
        <v>5583</v>
      </c>
      <c r="BL124" s="126" t="s">
        <v>339</v>
      </c>
      <c r="BM124" s="173"/>
      <c r="BN124" s="173"/>
      <c r="BO124" s="381"/>
      <c r="BP124" s="173"/>
      <c r="BQ124" s="248"/>
      <c r="BR124" s="129" t="s">
        <v>5584</v>
      </c>
      <c r="BS124" s="129" t="s">
        <v>3809</v>
      </c>
      <c r="BT124" s="129" t="s">
        <v>233</v>
      </c>
      <c r="BU124" s="129" t="s">
        <v>5360</v>
      </c>
      <c r="BV124" s="129" t="s">
        <v>3520</v>
      </c>
      <c r="BW124" s="129" t="s">
        <v>1196</v>
      </c>
      <c r="BX124" s="129" t="s">
        <v>5585</v>
      </c>
      <c r="BY124" s="131"/>
      <c r="BZ124" s="129" t="s">
        <v>5586</v>
      </c>
      <c r="CA124" s="129" t="s">
        <v>5205</v>
      </c>
      <c r="CB124" s="251"/>
      <c r="CC124" s="251"/>
      <c r="CD124" s="175"/>
      <c r="CE124" s="251"/>
      <c r="CF124" s="252"/>
      <c r="CG124" s="135" t="s">
        <v>5587</v>
      </c>
      <c r="CH124" s="135" t="s">
        <v>3530</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3601</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3825</v>
      </c>
      <c r="AA125" s="94" t="s">
        <v>5555</v>
      </c>
      <c r="AB125" s="94" t="s">
        <v>5607</v>
      </c>
      <c r="AC125" s="94" t="s">
        <v>4215</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4297</v>
      </c>
      <c r="BC125" s="94" t="s">
        <v>582</v>
      </c>
      <c r="BD125" s="94" t="s">
        <v>3670</v>
      </c>
      <c r="BE125" s="94" t="s">
        <v>5610</v>
      </c>
      <c r="BF125" s="94" t="s">
        <v>5611</v>
      </c>
      <c r="BG125" s="99"/>
      <c r="BH125" s="604"/>
      <c r="BI125" s="94" t="s">
        <v>757</v>
      </c>
      <c r="BJ125" s="94" t="s">
        <v>5612</v>
      </c>
      <c r="BK125" s="99"/>
      <c r="BL125" s="94" t="s">
        <v>4524</v>
      </c>
      <c r="BM125" s="99"/>
      <c r="BN125" s="99"/>
      <c r="BO125" s="99"/>
      <c r="BP125" s="99"/>
      <c r="BQ125" s="236"/>
      <c r="BR125" s="94" t="s">
        <v>5418</v>
      </c>
      <c r="BS125" s="94" t="s">
        <v>4436</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3642</v>
      </c>
      <c r="CW125" s="94" t="s">
        <v>2801</v>
      </c>
      <c r="CX125" s="94" t="s">
        <v>5099</v>
      </c>
      <c r="CY125" s="94" t="s">
        <v>912</v>
      </c>
      <c r="CZ125" s="94" t="s">
        <v>1764</v>
      </c>
      <c r="DA125" s="99"/>
      <c r="DB125" s="94" t="s">
        <v>5005</v>
      </c>
      <c r="DC125" s="94" t="s">
        <v>4249</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3892</v>
      </c>
      <c r="AD126" s="380" t="s">
        <v>3508</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4332</v>
      </c>
      <c r="BD126" s="302" t="s">
        <v>5508</v>
      </c>
      <c r="BE126" s="126" t="s">
        <v>3346</v>
      </c>
      <c r="BF126" s="126" t="s">
        <v>5629</v>
      </c>
      <c r="BG126" s="173"/>
      <c r="BH126" s="173"/>
      <c r="BI126" s="126" t="s">
        <v>3974</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3423</v>
      </c>
      <c r="CI126" s="135" t="s">
        <v>5639</v>
      </c>
      <c r="CJ126" s="135" t="s">
        <v>5640</v>
      </c>
      <c r="CK126" s="136"/>
      <c r="CL126" s="135" t="s">
        <v>3571</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4361</v>
      </c>
      <c r="O127" s="88" t="s">
        <v>5656</v>
      </c>
      <c r="P127" s="88" t="s">
        <v>4402</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4304</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4350</v>
      </c>
      <c r="CI127" s="102" t="s">
        <v>5673</v>
      </c>
      <c r="CJ127" s="102" t="s">
        <v>5674</v>
      </c>
      <c r="CK127" s="102" t="s">
        <v>2719</v>
      </c>
      <c r="CL127" s="102" t="s">
        <v>5675</v>
      </c>
      <c r="CM127" s="102" t="s">
        <v>3304</v>
      </c>
      <c r="CN127" s="102" t="s">
        <v>1586</v>
      </c>
      <c r="CO127" s="102" t="s">
        <v>3351</v>
      </c>
      <c r="CP127" s="221"/>
      <c r="CQ127" s="99"/>
      <c r="CR127" s="99"/>
      <c r="CS127" s="99"/>
      <c r="CT127" s="99"/>
      <c r="CU127" s="92"/>
      <c r="CV127" s="102" t="s">
        <v>4279</v>
      </c>
      <c r="CW127" s="102" t="s">
        <v>5676</v>
      </c>
      <c r="CX127" s="102" t="s">
        <v>2628</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4593</v>
      </c>
      <c r="L128" s="167" t="s">
        <v>839</v>
      </c>
      <c r="M128" s="243"/>
      <c r="N128" s="167" t="s">
        <v>4944</v>
      </c>
      <c r="O128" s="167" t="s">
        <v>2925</v>
      </c>
      <c r="P128" s="167" t="s">
        <v>3567</v>
      </c>
      <c r="Q128" s="243"/>
      <c r="R128" s="243"/>
      <c r="S128" s="243"/>
      <c r="T128" s="243"/>
      <c r="U128" s="243"/>
      <c r="V128" s="243"/>
      <c r="W128" s="92"/>
      <c r="X128" s="197" t="s">
        <v>4575</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2877</v>
      </c>
      <c r="AW128" s="246"/>
      <c r="AX128" s="246"/>
      <c r="AY128" s="246"/>
      <c r="AZ128" s="246"/>
      <c r="BA128" s="246"/>
      <c r="BB128" s="173"/>
      <c r="BC128" s="173"/>
      <c r="BD128" s="173"/>
      <c r="BE128" s="173"/>
      <c r="BF128" s="174" t="s">
        <v>5684</v>
      </c>
      <c r="BG128" s="173"/>
      <c r="BH128" s="173"/>
      <c r="BI128" s="174" t="s">
        <v>3377</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4135</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3283</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3549</v>
      </c>
      <c r="M131" s="99"/>
      <c r="N131" s="94" t="s">
        <v>5375</v>
      </c>
      <c r="O131" s="94" t="s">
        <v>854</v>
      </c>
      <c r="P131" s="94" t="s">
        <v>3255</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4215</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3858</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3472</v>
      </c>
      <c r="CH132" s="363" t="s">
        <v>5734</v>
      </c>
      <c r="CI132" s="363" t="s">
        <v>5735</v>
      </c>
      <c r="CJ132" s="363"/>
      <c r="CK132" s="363"/>
      <c r="CL132" s="363"/>
      <c r="CM132" s="363"/>
      <c r="CN132" s="363" t="s">
        <v>5031</v>
      </c>
      <c r="CO132" s="615">
        <v>19.7</v>
      </c>
      <c r="CP132" s="577"/>
      <c r="CQ132" s="578"/>
      <c r="CR132" s="578"/>
      <c r="CS132" s="578"/>
      <c r="CT132" s="578"/>
      <c r="CU132" s="579"/>
      <c r="CV132" s="283" t="s">
        <v>4118</v>
      </c>
      <c r="CW132" s="283" t="s">
        <v>4537</v>
      </c>
      <c r="CX132" s="283" t="s">
        <v>5736</v>
      </c>
      <c r="CY132" s="283" t="s">
        <v>5737</v>
      </c>
      <c r="CZ132" s="283"/>
      <c r="DA132" s="283"/>
      <c r="DB132" s="283"/>
      <c r="DC132" s="283"/>
      <c r="DD132" s="580"/>
      <c r="DE132" s="616" t="s">
        <v>3425</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3279</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4145</v>
      </c>
      <c r="BE133" s="99"/>
      <c r="BF133" s="99"/>
      <c r="BG133" s="99"/>
      <c r="BH133" s="99"/>
      <c r="BI133" s="94" t="s">
        <v>915</v>
      </c>
      <c r="BJ133" s="99"/>
      <c r="BK133" s="99"/>
      <c r="BL133" s="99"/>
      <c r="BM133" s="99"/>
      <c r="BN133" s="99"/>
      <c r="BO133" s="99"/>
      <c r="BP133" s="99"/>
      <c r="BQ133" s="236"/>
      <c r="BR133" s="94"/>
      <c r="BS133" s="94" t="s">
        <v>3262</v>
      </c>
      <c r="BT133" s="94" t="s">
        <v>4811</v>
      </c>
      <c r="BU133" s="94" t="s">
        <v>2050</v>
      </c>
      <c r="BV133" s="94" t="s">
        <v>5568</v>
      </c>
      <c r="BW133" s="94" t="s">
        <v>5561</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4659</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3929</v>
      </c>
      <c r="G134" s="104" t="s">
        <v>3929</v>
      </c>
      <c r="H134" s="112" t="s">
        <v>5755</v>
      </c>
      <c r="I134" s="112" t="s">
        <v>5756</v>
      </c>
      <c r="J134" s="112" t="s">
        <v>4652</v>
      </c>
      <c r="K134" s="243"/>
      <c r="L134" s="112" t="s">
        <v>5757</v>
      </c>
      <c r="M134" s="112" t="s">
        <v>5758</v>
      </c>
      <c r="N134" s="243"/>
      <c r="O134" s="243"/>
      <c r="P134" s="112" t="s">
        <v>3624</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2368</v>
      </c>
      <c r="CI134" s="254"/>
      <c r="CJ134" s="135" t="s">
        <v>4658</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4195</v>
      </c>
      <c r="I135" s="94" t="s">
        <v>5767</v>
      </c>
      <c r="J135" s="94" t="s">
        <v>3352</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3892</v>
      </c>
      <c r="AD135" s="94" t="s">
        <v>5774</v>
      </c>
      <c r="AE135" s="99"/>
      <c r="AF135" s="94" t="s">
        <v>5775</v>
      </c>
      <c r="AG135" s="94" t="s">
        <v>4133</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3835</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4257</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4611</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3255</v>
      </c>
      <c r="Q136" s="468"/>
      <c r="R136" s="468"/>
      <c r="S136" s="468" t="s">
        <v>4089</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3426</v>
      </c>
      <c r="AW136" s="475" t="s">
        <v>5397</v>
      </c>
      <c r="AX136" s="475"/>
      <c r="AY136" s="475" t="s">
        <v>4488</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3729</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3410</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4564</v>
      </c>
      <c r="I137" s="259" t="s">
        <v>5805</v>
      </c>
      <c r="J137" s="259" t="s">
        <v>5806</v>
      </c>
      <c r="K137" s="259" t="s">
        <v>2910</v>
      </c>
      <c r="L137" s="259" t="s">
        <v>2098</v>
      </c>
      <c r="M137" s="259" t="s">
        <v>5807</v>
      </c>
      <c r="N137" s="259" t="s">
        <v>5808</v>
      </c>
      <c r="O137" s="259" t="s">
        <v>3914</v>
      </c>
      <c r="P137" s="259" t="s">
        <v>4951</v>
      </c>
      <c r="Q137" s="94" t="s">
        <v>5809</v>
      </c>
      <c r="R137" s="99"/>
      <c r="S137" s="94" t="s">
        <v>3799</v>
      </c>
      <c r="T137" s="99"/>
      <c r="U137" s="94" t="s">
        <v>1267</v>
      </c>
      <c r="V137" s="94" t="s">
        <v>5810</v>
      </c>
      <c r="W137" s="92"/>
      <c r="X137" s="259" t="s">
        <v>5018</v>
      </c>
      <c r="Y137" s="259"/>
      <c r="Z137" s="259" t="s">
        <v>3588</v>
      </c>
      <c r="AA137" s="259" t="s">
        <v>5135</v>
      </c>
      <c r="AB137" s="265" t="s">
        <v>5811</v>
      </c>
      <c r="AC137" s="259" t="s">
        <v>4483</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4317</v>
      </c>
      <c r="BH137" s="94" t="s">
        <v>5819</v>
      </c>
      <c r="BI137" s="259" t="s">
        <v>4426</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3470</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3319</v>
      </c>
      <c r="CZ137" s="259" t="s">
        <v>5837</v>
      </c>
      <c r="DA137" s="259" t="s">
        <v>4044</v>
      </c>
      <c r="DB137" s="259" t="s">
        <v>5838</v>
      </c>
      <c r="DC137" s="259" t="s">
        <v>5839</v>
      </c>
      <c r="DD137" s="94" t="s">
        <v>5840</v>
      </c>
      <c r="DE137" s="99"/>
      <c r="DF137" s="99"/>
      <c r="DG137" s="94" t="s">
        <v>5841</v>
      </c>
      <c r="DH137" s="236"/>
      <c r="DI137" s="259" t="s">
        <v>571</v>
      </c>
      <c r="DJ137" s="99"/>
      <c r="DK137" s="94" t="s">
        <v>3982</v>
      </c>
      <c r="DL137" s="259" t="s">
        <v>5842</v>
      </c>
      <c r="DM137" s="259" t="s">
        <v>3940</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3371</v>
      </c>
      <c r="H138" s="167" t="s">
        <v>3824</v>
      </c>
      <c r="I138" s="167" t="s">
        <v>2128</v>
      </c>
      <c r="J138" s="167" t="s">
        <v>5735</v>
      </c>
      <c r="K138" s="167" t="s">
        <v>3931</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3873</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3773</v>
      </c>
      <c r="I139" s="265" t="s">
        <v>5859</v>
      </c>
      <c r="J139" s="265" t="s">
        <v>1643</v>
      </c>
      <c r="K139" s="259" t="s">
        <v>353</v>
      </c>
      <c r="L139" s="259" t="s">
        <v>611</v>
      </c>
      <c r="M139" s="259" t="s">
        <v>5860</v>
      </c>
      <c r="N139" s="259" t="s">
        <v>5861</v>
      </c>
      <c r="O139" s="93" t="s">
        <v>244</v>
      </c>
      <c r="P139" s="259" t="s">
        <v>4890</v>
      </c>
      <c r="Q139" s="94" t="s">
        <v>5862</v>
      </c>
      <c r="R139" s="99"/>
      <c r="S139" s="94" t="s">
        <v>4089</v>
      </c>
      <c r="T139" s="99"/>
      <c r="U139" s="94" t="s">
        <v>2096</v>
      </c>
      <c r="V139" s="94" t="s">
        <v>5863</v>
      </c>
      <c r="W139" s="92"/>
      <c r="X139" s="426" t="s">
        <v>5015</v>
      </c>
      <c r="Y139" s="162"/>
      <c r="Z139" s="162" t="s">
        <v>5437</v>
      </c>
      <c r="AA139" s="88" t="s">
        <v>416</v>
      </c>
      <c r="AB139" s="265" t="s">
        <v>4150</v>
      </c>
      <c r="AC139" s="265" t="s">
        <v>4004</v>
      </c>
      <c r="AD139" s="259" t="s">
        <v>1576</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5104</v>
      </c>
      <c r="AS139" s="94" t="s">
        <v>5869</v>
      </c>
      <c r="AT139" s="94" t="s">
        <v>5870</v>
      </c>
      <c r="AU139" s="259" t="s">
        <v>4282</v>
      </c>
      <c r="AV139" s="259" t="s">
        <v>3435</v>
      </c>
      <c r="AW139" s="259" t="s">
        <v>4178</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4583</v>
      </c>
      <c r="BX139" s="99"/>
      <c r="BY139" s="259" t="s">
        <v>5878</v>
      </c>
      <c r="BZ139" s="102"/>
      <c r="CA139" s="259" t="s">
        <v>978</v>
      </c>
      <c r="CB139" s="99"/>
      <c r="CC139" s="99"/>
      <c r="CD139" s="99"/>
      <c r="CE139" s="99"/>
      <c r="CF139" s="236"/>
      <c r="CG139" s="259" t="s">
        <v>5879</v>
      </c>
      <c r="CH139" s="259" t="s">
        <v>5880</v>
      </c>
      <c r="CI139" s="259" t="s">
        <v>4407</v>
      </c>
      <c r="CJ139" s="102"/>
      <c r="CK139" s="102"/>
      <c r="CL139" s="259" t="s">
        <v>2142</v>
      </c>
      <c r="CM139" s="102"/>
      <c r="CN139" s="102"/>
      <c r="CO139" s="102"/>
      <c r="CP139" s="221"/>
      <c r="CQ139" s="99"/>
      <c r="CR139" s="99"/>
      <c r="CS139" s="99"/>
      <c r="CT139" s="99"/>
      <c r="CU139" s="92"/>
      <c r="CV139" s="259" t="s">
        <v>5881</v>
      </c>
      <c r="CW139" s="259" t="s">
        <v>5882</v>
      </c>
      <c r="CX139" s="426" t="s">
        <v>5883</v>
      </c>
      <c r="CY139" s="88" t="s">
        <v>4498</v>
      </c>
      <c r="CZ139" s="259" t="s">
        <v>3392</v>
      </c>
      <c r="DA139" s="259" t="s">
        <v>3989</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4493</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2524</v>
      </c>
      <c r="BD140" s="301"/>
      <c r="BE140" s="301"/>
      <c r="BF140" s="417" t="s">
        <v>4285</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3579</v>
      </c>
      <c r="P141" s="94" t="s">
        <v>1079</v>
      </c>
      <c r="Q141" s="99"/>
      <c r="R141" s="94" t="s">
        <v>326</v>
      </c>
      <c r="S141" s="94" t="s">
        <v>2217</v>
      </c>
      <c r="T141" s="99"/>
      <c r="U141" s="94" t="s">
        <v>3217</v>
      </c>
      <c r="V141" s="99"/>
      <c r="W141" s="92"/>
      <c r="X141" s="94" t="s">
        <v>5898</v>
      </c>
      <c r="Y141" s="102"/>
      <c r="Z141" s="88" t="s">
        <v>2391</v>
      </c>
      <c r="AA141" s="94" t="s">
        <v>4510</v>
      </c>
      <c r="AB141" s="94" t="s">
        <v>1767</v>
      </c>
      <c r="AC141" s="94" t="s">
        <v>4005</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3569</v>
      </c>
      <c r="BF141" s="94" t="s">
        <v>5717</v>
      </c>
      <c r="BG141" s="99"/>
      <c r="BH141" s="99"/>
      <c r="BI141" s="94" t="s">
        <v>3978</v>
      </c>
      <c r="BJ141" s="94" t="s">
        <v>5902</v>
      </c>
      <c r="BK141" s="94"/>
      <c r="BL141" s="94" t="s">
        <v>2618</v>
      </c>
      <c r="BM141" s="99"/>
      <c r="BN141" s="94" t="s">
        <v>4216</v>
      </c>
      <c r="BO141" s="99"/>
      <c r="BP141" s="99"/>
      <c r="BQ141" s="236"/>
      <c r="BR141" s="94" t="s">
        <v>5903</v>
      </c>
      <c r="BS141" s="94" t="s">
        <v>4223</v>
      </c>
      <c r="BT141" s="94" t="s">
        <v>3397</v>
      </c>
      <c r="BU141" s="94" t="s">
        <v>5904</v>
      </c>
      <c r="BV141" s="94" t="s">
        <v>5905</v>
      </c>
      <c r="BW141" s="94" t="s">
        <v>5178</v>
      </c>
      <c r="BX141" s="99"/>
      <c r="BY141" s="94" t="s">
        <v>2844</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1643</v>
      </c>
      <c r="CO141" s="94" t="s">
        <v>4282</v>
      </c>
      <c r="CP141" s="99"/>
      <c r="CQ141" s="99"/>
      <c r="CR141" s="99"/>
      <c r="CS141" s="99"/>
      <c r="CT141" s="99"/>
      <c r="CU141" s="92"/>
      <c r="CV141" s="94" t="s">
        <v>5911</v>
      </c>
      <c r="CW141" s="94" t="s">
        <v>2801</v>
      </c>
      <c r="CX141" s="94" t="s">
        <v>3745</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2188</v>
      </c>
      <c r="DZ141" s="94" t="s">
        <v>5918</v>
      </c>
      <c r="EA141" s="94" t="s">
        <v>3468</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4609</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3971</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3696</v>
      </c>
      <c r="CP142" s="254"/>
      <c r="CQ142" s="254"/>
      <c r="CR142" s="254"/>
      <c r="CS142" s="254"/>
      <c r="CT142" s="254"/>
      <c r="CU142" s="92"/>
      <c r="CV142" s="203" t="s">
        <v>2880</v>
      </c>
      <c r="CW142" s="203" t="s">
        <v>3661</v>
      </c>
      <c r="CX142" s="203" t="s">
        <v>2709</v>
      </c>
      <c r="CY142" s="203" t="s">
        <v>5940</v>
      </c>
      <c r="CZ142" s="203" t="s">
        <v>3717</v>
      </c>
      <c r="DA142" s="203" t="s">
        <v>1815</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3675</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3545</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3769</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3298</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3872</v>
      </c>
      <c r="DO144" s="662"/>
      <c r="DP144" s="662"/>
      <c r="DQ144" s="662"/>
      <c r="DR144" s="286" t="s">
        <v>5968</v>
      </c>
      <c r="DS144" s="286" t="s">
        <v>4530</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3705</v>
      </c>
      <c r="J145" s="94" t="s">
        <v>574</v>
      </c>
      <c r="K145" s="94" t="s">
        <v>2910</v>
      </c>
      <c r="L145" s="94" t="s">
        <v>4105</v>
      </c>
      <c r="M145" s="94" t="s">
        <v>5971</v>
      </c>
      <c r="N145" s="94" t="s">
        <v>5731</v>
      </c>
      <c r="O145" s="94" t="s">
        <v>447</v>
      </c>
      <c r="P145" s="94" t="s">
        <v>3912</v>
      </c>
      <c r="Q145" s="99"/>
      <c r="R145" s="99"/>
      <c r="S145" s="99"/>
      <c r="T145" s="99"/>
      <c r="U145" s="99"/>
      <c r="V145" s="99"/>
      <c r="W145" s="92"/>
      <c r="X145" s="94" t="s">
        <v>5018</v>
      </c>
      <c r="Y145" s="94"/>
      <c r="Z145" s="94" t="s">
        <v>4227</v>
      </c>
      <c r="AA145" s="94" t="s">
        <v>5598</v>
      </c>
      <c r="AB145" s="94" t="s">
        <v>786</v>
      </c>
      <c r="AC145" s="94" t="s">
        <v>4312</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3262</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4004</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3887</v>
      </c>
      <c r="I149" s="94" t="s">
        <v>4069</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2020</v>
      </c>
      <c r="AA149" s="94" t="s">
        <v>3628</v>
      </c>
      <c r="AB149" s="94" t="s">
        <v>3675</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3800</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4204</v>
      </c>
      <c r="DB149" s="94" t="s">
        <v>6051</v>
      </c>
      <c r="DC149" s="94" t="s">
        <v>6052</v>
      </c>
      <c r="DD149" s="94" t="s">
        <v>6053</v>
      </c>
      <c r="DE149" s="94" t="s">
        <v>4166</v>
      </c>
      <c r="DF149" s="94" t="s">
        <v>1822</v>
      </c>
      <c r="DG149" s="94" t="s">
        <v>6054</v>
      </c>
      <c r="DH149" s="236"/>
      <c r="DI149" s="94" t="s">
        <v>4033</v>
      </c>
      <c r="DJ149" s="99"/>
      <c r="DK149" s="94" t="s">
        <v>2699</v>
      </c>
      <c r="DL149" s="94" t="s">
        <v>2112</v>
      </c>
      <c r="DM149" s="94" t="s">
        <v>3243</v>
      </c>
      <c r="DN149" s="94" t="s">
        <v>2414</v>
      </c>
      <c r="DO149" s="94" t="s">
        <v>4120</v>
      </c>
      <c r="DP149" s="94" t="s">
        <v>6055</v>
      </c>
      <c r="DQ149" s="94" t="s">
        <v>180</v>
      </c>
      <c r="DR149" s="94" t="s">
        <v>5584</v>
      </c>
      <c r="DS149" s="94" t="s">
        <v>3129</v>
      </c>
      <c r="DT149" s="94" t="s">
        <v>4821</v>
      </c>
      <c r="DU149" s="94" t="s">
        <v>6056</v>
      </c>
      <c r="DV149" s="94" t="s">
        <v>6057</v>
      </c>
      <c r="DW149" s="94" t="s">
        <v>1123</v>
      </c>
      <c r="DX149" s="94" t="s">
        <v>4005</v>
      </c>
      <c r="DY149" s="94" t="s">
        <v>6058</v>
      </c>
      <c r="DZ149" s="94" t="s">
        <v>4449</v>
      </c>
      <c r="EA149" s="94" t="s">
        <v>2574</v>
      </c>
      <c r="EB149" s="94" t="s">
        <v>4995</v>
      </c>
      <c r="EC149" s="94" t="s">
        <v>2317</v>
      </c>
      <c r="ED149" s="307" t="s">
        <v>4428</v>
      </c>
    </row>
    <row r="150">
      <c r="A150" s="667"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2741</v>
      </c>
      <c r="AH150" s="245"/>
      <c r="AI150" s="245"/>
      <c r="AJ150" s="245"/>
      <c r="AK150" s="245"/>
      <c r="AL150" s="97"/>
      <c r="AM150" s="246"/>
      <c r="AN150" s="121" t="s">
        <v>4227</v>
      </c>
      <c r="AO150" s="246"/>
      <c r="AP150" s="246"/>
      <c r="AQ150" s="246"/>
      <c r="AR150" s="246"/>
      <c r="AS150" s="246"/>
      <c r="AT150" s="246"/>
      <c r="AU150" s="121" t="s">
        <v>2626</v>
      </c>
      <c r="AV150" s="168" t="s">
        <v>3381</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4013</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4557</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3526</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4136</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4350</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3476</v>
      </c>
      <c r="BC152" s="381"/>
      <c r="BD152" s="381"/>
      <c r="BE152" s="381" t="s">
        <v>4542</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4004</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3632</v>
      </c>
      <c r="AV154" s="424" t="s">
        <v>772</v>
      </c>
      <c r="AW154" s="424"/>
      <c r="AX154" s="568"/>
      <c r="AY154" s="568"/>
      <c r="AZ154" s="568"/>
      <c r="BA154" s="568"/>
      <c r="BB154" s="200"/>
      <c r="BC154" s="200" t="s">
        <v>6117</v>
      </c>
      <c r="BD154" s="200" t="s">
        <v>3329</v>
      </c>
      <c r="BE154" s="200" t="s">
        <v>6118</v>
      </c>
      <c r="BF154" s="200"/>
      <c r="BG154" s="200" t="s">
        <v>6119</v>
      </c>
      <c r="BH154" s="570"/>
      <c r="BI154" s="200" t="s">
        <v>3721</v>
      </c>
      <c r="BJ154" s="570"/>
      <c r="BK154" s="200" t="s">
        <v>6120</v>
      </c>
      <c r="BL154" s="200" t="s">
        <v>4202</v>
      </c>
      <c r="BM154" s="570"/>
      <c r="BN154" s="570"/>
      <c r="BO154" s="200"/>
      <c r="BP154" s="570"/>
      <c r="BQ154" s="573"/>
      <c r="BR154" s="370"/>
      <c r="BS154" s="370" t="s">
        <v>6121</v>
      </c>
      <c r="BT154" s="370" t="s">
        <v>4329</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4399</v>
      </c>
      <c r="CO154" s="363" t="s">
        <v>6127</v>
      </c>
      <c r="CP154" s="577"/>
      <c r="CQ154" s="578"/>
      <c r="CR154" s="578"/>
      <c r="CS154" s="578"/>
      <c r="CT154" s="578"/>
      <c r="CU154" s="579"/>
      <c r="CV154" s="283" t="s">
        <v>2010</v>
      </c>
      <c r="CW154" s="283"/>
      <c r="CX154" s="283" t="s">
        <v>3900</v>
      </c>
      <c r="CY154" s="283"/>
      <c r="CZ154" s="283"/>
      <c r="DA154" s="283"/>
      <c r="DB154" s="283" t="s">
        <v>6128</v>
      </c>
      <c r="DC154" s="283" t="s">
        <v>3696</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4349</v>
      </c>
      <c r="Y155" s="102"/>
      <c r="Z155" s="102" t="s">
        <v>2020</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4239</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4193</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4213</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4385</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3732</v>
      </c>
      <c r="O156" s="167" t="s">
        <v>5797</v>
      </c>
      <c r="P156" s="167" t="s">
        <v>3912</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4147</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6182</v>
      </c>
      <c r="CY158" s="203" t="s">
        <v>4235</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4229</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3620</v>
      </c>
      <c r="ED159" s="259" t="s">
        <v>369</v>
      </c>
    </row>
    <row r="160">
      <c r="A160" s="598" t="s">
        <v>6198</v>
      </c>
      <c r="B160" s="104" t="s">
        <v>6199</v>
      </c>
      <c r="C160" s="105" t="s">
        <v>1259</v>
      </c>
      <c r="D160" s="106" t="s">
        <v>1259</v>
      </c>
      <c r="E160" s="107" t="s">
        <v>1259</v>
      </c>
      <c r="F160" s="108" t="s">
        <v>1201</v>
      </c>
      <c r="G160" s="104" t="s">
        <v>4220</v>
      </c>
      <c r="H160" s="243"/>
      <c r="I160" s="243"/>
      <c r="J160" s="167" t="s">
        <v>6200</v>
      </c>
      <c r="K160" s="112" t="s">
        <v>5623</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4261</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3929</v>
      </c>
      <c r="H161" s="94" t="s">
        <v>6206</v>
      </c>
      <c r="I161" s="94" t="s">
        <v>4930</v>
      </c>
      <c r="J161" s="94" t="s">
        <v>2390</v>
      </c>
      <c r="K161" s="94" t="s">
        <v>1431</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6207</v>
      </c>
      <c r="AB161" s="94" t="s">
        <v>4535</v>
      </c>
      <c r="AC161" s="94" t="s">
        <v>6208</v>
      </c>
      <c r="AD161" s="98" t="str">
        <f>HYPERLINK("https://www.youtube.com/watch?v=4W9_mJO1W30","58.79")</f>
        <v>58.79</v>
      </c>
      <c r="AE161" s="99"/>
      <c r="AF161" s="94" t="s">
        <v>313</v>
      </c>
      <c r="AG161" s="94" t="s">
        <v>3935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4045</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3529</v>
      </c>
      <c r="I164" s="225" t="s">
        <v>6228</v>
      </c>
      <c r="J164" s="225" t="s">
        <v>4571</v>
      </c>
      <c r="K164" s="167" t="s">
        <v>1885</v>
      </c>
      <c r="L164" s="167" t="s">
        <v>4319</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3371</v>
      </c>
      <c r="H165" s="94" t="s">
        <v>1911</v>
      </c>
      <c r="I165" s="94" t="s">
        <v>2176</v>
      </c>
      <c r="J165" s="99"/>
      <c r="K165" s="94" t="s">
        <v>2910</v>
      </c>
      <c r="L165" s="99"/>
      <c r="M165" s="99"/>
      <c r="N165" s="99"/>
      <c r="O165" s="94" t="s">
        <v>6230</v>
      </c>
      <c r="P165" s="94" t="s">
        <v>2038</v>
      </c>
      <c r="Q165" s="99"/>
      <c r="R165" s="99"/>
      <c r="S165" s="99"/>
      <c r="T165" s="99"/>
      <c r="U165" s="99"/>
      <c r="V165" s="99"/>
      <c r="W165" s="92"/>
      <c r="X165" s="94" t="s">
        <v>3437</v>
      </c>
      <c r="Y165" s="99"/>
      <c r="Z165" s="99"/>
      <c r="AA165" s="94" t="s">
        <v>4663</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3419</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3535</v>
      </c>
      <c r="CY165" s="99"/>
      <c r="CZ165" s="99"/>
      <c r="DA165" s="99"/>
      <c r="DB165" s="99"/>
      <c r="DC165" s="94" t="s">
        <v>3441</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3371</v>
      </c>
      <c r="H166" s="167" t="s">
        <v>3714</v>
      </c>
      <c r="I166" s="243"/>
      <c r="J166" s="167" t="s">
        <v>5290</v>
      </c>
      <c r="K166" s="167" t="s">
        <v>4045</v>
      </c>
      <c r="L166" s="167" t="s">
        <v>5072</v>
      </c>
      <c r="M166" s="243"/>
      <c r="N166" s="243"/>
      <c r="O166" s="167" t="s">
        <v>1862</v>
      </c>
      <c r="P166" s="243"/>
      <c r="Q166" s="243"/>
      <c r="R166" s="243"/>
      <c r="S166" s="243"/>
      <c r="T166" s="243"/>
      <c r="U166" s="243"/>
      <c r="V166" s="243"/>
      <c r="W166" s="92"/>
      <c r="X166" s="197" t="s">
        <v>6238</v>
      </c>
      <c r="Y166" s="197"/>
      <c r="Z166" s="197" t="s">
        <v>3814</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3975</v>
      </c>
      <c r="CX166" s="255"/>
      <c r="CY166" s="255"/>
      <c r="CZ166" s="255"/>
      <c r="DA166" s="255"/>
      <c r="DB166" s="255"/>
      <c r="DC166" s="255"/>
      <c r="DD166" s="255"/>
      <c r="DE166" s="255"/>
      <c r="DF166" s="255"/>
      <c r="DG166" s="255"/>
      <c r="DH166" s="256"/>
      <c r="DI166" s="257"/>
      <c r="DJ166" s="257"/>
      <c r="DK166" s="257"/>
      <c r="DL166" s="257"/>
      <c r="DM166" s="204" t="s">
        <v>3902</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4147</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3831</v>
      </c>
      <c r="AV167" s="88" t="s">
        <v>6250</v>
      </c>
      <c r="AW167" s="102"/>
      <c r="AX167" s="99"/>
      <c r="AY167" s="99"/>
      <c r="AZ167" s="99"/>
      <c r="BA167" s="99"/>
      <c r="BB167" s="102" t="s">
        <v>6251</v>
      </c>
      <c r="BC167" s="88" t="s">
        <v>6252</v>
      </c>
      <c r="BD167" s="102" t="s">
        <v>3246</v>
      </c>
      <c r="BE167" s="88" t="s">
        <v>959</v>
      </c>
      <c r="BF167" s="88" t="s">
        <v>6253</v>
      </c>
      <c r="BG167" s="88" t="s">
        <v>3706</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3572</v>
      </c>
      <c r="I168" s="243" t="s">
        <v>6267</v>
      </c>
      <c r="J168" s="243" t="s">
        <v>453</v>
      </c>
      <c r="K168" s="243" t="s">
        <v>4370</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3535</v>
      </c>
      <c r="CO168" s="349" t="s">
        <v>6269</v>
      </c>
      <c r="CP168" s="254"/>
      <c r="CQ168" s="262"/>
      <c r="CR168" s="254"/>
      <c r="CS168" s="254"/>
      <c r="CT168" s="254"/>
      <c r="CU168" s="92"/>
      <c r="CV168" s="255"/>
      <c r="CW168" s="255"/>
      <c r="CX168" s="255" t="s">
        <v>5171</v>
      </c>
      <c r="CY168" s="255" t="s">
        <v>3525</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4669</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3663</v>
      </c>
      <c r="BF174" s="174" t="s">
        <v>6304</v>
      </c>
      <c r="BG174" s="173"/>
      <c r="BH174" s="173"/>
      <c r="BI174" s="174" t="s">
        <v>3261</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4633</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4042</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4018</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4178</v>
      </c>
      <c r="BJ175" s="690"/>
      <c r="BK175" s="690"/>
      <c r="BL175" s="690"/>
      <c r="BM175" s="690"/>
      <c r="BN175" s="690"/>
      <c r="BO175" s="690"/>
      <c r="BP175" s="690"/>
      <c r="BQ175" s="694"/>
      <c r="BR175" s="690"/>
      <c r="BS175" s="690"/>
      <c r="BT175" s="689" t="s">
        <v>3425</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3661</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4093</v>
      </c>
      <c r="M180" s="167" t="s">
        <v>6341</v>
      </c>
      <c r="N180" s="243"/>
      <c r="O180" s="167" t="s">
        <v>1861</v>
      </c>
      <c r="P180" s="167" t="s">
        <v>6342</v>
      </c>
      <c r="Q180" s="243"/>
      <c r="R180" s="243"/>
      <c r="S180" s="243"/>
      <c r="T180" s="243"/>
      <c r="U180" s="243"/>
      <c r="V180" s="243"/>
      <c r="W180" s="92"/>
      <c r="X180" s="197" t="s">
        <v>4436</v>
      </c>
      <c r="Y180" s="197"/>
      <c r="Z180" s="197" t="s">
        <v>5671</v>
      </c>
      <c r="AA180" s="197" t="s">
        <v>4469</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4178</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3318</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3478</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4582</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4238</v>
      </c>
      <c r="BD184" s="174" t="s">
        <v>3760</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3983</v>
      </c>
      <c r="M185" s="94" t="s">
        <v>6398</v>
      </c>
      <c r="N185" s="99"/>
      <c r="O185" s="94" t="s">
        <v>3589</v>
      </c>
      <c r="P185" s="94" t="s">
        <v>1619</v>
      </c>
      <c r="Q185" s="99"/>
      <c r="R185" s="99"/>
      <c r="S185" s="99"/>
      <c r="T185" s="99"/>
      <c r="U185" s="99"/>
      <c r="V185" s="99"/>
      <c r="W185" s="92"/>
      <c r="X185" s="94" t="s">
        <v>6399</v>
      </c>
      <c r="Y185" s="94"/>
      <c r="Z185" s="94" t="s">
        <v>3613</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2933</v>
      </c>
      <c r="AW185" s="99"/>
      <c r="AX185" s="99"/>
      <c r="AY185" s="99"/>
      <c r="AZ185" s="99"/>
      <c r="BA185" s="99"/>
      <c r="BB185" s="94" t="s">
        <v>3818</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3853</v>
      </c>
      <c r="CB185" s="99"/>
      <c r="CC185" s="99"/>
      <c r="CD185" s="99"/>
      <c r="CE185" s="99"/>
      <c r="CF185" s="236"/>
      <c r="CG185" s="94" t="s">
        <v>6404</v>
      </c>
      <c r="CH185" s="94" t="s">
        <v>3524</v>
      </c>
      <c r="CI185" s="94" t="s">
        <v>756</v>
      </c>
      <c r="CJ185" s="94" t="s">
        <v>6405</v>
      </c>
      <c r="CK185" s="94"/>
      <c r="CL185" s="94"/>
      <c r="CM185" s="99"/>
      <c r="CN185" s="94" t="s">
        <v>3809</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4331</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4226</v>
      </c>
      <c r="K192" s="167" t="s">
        <v>4370</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4665</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4018</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3474</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3630</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3244</v>
      </c>
      <c r="AO195" s="99"/>
      <c r="AP195" s="99"/>
      <c r="AQ195" s="94"/>
      <c r="AR195" s="94"/>
      <c r="AS195" s="99"/>
      <c r="AT195" s="99"/>
      <c r="AU195" s="102" t="s">
        <v>2311</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4220</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4590</v>
      </c>
      <c r="H199" s="94" t="s">
        <v>6466</v>
      </c>
      <c r="I199" s="94" t="s">
        <v>2476</v>
      </c>
      <c r="J199" s="94" t="s">
        <v>1209</v>
      </c>
      <c r="K199" s="94" t="s">
        <v>6467</v>
      </c>
      <c r="L199" s="94" t="s">
        <v>6468</v>
      </c>
      <c r="M199" s="94" t="s">
        <v>6469</v>
      </c>
      <c r="N199" s="94" t="s">
        <v>6470</v>
      </c>
      <c r="O199" s="94" t="s">
        <v>6471</v>
      </c>
      <c r="P199" s="94" t="s">
        <v>4135</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4448</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3627</v>
      </c>
      <c r="CK199" s="94"/>
      <c r="CL199" s="94" t="s">
        <v>372</v>
      </c>
      <c r="CM199" s="94" t="s">
        <v>6491</v>
      </c>
      <c r="CN199" s="94" t="s">
        <v>6492</v>
      </c>
      <c r="CO199" s="94" t="s">
        <v>4008</v>
      </c>
      <c r="CP199" s="99"/>
      <c r="CQ199" s="99"/>
      <c r="CR199" s="99"/>
      <c r="CS199" s="99"/>
      <c r="CT199" s="99"/>
      <c r="CU199" s="92"/>
      <c r="CV199" s="99" t="s">
        <v>6493</v>
      </c>
      <c r="CW199" s="99" t="s">
        <v>2185</v>
      </c>
      <c r="CX199" s="99" t="s">
        <v>1102</v>
      </c>
      <c r="CY199" s="99" t="s">
        <v>6494</v>
      </c>
      <c r="CZ199" s="99" t="s">
        <v>6495</v>
      </c>
      <c r="DA199" s="99" t="s">
        <v>4509</v>
      </c>
      <c r="DB199" s="99" t="s">
        <v>6496</v>
      </c>
      <c r="DC199" s="94" t="s">
        <v>3329</v>
      </c>
      <c r="DD199" s="99"/>
      <c r="DE199" s="99"/>
      <c r="DF199" s="99"/>
      <c r="DG199" s="99"/>
      <c r="DH199" s="236"/>
      <c r="DI199" s="99"/>
      <c r="DJ199" s="99"/>
      <c r="DK199" s="99"/>
      <c r="DL199" s="99"/>
      <c r="DM199" s="99" t="s">
        <v>5493</v>
      </c>
      <c r="DN199" s="94"/>
      <c r="DO199" s="94" t="s">
        <v>6497</v>
      </c>
      <c r="DP199" s="94" t="s">
        <v>4001</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3432</v>
      </c>
      <c r="H202" s="243"/>
      <c r="I202" s="167" t="s">
        <v>6520</v>
      </c>
      <c r="J202" s="167" t="s">
        <v>1298</v>
      </c>
      <c r="K202" s="167" t="s">
        <v>1058</v>
      </c>
      <c r="L202" s="167" t="s">
        <v>6521</v>
      </c>
      <c r="M202" s="167" t="s">
        <v>6522</v>
      </c>
      <c r="N202" s="167" t="s">
        <v>6523</v>
      </c>
      <c r="O202" s="167" t="s">
        <v>6524</v>
      </c>
      <c r="P202" s="167" t="s">
        <v>4604</v>
      </c>
      <c r="Q202" s="243"/>
      <c r="R202" s="243"/>
      <c r="S202" s="243"/>
      <c r="T202" s="243"/>
      <c r="U202" s="243"/>
      <c r="V202" s="243"/>
      <c r="W202" s="92"/>
      <c r="X202" s="197" t="s">
        <v>337</v>
      </c>
      <c r="Y202" s="197"/>
      <c r="Z202" s="197" t="s">
        <v>2211</v>
      </c>
      <c r="AA202" s="197" t="s">
        <v>3239</v>
      </c>
      <c r="AB202" s="197" t="s">
        <v>6525</v>
      </c>
      <c r="AC202" s="197" t="s">
        <v>6526</v>
      </c>
      <c r="AD202" s="197" t="s">
        <v>3201</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3844</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3576</v>
      </c>
      <c r="CB202" s="251"/>
      <c r="CC202" s="251"/>
      <c r="CD202" s="251"/>
      <c r="CE202" s="251"/>
      <c r="CF202" s="252"/>
      <c r="CG202" s="177" t="s">
        <v>6543</v>
      </c>
      <c r="CH202" s="177" t="s">
        <v>6544</v>
      </c>
      <c r="CI202" s="177" t="s">
        <v>2932</v>
      </c>
      <c r="CJ202" s="177" t="s">
        <v>6545</v>
      </c>
      <c r="CK202" s="177"/>
      <c r="CL202" s="177" t="s">
        <v>4225</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4042</v>
      </c>
      <c r="H203" s="94" t="s">
        <v>6555</v>
      </c>
      <c r="I203" s="94" t="s">
        <v>6556</v>
      </c>
      <c r="J203" s="94" t="s">
        <v>6557</v>
      </c>
      <c r="K203" s="94" t="s">
        <v>1619</v>
      </c>
      <c r="L203" s="94" t="s">
        <v>4060</v>
      </c>
      <c r="M203" s="94" t="s">
        <v>6558</v>
      </c>
      <c r="N203" s="94" t="s">
        <v>6559</v>
      </c>
      <c r="O203" s="94" t="s">
        <v>4422</v>
      </c>
      <c r="P203" s="94" t="s">
        <v>4663</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3477</v>
      </c>
      <c r="BC203" s="99"/>
      <c r="BD203" s="94" t="s">
        <v>2530</v>
      </c>
      <c r="BE203" s="99"/>
      <c r="BF203" s="99"/>
      <c r="BG203" s="99"/>
      <c r="BH203" s="99"/>
      <c r="BI203" s="94" t="s">
        <v>3942</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3277</v>
      </c>
      <c r="K208" s="167" t="s">
        <v>1892</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4433</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4274</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4040</v>
      </c>
      <c r="Y1" s="722" t="s">
        <v>6628</v>
      </c>
      <c r="Z1" s="722" t="s">
        <v>6629</v>
      </c>
      <c r="AA1" s="722" t="s">
        <v>3560</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3859</v>
      </c>
      <c r="AW1" s="722" t="s">
        <v>5856</v>
      </c>
      <c r="AX1" s="722" t="s">
        <v>6643</v>
      </c>
      <c r="AY1" s="722" t="s">
        <v>5236</v>
      </c>
      <c r="AZ1" s="726" t="s">
        <v>4667</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3643</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4409</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4591</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3843</v>
      </c>
      <c r="S8" s="748" t="s">
        <v>6670</v>
      </c>
      <c r="T8" s="748" t="s">
        <v>6671</v>
      </c>
      <c r="U8" s="748"/>
      <c r="V8" s="748"/>
      <c r="W8" s="748" t="s">
        <v>5770</v>
      </c>
      <c r="X8" s="748"/>
      <c r="Y8" s="748" t="s">
        <v>3642</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4487</v>
      </c>
      <c r="N12" s="748" t="s">
        <v>4779</v>
      </c>
      <c r="O12" s="748"/>
      <c r="P12" s="746" t="s">
        <v>3397</v>
      </c>
      <c r="Q12" s="748" t="s">
        <v>4487</v>
      </c>
      <c r="R12" s="748"/>
      <c r="S12" s="748" t="s">
        <v>4365</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4252</v>
      </c>
      <c r="D13" s="753" t="s">
        <v>1560</v>
      </c>
      <c r="E13" s="744" t="s">
        <v>338</v>
      </c>
      <c r="F13" s="754" t="s">
        <v>2543</v>
      </c>
      <c r="G13" s="743" t="s">
        <v>1262</v>
      </c>
      <c r="H13" s="744" t="s">
        <v>4252</v>
      </c>
      <c r="I13" s="745" t="s">
        <v>6684</v>
      </c>
      <c r="J13" s="744" t="s">
        <v>725</v>
      </c>
      <c r="K13" s="745"/>
      <c r="L13" s="745" t="s">
        <v>2344</v>
      </c>
      <c r="M13" s="744" t="s">
        <v>2109</v>
      </c>
      <c r="N13" s="745" t="s">
        <v>6685</v>
      </c>
      <c r="O13" s="744" t="s">
        <v>6686</v>
      </c>
      <c r="P13" s="746" t="s">
        <v>2792</v>
      </c>
      <c r="Q13" s="745" t="s">
        <v>3995</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3968</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4432</v>
      </c>
      <c r="I14" s="748" t="str">
        <f>HYPERLINK("https://youtu.be/F4XtupQ5d4o","14.33")</f>
        <v>14.33</v>
      </c>
      <c r="J14" s="748" t="s">
        <v>4432</v>
      </c>
      <c r="K14" s="744" t="s">
        <v>4045</v>
      </c>
      <c r="L14" s="748"/>
      <c r="M14" s="748" t="str">
        <f>HYPERLINK("https://www.youtube.com/watch?v=h3GaauXfeR4","14.16")</f>
        <v>14.16</v>
      </c>
      <c r="N14" s="748" t="str">
        <f>HYPERLINK("https://youtu.be/rZW3Nzg9CsM","14.20")</f>
        <v>14.20</v>
      </c>
      <c r="O14" s="748"/>
      <c r="P14" s="746" t="s">
        <v>4386</v>
      </c>
      <c r="Q14" s="748" t="s">
        <v>2278</v>
      </c>
      <c r="R14" s="748" t="s">
        <v>3862</v>
      </c>
      <c r="S14" s="748"/>
      <c r="T14" s="748"/>
      <c r="U14" s="748"/>
      <c r="V14" s="748" t="s">
        <v>5550</v>
      </c>
      <c r="W14" s="748"/>
      <c r="X14" s="748" t="s">
        <v>4507</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4008</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3604</v>
      </c>
      <c r="E18" s="748" t="s">
        <v>1173</v>
      </c>
      <c r="F18" s="749"/>
      <c r="G18" s="743" t="s">
        <v>4433</v>
      </c>
      <c r="H18" s="748"/>
      <c r="I18" s="748" t="s">
        <v>4201</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4640</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4033</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4371</v>
      </c>
      <c r="I20" s="748" t="str">
        <f>HYPERLINK("https://clips.twitch.tv/EnergeticBeautifulMallardRalpherZ","42.96")</f>
        <v>42.96</v>
      </c>
      <c r="J20" s="748" t="s">
        <v>141</v>
      </c>
      <c r="K20" s="744" t="s">
        <v>2793</v>
      </c>
      <c r="L20" s="748" t="s">
        <v>628</v>
      </c>
      <c r="M20" s="748" t="s">
        <v>592</v>
      </c>
      <c r="N20" s="748" t="s">
        <v>1824</v>
      </c>
      <c r="O20" s="748" t="s">
        <v>657</v>
      </c>
      <c r="P20" s="746" t="s">
        <v>3287</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4153</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4008</v>
      </c>
      <c r="F24" s="766" t="s">
        <v>4233</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3470</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4553</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3304</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4243</v>
      </c>
      <c r="D31" s="748"/>
      <c r="E31" s="748" t="s">
        <v>1900</v>
      </c>
      <c r="F31" s="785" t="s">
        <v>5666</v>
      </c>
      <c r="G31" s="759"/>
      <c r="H31" s="748"/>
      <c r="I31" s="748" t="s">
        <v>4891</v>
      </c>
      <c r="J31" s="748" t="s">
        <v>772</v>
      </c>
      <c r="K31" s="748" t="s">
        <v>3471</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3998</v>
      </c>
      <c r="D33" s="748"/>
      <c r="E33" s="748" t="s">
        <v>3998</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4243</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3736</v>
      </c>
      <c r="D35" s="748"/>
      <c r="E35" s="748" t="s">
        <v>3471</v>
      </c>
      <c r="F35" s="742"/>
      <c r="G35" s="759"/>
      <c r="H35" s="748"/>
      <c r="I35" s="748"/>
      <c r="J35" s="748" t="s">
        <v>3736</v>
      </c>
      <c r="K35" s="748" t="s">
        <v>3998</v>
      </c>
      <c r="L35" s="748"/>
      <c r="M35" s="748" t="s">
        <v>5362</v>
      </c>
      <c r="N35" s="748"/>
      <c r="O35" s="748"/>
      <c r="P35" s="746"/>
      <c r="Q35" s="748" t="s">
        <v>6748</v>
      </c>
      <c r="R35" s="744" t="s">
        <v>3736</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3837</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3736</v>
      </c>
      <c r="F37" s="768" t="s">
        <v>3151</v>
      </c>
      <c r="G37" s="759"/>
      <c r="H37" s="748"/>
      <c r="I37" s="748" t="s">
        <v>6752</v>
      </c>
      <c r="J37" s="748" t="s">
        <v>2314</v>
      </c>
      <c r="K37" s="748" t="s">
        <v>2271</v>
      </c>
      <c r="L37" s="748"/>
      <c r="M37" s="748" t="s">
        <v>6750</v>
      </c>
      <c r="N37" s="748"/>
      <c r="O37" s="748"/>
      <c r="P37" s="746"/>
      <c r="Q37" s="748" t="s">
        <v>1746</v>
      </c>
      <c r="R37" s="748"/>
      <c r="S37" s="748"/>
      <c r="T37" s="748"/>
      <c r="U37" s="744" t="s">
        <v>3736</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3966</v>
      </c>
      <c r="F38" s="754" t="s">
        <v>2546</v>
      </c>
      <c r="G38" s="743" t="s">
        <v>3813</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3966</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4358</v>
      </c>
      <c r="D39" s="748" t="s">
        <v>6755</v>
      </c>
      <c r="E39" s="748" t="s">
        <v>4358</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3454</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3656</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3546</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3219</v>
      </c>
      <c r="D48" s="746"/>
      <c r="E48" s="746"/>
      <c r="F48" s="742"/>
      <c r="G48" s="759"/>
      <c r="H48" s="746"/>
      <c r="I48" s="744" t="s">
        <v>3219</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3417</v>
      </c>
      <c r="Q55" s="748" t="s">
        <v>122</v>
      </c>
      <c r="R55" s="748" t="s">
        <v>6787</v>
      </c>
      <c r="S55" s="748"/>
      <c r="T55" s="748"/>
      <c r="U55" s="748" t="s">
        <v>3538</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3191</v>
      </c>
      <c r="D56" s="748"/>
      <c r="E56" s="748" t="s">
        <v>3191</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3578</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3825</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4147</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3940</v>
      </c>
      <c r="P63" s="746" t="s">
        <v>6796</v>
      </c>
      <c r="Q63" s="789" t="s">
        <v>6706</v>
      </c>
      <c r="R63" s="789" t="s">
        <v>194</v>
      </c>
      <c r="S63" s="789"/>
      <c r="T63" s="789"/>
      <c r="U63" s="789"/>
      <c r="V63" s="789"/>
      <c r="W63" s="789"/>
      <c r="X63" s="789"/>
      <c r="Y63" s="789"/>
      <c r="Z63" s="789" t="s">
        <v>3940</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4130</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3733</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4210</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3505</v>
      </c>
      <c r="F71" s="821" t="s">
        <v>6808</v>
      </c>
      <c r="G71" s="759"/>
      <c r="H71" s="748" t="s">
        <v>575</v>
      </c>
      <c r="I71" s="748"/>
      <c r="J71" s="748" t="s">
        <v>6808</v>
      </c>
      <c r="K71" s="748"/>
      <c r="L71" s="748"/>
      <c r="M71" s="748" t="s">
        <v>3505</v>
      </c>
      <c r="N71" s="748"/>
      <c r="O71" s="748"/>
      <c r="P71" s="746"/>
      <c r="Q71" s="748"/>
      <c r="R71" s="748"/>
      <c r="S71" s="748"/>
      <c r="T71" s="748" t="s">
        <v>2804</v>
      </c>
      <c r="U71" s="789" t="s">
        <v>5565</v>
      </c>
      <c r="V71" s="748"/>
      <c r="W71" s="748" t="s">
        <v>3366</v>
      </c>
      <c r="X71" s="748" t="s">
        <v>5070</v>
      </c>
      <c r="Y71" s="748"/>
      <c r="Z71" s="748" t="s">
        <v>4821</v>
      </c>
      <c r="AA71" s="748"/>
      <c r="AB71" s="748"/>
      <c r="AC71" s="748"/>
      <c r="AD71" s="748"/>
      <c r="AE71" s="748" t="s">
        <v>3825</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4052</v>
      </c>
      <c r="O72" s="831"/>
      <c r="P72" s="758"/>
      <c r="Q72" s="831" t="str">
        <f>HYPERLINK("https://clips.twitch.tv/ThankfulSpoopyHerdWOOP","16.58")</f>
        <v>16.58</v>
      </c>
      <c r="R72" s="831"/>
      <c r="S72" s="831"/>
      <c r="T72" s="831"/>
      <c r="U72" s="831"/>
      <c r="V72" s="831" t="s">
        <v>6811</v>
      </c>
      <c r="W72" s="831"/>
      <c r="X72" s="831" t="s">
        <v>3628</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3571</v>
      </c>
      <c r="D73" s="748" t="s">
        <v>531</v>
      </c>
      <c r="E73" s="748"/>
      <c r="F73" s="768" t="s">
        <v>344</v>
      </c>
      <c r="G73" s="743" t="s">
        <v>2215</v>
      </c>
      <c r="H73" s="748" t="s">
        <v>3902</v>
      </c>
      <c r="I73" s="748" t="s">
        <v>406</v>
      </c>
      <c r="J73" s="748" t="s">
        <v>3257</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4370</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3571</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4329</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4002</v>
      </c>
      <c r="Q76" s="748" t="s">
        <v>6822</v>
      </c>
      <c r="R76" s="748"/>
      <c r="S76" s="748" t="s">
        <v>4627</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4053</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4053</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3329</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4045</v>
      </c>
      <c r="D80" s="748"/>
      <c r="E80" s="748" t="s">
        <v>4045</v>
      </c>
      <c r="F80" s="812"/>
      <c r="G80" s="743" t="s">
        <v>2472</v>
      </c>
      <c r="H80" s="748"/>
      <c r="I80" s="748"/>
      <c r="J80" s="748"/>
      <c r="K80" s="748"/>
      <c r="L80" s="748"/>
      <c r="M80" s="748"/>
      <c r="N80" s="748"/>
      <c r="O80" s="748"/>
      <c r="P80" s="746"/>
      <c r="Q80" s="748"/>
      <c r="R80" s="748"/>
      <c r="S80" s="748"/>
      <c r="T80" s="748"/>
      <c r="U80" s="748"/>
      <c r="V80" s="748"/>
      <c r="W80" s="748"/>
      <c r="X80" s="748" t="s">
        <v>3734</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5272</v>
      </c>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4035</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3641</v>
      </c>
      <c r="E84" s="748" t="s">
        <v>2649</v>
      </c>
      <c r="F84" s="742"/>
      <c r="G84" s="759"/>
      <c r="H84" s="748"/>
      <c r="I84" s="748"/>
      <c r="J84" s="748"/>
      <c r="K84" s="748" t="s">
        <v>6838</v>
      </c>
      <c r="L84" s="748" t="s">
        <v>5179</v>
      </c>
      <c r="M84" s="748"/>
      <c r="N84" s="748" t="str">
        <f>HYPERLINK("https://youtu.be/HUwmtKe7cOY","56.54")</f>
        <v>56.54</v>
      </c>
      <c r="O84" s="748"/>
      <c r="P84" s="746" t="s">
        <v>3812</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5498</v>
      </c>
      <c r="F85" s="773" t="s">
        <v>758</v>
      </c>
      <c r="G85" s="743" t="s">
        <v>1277</v>
      </c>
      <c r="H85" s="748" t="s">
        <v>952</v>
      </c>
      <c r="I85" s="748" t="s">
        <v>2942</v>
      </c>
      <c r="J85" s="748" t="s">
        <v>4417</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3534</v>
      </c>
      <c r="D86" s="748"/>
      <c r="E86" s="748" t="s">
        <v>6843</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3534</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6846</v>
      </c>
      <c r="C88" s="837" t="s">
        <v>6550</v>
      </c>
      <c r="D88" s="838" t="s">
        <v>6847</v>
      </c>
      <c r="E88" s="839" t="s">
        <v>2387</v>
      </c>
      <c r="F88" s="839" t="s">
        <v>760</v>
      </c>
      <c r="G88" s="839" t="s">
        <v>666</v>
      </c>
      <c r="H88" s="838" t="s">
        <v>760</v>
      </c>
      <c r="I88" s="839" t="s">
        <v>2437</v>
      </c>
      <c r="J88" s="839" t="s">
        <v>1279</v>
      </c>
      <c r="K88" s="838" t="s">
        <v>3104</v>
      </c>
      <c r="L88" s="838" t="s">
        <v>6848</v>
      </c>
      <c r="M88" s="840"/>
      <c r="N88" s="840"/>
      <c r="O88" s="839" t="s">
        <v>6550</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6860</v>
      </c>
      <c r="E91" s="748" t="s">
        <v>5344</v>
      </c>
      <c r="F91" s="812"/>
      <c r="G91" s="759"/>
      <c r="H91" s="748" t="s">
        <v>5344</v>
      </c>
      <c r="I91" s="748" t="s">
        <v>5162</v>
      </c>
      <c r="J91" s="748"/>
      <c r="K91" s="748" t="s">
        <v>4706</v>
      </c>
      <c r="L91" s="748"/>
      <c r="M91" s="748" t="s">
        <v>3243</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3972</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360</v>
      </c>
      <c r="D96" s="753" t="s">
        <v>1575</v>
      </c>
      <c r="E96" s="748" t="s">
        <v>1668</v>
      </c>
      <c r="F96" s="742"/>
      <c r="G96" s="743" t="s">
        <v>5017</v>
      </c>
      <c r="H96" s="748"/>
      <c r="I96" s="748" t="str">
        <f>HYPERLINK("https://youtu.be/VjOXmvP4h2s","46.37")</f>
        <v>46.37</v>
      </c>
      <c r="J96" s="748" t="s">
        <v>360</v>
      </c>
      <c r="K96" s="748"/>
      <c r="L96" s="748"/>
      <c r="M96" s="748"/>
      <c r="N96" s="748" t="s">
        <v>3417</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1704</v>
      </c>
      <c r="E97" s="748" t="s">
        <v>361</v>
      </c>
      <c r="F97" s="742"/>
      <c r="G97" s="759"/>
      <c r="H97" s="748"/>
      <c r="I97" s="748"/>
      <c r="J97" s="748"/>
      <c r="K97" s="748"/>
      <c r="L97" s="748" t="s">
        <v>4246</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4197</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3334</v>
      </c>
      <c r="J102" s="851" t="s">
        <v>4147</v>
      </c>
      <c r="K102" s="857" t="s">
        <v>1236</v>
      </c>
      <c r="L102" s="857" t="s">
        <v>921</v>
      </c>
      <c r="M102" s="851" t="s">
        <v>764</v>
      </c>
      <c r="N102" s="857" t="s">
        <v>3715</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3391</v>
      </c>
      <c r="D103" s="861" t="s">
        <v>4510</v>
      </c>
      <c r="E103" s="857"/>
      <c r="F103" s="742"/>
      <c r="G103" s="743" t="s">
        <v>6075</v>
      </c>
      <c r="H103" s="857"/>
      <c r="I103" s="857"/>
      <c r="J103" s="851" t="s">
        <v>3391</v>
      </c>
      <c r="K103" s="857"/>
      <c r="L103" s="857" t="s">
        <v>3505</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1516</v>
      </c>
      <c r="D104" s="792" t="s">
        <v>6875</v>
      </c>
      <c r="E104" s="857"/>
      <c r="F104" s="742"/>
      <c r="G104" s="743" t="s">
        <v>1285</v>
      </c>
      <c r="H104" s="857"/>
      <c r="I104" s="857" t="s">
        <v>6876</v>
      </c>
      <c r="J104" s="851" t="s">
        <v>6877</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1580</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5646</v>
      </c>
      <c r="D106" s="792" t="s">
        <v>6881</v>
      </c>
      <c r="E106" s="857"/>
      <c r="F106" s="742"/>
      <c r="G106" s="743" t="s">
        <v>613</v>
      </c>
      <c r="H106" s="857"/>
      <c r="I106" s="857"/>
      <c r="J106" s="851" t="s">
        <v>6882</v>
      </c>
      <c r="K106" s="857" t="s">
        <v>3633</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3712</v>
      </c>
      <c r="E107" s="857"/>
      <c r="F107" s="858"/>
      <c r="G107" s="743" t="s">
        <v>134</v>
      </c>
      <c r="H107" s="857"/>
      <c r="I107" s="857" t="s">
        <v>6886</v>
      </c>
      <c r="J107" s="851" t="s">
        <v>6887</v>
      </c>
      <c r="K107" s="857" t="s">
        <v>3634</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368</v>
      </c>
      <c r="F108" s="742"/>
      <c r="G108" s="743" t="s">
        <v>6889</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1702</v>
      </c>
      <c r="D109" s="857"/>
      <c r="E109" s="857"/>
      <c r="F109" s="858"/>
      <c r="G109" s="743" t="s">
        <v>4249</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1260</v>
      </c>
      <c r="D112" s="753" t="s">
        <v>1583</v>
      </c>
      <c r="E112" s="857"/>
      <c r="F112" s="742"/>
      <c r="G112" s="743" t="s">
        <v>1288</v>
      </c>
      <c r="H112" s="857"/>
      <c r="I112" s="857" t="s">
        <v>6892</v>
      </c>
      <c r="J112" s="851" t="s">
        <v>1260</v>
      </c>
      <c r="K112" s="857" t="s">
        <v>3636</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6075</v>
      </c>
      <c r="F114" s="868" t="s">
        <v>3814</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2244</v>
      </c>
      <c r="D116" s="857"/>
      <c r="E116" s="857"/>
      <c r="F116" s="858"/>
      <c r="G116" s="743" t="s">
        <v>4236</v>
      </c>
      <c r="H116" s="857"/>
      <c r="I116" s="857"/>
      <c r="J116" s="857"/>
      <c r="K116" s="851" t="s">
        <v>3974</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3786</v>
      </c>
      <c r="BJ116" s="854"/>
      <c r="BK116" s="854"/>
      <c r="BL116" s="854"/>
      <c r="BM116" s="854"/>
      <c r="BN116" s="854"/>
      <c r="BO116" s="854"/>
    </row>
    <row r="117" ht="15.75" customHeight="1">
      <c r="A117" s="867"/>
      <c r="B117" s="864" t="s">
        <v>6896</v>
      </c>
      <c r="C117" s="850" t="s">
        <v>878</v>
      </c>
      <c r="D117" s="857" t="s">
        <v>3949</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6897</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1584</v>
      </c>
      <c r="E118" s="851" t="s">
        <v>6899</v>
      </c>
      <c r="F118" s="768" t="s">
        <v>1987</v>
      </c>
      <c r="G118" s="759"/>
      <c r="H118" s="851"/>
      <c r="I118" s="851" t="s">
        <v>261</v>
      </c>
      <c r="J118" s="851" t="s">
        <v>4789</v>
      </c>
      <c r="K118" s="851" t="s">
        <v>848</v>
      </c>
      <c r="L118" s="851"/>
      <c r="M118" s="851" t="s">
        <v>770</v>
      </c>
      <c r="N118" s="851"/>
      <c r="O118" s="851" t="s">
        <v>4335</v>
      </c>
      <c r="P118" s="852" t="s">
        <v>6165</v>
      </c>
      <c r="Q118" s="851" t="s">
        <v>2561</v>
      </c>
      <c r="R118" s="851" t="s">
        <v>3362</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2550</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927</v>
      </c>
      <c r="D120" s="753" t="s">
        <v>1586</v>
      </c>
      <c r="E120" s="857"/>
      <c r="F120" s="858"/>
      <c r="G120" s="759"/>
      <c r="H120" s="857" t="s">
        <v>5142</v>
      </c>
      <c r="I120" s="857" t="s">
        <v>3654</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6874</v>
      </c>
      <c r="C123" s="850" t="s">
        <v>2953</v>
      </c>
      <c r="D123" s="753" t="s">
        <v>6907</v>
      </c>
      <c r="E123" s="857"/>
      <c r="F123" s="742"/>
      <c r="G123" s="759"/>
      <c r="H123" s="857"/>
      <c r="I123" s="851" t="s">
        <v>6908</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4101</v>
      </c>
      <c r="D125" s="851" t="s">
        <v>6910</v>
      </c>
      <c r="E125" s="851" t="s">
        <v>6911</v>
      </c>
      <c r="F125" s="768" t="s">
        <v>6912</v>
      </c>
      <c r="G125" s="759"/>
      <c r="H125" s="851" t="s">
        <v>4101</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1183</v>
      </c>
      <c r="D128" s="748" t="s">
        <v>660</v>
      </c>
      <c r="E128" s="857"/>
      <c r="F128" s="768" t="s">
        <v>1183</v>
      </c>
      <c r="G128" s="743" t="s">
        <v>1351</v>
      </c>
      <c r="H128" s="857"/>
      <c r="I128" s="857"/>
      <c r="J128" s="857" t="s">
        <v>2687</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3403</v>
      </c>
      <c r="D130" s="853"/>
      <c r="E130" s="853"/>
      <c r="F130" s="889" t="s">
        <v>2750</v>
      </c>
      <c r="G130" s="759"/>
      <c r="H130" s="782" t="s">
        <v>3403</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2085</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6923</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3639</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1549</v>
      </c>
      <c r="G134" s="743" t="s">
        <v>6925</v>
      </c>
      <c r="H134" s="851"/>
      <c r="I134" s="851"/>
      <c r="J134" s="851"/>
      <c r="K134" s="851"/>
      <c r="L134" s="851" t="s">
        <v>3012</v>
      </c>
      <c r="M134" s="851" t="s">
        <v>6925</v>
      </c>
      <c r="N134" s="851"/>
      <c r="O134" s="851"/>
      <c r="P134" s="852" t="s">
        <v>6924</v>
      </c>
      <c r="Q134" s="851" t="s">
        <v>489</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4807</v>
      </c>
      <c r="H135" s="857"/>
      <c r="I135" s="857"/>
      <c r="J135" s="857"/>
      <c r="K135" s="857" t="s">
        <v>4433</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1815</v>
      </c>
      <c r="D136" s="857" t="s">
        <v>2595</v>
      </c>
      <c r="E136" s="857"/>
      <c r="F136" s="882"/>
      <c r="G136" s="759"/>
      <c r="H136" s="857"/>
      <c r="I136" s="857"/>
      <c r="J136" s="857"/>
      <c r="K136" s="857" t="s">
        <v>3640</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3443</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3443</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378</v>
      </c>
      <c r="D138" s="748" t="s">
        <v>776</v>
      </c>
      <c r="E138" s="743" t="s">
        <v>378</v>
      </c>
      <c r="F138" s="773" t="s">
        <v>3936</v>
      </c>
      <c r="G138" s="743" t="s">
        <v>1295</v>
      </c>
      <c r="H138" s="893" t="s">
        <v>5696</v>
      </c>
      <c r="I138" s="743" t="s">
        <v>5434</v>
      </c>
      <c r="J138" s="759"/>
      <c r="K138" s="759"/>
      <c r="L138" s="743" t="s">
        <v>931</v>
      </c>
      <c r="M138" s="743" t="s">
        <v>6436</v>
      </c>
      <c r="N138" s="759"/>
      <c r="O138" s="743" t="s">
        <v>6932</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568</v>
      </c>
      <c r="D139" s="857" t="s">
        <v>4273</v>
      </c>
      <c r="E139" s="857"/>
      <c r="F139" s="742"/>
      <c r="G139" s="759"/>
      <c r="H139" s="857"/>
      <c r="I139" s="857"/>
      <c r="J139" s="743" t="s">
        <v>5629</v>
      </c>
      <c r="K139" s="857" t="s">
        <v>1743</v>
      </c>
      <c r="L139" s="857"/>
      <c r="M139" s="857"/>
      <c r="N139" s="857" t="str">
        <f>HYPERLINK("https://youtu.be/wzsts4r5VHY","56.24")</f>
        <v>56.24</v>
      </c>
      <c r="O139" s="743" t="s">
        <v>6935</v>
      </c>
      <c r="P139" s="859"/>
      <c r="Q139" s="857"/>
      <c r="R139" s="857"/>
      <c r="S139" s="857" t="s">
        <v>568</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4548</v>
      </c>
      <c r="D140" s="894"/>
      <c r="E140" s="894"/>
      <c r="F140" s="882"/>
      <c r="G140" s="759"/>
      <c r="H140" s="894"/>
      <c r="I140" s="894"/>
      <c r="J140" s="743" t="s">
        <v>6938</v>
      </c>
      <c r="K140" s="894"/>
      <c r="L140" s="894"/>
      <c r="M140" s="894"/>
      <c r="N140" s="894"/>
      <c r="O140" s="894"/>
      <c r="P140" s="852"/>
      <c r="Q140" s="894"/>
      <c r="R140" s="894" t="s">
        <v>4548</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4125</v>
      </c>
      <c r="D142" s="857"/>
      <c r="E142" s="857"/>
      <c r="F142" s="882"/>
      <c r="G142" s="759"/>
      <c r="H142" s="857"/>
      <c r="I142" s="857"/>
      <c r="J142" s="857"/>
      <c r="K142" s="857" t="s">
        <v>3914</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3580</v>
      </c>
      <c r="D148" s="851" t="s">
        <v>5384</v>
      </c>
      <c r="E148" s="851" t="s">
        <v>3580</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6950</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1445</v>
      </c>
      <c r="D149" s="753" t="s">
        <v>1590</v>
      </c>
      <c r="E149" s="851" t="s">
        <v>5438</v>
      </c>
      <c r="F149" s="773" t="s">
        <v>1618</v>
      </c>
      <c r="G149" s="743" t="s">
        <v>3362</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6951</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936</v>
      </c>
      <c r="M151" s="851"/>
      <c r="N151" s="851" t="s">
        <v>6958</v>
      </c>
      <c r="O151" s="851"/>
      <c r="P151" s="852"/>
      <c r="Q151" s="851"/>
      <c r="R151" s="851"/>
      <c r="S151" s="851"/>
      <c r="T151" s="851" t="s">
        <v>6959</v>
      </c>
      <c r="U151" s="851"/>
      <c r="V151" s="851" t="s">
        <v>5110</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2553</v>
      </c>
      <c r="D153" s="789" t="s">
        <v>1592</v>
      </c>
      <c r="E153" s="743" t="s">
        <v>383</v>
      </c>
      <c r="F153" s="773" t="s">
        <v>2553</v>
      </c>
      <c r="G153" s="759"/>
      <c r="H153" s="743" t="s">
        <v>6966</v>
      </c>
      <c r="I153" s="743" t="s">
        <v>589</v>
      </c>
      <c r="J153" s="743" t="s">
        <v>3250</v>
      </c>
      <c r="K153" s="759" t="s">
        <v>3644</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3434</v>
      </c>
      <c r="D154" s="753" t="s">
        <v>1591</v>
      </c>
      <c r="E154" s="857"/>
      <c r="F154" s="882"/>
      <c r="G154" s="743" t="s">
        <v>1299</v>
      </c>
      <c r="H154" s="857"/>
      <c r="I154" s="857"/>
      <c r="J154" s="857"/>
      <c r="K154" s="861" t="s">
        <v>3643</v>
      </c>
      <c r="L154" s="857"/>
      <c r="M154" s="857" t="s">
        <v>6970</v>
      </c>
      <c r="N154" s="857"/>
      <c r="O154" s="857" t="s">
        <v>1021</v>
      </c>
      <c r="P154" s="859"/>
      <c r="Q154" s="857"/>
      <c r="R154" s="857"/>
      <c r="S154" s="743" t="s">
        <v>3434</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777</v>
      </c>
      <c r="D155" s="898" t="s">
        <v>5107</v>
      </c>
      <c r="E155" s="898" t="s">
        <v>3649</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2623</v>
      </c>
      <c r="D157" s="898" t="s">
        <v>6974</v>
      </c>
      <c r="E157" s="898"/>
      <c r="F157" s="785" t="s">
        <v>3843</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1432</v>
      </c>
      <c r="D160" s="898"/>
      <c r="E160" s="898"/>
      <c r="F160" s="882"/>
      <c r="G160" s="743" t="s">
        <v>6977</v>
      </c>
      <c r="H160" s="898" t="s">
        <v>6978</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1324</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2602</v>
      </c>
      <c r="D167" s="857" t="s">
        <v>2602</v>
      </c>
      <c r="E167" s="857"/>
      <c r="F167" s="889" t="s">
        <v>2971</v>
      </c>
      <c r="G167" s="743" t="s">
        <v>2822</v>
      </c>
      <c r="H167" s="851" t="s">
        <v>2602</v>
      </c>
      <c r="I167" s="857"/>
      <c r="J167" s="857"/>
      <c r="K167" s="857" t="s">
        <v>3769</v>
      </c>
      <c r="L167" s="857"/>
      <c r="M167" s="857"/>
      <c r="N167" s="857"/>
      <c r="O167" s="857" t="s">
        <v>2602</v>
      </c>
      <c r="P167" s="859" t="s">
        <v>2971</v>
      </c>
      <c r="Q167" s="857"/>
      <c r="R167" s="857" t="s">
        <v>2602</v>
      </c>
      <c r="S167" s="857" t="s">
        <v>2602</v>
      </c>
      <c r="T167" s="857"/>
      <c r="U167" s="857"/>
      <c r="V167" s="857"/>
      <c r="W167" s="857"/>
      <c r="X167" s="857"/>
      <c r="Y167" s="857"/>
      <c r="Z167" s="857"/>
      <c r="AA167" s="743" t="s">
        <v>3582</v>
      </c>
      <c r="AB167" s="857"/>
      <c r="AC167" s="857"/>
      <c r="AD167" s="857"/>
      <c r="AE167" s="857" t="s">
        <v>2602</v>
      </c>
      <c r="AF167" s="857"/>
      <c r="AG167" s="857"/>
      <c r="AH167" s="857"/>
      <c r="AI167" s="857"/>
      <c r="AJ167" s="853"/>
      <c r="AK167" s="857"/>
      <c r="AL167" s="857"/>
      <c r="AM167" s="857" t="s">
        <v>5534</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2441</v>
      </c>
      <c r="D168" s="748" t="s">
        <v>1593</v>
      </c>
      <c r="E168" s="851" t="s">
        <v>7003</v>
      </c>
      <c r="F168" s="768" t="s">
        <v>7004</v>
      </c>
      <c r="G168" s="759"/>
      <c r="H168" s="851" t="s">
        <v>7005</v>
      </c>
      <c r="I168" s="851"/>
      <c r="J168" s="851" t="s">
        <v>519</v>
      </c>
      <c r="K168" s="851" t="s">
        <v>3645</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7013</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1857</v>
      </c>
      <c r="D181" s="745" t="s">
        <v>5411</v>
      </c>
      <c r="E181" s="748" t="s">
        <v>6220</v>
      </c>
      <c r="F181" s="768" t="s">
        <v>2995</v>
      </c>
      <c r="G181" s="743" t="s">
        <v>7030</v>
      </c>
      <c r="H181" s="748" t="s">
        <v>2995</v>
      </c>
      <c r="I181" s="748"/>
      <c r="J181" s="748"/>
      <c r="K181" s="748"/>
      <c r="L181" s="748" t="s">
        <v>4482</v>
      </c>
      <c r="M181" s="748"/>
      <c r="N181" s="748"/>
      <c r="O181" s="748"/>
      <c r="P181" s="746"/>
      <c r="Q181" s="748"/>
      <c r="R181" s="748"/>
      <c r="S181" s="748" t="s">
        <v>4173</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1260</v>
      </c>
      <c r="G184" s="743" t="s">
        <v>1305</v>
      </c>
      <c r="H184" s="748" t="s">
        <v>5677</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4554</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1596</v>
      </c>
      <c r="E186" s="748" t="s">
        <v>7043</v>
      </c>
      <c r="F186" s="773" t="s">
        <v>2481</v>
      </c>
      <c r="G186" s="743" t="s">
        <v>1306</v>
      </c>
      <c r="H186" s="748" t="s">
        <v>3078</v>
      </c>
      <c r="I186" s="748" t="s">
        <v>160</v>
      </c>
      <c r="J186" s="748" t="s">
        <v>3958</v>
      </c>
      <c r="K186" s="748" t="s">
        <v>5388</v>
      </c>
      <c r="L186" s="748" t="s">
        <v>941</v>
      </c>
      <c r="M186" s="748" t="s">
        <v>2983</v>
      </c>
      <c r="N186" s="748" t="s">
        <v>1920</v>
      </c>
      <c r="O186" s="748" t="s">
        <v>4819</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7045</v>
      </c>
      <c r="C187" s="850" t="s">
        <v>3423</v>
      </c>
      <c r="D187" s="748"/>
      <c r="E187" s="748" t="s">
        <v>3423</v>
      </c>
      <c r="F187" s="742"/>
      <c r="G187" s="759"/>
      <c r="H187" s="748"/>
      <c r="I187" s="748" t="s">
        <v>5326</v>
      </c>
      <c r="J187" s="748"/>
      <c r="K187" s="748"/>
      <c r="L187" s="748"/>
      <c r="M187" s="748" t="s">
        <v>1027</v>
      </c>
      <c r="N187" s="748" t="s">
        <v>4471</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3870</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3290</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1574</v>
      </c>
      <c r="D189" s="926" t="s">
        <v>180</v>
      </c>
      <c r="E189" s="748" t="s">
        <v>4776</v>
      </c>
      <c r="F189" s="742"/>
      <c r="G189" s="743" t="s">
        <v>180</v>
      </c>
      <c r="H189" s="748"/>
      <c r="I189" s="748"/>
      <c r="J189" s="748"/>
      <c r="K189" s="744" t="s">
        <v>3290</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2609</v>
      </c>
      <c r="D192" s="920"/>
      <c r="E192" s="920"/>
      <c r="F192" s="915"/>
      <c r="G192" s="743" t="s">
        <v>7056</v>
      </c>
      <c r="H192" s="920"/>
      <c r="I192" s="920"/>
      <c r="J192" s="920"/>
      <c r="K192" s="920"/>
      <c r="L192" s="920"/>
      <c r="M192" s="920"/>
      <c r="N192" s="920" t="s">
        <v>4567</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822</v>
      </c>
      <c r="D193" s="920" t="s">
        <v>3493</v>
      </c>
      <c r="E193" s="920"/>
      <c r="F193" s="768" t="s">
        <v>2230</v>
      </c>
      <c r="G193" s="759"/>
      <c r="H193" s="920"/>
      <c r="I193" s="920" t="s">
        <v>3588</v>
      </c>
      <c r="J193" s="920"/>
      <c r="K193" s="920" t="s">
        <v>3356</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4521</v>
      </c>
      <c r="AH193" s="920"/>
      <c r="AI193" s="920"/>
      <c r="AJ193" s="808"/>
      <c r="AK193" s="920"/>
      <c r="AL193" s="920"/>
      <c r="AM193" s="920"/>
      <c r="AN193" s="920"/>
      <c r="AO193" s="920"/>
      <c r="AP193" s="808"/>
      <c r="AQ193" s="808"/>
      <c r="AR193" s="920"/>
      <c r="AS193" s="920"/>
      <c r="AT193" s="750"/>
      <c r="AU193" s="920"/>
      <c r="AV193" s="920"/>
      <c r="AW193" s="920"/>
      <c r="AX193" s="920" t="s">
        <v>3318</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1549</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2169</v>
      </c>
      <c r="D198" s="790" t="s">
        <v>7066</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5412</v>
      </c>
      <c r="D199" s="920"/>
      <c r="E199" s="920"/>
      <c r="F199" s="742"/>
      <c r="G199" s="743" t="s">
        <v>3211</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5273</v>
      </c>
      <c r="D200" s="920" t="s">
        <v>3425</v>
      </c>
      <c r="E200" s="920"/>
      <c r="F200" s="918" t="s">
        <v>659</v>
      </c>
      <c r="G200" s="743" t="s">
        <v>4512</v>
      </c>
      <c r="H200" s="920"/>
      <c r="I200" s="920"/>
      <c r="J200" s="920"/>
      <c r="K200" s="920" t="s">
        <v>5603</v>
      </c>
      <c r="L200" s="920" t="s">
        <v>1676</v>
      </c>
      <c r="M200" s="920"/>
      <c r="N200" s="920" t="s">
        <v>4653</v>
      </c>
      <c r="O200" s="920"/>
      <c r="P200" s="771"/>
      <c r="Q200" s="920"/>
      <c r="R200" s="920"/>
      <c r="S200" s="920"/>
      <c r="T200" s="920" t="s">
        <v>3529</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367</v>
      </c>
      <c r="D202" s="745" t="s">
        <v>5788</v>
      </c>
      <c r="E202" s="744" t="s">
        <v>367</v>
      </c>
      <c r="F202" s="924"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943</v>
      </c>
      <c r="D203" s="748" t="s">
        <v>162</v>
      </c>
      <c r="E203" s="790"/>
      <c r="F203" s="773" t="s">
        <v>598</v>
      </c>
      <c r="G203" s="743" t="s">
        <v>116</v>
      </c>
      <c r="H203" s="851" t="s">
        <v>7074</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1494</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847</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330</v>
      </c>
      <c r="E205" s="790" t="s">
        <v>3820</v>
      </c>
      <c r="F205" s="918" t="s">
        <v>4970</v>
      </c>
      <c r="G205" s="743" t="s">
        <v>6508</v>
      </c>
      <c r="H205" s="790"/>
      <c r="I205" s="790" t="s">
        <v>7079</v>
      </c>
      <c r="J205" s="790"/>
      <c r="K205" s="790"/>
      <c r="L205" s="790" t="s">
        <v>3820</v>
      </c>
      <c r="M205" s="790"/>
      <c r="N205" s="790" t="s">
        <v>7080</v>
      </c>
      <c r="O205" s="790"/>
      <c r="P205" s="791" t="s">
        <v>3847</v>
      </c>
      <c r="Q205" s="790"/>
      <c r="R205" s="789" t="s">
        <v>7081</v>
      </c>
      <c r="S205" s="790"/>
      <c r="T205" s="790"/>
      <c r="U205" s="790"/>
      <c r="V205" s="790" t="s">
        <v>3161</v>
      </c>
      <c r="W205" s="790"/>
      <c r="X205" s="790" t="s">
        <v>3893</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2896</v>
      </c>
      <c r="D207" s="748" t="s">
        <v>545</v>
      </c>
      <c r="E207" s="748" t="s">
        <v>2896</v>
      </c>
      <c r="F207" s="768" t="s">
        <v>7083</v>
      </c>
      <c r="G207" s="759"/>
      <c r="H207" s="748"/>
      <c r="I207" s="748" t="s">
        <v>1462</v>
      </c>
      <c r="J207" s="748" t="s">
        <v>7084</v>
      </c>
      <c r="K207" s="748" t="s">
        <v>4232</v>
      </c>
      <c r="L207" s="748"/>
      <c r="M207" s="748" t="s">
        <v>7085</v>
      </c>
      <c r="N207" s="748" t="s">
        <v>4489</v>
      </c>
      <c r="O207" s="748" t="s">
        <v>4828</v>
      </c>
      <c r="P207" s="744" t="s">
        <v>7086</v>
      </c>
      <c r="Q207" s="748"/>
      <c r="R207" s="744" t="s">
        <v>5866</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4424</v>
      </c>
      <c r="X209" s="745"/>
      <c r="Y209" s="745"/>
      <c r="Z209" s="744" t="s">
        <v>4424</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3387</v>
      </c>
      <c r="E212" s="748" t="s">
        <v>4442</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1873</v>
      </c>
      <c r="D215" s="920" t="s">
        <v>4153</v>
      </c>
      <c r="E215" s="920"/>
      <c r="F215" s="924" t="s">
        <v>891</v>
      </c>
      <c r="G215" s="743" t="s">
        <v>3117</v>
      </c>
      <c r="H215" s="920"/>
      <c r="I215" s="920"/>
      <c r="J215" s="920"/>
      <c r="K215" s="920" t="s">
        <v>1125</v>
      </c>
      <c r="L215" s="920"/>
      <c r="M215" s="920"/>
      <c r="N215" s="920" t="s">
        <v>7103</v>
      </c>
      <c r="O215" s="851" t="s">
        <v>7104</v>
      </c>
      <c r="P215" s="771" t="s">
        <v>7105</v>
      </c>
      <c r="Q215" s="920"/>
      <c r="R215" s="920" t="s">
        <v>891</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1467</v>
      </c>
      <c r="D217" s="794" t="s">
        <v>1600</v>
      </c>
      <c r="E217" s="920"/>
      <c r="F217" s="915"/>
      <c r="G217" s="759"/>
      <c r="H217" s="920"/>
      <c r="I217" s="920" t="s">
        <v>1467</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1601</v>
      </c>
      <c r="E218" s="920"/>
      <c r="F218" s="915"/>
      <c r="G218" s="743" t="s">
        <v>1311</v>
      </c>
      <c r="H218" s="920"/>
      <c r="I218" s="920" t="s">
        <v>1477</v>
      </c>
      <c r="J218" s="920" t="s">
        <v>7111</v>
      </c>
      <c r="K218" s="920" t="s">
        <v>3653</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141</v>
      </c>
      <c r="D222" s="748" t="s">
        <v>141</v>
      </c>
      <c r="E222" s="748" t="s">
        <v>312</v>
      </c>
      <c r="F222" s="742"/>
      <c r="G222" s="759"/>
      <c r="H222" s="748"/>
      <c r="I222" s="748"/>
      <c r="J222" s="748" t="s">
        <v>586</v>
      </c>
      <c r="K222" s="748" t="s">
        <v>3654</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7119</v>
      </c>
      <c r="C224" s="850" t="s">
        <v>1469</v>
      </c>
      <c r="D224" s="753" t="s">
        <v>7120</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7122</v>
      </c>
      <c r="J226" s="851" t="s">
        <v>4564</v>
      </c>
      <c r="K226" s="851" t="s">
        <v>1733</v>
      </c>
      <c r="L226" s="851" t="s">
        <v>952</v>
      </c>
      <c r="M226" s="851" t="s">
        <v>259</v>
      </c>
      <c r="N226" s="857" t="s">
        <v>4417</v>
      </c>
      <c r="O226" s="851" t="s">
        <v>1175</v>
      </c>
      <c r="P226" s="859" t="s">
        <v>356</v>
      </c>
      <c r="Q226" s="857"/>
      <c r="R226" s="857"/>
      <c r="S226" s="857"/>
      <c r="T226" s="857"/>
      <c r="U226" s="857"/>
      <c r="V226" s="857" t="s">
        <v>4030</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1618</v>
      </c>
      <c r="D227" s="748" t="s">
        <v>1604</v>
      </c>
      <c r="E227" s="851" t="s">
        <v>1618</v>
      </c>
      <c r="F227" s="754" t="s">
        <v>2561</v>
      </c>
      <c r="G227" s="743" t="s">
        <v>2788</v>
      </c>
      <c r="H227" s="851" t="s">
        <v>2216</v>
      </c>
      <c r="I227" s="851" t="s">
        <v>1604</v>
      </c>
      <c r="J227" s="851" t="s">
        <v>6951</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312</v>
      </c>
      <c r="I228" s="851" t="s">
        <v>1640</v>
      </c>
      <c r="J228" s="857"/>
      <c r="K228" s="851" t="s">
        <v>6561</v>
      </c>
      <c r="L228" s="851" t="s">
        <v>105</v>
      </c>
      <c r="M228" s="851" t="str">
        <f>HYPERLINK("https://www.youtube.com/watch?v=aWzlUqH0LaM","41.87")</f>
        <v>41.87</v>
      </c>
      <c r="N228" s="857" t="s">
        <v>2197</v>
      </c>
      <c r="O228" s="851" t="s">
        <v>1537</v>
      </c>
      <c r="P228" s="859" t="s">
        <v>3287</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509</v>
      </c>
      <c r="D230" s="748" t="s">
        <v>7131</v>
      </c>
      <c r="E230" s="857"/>
      <c r="F230" s="785" t="s">
        <v>7132</v>
      </c>
      <c r="G230" s="743" t="s">
        <v>1316</v>
      </c>
      <c r="H230" s="857" t="s">
        <v>7133</v>
      </c>
      <c r="I230" s="857"/>
      <c r="J230" s="851" t="s">
        <v>7134</v>
      </c>
      <c r="K230" s="857"/>
      <c r="L230" s="857" t="s">
        <v>954</v>
      </c>
      <c r="M230" s="851" t="s">
        <v>794</v>
      </c>
      <c r="N230" s="857"/>
      <c r="O230" s="857"/>
      <c r="P230" s="859" t="s">
        <v>4187</v>
      </c>
      <c r="Q230" s="857"/>
      <c r="R230" s="857"/>
      <c r="S230" s="857"/>
      <c r="T230" s="851" t="s">
        <v>509</v>
      </c>
      <c r="U230" s="857"/>
      <c r="V230" s="857" t="s">
        <v>6309</v>
      </c>
      <c r="W230" s="857"/>
      <c r="X230" s="857"/>
      <c r="Y230" s="857"/>
      <c r="Z230" s="857"/>
      <c r="AA230" s="857"/>
      <c r="AB230" s="857" t="s">
        <v>7135</v>
      </c>
      <c r="AC230" s="857" t="s">
        <v>2739</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3502</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3119</v>
      </c>
      <c r="D232" s="857"/>
      <c r="E232" s="857"/>
      <c r="F232" s="773" t="s">
        <v>2563</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3582</v>
      </c>
      <c r="K237" s="956"/>
      <c r="L237" s="956"/>
      <c r="M237" s="956"/>
      <c r="N237" s="956"/>
      <c r="O237" s="956"/>
      <c r="P237" s="957"/>
      <c r="Q237" s="956"/>
      <c r="R237" s="962" t="s">
        <v>6987</v>
      </c>
      <c r="S237" s="956"/>
      <c r="T237" s="956"/>
      <c r="U237" s="956"/>
      <c r="V237" s="956"/>
      <c r="W237" s="962" t="s">
        <v>2602</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489</v>
      </c>
      <c r="D238" s="851"/>
      <c r="E238" s="851" t="s">
        <v>801</v>
      </c>
      <c r="F238" s="768" t="s">
        <v>1474</v>
      </c>
      <c r="G238" s="743" t="s">
        <v>7148</v>
      </c>
      <c r="H238" s="851" t="s">
        <v>489</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4182</v>
      </c>
      <c r="E241" s="857"/>
      <c r="F241" s="948"/>
      <c r="G241" s="759"/>
      <c r="H241" s="857"/>
      <c r="I241" s="857"/>
      <c r="J241" s="857"/>
      <c r="K241" s="851" t="s">
        <v>5423</v>
      </c>
      <c r="L241" s="857"/>
      <c r="M241" s="857"/>
      <c r="N241" s="857"/>
      <c r="O241" s="857"/>
      <c r="P241" s="859"/>
      <c r="Q241" s="857"/>
      <c r="R241" s="857"/>
      <c r="S241" s="851" t="s">
        <v>4628</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2213</v>
      </c>
      <c r="D242" s="748" t="s">
        <v>1933</v>
      </c>
      <c r="E242" s="857"/>
      <c r="F242" s="773" t="s">
        <v>2213</v>
      </c>
      <c r="G242" s="743" t="s">
        <v>1317</v>
      </c>
      <c r="H242" s="857"/>
      <c r="I242" s="857" t="s">
        <v>4374</v>
      </c>
      <c r="J242" s="851" t="s">
        <v>6152</v>
      </c>
      <c r="K242" s="851" t="s">
        <v>3538</v>
      </c>
      <c r="L242" s="857"/>
      <c r="M242" s="857"/>
      <c r="N242" s="857" t="s">
        <v>4357</v>
      </c>
      <c r="O242" s="851" t="s">
        <v>1317</v>
      </c>
      <c r="P242" s="859" t="s">
        <v>2145</v>
      </c>
      <c r="Q242" s="857" t="s">
        <v>1933</v>
      </c>
      <c r="R242" s="743" t="s">
        <v>1676</v>
      </c>
      <c r="S242" s="743" t="s">
        <v>122</v>
      </c>
      <c r="T242" s="851" t="s">
        <v>4036</v>
      </c>
      <c r="U242" s="857"/>
      <c r="V242" s="857" t="s">
        <v>4422</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2951</v>
      </c>
      <c r="D244" s="857" t="s">
        <v>390</v>
      </c>
      <c r="E244" s="857"/>
      <c r="F244" s="742"/>
      <c r="G244" s="759"/>
      <c r="H244" s="857"/>
      <c r="I244" s="857"/>
      <c r="J244" s="857"/>
      <c r="K244" s="743" t="s">
        <v>3261</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1782</v>
      </c>
      <c r="D245" s="851"/>
      <c r="E245" s="851" t="s">
        <v>4228</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3261</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5355</v>
      </c>
      <c r="D246" s="857" t="s">
        <v>1626</v>
      </c>
      <c r="E246" s="857"/>
      <c r="H246" s="857"/>
      <c r="I246" s="857" t="s">
        <v>2412</v>
      </c>
      <c r="J246" s="857"/>
      <c r="L246" s="857"/>
      <c r="M246" s="857"/>
      <c r="N246" s="857" t="s">
        <v>3224</v>
      </c>
      <c r="O246" s="857"/>
      <c r="P246" s="859" t="s">
        <v>7162</v>
      </c>
      <c r="Q246" s="857"/>
      <c r="R246" s="857" t="s">
        <v>5355</v>
      </c>
      <c r="S246" s="857"/>
      <c r="T246" s="857"/>
      <c r="U246" s="743" t="s">
        <v>3032</v>
      </c>
      <c r="V246" s="857" t="s">
        <v>3758</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1609</v>
      </c>
      <c r="E248" s="857"/>
      <c r="F248" s="754" t="s">
        <v>1077</v>
      </c>
      <c r="G248" s="759"/>
      <c r="H248" s="851" t="s">
        <v>2518</v>
      </c>
      <c r="I248" s="857"/>
      <c r="J248" s="851" t="s">
        <v>1077</v>
      </c>
      <c r="K248" s="857"/>
      <c r="L248" s="851" t="s">
        <v>955</v>
      </c>
      <c r="M248" s="851" t="s">
        <v>245</v>
      </c>
      <c r="N248" s="857"/>
      <c r="O248" s="851" t="s">
        <v>3120</v>
      </c>
      <c r="P248" s="859"/>
      <c r="Q248" s="857" t="s">
        <v>7166</v>
      </c>
      <c r="R248" s="743" t="s">
        <v>2146</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1344</v>
      </c>
      <c r="D250" s="851" t="s">
        <v>1307</v>
      </c>
      <c r="E250" s="851" t="s">
        <v>1344</v>
      </c>
      <c r="F250" s="948"/>
      <c r="G250" s="743" t="s">
        <v>3239</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4442</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5399</v>
      </c>
      <c r="D251" s="972" t="s">
        <v>4601</v>
      </c>
      <c r="E251" s="851"/>
      <c r="F251" s="768" t="s">
        <v>5399</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5454</v>
      </c>
      <c r="D252" s="851" t="s">
        <v>1414</v>
      </c>
      <c r="E252" s="851" t="s">
        <v>2593</v>
      </c>
      <c r="F252" s="785" t="s">
        <v>3601</v>
      </c>
      <c r="G252" s="759"/>
      <c r="H252" s="851" t="s">
        <v>5454</v>
      </c>
      <c r="I252" s="851"/>
      <c r="J252" s="851"/>
      <c r="K252" s="851" t="s">
        <v>5565</v>
      </c>
      <c r="L252" s="851"/>
      <c r="M252" s="851"/>
      <c r="N252" s="851" t="s">
        <v>5232</v>
      </c>
      <c r="O252" s="851" t="s">
        <v>3601</v>
      </c>
      <c r="P252" s="852" t="s">
        <v>5493</v>
      </c>
      <c r="Q252" s="851"/>
      <c r="R252" s="851" t="s">
        <v>5454</v>
      </c>
      <c r="S252" s="851"/>
      <c r="T252" s="851"/>
      <c r="U252" s="851"/>
      <c r="V252" s="851" t="s">
        <v>4258</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3064</v>
      </c>
      <c r="D253" s="851"/>
      <c r="E253" s="851" t="s">
        <v>4249</v>
      </c>
      <c r="F253" s="961" t="s">
        <v>7173</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4091</v>
      </c>
      <c r="D254" s="851"/>
      <c r="E254" s="851" t="s">
        <v>921</v>
      </c>
      <c r="F254" s="742"/>
      <c r="G254" s="759"/>
      <c r="H254" s="851" t="s">
        <v>4091</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7181</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298</v>
      </c>
      <c r="D261" s="753" t="s">
        <v>1612</v>
      </c>
      <c r="E261" s="743" t="s">
        <v>408</v>
      </c>
      <c r="F261" s="948"/>
      <c r="G261" s="743" t="s">
        <v>1320</v>
      </c>
      <c r="H261" s="743" t="s">
        <v>799</v>
      </c>
      <c r="I261" s="759"/>
      <c r="J261" s="743" t="s">
        <v>355</v>
      </c>
      <c r="K261" s="759"/>
      <c r="L261" s="759" t="s">
        <v>3426</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1758</v>
      </c>
      <c r="D264" s="857" t="s">
        <v>3942</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4544</v>
      </c>
      <c r="D265" s="857"/>
      <c r="E265" s="857"/>
      <c r="F265" s="985" t="s">
        <v>3765</v>
      </c>
      <c r="G265" s="759"/>
      <c r="H265" s="857"/>
      <c r="I265" s="851" t="str">
        <f>HYPERLINK("https://youtu.be/K8Egs0-qumI","48.41")</f>
        <v>48.41</v>
      </c>
      <c r="J265" s="857"/>
      <c r="K265" s="857"/>
      <c r="L265" s="857"/>
      <c r="M265" s="857"/>
      <c r="N265" s="857"/>
      <c r="O265" s="857"/>
      <c r="P265" s="859"/>
      <c r="Q265" s="857"/>
      <c r="R265" s="743" t="s">
        <v>7187</v>
      </c>
      <c r="S265" s="857"/>
      <c r="T265" s="851" t="s">
        <v>4544</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430</v>
      </c>
      <c r="D266" s="857" t="s">
        <v>4544</v>
      </c>
      <c r="E266" s="857"/>
      <c r="F266" s="742"/>
      <c r="G266" s="759"/>
      <c r="H266" s="857"/>
      <c r="I266" s="857" t="s">
        <v>7189</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4002</v>
      </c>
      <c r="D267" s="857"/>
      <c r="E267" s="857"/>
      <c r="F267" s="988"/>
      <c r="G267" s="743" t="s">
        <v>6438</v>
      </c>
      <c r="H267" s="857"/>
      <c r="I267" s="851" t="s">
        <v>7191</v>
      </c>
      <c r="J267" s="857"/>
      <c r="K267" s="857"/>
      <c r="L267" s="857"/>
      <c r="M267" s="857"/>
      <c r="N267" s="857"/>
      <c r="O267" s="857"/>
      <c r="P267" s="859"/>
      <c r="Q267" s="857" t="s">
        <v>571</v>
      </c>
      <c r="R267" s="857"/>
      <c r="S267" s="857"/>
      <c r="T267" s="857"/>
      <c r="U267" s="857"/>
      <c r="V267" s="857"/>
      <c r="W267" s="857"/>
      <c r="X267" s="857"/>
      <c r="Y267" s="857"/>
      <c r="Z267" s="857"/>
      <c r="AA267" s="857"/>
      <c r="AB267" s="857" t="s">
        <v>3549</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2890</v>
      </c>
      <c r="D268" s="851"/>
      <c r="E268" s="851" t="s">
        <v>1537</v>
      </c>
      <c r="F268" s="768" t="s">
        <v>2890</v>
      </c>
      <c r="G268" s="759"/>
      <c r="H268" s="851" t="s">
        <v>2004</v>
      </c>
      <c r="I268" s="851"/>
      <c r="J268" s="851" t="s">
        <v>2204</v>
      </c>
      <c r="K268" s="851"/>
      <c r="L268" s="852" t="s">
        <v>7193</v>
      </c>
      <c r="M268" s="851"/>
      <c r="N268" s="851"/>
      <c r="O268" s="851" t="s">
        <v>1398</v>
      </c>
      <c r="P268" s="852" t="s">
        <v>7194</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2204</v>
      </c>
      <c r="D269" s="851"/>
      <c r="E269" s="851" t="s">
        <v>2204</v>
      </c>
      <c r="F269" s="985" t="s">
        <v>7196</v>
      </c>
      <c r="G269" s="759"/>
      <c r="H269" s="852" t="s">
        <v>3122</v>
      </c>
      <c r="I269" s="851"/>
      <c r="J269" s="851"/>
      <c r="K269" s="851"/>
      <c r="L269" s="851"/>
      <c r="M269" s="851"/>
      <c r="N269" s="851"/>
      <c r="O269" s="851"/>
      <c r="P269" s="852"/>
      <c r="Q269" s="743" t="s">
        <v>3287</v>
      </c>
      <c r="R269" s="851"/>
      <c r="S269" s="851"/>
      <c r="T269" s="851"/>
      <c r="U269" s="851"/>
      <c r="V269" s="851"/>
      <c r="W269" s="852" t="s">
        <v>4578</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2566</v>
      </c>
      <c r="D271" s="851" t="s">
        <v>849</v>
      </c>
      <c r="E271" s="851" t="s">
        <v>7200</v>
      </c>
      <c r="F271" s="768" t="s">
        <v>2566</v>
      </c>
      <c r="G271" s="743" t="s">
        <v>2737</v>
      </c>
      <c r="H271" s="851"/>
      <c r="I271" s="851"/>
      <c r="J271" s="851"/>
      <c r="K271" s="851"/>
      <c r="L271" s="851"/>
      <c r="M271" s="851"/>
      <c r="N271" s="851"/>
      <c r="O271" s="851" t="s">
        <v>7201</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1626</v>
      </c>
      <c r="D273" s="857" t="s">
        <v>1759</v>
      </c>
      <c r="E273" s="857"/>
      <c r="F273" s="988"/>
      <c r="G273" s="743" t="s">
        <v>4334</v>
      </c>
      <c r="H273" s="857"/>
      <c r="I273" s="851" t="str">
        <f>HYPERLINK("https://youtu.be/_GZXmZdCc5s","31.80")</f>
        <v>31.80</v>
      </c>
      <c r="J273" s="857"/>
      <c r="K273" s="851" t="s">
        <v>7204</v>
      </c>
      <c r="L273" s="857"/>
      <c r="M273" s="851" t="s">
        <v>1626</v>
      </c>
      <c r="N273" s="851" t="str">
        <f>HYPERLINK("https://youtu.be/kUsh0nBBuMY","32.45")</f>
        <v>32.45</v>
      </c>
      <c r="O273" s="857"/>
      <c r="P273" s="859" t="s">
        <v>2258</v>
      </c>
      <c r="Q273" s="857"/>
      <c r="R273" s="857" t="s">
        <v>1086</v>
      </c>
      <c r="S273" s="857"/>
      <c r="T273" s="857"/>
      <c r="U273" s="898" t="s">
        <v>3910</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4081</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5003</v>
      </c>
      <c r="D275" s="857" t="s">
        <v>3426</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3639</v>
      </c>
      <c r="D276" s="851" t="s">
        <v>245</v>
      </c>
      <c r="E276" s="851" t="s">
        <v>3639</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4081</v>
      </c>
      <c r="R276" s="851"/>
      <c r="S276" s="851"/>
      <c r="T276" s="851"/>
      <c r="U276" s="991" t="s">
        <v>1571</v>
      </c>
      <c r="V276" s="851" t="s">
        <v>7208</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4149</v>
      </c>
      <c r="F277" s="992" t="s">
        <v>7211</v>
      </c>
      <c r="G277" s="743" t="s">
        <v>7212</v>
      </c>
      <c r="H277" s="851"/>
      <c r="I277" s="851" t="str">
        <f>HYPERLINK("https://youtu.be/fNmQmNF7N9I","46.93")</f>
        <v>46.93</v>
      </c>
      <c r="J277" s="851" t="s">
        <v>7210</v>
      </c>
      <c r="K277" s="851" t="s">
        <v>538</v>
      </c>
      <c r="L277" s="851" t="s">
        <v>7213</v>
      </c>
      <c r="M277" s="851" t="s">
        <v>1575</v>
      </c>
      <c r="N277" s="851"/>
      <c r="O277" s="851"/>
      <c r="P277" s="852"/>
      <c r="Q277" s="851"/>
      <c r="R277" s="851"/>
      <c r="S277" s="851" t="s">
        <v>3952</v>
      </c>
      <c r="T277" s="851" t="s">
        <v>7189</v>
      </c>
      <c r="U277" s="851"/>
      <c r="V277" s="851" t="s">
        <v>7214</v>
      </c>
      <c r="W277" s="851" t="s">
        <v>4388</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3937</v>
      </c>
      <c r="D278" s="851" t="s">
        <v>5172</v>
      </c>
      <c r="E278" s="851" t="s">
        <v>3427</v>
      </c>
      <c r="F278" s="785" t="s">
        <v>7220</v>
      </c>
      <c r="G278" s="743" t="s">
        <v>7221</v>
      </c>
      <c r="H278" s="851"/>
      <c r="I278" s="851" t="str">
        <f>HYPERLINK(" https://youtu.be/dsDcBzsPA5s","45.74")</f>
        <v>45.74</v>
      </c>
      <c r="J278" s="851" t="s">
        <v>3937</v>
      </c>
      <c r="K278" s="851" t="s">
        <v>7222</v>
      </c>
      <c r="L278" s="851" t="s">
        <v>3863</v>
      </c>
      <c r="M278" s="851" t="s">
        <v>1700</v>
      </c>
      <c r="N278" s="851" t="s">
        <v>2005</v>
      </c>
      <c r="O278" s="851" t="s">
        <v>4033</v>
      </c>
      <c r="P278" s="852" t="s">
        <v>3549</v>
      </c>
      <c r="Q278" s="851" t="s">
        <v>7223</v>
      </c>
      <c r="R278" s="851"/>
      <c r="S278" s="851" t="s">
        <v>7224</v>
      </c>
      <c r="T278" s="851" t="s">
        <v>288</v>
      </c>
      <c r="U278" s="851"/>
      <c r="V278" s="851" t="s">
        <v>7198</v>
      </c>
      <c r="W278" s="851" t="s">
        <v>705</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1045</v>
      </c>
      <c r="D279" s="851" t="s">
        <v>4632</v>
      </c>
      <c r="E279" s="851" t="s">
        <v>412</v>
      </c>
      <c r="F279" s="992" t="s">
        <v>2069</v>
      </c>
      <c r="G279" s="743" t="s">
        <v>190</v>
      </c>
      <c r="H279" s="851" t="s">
        <v>2049</v>
      </c>
      <c r="I279" s="851" t="str">
        <f>HYPERLINK("https://youtu.be/9O9oqhlyCxY","45.20")</f>
        <v>45.20</v>
      </c>
      <c r="J279" s="851" t="s">
        <v>7227</v>
      </c>
      <c r="K279" s="743" t="s">
        <v>3662</v>
      </c>
      <c r="L279" s="851" t="s">
        <v>323</v>
      </c>
      <c r="M279" s="851" t="s">
        <v>1399</v>
      </c>
      <c r="N279" s="851" t="s">
        <v>7191</v>
      </c>
      <c r="O279" s="851" t="s">
        <v>1045</v>
      </c>
      <c r="P279" s="852"/>
      <c r="Q279" s="851" t="s">
        <v>1861</v>
      </c>
      <c r="R279" s="851"/>
      <c r="S279" s="851" t="s">
        <v>430</v>
      </c>
      <c r="T279" s="851" t="s">
        <v>521</v>
      </c>
      <c r="U279" s="851"/>
      <c r="V279" s="851"/>
      <c r="W279" s="851" t="s">
        <v>619</v>
      </c>
      <c r="X279" s="851"/>
      <c r="Y279" s="851"/>
      <c r="Z279" s="851"/>
      <c r="AA279" s="851" t="s">
        <v>4385</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884</v>
      </c>
      <c r="D280" s="753" t="s">
        <v>1617</v>
      </c>
      <c r="E280" s="995" t="s">
        <v>413</v>
      </c>
      <c r="F280" s="754" t="s">
        <v>2567</v>
      </c>
      <c r="G280" s="743" t="s">
        <v>1326</v>
      </c>
      <c r="H280" s="995" t="s">
        <v>4542</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1618</v>
      </c>
      <c r="E281" s="995" t="s">
        <v>414</v>
      </c>
      <c r="F281" s="754" t="s">
        <v>1582</v>
      </c>
      <c r="G281" s="759"/>
      <c r="H281" s="995" t="s">
        <v>7229</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7230</v>
      </c>
      <c r="M282" s="851"/>
      <c r="N282" s="851"/>
      <c r="O282" s="851" t="s">
        <v>5778</v>
      </c>
      <c r="P282" s="852"/>
      <c r="Q282" s="851"/>
      <c r="R282" s="743" t="s">
        <v>7231</v>
      </c>
      <c r="S282" s="851"/>
      <c r="T282" s="851" t="s">
        <v>5778</v>
      </c>
      <c r="U282" s="851"/>
      <c r="V282" s="851"/>
      <c r="W282" s="851" t="s">
        <v>3601</v>
      </c>
      <c r="X282" s="851" t="s">
        <v>3588</v>
      </c>
      <c r="Y282" s="851" t="s">
        <v>7232</v>
      </c>
      <c r="Z282" s="851" t="s">
        <v>6216</v>
      </c>
      <c r="AA282" s="851"/>
      <c r="AB282" s="851"/>
      <c r="AC282" s="851"/>
      <c r="AD282" s="851"/>
      <c r="AE282" s="851" t="s">
        <v>3483</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1481</v>
      </c>
      <c r="E283" s="851" t="s">
        <v>4415</v>
      </c>
      <c r="F283" s="773" t="s">
        <v>2092</v>
      </c>
      <c r="G283" s="743" t="s">
        <v>1328</v>
      </c>
      <c r="H283" s="851" t="s">
        <v>7234</v>
      </c>
      <c r="I283" s="851" t="s">
        <v>1481</v>
      </c>
      <c r="J283" s="851" t="s">
        <v>3828</v>
      </c>
      <c r="K283" s="851"/>
      <c r="L283" s="851" t="s">
        <v>961</v>
      </c>
      <c r="M283" s="851"/>
      <c r="N283" s="851"/>
      <c r="O283" s="851" t="s">
        <v>7235</v>
      </c>
      <c r="P283" s="852"/>
      <c r="Q283" s="851" t="s">
        <v>193</v>
      </c>
      <c r="R283" s="851"/>
      <c r="S283" s="851"/>
      <c r="T283" s="851" t="s">
        <v>524</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4207</v>
      </c>
      <c r="D285" s="759"/>
      <c r="E285" s="743" t="s">
        <v>4348</v>
      </c>
      <c r="F285" s="988"/>
      <c r="G285" s="743" t="s">
        <v>3240</v>
      </c>
      <c r="H285" s="743" t="s">
        <v>4207</v>
      </c>
      <c r="I285" s="759"/>
      <c r="J285" s="759"/>
      <c r="K285" s="759"/>
      <c r="L285" s="759"/>
      <c r="M285" s="759"/>
      <c r="N285" s="759" t="s">
        <v>4316</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4497</v>
      </c>
      <c r="D286" s="851" t="s">
        <v>1619</v>
      </c>
      <c r="E286" s="851" t="s">
        <v>2749</v>
      </c>
      <c r="F286" s="768" t="s">
        <v>4091</v>
      </c>
      <c r="G286" s="759"/>
      <c r="H286" s="852" t="s">
        <v>1367</v>
      </c>
      <c r="I286" s="851"/>
      <c r="J286" s="851"/>
      <c r="K286" s="851"/>
      <c r="L286" s="851"/>
      <c r="M286" s="851"/>
      <c r="N286" s="851"/>
      <c r="O286" s="851"/>
      <c r="P286" s="852" t="s">
        <v>5235</v>
      </c>
      <c r="Q286" s="851" t="s">
        <v>2626</v>
      </c>
      <c r="R286" s="851" t="s">
        <v>1619</v>
      </c>
      <c r="S286" s="851"/>
      <c r="T286" s="851" t="s">
        <v>4497</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623</v>
      </c>
      <c r="D287" s="851"/>
      <c r="E287" s="851" t="s">
        <v>371</v>
      </c>
      <c r="F287" s="773" t="s">
        <v>2568</v>
      </c>
      <c r="G287" s="743" t="s">
        <v>3816</v>
      </c>
      <c r="H287" s="852" t="s">
        <v>138</v>
      </c>
      <c r="I287" s="851"/>
      <c r="J287" s="851" t="s">
        <v>1619</v>
      </c>
      <c r="K287" s="851"/>
      <c r="L287" s="851"/>
      <c r="M287" s="851" t="s">
        <v>1186</v>
      </c>
      <c r="N287" s="851"/>
      <c r="O287" s="851" t="s">
        <v>3816</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4164</v>
      </c>
      <c r="D291" s="792" t="s">
        <v>1620</v>
      </c>
      <c r="E291" s="857"/>
      <c r="F291" s="988"/>
      <c r="G291" s="743" t="s">
        <v>1643</v>
      </c>
      <c r="H291" s="857"/>
      <c r="I291" s="857" t="s">
        <v>4164</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7249</v>
      </c>
      <c r="D293" s="857" t="s">
        <v>7250</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4842</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426</v>
      </c>
      <c r="D297" s="748" t="s">
        <v>1625</v>
      </c>
      <c r="E297" s="743" t="s">
        <v>426</v>
      </c>
      <c r="F297" s="773" t="s">
        <v>272</v>
      </c>
      <c r="G297" s="743" t="s">
        <v>1339</v>
      </c>
      <c r="H297" s="743" t="s">
        <v>7261</v>
      </c>
      <c r="I297" s="743" t="str">
        <f>HYPERLINK("https://youtu.be/ZpzmhXUsVhA","1:19.38")</f>
        <v>1:19.38</v>
      </c>
      <c r="J297" s="759"/>
      <c r="K297" s="743" t="s">
        <v>3668</v>
      </c>
      <c r="L297" s="759" t="s">
        <v>971</v>
      </c>
      <c r="M297" s="759" t="s">
        <v>6085</v>
      </c>
      <c r="N297" s="759" t="s">
        <v>7262</v>
      </c>
      <c r="O297" s="743" t="s">
        <v>7263</v>
      </c>
      <c r="P297" s="852" t="s">
        <v>7264</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5481</v>
      </c>
      <c r="D299" s="851" t="s">
        <v>1016</v>
      </c>
      <c r="E299" s="851" t="s">
        <v>3305</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2221</v>
      </c>
      <c r="D300" s="1019" t="s">
        <v>7266</v>
      </c>
      <c r="E300" s="851" t="s">
        <v>3579</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2570</v>
      </c>
      <c r="D301" s="972" t="s">
        <v>1799</v>
      </c>
      <c r="E301" s="851" t="s">
        <v>2570</v>
      </c>
      <c r="F301" s="742"/>
      <c r="G301" s="759"/>
      <c r="H301" s="851"/>
      <c r="I301" s="851"/>
      <c r="J301" s="851"/>
      <c r="K301" s="851" t="s">
        <v>2336</v>
      </c>
      <c r="L301" s="851"/>
      <c r="M301" s="851"/>
      <c r="N301" s="851"/>
      <c r="O301" s="851"/>
      <c r="P301" s="852" t="s">
        <v>7269</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1626</v>
      </c>
      <c r="E302" s="743" t="s">
        <v>427</v>
      </c>
      <c r="F302" s="773" t="s">
        <v>2570</v>
      </c>
      <c r="G302" s="743" t="s">
        <v>1340</v>
      </c>
      <c r="H302" s="743" t="s">
        <v>2079</v>
      </c>
      <c r="I302" s="759"/>
      <c r="J302" s="759"/>
      <c r="K302" s="759"/>
      <c r="L302" s="743" t="s">
        <v>972</v>
      </c>
      <c r="M302" s="759" t="s">
        <v>818</v>
      </c>
      <c r="N302" s="759"/>
      <c r="O302" s="743" t="s">
        <v>7208</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6287</v>
      </c>
      <c r="D303" s="851"/>
      <c r="E303" s="851" t="s">
        <v>6287</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1409</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3348</v>
      </c>
      <c r="D309" s="851"/>
      <c r="E309" s="851" t="s">
        <v>3758</v>
      </c>
      <c r="F309" s="742"/>
      <c r="G309" s="759"/>
      <c r="H309" s="851" t="s">
        <v>3348</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3629</v>
      </c>
      <c r="D311" s="748" t="s">
        <v>3629</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3902</v>
      </c>
      <c r="D312" s="895"/>
      <c r="E312" s="895" t="s">
        <v>4173</v>
      </c>
      <c r="F312" s="812"/>
      <c r="G312" s="759"/>
      <c r="H312" s="895"/>
      <c r="I312" s="743" t="s">
        <v>3902</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7291</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7291</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535</v>
      </c>
      <c r="D321" s="861" t="s">
        <v>3426</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4468</v>
      </c>
      <c r="F325" s="768" t="s">
        <v>7299</v>
      </c>
      <c r="G325" s="759"/>
      <c r="H325" s="743" t="s">
        <v>4764</v>
      </c>
      <c r="I325" s="759"/>
      <c r="J325" s="759"/>
      <c r="K325" s="759"/>
      <c r="L325" s="759"/>
      <c r="M325" s="759"/>
      <c r="N325" s="759"/>
      <c r="O325" s="759"/>
      <c r="P325" s="852"/>
      <c r="Q325" s="759"/>
      <c r="R325" s="743" t="s">
        <v>6932</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3554</v>
      </c>
      <c r="D326" s="781"/>
      <c r="E326" s="780" t="s">
        <v>1786</v>
      </c>
      <c r="F326" s="821" t="s">
        <v>3554</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4311</v>
      </c>
      <c r="D329" s="759"/>
      <c r="E329" s="743" t="s">
        <v>4311</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3659</v>
      </c>
      <c r="D330" s="759"/>
      <c r="E330" s="743" t="s">
        <v>3659</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3879</v>
      </c>
      <c r="F334" s="821" t="s">
        <v>1106</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532</v>
      </c>
      <c r="D336" s="861" t="s">
        <v>5478</v>
      </c>
      <c r="E336" s="857"/>
      <c r="F336" s="821" t="s">
        <v>5462</v>
      </c>
      <c r="G336" s="759"/>
      <c r="H336" s="743" t="s">
        <v>532</v>
      </c>
      <c r="I336" s="857"/>
      <c r="J336" s="743" t="s">
        <v>3918</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1010</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5747</v>
      </c>
      <c r="D340" s="1026"/>
      <c r="E340" s="1026"/>
      <c r="F340" s="821" t="s">
        <v>4584</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4469</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4601</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4601</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3231</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3231</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7349</v>
      </c>
      <c r="H2" s="1034" t="s">
        <v>47</v>
      </c>
      <c r="I2" s="1034" t="s">
        <v>48</v>
      </c>
      <c r="J2" s="1034" t="s">
        <v>7350</v>
      </c>
      <c r="K2" s="1034" t="s">
        <v>54</v>
      </c>
      <c r="N2" s="1034" t="s">
        <v>7351</v>
      </c>
      <c r="P2" s="1035"/>
      <c r="Q2" s="1036" t="s">
        <v>47</v>
      </c>
      <c r="R2" s="1036" t="s">
        <v>7352</v>
      </c>
      <c r="S2" s="1036" t="s">
        <v>52</v>
      </c>
      <c r="T2" s="1036" t="s">
        <v>53</v>
      </c>
      <c r="U2" s="1036" t="s">
        <v>54</v>
      </c>
      <c r="V2" s="1036" t="s">
        <v>7353</v>
      </c>
      <c r="W2" s="1035"/>
      <c r="X2" s="1037" t="s">
        <v>47</v>
      </c>
      <c r="Y2" s="1037" t="s">
        <v>48</v>
      </c>
      <c r="Z2" s="1037" t="s">
        <v>49</v>
      </c>
      <c r="AA2" s="1037" t="s">
        <v>50</v>
      </c>
      <c r="AC2" s="1037" t="s">
        <v>52</v>
      </c>
      <c r="AD2" s="1037" t="s">
        <v>53</v>
      </c>
      <c r="AE2" s="1037" t="s">
        <v>54</v>
      </c>
      <c r="AF2" s="1037" t="s">
        <v>6906</v>
      </c>
      <c r="AG2" s="1037" t="s">
        <v>7351</v>
      </c>
      <c r="AI2" s="1035"/>
      <c r="AJ2" s="1038" t="s">
        <v>47</v>
      </c>
      <c r="AK2" s="1038" t="s">
        <v>48</v>
      </c>
      <c r="AM2" s="1038" t="s">
        <v>49</v>
      </c>
      <c r="AP2" s="1038" t="s">
        <v>51</v>
      </c>
      <c r="AR2" s="1038" t="s">
        <v>52</v>
      </c>
      <c r="AV2" s="1038" t="s">
        <v>52</v>
      </c>
      <c r="AW2" s="1038" t="s">
        <v>53</v>
      </c>
      <c r="AX2" s="1038" t="s">
        <v>7353</v>
      </c>
      <c r="AZ2" s="1039"/>
      <c r="BA2" s="1040" t="s">
        <v>47</v>
      </c>
      <c r="BB2" s="1040" t="s">
        <v>52</v>
      </c>
      <c r="BC2" s="1040" t="s">
        <v>53</v>
      </c>
      <c r="BD2" s="1040" t="s">
        <v>54</v>
      </c>
      <c r="BE2" s="1040" t="s">
        <v>7351</v>
      </c>
      <c r="BF2" s="1039"/>
      <c r="BG2" s="1041" t="s">
        <v>47</v>
      </c>
      <c r="BH2" s="1041" t="s">
        <v>48</v>
      </c>
      <c r="BI2" s="1041" t="s">
        <v>50</v>
      </c>
      <c r="BK2" s="1041" t="s">
        <v>52</v>
      </c>
      <c r="BL2" s="1041" t="s">
        <v>7351</v>
      </c>
      <c r="BN2" s="1035"/>
      <c r="BO2" s="1042" t="s">
        <v>49</v>
      </c>
      <c r="BP2" s="1042" t="s">
        <v>50</v>
      </c>
      <c r="BQ2" s="1042" t="s">
        <v>51</v>
      </c>
      <c r="BR2" s="1042" t="s">
        <v>52</v>
      </c>
      <c r="BT2" s="1042" t="s">
        <v>53</v>
      </c>
      <c r="BU2" s="1042" t="s">
        <v>54</v>
      </c>
      <c r="BW2" s="1042" t="s">
        <v>7353</v>
      </c>
      <c r="BX2" s="1039"/>
      <c r="BY2" s="1043" t="s">
        <v>7354</v>
      </c>
      <c r="BZ2" s="1044" t="s">
        <v>75</v>
      </c>
      <c r="CA2" s="1043" t="s">
        <v>80</v>
      </c>
      <c r="CD2" s="1043" t="s">
        <v>77</v>
      </c>
      <c r="CE2" s="1043" t="s">
        <v>7355</v>
      </c>
      <c r="CF2" s="1043" t="s">
        <v>7356</v>
      </c>
      <c r="CG2" s="1045" t="s">
        <v>68</v>
      </c>
      <c r="CH2" s="1043" t="s">
        <v>76</v>
      </c>
      <c r="CI2" s="1043" t="s">
        <v>66</v>
      </c>
      <c r="CJ2" s="1044" t="s">
        <v>78</v>
      </c>
    </row>
    <row r="3" ht="23.25" customHeight="1">
      <c r="J3" s="1046" t="s">
        <v>7357</v>
      </c>
      <c r="K3" s="1046" t="s">
        <v>7358</v>
      </c>
      <c r="L3" s="1047" t="s">
        <v>7359</v>
      </c>
      <c r="M3" s="1047" t="s">
        <v>7360</v>
      </c>
      <c r="N3" s="1047" t="s">
        <v>7361</v>
      </c>
      <c r="O3" s="1046" t="s">
        <v>7362</v>
      </c>
      <c r="P3" s="1035"/>
      <c r="W3" s="1035"/>
      <c r="AA3" s="1048" t="s">
        <v>7363</v>
      </c>
      <c r="AB3" s="1049" t="s">
        <v>92</v>
      </c>
      <c r="AF3" s="1049" t="s">
        <v>7364</v>
      </c>
      <c r="AG3" s="1048" t="s">
        <v>52</v>
      </c>
      <c r="AH3" s="1050" t="s">
        <v>49</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88</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4104</v>
      </c>
      <c r="D4" s="1061" t="s">
        <v>440</v>
      </c>
      <c r="E4" s="1062" t="s">
        <v>1259</v>
      </c>
      <c r="F4" s="1063" t="s">
        <v>4771</v>
      </c>
      <c r="G4" s="1064" t="s">
        <v>2541</v>
      </c>
      <c r="H4" s="1065" t="s">
        <v>2990</v>
      </c>
      <c r="I4" s="1066"/>
      <c r="J4" s="1067" t="s">
        <v>1963</v>
      </c>
      <c r="K4" s="1067" t="s">
        <v>2777</v>
      </c>
      <c r="L4" s="1067" t="s">
        <v>2545</v>
      </c>
      <c r="M4" s="1068" t="s">
        <v>3216</v>
      </c>
      <c r="N4" s="1066"/>
      <c r="O4" s="1069" t="s">
        <v>7387</v>
      </c>
      <c r="P4" s="1070"/>
      <c r="Q4" s="1071" t="s">
        <v>7388</v>
      </c>
      <c r="R4" s="1072" t="s">
        <v>1649</v>
      </c>
      <c r="S4" s="1073" t="s">
        <v>5063</v>
      </c>
      <c r="T4" s="1073" t="s">
        <v>5609</v>
      </c>
      <c r="U4" s="1073"/>
      <c r="V4" s="1071" t="s">
        <v>7389</v>
      </c>
      <c r="W4" s="1070"/>
      <c r="X4" s="1074" t="s">
        <v>2378</v>
      </c>
      <c r="Y4" s="1075" t="s">
        <v>7390</v>
      </c>
      <c r="Z4" s="1075" t="s">
        <v>7391</v>
      </c>
      <c r="AA4" s="1075" t="s">
        <v>5026</v>
      </c>
      <c r="AB4" s="1076" t="s">
        <v>7392</v>
      </c>
      <c r="AC4" s="1075" t="s">
        <v>749</v>
      </c>
      <c r="AD4" s="1077" t="s">
        <v>4249</v>
      </c>
      <c r="AE4" s="1077" t="s">
        <v>2524</v>
      </c>
      <c r="AF4" s="1078"/>
      <c r="AG4" s="1076" t="s">
        <v>7393</v>
      </c>
      <c r="AH4" s="1079"/>
      <c r="AI4" s="1080"/>
      <c r="AJ4" s="1081"/>
      <c r="AK4" s="1082"/>
      <c r="AL4" s="1082"/>
      <c r="AM4" s="1083" t="s">
        <v>1427</v>
      </c>
      <c r="AN4" s="1081"/>
      <c r="AO4" s="1082"/>
      <c r="AP4" s="1083" t="s">
        <v>910</v>
      </c>
      <c r="AQ4" s="1081" t="s">
        <v>7394</v>
      </c>
      <c r="AR4" s="1082"/>
      <c r="AS4" s="1082"/>
      <c r="AT4" s="1082"/>
      <c r="AU4" s="1082"/>
      <c r="AV4" s="1082"/>
      <c r="AW4" s="1084" t="s">
        <v>4706</v>
      </c>
      <c r="AX4" s="1083" t="s">
        <v>7395</v>
      </c>
      <c r="AY4" s="1083" t="s">
        <v>1766</v>
      </c>
      <c r="AZ4" s="1085"/>
      <c r="BA4" s="1086" t="s">
        <v>7396</v>
      </c>
      <c r="BB4" s="1087" t="s">
        <v>7397</v>
      </c>
      <c r="BC4" s="1088" t="s">
        <v>296</v>
      </c>
      <c r="BD4" s="1086" t="s">
        <v>4254</v>
      </c>
      <c r="BE4" s="1086" t="s">
        <v>7398</v>
      </c>
      <c r="BF4" s="1085"/>
      <c r="BG4" s="1089" t="s">
        <v>7399</v>
      </c>
      <c r="BH4" s="1090" t="s">
        <v>695</v>
      </c>
      <c r="BI4" s="1091" t="s">
        <v>7400</v>
      </c>
      <c r="BJ4" s="1092" t="s">
        <v>7401</v>
      </c>
      <c r="BK4" s="1089" t="s">
        <v>7402</v>
      </c>
      <c r="BL4" s="1093"/>
      <c r="BM4" s="1094" t="s">
        <v>7403</v>
      </c>
      <c r="BN4" s="1080"/>
      <c r="BO4" s="1095" t="s">
        <v>7404</v>
      </c>
      <c r="BP4" s="1096"/>
      <c r="BQ4" s="1097" t="s">
        <v>7405</v>
      </c>
      <c r="BR4" s="1095" t="s">
        <v>7406</v>
      </c>
      <c r="BS4" s="1098"/>
      <c r="BT4" s="1097" t="s">
        <v>1110</v>
      </c>
      <c r="BU4" s="1095" t="s">
        <v>6399</v>
      </c>
      <c r="BV4" s="1099"/>
      <c r="BW4" s="1095" t="s">
        <v>7407</v>
      </c>
      <c r="BX4" s="1070"/>
      <c r="BY4" s="1100" t="s">
        <v>3381</v>
      </c>
      <c r="BZ4" s="1101" t="s">
        <v>6141</v>
      </c>
      <c r="CA4" s="1071" t="s">
        <v>7408</v>
      </c>
      <c r="CB4" s="1102"/>
      <c r="CC4" s="1103"/>
      <c r="CD4" s="1071" t="s">
        <v>7409</v>
      </c>
      <c r="CE4" s="1104" t="s">
        <v>7410</v>
      </c>
      <c r="CF4" s="1071" t="s">
        <v>1595</v>
      </c>
      <c r="CG4" s="1072" t="s">
        <v>5098</v>
      </c>
      <c r="CH4" s="1105" t="s">
        <v>7411</v>
      </c>
      <c r="CI4" s="1071" t="s">
        <v>1021</v>
      </c>
      <c r="CJ4" s="1071" t="s">
        <v>2216</v>
      </c>
      <c r="CK4" s="1071" t="s">
        <v>3996</v>
      </c>
    </row>
    <row r="5">
      <c r="A5" s="1106" t="s">
        <v>6629</v>
      </c>
      <c r="B5" s="1064" t="s">
        <v>7412</v>
      </c>
      <c r="C5" s="1060" t="s">
        <v>334</v>
      </c>
      <c r="D5" s="1061" t="s">
        <v>335</v>
      </c>
      <c r="E5" s="1062" t="s">
        <v>441</v>
      </c>
      <c r="F5" s="1063" t="s">
        <v>3371</v>
      </c>
      <c r="G5" s="1064" t="s">
        <v>4669</v>
      </c>
      <c r="H5" s="1107"/>
      <c r="I5" s="1108" t="s">
        <v>1261</v>
      </c>
      <c r="J5" s="1108"/>
      <c r="K5" s="1109" t="s">
        <v>7413</v>
      </c>
      <c r="L5" s="1108" t="s">
        <v>7414</v>
      </c>
      <c r="M5" s="1107"/>
      <c r="N5" s="1107"/>
      <c r="O5" s="1110" t="s">
        <v>7415</v>
      </c>
      <c r="P5" s="1085"/>
      <c r="Q5" s="1111" t="s">
        <v>7416</v>
      </c>
      <c r="R5" s="1112"/>
      <c r="S5" s="1112"/>
      <c r="T5" s="1113" t="s">
        <v>6862</v>
      </c>
      <c r="U5" s="1114"/>
      <c r="V5" s="1115" t="s">
        <v>7417</v>
      </c>
      <c r="W5" s="1085"/>
      <c r="X5" s="1116" t="s">
        <v>141</v>
      </c>
      <c r="Y5" s="1116" t="s">
        <v>7418</v>
      </c>
      <c r="Z5" s="1076" t="s">
        <v>4435</v>
      </c>
      <c r="AA5" s="1077" t="s">
        <v>5606</v>
      </c>
      <c r="AB5" s="1117" t="s">
        <v>793</v>
      </c>
      <c r="AC5" s="1117" t="s">
        <v>2974</v>
      </c>
      <c r="AD5" s="1075" t="s">
        <v>1216</v>
      </c>
      <c r="AE5" s="1117" t="s">
        <v>2925</v>
      </c>
      <c r="AF5" s="1078"/>
      <c r="AG5" s="1075" t="s">
        <v>7419</v>
      </c>
      <c r="AH5" s="1079"/>
      <c r="AI5" s="1085"/>
      <c r="AJ5" s="1118"/>
      <c r="AK5" s="1118" t="s">
        <v>4064</v>
      </c>
      <c r="AL5" s="1119"/>
      <c r="AM5" s="1118" t="s">
        <v>4626</v>
      </c>
      <c r="AN5" s="1118"/>
      <c r="AO5" s="1120" t="s">
        <v>2385</v>
      </c>
      <c r="AP5" s="1119"/>
      <c r="AQ5" s="1121" t="s">
        <v>7420</v>
      </c>
      <c r="AR5" s="1118" t="s">
        <v>7421</v>
      </c>
      <c r="AS5" s="1118" t="s">
        <v>7422</v>
      </c>
      <c r="AT5" s="1119"/>
      <c r="AU5" s="1119"/>
      <c r="AV5" s="1119"/>
      <c r="AW5" s="1122" t="s">
        <v>4331</v>
      </c>
      <c r="AX5" s="1123" t="s">
        <v>3752</v>
      </c>
      <c r="AY5" s="1118" t="s">
        <v>7423</v>
      </c>
      <c r="AZ5" s="1085"/>
      <c r="BA5" s="1124"/>
      <c r="BB5" s="1125" t="s">
        <v>7424</v>
      </c>
      <c r="BC5" s="1126" t="s">
        <v>7425</v>
      </c>
      <c r="BD5" s="1124"/>
      <c r="BE5" s="1127" t="s">
        <v>7426</v>
      </c>
      <c r="BF5" s="1085"/>
      <c r="BG5" s="1128" t="s">
        <v>7427</v>
      </c>
      <c r="BH5" s="1129" t="s">
        <v>1874</v>
      </c>
      <c r="BI5" s="1129"/>
      <c r="BJ5" s="1129"/>
      <c r="BK5" s="1130" t="s">
        <v>1982</v>
      </c>
      <c r="BL5" s="1131"/>
      <c r="BM5" s="1129" t="s">
        <v>7428</v>
      </c>
      <c r="BN5" s="1085"/>
      <c r="BO5" s="1132" t="s">
        <v>6471</v>
      </c>
      <c r="BP5" s="1133"/>
      <c r="BQ5" s="1133"/>
      <c r="BR5" s="1134" t="s">
        <v>7429</v>
      </c>
      <c r="BS5" s="1133"/>
      <c r="BT5" s="1135" t="s">
        <v>1618</v>
      </c>
      <c r="BU5" s="1133"/>
      <c r="BV5" s="1136" t="s">
        <v>3851</v>
      </c>
      <c r="BW5" s="1135" t="s">
        <v>6102</v>
      </c>
      <c r="BX5" s="1085"/>
      <c r="BY5" s="1137" t="s">
        <v>2713</v>
      </c>
      <c r="BZ5" s="1138" t="s">
        <v>4200</v>
      </c>
      <c r="CA5" s="1139"/>
      <c r="CB5" s="1139"/>
      <c r="CC5" s="1139"/>
      <c r="CD5" s="1138" t="s">
        <v>1399</v>
      </c>
      <c r="CE5" s="1140" t="s">
        <v>4700</v>
      </c>
      <c r="CF5" s="1138" t="s">
        <v>7430</v>
      </c>
      <c r="CG5" s="1139"/>
      <c r="CH5" s="1139"/>
      <c r="CI5" s="1139"/>
      <c r="CJ5" s="1139"/>
      <c r="CK5" s="1139"/>
    </row>
    <row r="6">
      <c r="A6" s="1141" t="s">
        <v>437</v>
      </c>
      <c r="B6" s="1064" t="s">
        <v>7431</v>
      </c>
      <c r="C6" s="1060" t="s">
        <v>439</v>
      </c>
      <c r="D6" s="1061" t="s">
        <v>1201</v>
      </c>
      <c r="E6" s="1062" t="s">
        <v>441</v>
      </c>
      <c r="F6" s="1063" t="s">
        <v>4042</v>
      </c>
      <c r="G6" s="1064" t="s">
        <v>1501</v>
      </c>
      <c r="H6" s="1109" t="s">
        <v>1608</v>
      </c>
      <c r="I6" s="1142" t="s">
        <v>3112</v>
      </c>
      <c r="J6" s="1110" t="s">
        <v>7432</v>
      </c>
      <c r="K6" s="1143" t="s">
        <v>5916</v>
      </c>
      <c r="L6" s="1109" t="s">
        <v>5458</v>
      </c>
      <c r="M6" s="1107"/>
      <c r="N6" s="1107"/>
      <c r="O6" s="1144" t="s">
        <v>7433</v>
      </c>
      <c r="P6" s="1070"/>
      <c r="Q6" s="1145" t="s">
        <v>5595</v>
      </c>
      <c r="R6" s="1145" t="s">
        <v>2714</v>
      </c>
      <c r="S6" s="1112"/>
      <c r="T6" s="1146" t="s">
        <v>234</v>
      </c>
      <c r="U6" s="1147"/>
      <c r="V6" s="1113" t="s">
        <v>7434</v>
      </c>
      <c r="W6" s="1070"/>
      <c r="X6" s="1077" t="s">
        <v>3265</v>
      </c>
      <c r="Y6" s="1077" t="s">
        <v>7435</v>
      </c>
      <c r="Z6" s="1077" t="s">
        <v>2590</v>
      </c>
      <c r="AA6" s="1148" t="s">
        <v>7436</v>
      </c>
      <c r="AB6" s="1116" t="s">
        <v>1277</v>
      </c>
      <c r="AC6" s="1148" t="s">
        <v>1319</v>
      </c>
      <c r="AD6" s="1075" t="s">
        <v>1216</v>
      </c>
      <c r="AE6" s="1075" t="s">
        <v>6743</v>
      </c>
      <c r="AF6" s="1149"/>
      <c r="AG6" s="1150" t="s">
        <v>7437</v>
      </c>
      <c r="AH6" s="1079"/>
      <c r="AI6" s="1080"/>
      <c r="AJ6" s="1118"/>
      <c r="AK6" s="1118" t="s">
        <v>7438</v>
      </c>
      <c r="AL6" s="1119"/>
      <c r="AM6" s="1151" t="s">
        <v>2775</v>
      </c>
      <c r="AN6" s="1152" t="s">
        <v>3535</v>
      </c>
      <c r="AO6" s="1118" t="s">
        <v>7439</v>
      </c>
      <c r="AP6" s="1151" t="s">
        <v>2463</v>
      </c>
      <c r="AQ6" s="1153" t="s">
        <v>7440</v>
      </c>
      <c r="AR6" s="1118" t="s">
        <v>7441</v>
      </c>
      <c r="AS6" s="1119"/>
      <c r="AT6" s="1120" t="s">
        <v>4875</v>
      </c>
      <c r="AU6" s="1119"/>
      <c r="AV6" s="1119"/>
      <c r="AW6" s="1123" t="s">
        <v>5028</v>
      </c>
      <c r="AX6" s="1123" t="s">
        <v>1304</v>
      </c>
      <c r="AY6" s="1119"/>
      <c r="AZ6" s="1085"/>
      <c r="BA6" s="1154"/>
      <c r="BB6" s="1126" t="s">
        <v>7442</v>
      </c>
      <c r="BC6" s="1127" t="s">
        <v>6132</v>
      </c>
      <c r="BD6" s="1154"/>
      <c r="BE6" s="1155" t="s">
        <v>7443</v>
      </c>
      <c r="BF6" s="1085"/>
      <c r="BG6" s="1128" t="s">
        <v>3227</v>
      </c>
      <c r="BH6" s="1128" t="s">
        <v>1306</v>
      </c>
      <c r="BI6" s="1156" t="s">
        <v>5824</v>
      </c>
      <c r="BJ6" s="1157"/>
      <c r="BK6" s="1128" t="s">
        <v>7444</v>
      </c>
      <c r="BL6" s="1131"/>
      <c r="BM6" s="1129" t="s">
        <v>7445</v>
      </c>
      <c r="BN6" s="1070"/>
      <c r="BO6" s="1135" t="s">
        <v>7446</v>
      </c>
      <c r="BP6" s="1134"/>
      <c r="BQ6" s="1158" t="s">
        <v>1769</v>
      </c>
      <c r="BR6" s="1134" t="s">
        <v>7447</v>
      </c>
      <c r="BS6" s="1133"/>
      <c r="BT6" s="1158" t="s">
        <v>2041</v>
      </c>
      <c r="BU6" s="1133"/>
      <c r="BV6" s="1134" t="s">
        <v>5924</v>
      </c>
      <c r="BW6" s="1134" t="s">
        <v>2134</v>
      </c>
      <c r="BX6" s="1070"/>
      <c r="BY6" s="1159" t="s">
        <v>304</v>
      </c>
      <c r="BZ6" s="1138" t="s">
        <v>3530</v>
      </c>
      <c r="CA6" s="1139"/>
      <c r="CB6" s="1160"/>
      <c r="CC6" s="1139"/>
      <c r="CD6" s="1139"/>
      <c r="CE6" s="1139"/>
      <c r="CF6" s="1139"/>
      <c r="CG6" s="1139"/>
      <c r="CH6" s="1139"/>
      <c r="CI6" s="1139"/>
      <c r="CJ6" s="1160"/>
      <c r="CK6" s="1160"/>
    </row>
    <row r="7">
      <c r="A7" s="1161" t="s">
        <v>7448</v>
      </c>
      <c r="B7" s="1162" t="s">
        <v>7449</v>
      </c>
      <c r="C7" s="1060" t="s">
        <v>335</v>
      </c>
      <c r="D7" s="1061" t="s">
        <v>441</v>
      </c>
      <c r="E7" s="1062" t="s">
        <v>4220</v>
      </c>
      <c r="F7" s="1063" t="s">
        <v>3432</v>
      </c>
      <c r="G7" s="1064" t="s">
        <v>3993</v>
      </c>
      <c r="H7" s="1163" t="s">
        <v>7185</v>
      </c>
      <c r="I7" s="1109" t="s">
        <v>7450</v>
      </c>
      <c r="J7" s="1109" t="s">
        <v>3716</v>
      </c>
      <c r="K7" s="1109" t="s">
        <v>7451</v>
      </c>
      <c r="L7" s="1164" t="s">
        <v>1963</v>
      </c>
      <c r="M7" s="1142" t="s">
        <v>7452</v>
      </c>
      <c r="N7" s="1109" t="s">
        <v>7453</v>
      </c>
      <c r="O7" s="1109" t="s">
        <v>7454</v>
      </c>
      <c r="P7" s="1070"/>
      <c r="Q7" s="1115" t="s">
        <v>7455</v>
      </c>
      <c r="R7" s="1115" t="s">
        <v>2079</v>
      </c>
      <c r="S7" s="1113" t="s">
        <v>728</v>
      </c>
      <c r="T7" s="1115" t="s">
        <v>5174</v>
      </c>
      <c r="U7" s="1145" t="s">
        <v>7456</v>
      </c>
      <c r="V7" s="1113" t="s">
        <v>7457</v>
      </c>
      <c r="W7" s="1070"/>
      <c r="X7" s="1117" t="s">
        <v>834</v>
      </c>
      <c r="Y7" s="1076" t="s">
        <v>7458</v>
      </c>
      <c r="Z7" s="1077" t="s">
        <v>7459</v>
      </c>
      <c r="AA7" s="1077" t="s">
        <v>7460</v>
      </c>
      <c r="AB7" s="1165" t="s">
        <v>4374</v>
      </c>
      <c r="AC7" s="1077" t="s">
        <v>5890</v>
      </c>
      <c r="AD7" s="1077" t="s">
        <v>131</v>
      </c>
      <c r="AE7" s="1077" t="s">
        <v>7461</v>
      </c>
      <c r="AF7" s="1078"/>
      <c r="AG7" s="1150" t="s">
        <v>7462</v>
      </c>
      <c r="AH7" s="1166" t="s">
        <v>7463</v>
      </c>
      <c r="AI7" s="1070"/>
      <c r="AJ7" s="1167"/>
      <c r="AK7" s="1152" t="s">
        <v>102</v>
      </c>
      <c r="AL7" s="1153" t="s">
        <v>7464</v>
      </c>
      <c r="AM7" s="1123" t="s">
        <v>2231</v>
      </c>
      <c r="AN7" s="1118" t="s">
        <v>4615</v>
      </c>
      <c r="AO7" s="1118" t="s">
        <v>7465</v>
      </c>
      <c r="AP7" s="1123" t="s">
        <v>7466</v>
      </c>
      <c r="AQ7" s="1118" t="s">
        <v>7467</v>
      </c>
      <c r="AR7" s="1123" t="s">
        <v>7468</v>
      </c>
      <c r="AS7" s="1123" t="s">
        <v>2764</v>
      </c>
      <c r="AT7" s="1152" t="s">
        <v>7469</v>
      </c>
      <c r="AU7" s="1120" t="s">
        <v>7470</v>
      </c>
      <c r="AV7" s="1153" t="s">
        <v>7471</v>
      </c>
      <c r="AW7" s="1123" t="s">
        <v>2547</v>
      </c>
      <c r="AX7" s="1152" t="s">
        <v>5297</v>
      </c>
      <c r="AY7" s="1152" t="s">
        <v>7472</v>
      </c>
      <c r="AZ7" s="1085"/>
      <c r="BA7" s="1127" t="s">
        <v>7473</v>
      </c>
      <c r="BB7" s="1168" t="s">
        <v>7474</v>
      </c>
      <c r="BC7" s="1169" t="s">
        <v>3278</v>
      </c>
      <c r="BD7" s="1170"/>
      <c r="BE7" s="1126" t="s">
        <v>7475</v>
      </c>
      <c r="BF7" s="1085"/>
      <c r="BG7" s="1171" t="s">
        <v>7476</v>
      </c>
      <c r="BH7" s="1172" t="s">
        <v>3547</v>
      </c>
      <c r="BI7" s="1128" t="s">
        <v>612</v>
      </c>
      <c r="BJ7" s="1129" t="s">
        <v>7477</v>
      </c>
      <c r="BK7" s="1128" t="s">
        <v>7478</v>
      </c>
      <c r="BL7" s="1128" t="s">
        <v>7479</v>
      </c>
      <c r="BM7" s="1128" t="s">
        <v>7480</v>
      </c>
      <c r="BN7" s="1070"/>
      <c r="BO7" s="1135" t="s">
        <v>2463</v>
      </c>
      <c r="BP7" s="1136" t="s">
        <v>5779</v>
      </c>
      <c r="BQ7" s="1135" t="s">
        <v>3588</v>
      </c>
      <c r="BR7" s="1135" t="s">
        <v>3913</v>
      </c>
      <c r="BS7" s="1135" t="s">
        <v>817</v>
      </c>
      <c r="BT7" s="1135" t="s">
        <v>1372</v>
      </c>
      <c r="BU7" s="1158" t="s">
        <v>3913</v>
      </c>
      <c r="BV7" s="1173" t="s">
        <v>7481</v>
      </c>
      <c r="BW7" s="1135" t="s">
        <v>7482</v>
      </c>
      <c r="BX7" s="1070"/>
      <c r="BY7" s="1159" t="s">
        <v>7483</v>
      </c>
      <c r="BZ7" s="1174" t="s">
        <v>6365</v>
      </c>
      <c r="CA7" s="1174" t="s">
        <v>2346</v>
      </c>
      <c r="CB7" s="1175" t="s">
        <v>3486</v>
      </c>
      <c r="CC7" s="1176"/>
      <c r="CD7" s="1177"/>
      <c r="CE7" s="1159" t="s">
        <v>2722</v>
      </c>
      <c r="CF7" s="1159" t="s">
        <v>7140</v>
      </c>
      <c r="CG7" s="1159" t="s">
        <v>7484</v>
      </c>
      <c r="CH7" s="1159" t="s">
        <v>2246</v>
      </c>
      <c r="CI7" s="1159" t="s">
        <v>7485</v>
      </c>
      <c r="CJ7" s="1174" t="s">
        <v>2750</v>
      </c>
      <c r="CK7" s="1175"/>
    </row>
    <row r="8">
      <c r="A8" s="1178" t="s">
        <v>1554</v>
      </c>
      <c r="B8" s="1064" t="s">
        <v>7486</v>
      </c>
      <c r="C8" s="1060" t="s">
        <v>334</v>
      </c>
      <c r="D8" s="1061" t="s">
        <v>648</v>
      </c>
      <c r="E8" s="1062" t="s">
        <v>441</v>
      </c>
      <c r="F8" s="1063" t="s">
        <v>2931</v>
      </c>
      <c r="G8" s="1064" t="s">
        <v>5858</v>
      </c>
      <c r="H8" s="1109" t="s">
        <v>1296</v>
      </c>
      <c r="I8" s="1179" t="s">
        <v>7487</v>
      </c>
      <c r="J8" s="1107"/>
      <c r="K8" s="1108" t="s">
        <v>7488</v>
      </c>
      <c r="L8" s="1179" t="s">
        <v>7489</v>
      </c>
      <c r="M8" s="1107"/>
      <c r="N8" s="1144" t="s">
        <v>7490</v>
      </c>
      <c r="O8" s="1107"/>
      <c r="P8" s="1070"/>
      <c r="Q8" s="1111" t="s">
        <v>4154</v>
      </c>
      <c r="R8" s="1146" t="s">
        <v>3174</v>
      </c>
      <c r="S8" s="1147" t="s">
        <v>5899</v>
      </c>
      <c r="T8" s="1180" t="s">
        <v>5381</v>
      </c>
      <c r="U8" s="1180" t="s">
        <v>7491</v>
      </c>
      <c r="V8" s="1145" t="s">
        <v>7492</v>
      </c>
      <c r="W8" s="1070"/>
      <c r="X8" s="1148" t="s">
        <v>914</v>
      </c>
      <c r="Y8" s="1148" t="s">
        <v>7493</v>
      </c>
      <c r="Z8" s="1077" t="s">
        <v>6881</v>
      </c>
      <c r="AA8" s="1165" t="s">
        <v>7494</v>
      </c>
      <c r="AB8" s="1116" t="s">
        <v>4950</v>
      </c>
      <c r="AC8" s="1116" t="s">
        <v>5124</v>
      </c>
      <c r="AD8" s="1148" t="s">
        <v>4955</v>
      </c>
      <c r="AE8" s="1116" t="s">
        <v>6705</v>
      </c>
      <c r="AF8" s="1116"/>
      <c r="AG8" s="1181"/>
      <c r="AH8" s="1182" t="s">
        <v>7495</v>
      </c>
      <c r="AI8" s="1070"/>
      <c r="AJ8" s="1118"/>
      <c r="AK8" s="1118" t="s">
        <v>7496</v>
      </c>
      <c r="AL8" s="1118" t="s">
        <v>5501</v>
      </c>
      <c r="AM8" s="1118" t="s">
        <v>563</v>
      </c>
      <c r="AN8" s="1123" t="s">
        <v>7497</v>
      </c>
      <c r="AO8" s="1119"/>
      <c r="AP8" s="1123" t="s">
        <v>7498</v>
      </c>
      <c r="AQ8" s="1183" t="s">
        <v>5058</v>
      </c>
      <c r="AR8" s="1118" t="s">
        <v>7499</v>
      </c>
      <c r="AS8" s="1152" t="s">
        <v>7500</v>
      </c>
      <c r="AT8" s="1119"/>
      <c r="AU8" s="1118" t="s">
        <v>7501</v>
      </c>
      <c r="AV8" s="1119"/>
      <c r="AW8" s="1118" t="s">
        <v>475</v>
      </c>
      <c r="AX8" s="1123" t="s">
        <v>7502</v>
      </c>
      <c r="AY8" s="1123" t="s">
        <v>7503</v>
      </c>
      <c r="AZ8" s="1085"/>
      <c r="BA8" s="1125" t="s">
        <v>7504</v>
      </c>
      <c r="BB8" s="1126" t="s">
        <v>7505</v>
      </c>
      <c r="BC8" s="1184" t="s">
        <v>3546</v>
      </c>
      <c r="BD8" s="1154"/>
      <c r="BE8" s="1155" t="s">
        <v>7506</v>
      </c>
      <c r="BF8" s="1085"/>
      <c r="BG8" s="1128" t="s">
        <v>3227</v>
      </c>
      <c r="BH8" s="1128" t="s">
        <v>7507</v>
      </c>
      <c r="BI8" s="1129" t="s">
        <v>771</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2644</v>
      </c>
      <c r="CA8" s="1139"/>
      <c r="CB8" s="1188" t="s">
        <v>2402</v>
      </c>
      <c r="CC8" s="1138"/>
      <c r="CD8" s="1138" t="s">
        <v>2948</v>
      </c>
      <c r="CE8" s="1174" t="s">
        <v>7517</v>
      </c>
      <c r="CF8" s="1175" t="s">
        <v>7249</v>
      </c>
      <c r="CG8" s="1175" t="s">
        <v>5699</v>
      </c>
      <c r="CH8" s="1189" t="s">
        <v>7518</v>
      </c>
      <c r="CI8" s="1175" t="s">
        <v>3636</v>
      </c>
      <c r="CJ8" s="1175" t="s">
        <v>5036</v>
      </c>
      <c r="CK8" s="1160"/>
    </row>
    <row r="9">
      <c r="A9" s="1190" t="s">
        <v>828</v>
      </c>
      <c r="B9" s="1064" t="s">
        <v>7519</v>
      </c>
      <c r="C9" s="1060" t="s">
        <v>648</v>
      </c>
      <c r="D9" s="1061" t="s">
        <v>985</v>
      </c>
      <c r="E9" s="1062" t="s">
        <v>441</v>
      </c>
      <c r="F9" s="1063" t="s">
        <v>6214</v>
      </c>
      <c r="G9" s="1064" t="s">
        <v>2988</v>
      </c>
      <c r="H9" s="1107"/>
      <c r="I9" s="1163" t="s">
        <v>7520</v>
      </c>
      <c r="J9" s="1108" t="s">
        <v>7521</v>
      </c>
      <c r="K9" s="1108"/>
      <c r="L9" s="1144" t="s">
        <v>7522</v>
      </c>
      <c r="M9" s="1107"/>
      <c r="N9" s="1142" t="s">
        <v>7523</v>
      </c>
      <c r="O9" s="1107"/>
      <c r="P9" s="1070"/>
      <c r="Q9" s="1146" t="s">
        <v>7524</v>
      </c>
      <c r="R9" s="1191" t="s">
        <v>2122</v>
      </c>
      <c r="S9" s="1112"/>
      <c r="T9" s="1112"/>
      <c r="U9" s="1146" t="s">
        <v>7525</v>
      </c>
      <c r="V9" s="1113" t="s">
        <v>7526</v>
      </c>
      <c r="W9" s="1070"/>
      <c r="X9" s="1076" t="s">
        <v>7527</v>
      </c>
      <c r="Y9" s="1116"/>
      <c r="Z9" s="1116" t="s">
        <v>7528</v>
      </c>
      <c r="AA9" s="1192" t="s">
        <v>7529</v>
      </c>
      <c r="AB9" s="1116"/>
      <c r="AC9" s="1116" t="s">
        <v>7530</v>
      </c>
      <c r="AD9" s="1075" t="s">
        <v>1216</v>
      </c>
      <c r="AE9" s="1181"/>
      <c r="AF9" s="1181"/>
      <c r="AG9" s="1116" t="s">
        <v>7531</v>
      </c>
      <c r="AH9" s="1079"/>
      <c r="AI9" s="1070"/>
      <c r="AJ9" s="1119"/>
      <c r="AK9" s="1119"/>
      <c r="AL9" s="1119"/>
      <c r="AM9" s="1153" t="s">
        <v>5677</v>
      </c>
      <c r="AN9" s="1119"/>
      <c r="AO9" s="1152" t="s">
        <v>1996</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327</v>
      </c>
      <c r="BJ9" s="1131"/>
      <c r="BK9" s="1131"/>
      <c r="BL9" s="1131"/>
      <c r="BM9" s="1129" t="s">
        <v>7537</v>
      </c>
      <c r="BN9" s="1070"/>
      <c r="BO9" s="1158" t="s">
        <v>7538</v>
      </c>
      <c r="BP9" s="1186"/>
      <c r="BQ9" s="1134" t="s">
        <v>7539</v>
      </c>
      <c r="BR9" s="1133"/>
      <c r="BS9" s="1133"/>
      <c r="BT9" s="1173" t="s">
        <v>139</v>
      </c>
      <c r="BU9" s="1133"/>
      <c r="BV9" s="1134" t="s">
        <v>4049</v>
      </c>
      <c r="BW9" s="1134" t="s">
        <v>7540</v>
      </c>
      <c r="BX9" s="1070"/>
      <c r="BY9" s="1138" t="s">
        <v>966</v>
      </c>
      <c r="BZ9" s="1189" t="s">
        <v>7541</v>
      </c>
      <c r="CA9" s="1139"/>
      <c r="CB9" s="1160"/>
      <c r="CC9" s="1139"/>
      <c r="CD9" s="1139"/>
      <c r="CE9" s="1139"/>
      <c r="CF9" s="1139"/>
      <c r="CG9" s="1139"/>
      <c r="CH9" s="1139"/>
      <c r="CI9" s="1139"/>
      <c r="CJ9" s="1160"/>
      <c r="CK9" s="1160"/>
    </row>
    <row r="10">
      <c r="A10" s="1141" t="s">
        <v>1416</v>
      </c>
      <c r="B10" s="1064" t="s">
        <v>7542</v>
      </c>
      <c r="C10" s="1060" t="s">
        <v>1259</v>
      </c>
      <c r="D10" s="1061" t="s">
        <v>441</v>
      </c>
      <c r="E10" s="1062" t="s">
        <v>440</v>
      </c>
      <c r="F10" s="1063" t="s">
        <v>221</v>
      </c>
      <c r="G10" s="1064" t="s">
        <v>1725</v>
      </c>
      <c r="H10" s="1107"/>
      <c r="I10" s="1109" t="s">
        <v>7543</v>
      </c>
      <c r="J10" s="1143"/>
      <c r="K10" s="1144" t="s">
        <v>7544</v>
      </c>
      <c r="L10" s="1163" t="s">
        <v>3125</v>
      </c>
      <c r="M10" s="1107"/>
      <c r="N10" s="1107"/>
      <c r="O10" s="1179" t="s">
        <v>7545</v>
      </c>
      <c r="P10" s="1070"/>
      <c r="Q10" s="1115" t="s">
        <v>6960</v>
      </c>
      <c r="R10" s="1112"/>
      <c r="S10" s="1112"/>
      <c r="T10" s="1195" t="s">
        <v>5865</v>
      </c>
      <c r="U10" s="1111"/>
      <c r="V10" s="1180" t="s">
        <v>7546</v>
      </c>
      <c r="W10" s="1070"/>
      <c r="X10" s="1077" t="s">
        <v>592</v>
      </c>
      <c r="Y10" s="1196" t="s">
        <v>6876</v>
      </c>
      <c r="Z10" s="1148" t="s">
        <v>2928</v>
      </c>
      <c r="AA10" s="1148" t="s">
        <v>5492</v>
      </c>
      <c r="AB10" s="1077" t="s">
        <v>2350</v>
      </c>
      <c r="AC10" s="1148" t="s">
        <v>7547</v>
      </c>
      <c r="AD10" s="1197" t="s">
        <v>2416</v>
      </c>
      <c r="AE10" s="1077" t="s">
        <v>1092</v>
      </c>
      <c r="AF10" s="1149"/>
      <c r="AG10" s="1117" t="s">
        <v>7548</v>
      </c>
      <c r="AH10" s="1198" t="s">
        <v>7549</v>
      </c>
      <c r="AI10" s="1080"/>
      <c r="AJ10" s="1119"/>
      <c r="AK10" s="1151" t="s">
        <v>7550</v>
      </c>
      <c r="AL10" s="1152" t="s">
        <v>6015</v>
      </c>
      <c r="AM10" s="1123" t="s">
        <v>659</v>
      </c>
      <c r="AN10" s="1199"/>
      <c r="AO10" s="1123" t="s">
        <v>5852</v>
      </c>
      <c r="AP10" s="1151" t="s">
        <v>7551</v>
      </c>
      <c r="AQ10" s="1200" t="s">
        <v>5877</v>
      </c>
      <c r="AR10" s="1119"/>
      <c r="AS10" s="1119"/>
      <c r="AT10" s="1119"/>
      <c r="AU10" s="1119"/>
      <c r="AV10" s="1151" t="s">
        <v>7552</v>
      </c>
      <c r="AW10" s="1151" t="s">
        <v>962</v>
      </c>
      <c r="AX10" s="1183" t="s">
        <v>7553</v>
      </c>
      <c r="AY10" s="1183" t="s">
        <v>7554</v>
      </c>
      <c r="AZ10" s="1085"/>
      <c r="BA10" s="1193"/>
      <c r="BB10" s="1201" t="s">
        <v>7555</v>
      </c>
      <c r="BC10" s="1126" t="s">
        <v>5272</v>
      </c>
      <c r="BD10" s="1154"/>
      <c r="BE10" s="1126" t="s">
        <v>7556</v>
      </c>
      <c r="BF10" s="1085"/>
      <c r="BG10" s="1128" t="s">
        <v>7557</v>
      </c>
      <c r="BH10" s="1202" t="s">
        <v>4726</v>
      </c>
      <c r="BI10" s="1131"/>
      <c r="BJ10" s="1131"/>
      <c r="BK10" s="1131"/>
      <c r="BL10" s="1131"/>
      <c r="BM10" s="1203" t="s">
        <v>7558</v>
      </c>
      <c r="BN10" s="1080"/>
      <c r="BO10" s="1135" t="s">
        <v>7559</v>
      </c>
      <c r="BP10" s="1186"/>
      <c r="BQ10" s="1133"/>
      <c r="BR10" s="1158" t="s">
        <v>7560</v>
      </c>
      <c r="BS10" s="1133"/>
      <c r="BT10" s="1186" t="s">
        <v>298</v>
      </c>
      <c r="BU10" s="1133"/>
      <c r="BV10" s="1186" t="s">
        <v>7561</v>
      </c>
      <c r="BW10" s="1135" t="s">
        <v>7562</v>
      </c>
      <c r="BX10" s="1080"/>
      <c r="BY10" s="1204"/>
      <c r="BZ10" s="1159" t="s">
        <v>725</v>
      </c>
      <c r="CA10" s="1139"/>
      <c r="CB10" s="1160"/>
      <c r="CC10" s="1139"/>
      <c r="CD10" s="1175" t="s">
        <v>4319</v>
      </c>
      <c r="CE10" s="1139"/>
      <c r="CF10" s="1174" t="s">
        <v>7563</v>
      </c>
      <c r="CG10" s="1188" t="s">
        <v>2633</v>
      </c>
      <c r="CH10" s="1139"/>
      <c r="CI10" s="1139"/>
      <c r="CJ10" s="1160"/>
      <c r="CK10" s="1160"/>
    </row>
    <row r="11">
      <c r="A11" s="1141" t="s">
        <v>332</v>
      </c>
      <c r="B11" s="1064" t="s">
        <v>7564</v>
      </c>
      <c r="C11" s="1060" t="s">
        <v>441</v>
      </c>
      <c r="D11" s="1061" t="s">
        <v>335</v>
      </c>
      <c r="E11" s="1062" t="s">
        <v>1201</v>
      </c>
      <c r="F11" s="1063" t="s">
        <v>3929</v>
      </c>
      <c r="G11" s="1064" t="s">
        <v>1501</v>
      </c>
      <c r="H11" s="1205" t="s">
        <v>2895</v>
      </c>
      <c r="I11" s="1144" t="s">
        <v>7565</v>
      </c>
      <c r="J11" s="1144" t="s">
        <v>7566</v>
      </c>
      <c r="K11" s="1109" t="s">
        <v>714</v>
      </c>
      <c r="L11" s="1206" t="s">
        <v>7567</v>
      </c>
      <c r="M11" s="1107"/>
      <c r="N11" s="1107"/>
      <c r="O11" s="1179" t="s">
        <v>7568</v>
      </c>
      <c r="P11" s="1070"/>
      <c r="Q11" s="1115" t="s">
        <v>7569</v>
      </c>
      <c r="R11" s="1112"/>
      <c r="S11" s="1112"/>
      <c r="T11" s="1145" t="s">
        <v>5344</v>
      </c>
      <c r="U11" s="1111"/>
      <c r="V11" s="1180" t="s">
        <v>7570</v>
      </c>
      <c r="W11" s="1070"/>
      <c r="X11" s="1181"/>
      <c r="Y11" s="1148" t="s">
        <v>7571</v>
      </c>
      <c r="Z11" s="1196" t="s">
        <v>7567</v>
      </c>
      <c r="AA11" s="1196" t="s">
        <v>7572</v>
      </c>
      <c r="AB11" s="1075" t="s">
        <v>3425</v>
      </c>
      <c r="AC11" s="1148" t="s">
        <v>2866</v>
      </c>
      <c r="AD11" s="1077" t="s">
        <v>2394</v>
      </c>
      <c r="AE11" s="1076" t="s">
        <v>1250</v>
      </c>
      <c r="AF11" s="1149"/>
      <c r="AG11" s="1196" t="s">
        <v>7573</v>
      </c>
      <c r="AH11" s="1079"/>
      <c r="AI11" s="1070"/>
      <c r="AJ11" s="1207"/>
      <c r="AK11" s="1123" t="s">
        <v>7574</v>
      </c>
      <c r="AL11" s="1119"/>
      <c r="AM11" s="1208"/>
      <c r="AN11" s="1208" t="s">
        <v>7575</v>
      </c>
      <c r="AO11" s="1209" t="s">
        <v>4838</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3748</v>
      </c>
      <c r="BD11" s="1154"/>
      <c r="BE11" s="1201" t="s">
        <v>7583</v>
      </c>
      <c r="BF11" s="1085"/>
      <c r="BG11" s="1212" t="s">
        <v>7584</v>
      </c>
      <c r="BH11" s="1212" t="s">
        <v>5443</v>
      </c>
      <c r="BI11" s="1129"/>
      <c r="BJ11" s="1129"/>
      <c r="BK11" s="1213" t="s">
        <v>7585</v>
      </c>
      <c r="BL11" s="1131"/>
      <c r="BM11" s="1213" t="s">
        <v>7586</v>
      </c>
      <c r="BN11" s="1070"/>
      <c r="BO11" s="1173" t="s">
        <v>7587</v>
      </c>
      <c r="BP11" s="1186"/>
      <c r="BQ11" s="1173" t="s">
        <v>696</v>
      </c>
      <c r="BR11" s="1187" t="s">
        <v>7588</v>
      </c>
      <c r="BS11" s="1133"/>
      <c r="BT11" s="1135" t="s">
        <v>2071</v>
      </c>
      <c r="BU11" s="1133"/>
      <c r="BV11" s="1186" t="s">
        <v>7589</v>
      </c>
      <c r="BW11" s="1214" t="s">
        <v>7590</v>
      </c>
      <c r="BX11" s="1080"/>
      <c r="BY11" s="1188" t="s">
        <v>4495</v>
      </c>
      <c r="BZ11" s="1139"/>
      <c r="CA11" s="1176"/>
      <c r="CB11" s="1189" t="s">
        <v>2810</v>
      </c>
      <c r="CC11" s="1204"/>
      <c r="CD11" s="1188" t="s">
        <v>1173</v>
      </c>
      <c r="CE11" s="1139"/>
      <c r="CF11" s="1188" t="s">
        <v>7591</v>
      </c>
      <c r="CG11" s="1139"/>
      <c r="CH11" s="1175" t="s">
        <v>4846</v>
      </c>
      <c r="CI11" s="1139"/>
      <c r="CJ11" s="1160"/>
      <c r="CK11" s="1160"/>
    </row>
    <row r="12">
      <c r="A12" s="1106" t="s">
        <v>2371</v>
      </c>
      <c r="B12" s="1064" t="s">
        <v>7564</v>
      </c>
      <c r="C12" s="1060" t="s">
        <v>548</v>
      </c>
      <c r="D12" s="1061" t="s">
        <v>441</v>
      </c>
      <c r="E12" s="1062" t="s">
        <v>440</v>
      </c>
      <c r="F12" s="1063" t="s">
        <v>2106</v>
      </c>
      <c r="G12" s="1064" t="s">
        <v>2106</v>
      </c>
      <c r="H12" s="1109" t="s">
        <v>1208</v>
      </c>
      <c r="I12" s="1109" t="s">
        <v>7592</v>
      </c>
      <c r="J12" s="1109" t="s">
        <v>3716</v>
      </c>
      <c r="K12" s="1109" t="s">
        <v>1964</v>
      </c>
      <c r="L12" s="1107"/>
      <c r="M12" s="1107"/>
      <c r="N12" s="1107"/>
      <c r="O12" s="1163" t="s">
        <v>7593</v>
      </c>
      <c r="P12" s="1070"/>
      <c r="Q12" s="1115" t="s">
        <v>7594</v>
      </c>
      <c r="R12" s="1112"/>
      <c r="S12" s="1145" t="s">
        <v>7595</v>
      </c>
      <c r="T12" s="1115" t="s">
        <v>5214</v>
      </c>
      <c r="U12" s="1115" t="s">
        <v>3595</v>
      </c>
      <c r="V12" s="1115" t="s">
        <v>7596</v>
      </c>
      <c r="W12" s="1070"/>
      <c r="X12" s="1077" t="s">
        <v>2680</v>
      </c>
      <c r="Y12" s="1117" t="s">
        <v>7597</v>
      </c>
      <c r="Z12" s="1077" t="s">
        <v>7598</v>
      </c>
      <c r="AA12" s="1077" t="s">
        <v>7460</v>
      </c>
      <c r="AB12" s="1077" t="s">
        <v>6377</v>
      </c>
      <c r="AC12" s="1077" t="s">
        <v>7599</v>
      </c>
      <c r="AD12" s="1077" t="s">
        <v>1058</v>
      </c>
      <c r="AE12" s="1077" t="s">
        <v>7600</v>
      </c>
      <c r="AF12" s="1149"/>
      <c r="AG12" s="1077" t="s">
        <v>7601</v>
      </c>
      <c r="AH12" s="1079"/>
      <c r="AI12" s="1070"/>
      <c r="AJ12" s="1207"/>
      <c r="AK12" s="1153" t="s">
        <v>2090</v>
      </c>
      <c r="AL12" s="1119"/>
      <c r="AM12" s="1123" t="s">
        <v>4231</v>
      </c>
      <c r="AN12" s="1119"/>
      <c r="AO12" s="1119"/>
      <c r="AP12" s="1123" t="s">
        <v>3548</v>
      </c>
      <c r="AQ12" s="1119"/>
      <c r="AR12" s="1153" t="s">
        <v>7602</v>
      </c>
      <c r="AS12" s="1123" t="s">
        <v>7603</v>
      </c>
      <c r="AT12" s="1119"/>
      <c r="AU12" s="1152" t="s">
        <v>7604</v>
      </c>
      <c r="AV12" s="1119"/>
      <c r="AW12" s="1123" t="s">
        <v>5408</v>
      </c>
      <c r="AX12" s="1123" t="s">
        <v>4808</v>
      </c>
      <c r="AY12" s="1123" t="s">
        <v>7605</v>
      </c>
      <c r="AZ12" s="1085"/>
      <c r="BA12" s="1126" t="s">
        <v>7606</v>
      </c>
      <c r="BB12" s="1126" t="s">
        <v>7607</v>
      </c>
      <c r="BC12" s="1126" t="s">
        <v>5333</v>
      </c>
      <c r="BD12" s="1154"/>
      <c r="BE12" s="1126" t="s">
        <v>7608</v>
      </c>
      <c r="BF12" s="1085"/>
      <c r="BG12" s="1128" t="s">
        <v>7609</v>
      </c>
      <c r="BH12" s="1128" t="s">
        <v>3325</v>
      </c>
      <c r="BI12" s="1128" t="s">
        <v>2216</v>
      </c>
      <c r="BJ12" s="1194" t="s">
        <v>7610</v>
      </c>
      <c r="BK12" s="1128" t="s">
        <v>2914</v>
      </c>
      <c r="BL12" s="1131"/>
      <c r="BM12" s="1128" t="s">
        <v>7611</v>
      </c>
      <c r="BN12" s="1070"/>
      <c r="BO12" s="1133"/>
      <c r="BP12" s="1186"/>
      <c r="BQ12" s="1135" t="s">
        <v>2661</v>
      </c>
      <c r="BR12" s="1135" t="s">
        <v>7612</v>
      </c>
      <c r="BS12" s="1133"/>
      <c r="BT12" s="1135" t="s">
        <v>1787</v>
      </c>
      <c r="BU12" s="1133"/>
      <c r="BV12" s="1135" t="s">
        <v>7613</v>
      </c>
      <c r="BW12" s="1135" t="s">
        <v>6201</v>
      </c>
      <c r="BX12" s="1070"/>
      <c r="BY12" s="1159" t="s">
        <v>7439</v>
      </c>
      <c r="BZ12" s="1159" t="s">
        <v>2684</v>
      </c>
      <c r="CA12" s="1175" t="s">
        <v>7614</v>
      </c>
      <c r="CB12" s="1160"/>
      <c r="CC12" s="1139"/>
      <c r="CD12" s="1175" t="s">
        <v>4319</v>
      </c>
      <c r="CE12" s="1159" t="s">
        <v>7615</v>
      </c>
      <c r="CF12" s="1159" t="s">
        <v>5335</v>
      </c>
      <c r="CG12" s="1174" t="s">
        <v>7616</v>
      </c>
      <c r="CH12" s="1139"/>
      <c r="CI12" s="1174" t="s">
        <v>4803</v>
      </c>
      <c r="CJ12" s="1160"/>
      <c r="CK12" s="1160"/>
    </row>
    <row r="13">
      <c r="A13" s="1215" t="s">
        <v>1059</v>
      </c>
      <c r="B13" s="1064" t="s">
        <v>7617</v>
      </c>
      <c r="C13" s="1060" t="s">
        <v>222</v>
      </c>
      <c r="D13" s="1061" t="s">
        <v>335</v>
      </c>
      <c r="E13" s="1062" t="s">
        <v>334</v>
      </c>
      <c r="F13" s="1063" t="s">
        <v>3929</v>
      </c>
      <c r="G13" s="1064" t="s">
        <v>2903</v>
      </c>
      <c r="H13" s="1142" t="s">
        <v>4807</v>
      </c>
      <c r="I13" s="1107"/>
      <c r="J13" s="1163" t="s">
        <v>7618</v>
      </c>
      <c r="K13" s="1163" t="s">
        <v>6346</v>
      </c>
      <c r="L13" s="1107"/>
      <c r="M13" s="1107"/>
      <c r="N13" s="1107"/>
      <c r="O13" s="1108" t="s">
        <v>7619</v>
      </c>
      <c r="P13" s="1070"/>
      <c r="Q13" s="1112"/>
      <c r="R13" s="1113" t="s">
        <v>405</v>
      </c>
      <c r="S13" s="1112"/>
      <c r="T13" s="1191" t="s">
        <v>4856</v>
      </c>
      <c r="U13" s="1191" t="s">
        <v>1187</v>
      </c>
      <c r="V13" s="1112"/>
      <c r="W13" s="1070"/>
      <c r="X13" s="1116" t="s">
        <v>380</v>
      </c>
      <c r="Y13" s="1181"/>
      <c r="Z13" s="1117" t="s">
        <v>3291</v>
      </c>
      <c r="AA13" s="1076" t="s">
        <v>7620</v>
      </c>
      <c r="AB13" s="1116" t="s">
        <v>506</v>
      </c>
      <c r="AC13" s="1150" t="s">
        <v>5213</v>
      </c>
      <c r="AD13" s="1076" t="s">
        <v>1789</v>
      </c>
      <c r="AE13" s="1148" t="s">
        <v>7621</v>
      </c>
      <c r="AF13" s="1116"/>
      <c r="AG13" s="1116" t="s">
        <v>7622</v>
      </c>
      <c r="AH13" s="1079"/>
      <c r="AI13" s="1070"/>
      <c r="AJ13" s="1119"/>
      <c r="AK13" s="1119"/>
      <c r="AL13" s="1119"/>
      <c r="AM13" s="1118" t="s">
        <v>5159</v>
      </c>
      <c r="AN13" s="1120" t="s">
        <v>4067</v>
      </c>
      <c r="AO13" s="1119"/>
      <c r="AP13" s="1119"/>
      <c r="AQ13" s="1119"/>
      <c r="AR13" s="1120" t="s">
        <v>7623</v>
      </c>
      <c r="AS13" s="1119"/>
      <c r="AT13" s="1153" t="s">
        <v>7624</v>
      </c>
      <c r="AU13" s="1119"/>
      <c r="AV13" s="1119"/>
      <c r="AW13" s="1153" t="s">
        <v>1041</v>
      </c>
      <c r="AX13" s="1153" t="s">
        <v>7625</v>
      </c>
      <c r="AY13" s="1153" t="s">
        <v>968</v>
      </c>
      <c r="AZ13" s="1085"/>
      <c r="BA13" s="1193"/>
      <c r="BB13" s="1155"/>
      <c r="BC13" s="1125" t="s">
        <v>4537</v>
      </c>
      <c r="BD13" s="1124"/>
      <c r="BE13" s="1155"/>
      <c r="BF13" s="1085"/>
      <c r="BG13" s="1131"/>
      <c r="BH13" s="1131"/>
      <c r="BI13" s="1194" t="s">
        <v>7626</v>
      </c>
      <c r="BJ13" s="1131"/>
      <c r="BK13" s="1131"/>
      <c r="BL13" s="1131"/>
      <c r="BM13" s="1131"/>
      <c r="BN13" s="1070"/>
      <c r="BO13" s="1134"/>
      <c r="BP13" s="1186"/>
      <c r="BQ13" s="1136" t="s">
        <v>5030</v>
      </c>
      <c r="BR13" s="1133"/>
      <c r="BS13" s="1133"/>
      <c r="BT13" s="1136" t="s">
        <v>7075</v>
      </c>
      <c r="BU13" s="1133"/>
      <c r="BV13" s="1187" t="s">
        <v>7627</v>
      </c>
      <c r="BW13" s="1135" t="s">
        <v>7628</v>
      </c>
      <c r="BX13" s="1070"/>
      <c r="BY13" s="1189" t="s">
        <v>3485</v>
      </c>
      <c r="BZ13" s="1189" t="s">
        <v>7541</v>
      </c>
      <c r="CA13" s="1139"/>
      <c r="CB13" s="1160"/>
      <c r="CC13" s="1139"/>
      <c r="CD13" s="1139"/>
      <c r="CE13" s="1139"/>
      <c r="CF13" s="1139"/>
      <c r="CG13" s="1189" t="s">
        <v>7629</v>
      </c>
      <c r="CH13" s="1139"/>
      <c r="CI13" s="1139"/>
      <c r="CJ13" s="1160"/>
      <c r="CK13" s="1160"/>
    </row>
    <row r="14">
      <c r="A14" s="1106" t="s">
        <v>1959</v>
      </c>
      <c r="B14" s="1064" t="s">
        <v>7630</v>
      </c>
      <c r="C14" s="1060" t="s">
        <v>1259</v>
      </c>
      <c r="D14" s="1061" t="s">
        <v>334</v>
      </c>
      <c r="E14" s="1062" t="s">
        <v>334</v>
      </c>
      <c r="F14" s="1063" t="s">
        <v>2837</v>
      </c>
      <c r="G14" s="1064" t="s">
        <v>7631</v>
      </c>
      <c r="H14" s="1107"/>
      <c r="I14" s="1108" t="s">
        <v>7632</v>
      </c>
      <c r="J14" s="1108"/>
      <c r="K14" s="1109" t="s">
        <v>1696</v>
      </c>
      <c r="L14" s="1108"/>
      <c r="M14" s="1108"/>
      <c r="N14" s="1107"/>
      <c r="O14" s="1109" t="s">
        <v>7633</v>
      </c>
      <c r="P14" s="1070"/>
      <c r="Q14" s="1112"/>
      <c r="R14" s="1114"/>
      <c r="S14" s="1115" t="s">
        <v>7634</v>
      </c>
      <c r="T14" s="1112"/>
      <c r="U14" s="1112"/>
      <c r="V14" s="1115" t="s">
        <v>7635</v>
      </c>
      <c r="W14" s="1070"/>
      <c r="X14" s="1075" t="s">
        <v>1375</v>
      </c>
      <c r="Y14" s="1181"/>
      <c r="Z14" s="1116" t="s">
        <v>7636</v>
      </c>
      <c r="AA14" s="1077" t="s">
        <v>7637</v>
      </c>
      <c r="AB14" s="1116" t="s">
        <v>3714</v>
      </c>
      <c r="AC14" s="1077" t="s">
        <v>1982</v>
      </c>
      <c r="AD14" s="1116" t="s">
        <v>4135</v>
      </c>
      <c r="AE14" s="1116" t="s">
        <v>4647</v>
      </c>
      <c r="AF14" s="1116"/>
      <c r="AG14" s="1077" t="s">
        <v>7638</v>
      </c>
      <c r="AH14" s="1079"/>
      <c r="AI14" s="1070"/>
      <c r="AJ14" s="1119"/>
      <c r="AK14" s="1119"/>
      <c r="AL14" s="1119"/>
      <c r="AM14" s="1152" t="s">
        <v>1419</v>
      </c>
      <c r="AN14" s="1119"/>
      <c r="AO14" s="1119"/>
      <c r="AP14" s="1118" t="s">
        <v>7639</v>
      </c>
      <c r="AQ14" s="1119"/>
      <c r="AR14" s="1119"/>
      <c r="AS14" s="1119"/>
      <c r="AT14" s="1119"/>
      <c r="AU14" s="1119"/>
      <c r="AV14" s="1119"/>
      <c r="AW14" s="1119"/>
      <c r="AX14" s="1123" t="s">
        <v>7640</v>
      </c>
      <c r="AY14" s="1118" t="s">
        <v>7641</v>
      </c>
      <c r="AZ14" s="1085"/>
      <c r="BA14" s="1155"/>
      <c r="BB14" s="1155"/>
      <c r="BC14" s="1126" t="s">
        <v>3243</v>
      </c>
      <c r="BD14" s="1124"/>
      <c r="BE14" s="1155" t="s">
        <v>7642</v>
      </c>
      <c r="BF14" s="1085"/>
      <c r="BG14" s="1129" t="s">
        <v>6189</v>
      </c>
      <c r="BH14" s="1130" t="s">
        <v>7299</v>
      </c>
      <c r="BI14" s="1131"/>
      <c r="BJ14" s="1131"/>
      <c r="BK14" s="1212" t="s">
        <v>7643</v>
      </c>
      <c r="BL14" s="1131"/>
      <c r="BM14" s="1128" t="s">
        <v>7644</v>
      </c>
      <c r="BN14" s="1070"/>
      <c r="BO14" s="1134" t="s">
        <v>7645</v>
      </c>
      <c r="BP14" s="1187"/>
      <c r="BQ14" s="1134"/>
      <c r="BR14" s="1135" t="s">
        <v>7646</v>
      </c>
      <c r="BS14" s="1134"/>
      <c r="BT14" s="1135" t="s">
        <v>1404</v>
      </c>
      <c r="BU14" s="1133"/>
      <c r="BV14" s="1158" t="s">
        <v>5679</v>
      </c>
      <c r="BW14" s="1135" t="s">
        <v>5674</v>
      </c>
      <c r="BX14" s="1070"/>
      <c r="BY14" s="1174" t="s">
        <v>465</v>
      </c>
      <c r="BZ14" s="1139"/>
      <c r="CA14" s="1139"/>
      <c r="CB14" s="1160"/>
      <c r="CC14" s="1139"/>
      <c r="CD14" s="1139"/>
      <c r="CE14" s="1139"/>
      <c r="CF14" s="1138" t="s">
        <v>4603</v>
      </c>
      <c r="CG14" s="1139"/>
      <c r="CH14" s="1139"/>
      <c r="CI14" s="1139"/>
      <c r="CJ14" s="1160"/>
      <c r="CK14" s="1160"/>
    </row>
    <row r="15">
      <c r="A15" s="1106" t="s">
        <v>6618</v>
      </c>
      <c r="B15" s="1064" t="s">
        <v>7647</v>
      </c>
      <c r="C15" s="1060" t="s">
        <v>1259</v>
      </c>
      <c r="D15" s="1061" t="s">
        <v>439</v>
      </c>
      <c r="E15" s="1062" t="s">
        <v>548</v>
      </c>
      <c r="F15" s="1063" t="s">
        <v>5620</v>
      </c>
      <c r="G15" s="1064" t="s">
        <v>1725</v>
      </c>
      <c r="H15" s="1109" t="s">
        <v>2125</v>
      </c>
      <c r="I15" s="1109" t="s">
        <v>7648</v>
      </c>
      <c r="J15" s="1107"/>
      <c r="K15" s="1107"/>
      <c r="L15" s="1109" t="s">
        <v>3368</v>
      </c>
      <c r="M15" s="1107"/>
      <c r="N15" s="1109" t="s">
        <v>7649</v>
      </c>
      <c r="O15" s="1107"/>
      <c r="P15" s="1070"/>
      <c r="Q15" s="1115" t="s">
        <v>248</v>
      </c>
      <c r="R15" s="1112"/>
      <c r="S15" s="1115" t="s">
        <v>7550</v>
      </c>
      <c r="T15" s="1115" t="s">
        <v>3731</v>
      </c>
      <c r="U15" s="1112"/>
      <c r="V15" s="1115" t="s">
        <v>7650</v>
      </c>
      <c r="W15" s="1070"/>
      <c r="X15" s="1077" t="s">
        <v>275</v>
      </c>
      <c r="Y15" s="1077" t="s">
        <v>7651</v>
      </c>
      <c r="Z15" s="1077" t="s">
        <v>2367</v>
      </c>
      <c r="AA15" s="1165" t="s">
        <v>7652</v>
      </c>
      <c r="AB15" s="1077" t="s">
        <v>7653</v>
      </c>
      <c r="AC15" s="1077" t="s">
        <v>1669</v>
      </c>
      <c r="AD15" s="1077" t="s">
        <v>5497</v>
      </c>
      <c r="AE15" s="1077" t="s">
        <v>7654</v>
      </c>
      <c r="AF15" s="1078"/>
      <c r="AG15" s="1116" t="s">
        <v>7655</v>
      </c>
      <c r="AH15" s="1079"/>
      <c r="AI15" s="1070"/>
      <c r="AJ15" s="1167"/>
      <c r="AK15" s="1123" t="s">
        <v>7656</v>
      </c>
      <c r="AL15" s="1123" t="s">
        <v>7657</v>
      </c>
      <c r="AM15" s="1123" t="s">
        <v>1213</v>
      </c>
      <c r="AN15" s="1118"/>
      <c r="AO15" s="1119"/>
      <c r="AP15" s="1123" t="s">
        <v>4060</v>
      </c>
      <c r="AQ15" s="1119"/>
      <c r="AR15" s="1123" t="s">
        <v>7658</v>
      </c>
      <c r="AS15" s="1153" t="s">
        <v>7659</v>
      </c>
      <c r="AT15" s="1123" t="s">
        <v>7660</v>
      </c>
      <c r="AU15" s="1153" t="s">
        <v>7661</v>
      </c>
      <c r="AV15" s="1119"/>
      <c r="AW15" s="1123" t="s">
        <v>371</v>
      </c>
      <c r="AX15" s="1123" t="s">
        <v>7662</v>
      </c>
      <c r="AY15" s="1123" t="s">
        <v>7663</v>
      </c>
      <c r="AZ15" s="1085"/>
      <c r="BA15" s="1193"/>
      <c r="BB15" s="1126" t="s">
        <v>7664</v>
      </c>
      <c r="BC15" s="1126" t="s">
        <v>7665</v>
      </c>
      <c r="BD15" s="1124"/>
      <c r="BE15" s="1126" t="s">
        <v>7666</v>
      </c>
      <c r="BF15" s="1085"/>
      <c r="BG15" s="1129" t="s">
        <v>4075</v>
      </c>
      <c r="BH15" s="1129" t="s">
        <v>4602</v>
      </c>
      <c r="BI15" s="1212" t="s">
        <v>1590</v>
      </c>
      <c r="BJ15" s="1131"/>
      <c r="BK15" s="1129" t="s">
        <v>4284</v>
      </c>
      <c r="BL15" s="1131"/>
      <c r="BM15" s="1129" t="s">
        <v>7667</v>
      </c>
      <c r="BN15" s="1070"/>
      <c r="BO15" s="1135" t="s">
        <v>3421</v>
      </c>
      <c r="BP15" s="1186"/>
      <c r="BQ15" s="1133"/>
      <c r="BR15" s="1133"/>
      <c r="BS15" s="1133"/>
      <c r="BT15" s="1135" t="s">
        <v>848</v>
      </c>
      <c r="BU15" s="1133"/>
      <c r="BV15" s="1134" t="s">
        <v>7668</v>
      </c>
      <c r="BW15" s="1134" t="s">
        <v>7669</v>
      </c>
      <c r="BX15" s="1070"/>
      <c r="BY15" s="1159" t="s">
        <v>1616</v>
      </c>
      <c r="BZ15" s="1138"/>
      <c r="CA15" s="1139"/>
      <c r="CB15" s="1160"/>
      <c r="CC15" s="1139"/>
      <c r="CD15" s="1139"/>
      <c r="CE15" s="1138" t="s">
        <v>7670</v>
      </c>
      <c r="CF15" s="1139"/>
      <c r="CG15" s="1139"/>
      <c r="CH15" s="1139"/>
      <c r="CI15" s="1139"/>
      <c r="CJ15" s="1160"/>
      <c r="CK15" s="1160"/>
    </row>
    <row r="16">
      <c r="A16" s="1216" t="s">
        <v>1723</v>
      </c>
      <c r="B16" s="1064" t="s">
        <v>7671</v>
      </c>
      <c r="C16" s="1060" t="s">
        <v>1259</v>
      </c>
      <c r="D16" s="1061" t="s">
        <v>548</v>
      </c>
      <c r="E16" s="1062" t="s">
        <v>439</v>
      </c>
      <c r="F16" s="1063" t="s">
        <v>3283</v>
      </c>
      <c r="G16" s="1064" t="s">
        <v>2153</v>
      </c>
      <c r="H16" s="1109" t="s">
        <v>2355</v>
      </c>
      <c r="I16" s="1217" t="s">
        <v>7672</v>
      </c>
      <c r="J16" s="1108" t="s">
        <v>1302</v>
      </c>
      <c r="K16" s="1108" t="s">
        <v>7673</v>
      </c>
      <c r="L16" s="1108" t="s">
        <v>2149</v>
      </c>
      <c r="M16" s="1218"/>
      <c r="N16" s="1108" t="s">
        <v>7674</v>
      </c>
      <c r="O16" s="1108" t="s">
        <v>7675</v>
      </c>
      <c r="P16" s="1070"/>
      <c r="Q16" s="1111" t="s">
        <v>7676</v>
      </c>
      <c r="R16" s="1111" t="s">
        <v>2455</v>
      </c>
      <c r="S16" s="1111" t="s">
        <v>7677</v>
      </c>
      <c r="T16" s="1111" t="s">
        <v>5759</v>
      </c>
      <c r="U16" s="1111" t="s">
        <v>7678</v>
      </c>
      <c r="V16" s="1111" t="s">
        <v>7679</v>
      </c>
      <c r="W16" s="1070"/>
      <c r="X16" s="1116" t="s">
        <v>3937</v>
      </c>
      <c r="Y16" s="1116" t="s">
        <v>7680</v>
      </c>
      <c r="Z16" s="1148" t="s">
        <v>7681</v>
      </c>
      <c r="AA16" s="1219" t="s">
        <v>7682</v>
      </c>
      <c r="AB16" s="1116" t="s">
        <v>7683</v>
      </c>
      <c r="AC16" s="1116" t="s">
        <v>7684</v>
      </c>
      <c r="AD16" s="1165" t="s">
        <v>1702</v>
      </c>
      <c r="AE16" s="1077" t="s">
        <v>5242</v>
      </c>
      <c r="AF16" s="1116" t="s">
        <v>7685</v>
      </c>
      <c r="AG16" s="1116" t="s">
        <v>7686</v>
      </c>
      <c r="AH16" s="1220" t="s">
        <v>7687</v>
      </c>
      <c r="AI16" s="1070"/>
      <c r="AJ16" s="1167"/>
      <c r="AK16" s="1123" t="s">
        <v>7688</v>
      </c>
      <c r="AL16" s="1118"/>
      <c r="AM16" s="1118" t="s">
        <v>3415</v>
      </c>
      <c r="AN16" s="1123" t="s">
        <v>1643</v>
      </c>
      <c r="AO16" s="1118" t="s">
        <v>4118</v>
      </c>
      <c r="AP16" s="1121" t="s">
        <v>7689</v>
      </c>
      <c r="AQ16" s="1118" t="s">
        <v>7690</v>
      </c>
      <c r="AR16" s="1152" t="s">
        <v>7691</v>
      </c>
      <c r="AS16" s="1118" t="s">
        <v>7692</v>
      </c>
      <c r="AT16" s="1118"/>
      <c r="AU16" s="1118"/>
      <c r="AV16" s="1118"/>
      <c r="AW16" s="1121" t="s">
        <v>307</v>
      </c>
      <c r="AX16" s="1183" t="s">
        <v>7693</v>
      </c>
      <c r="AY16" s="1118" t="s">
        <v>7694</v>
      </c>
      <c r="AZ16" s="1085"/>
      <c r="BA16" s="1155" t="s">
        <v>7695</v>
      </c>
      <c r="BB16" s="1155" t="s">
        <v>7696</v>
      </c>
      <c r="BC16" s="1155" t="s">
        <v>4209</v>
      </c>
      <c r="BD16" s="1155"/>
      <c r="BE16" s="1221" t="s">
        <v>7697</v>
      </c>
      <c r="BF16" s="1085"/>
      <c r="BG16" s="1129" t="s">
        <v>7698</v>
      </c>
      <c r="BH16" s="1129" t="s">
        <v>5166</v>
      </c>
      <c r="BI16" s="1128" t="s">
        <v>2079</v>
      </c>
      <c r="BJ16" s="1130" t="s">
        <v>7699</v>
      </c>
      <c r="BK16" s="1185" t="s">
        <v>7700</v>
      </c>
      <c r="BL16" s="1129"/>
      <c r="BM16" s="1129" t="s">
        <v>7701</v>
      </c>
      <c r="BN16" s="1070"/>
      <c r="BO16" s="1135" t="s">
        <v>4757</v>
      </c>
      <c r="BP16" s="1187"/>
      <c r="BQ16" s="1222" t="s">
        <v>4732</v>
      </c>
      <c r="BR16" s="1134" t="s">
        <v>7702</v>
      </c>
      <c r="BS16" s="1134"/>
      <c r="BT16" s="1223" t="s">
        <v>7703</v>
      </c>
      <c r="BU16" s="1187" t="s">
        <v>4781</v>
      </c>
      <c r="BV16" s="1134" t="s">
        <v>7704</v>
      </c>
      <c r="BW16" s="1134" t="s">
        <v>7705</v>
      </c>
      <c r="BX16" s="1070"/>
      <c r="BY16" s="1138" t="s">
        <v>2517</v>
      </c>
      <c r="BZ16" s="1138" t="s">
        <v>2074</v>
      </c>
      <c r="CA16" s="1139"/>
      <c r="CB16" s="1160"/>
      <c r="CC16" s="1139"/>
      <c r="CD16" s="1138"/>
      <c r="CE16" s="1138" t="s">
        <v>7706</v>
      </c>
      <c r="CF16" s="1138" t="s">
        <v>7707</v>
      </c>
      <c r="CG16" s="1138"/>
      <c r="CH16" s="1174" t="s">
        <v>7708</v>
      </c>
      <c r="CI16" s="1139"/>
      <c r="CJ16" s="1160"/>
      <c r="CK16" s="1160"/>
    </row>
    <row r="17">
      <c r="A17" s="1106" t="s">
        <v>7709</v>
      </c>
      <c r="B17" s="1064" t="s">
        <v>7710</v>
      </c>
      <c r="C17" s="1060" t="s">
        <v>1259</v>
      </c>
      <c r="D17" s="1061" t="s">
        <v>1259</v>
      </c>
      <c r="E17" s="1062" t="s">
        <v>1259</v>
      </c>
      <c r="F17" s="1063" t="s">
        <v>1259</v>
      </c>
      <c r="G17" s="1064" t="s">
        <v>3337</v>
      </c>
      <c r="H17" s="1107"/>
      <c r="I17" s="1179" t="s">
        <v>2757</v>
      </c>
      <c r="J17" s="1108"/>
      <c r="K17" s="1107"/>
      <c r="L17" s="1107"/>
      <c r="M17" s="1107"/>
      <c r="N17" s="1107"/>
      <c r="O17" s="1108" t="s">
        <v>7711</v>
      </c>
      <c r="P17" s="1070"/>
      <c r="Q17" s="1180" t="s">
        <v>1487</v>
      </c>
      <c r="R17" s="1112"/>
      <c r="S17" s="1112"/>
      <c r="T17" s="1180" t="s">
        <v>1117</v>
      </c>
      <c r="U17" s="1111"/>
      <c r="V17" s="1111" t="s">
        <v>7712</v>
      </c>
      <c r="W17" s="1070"/>
      <c r="X17" s="1196" t="s">
        <v>7713</v>
      </c>
      <c r="Y17" s="1116" t="s">
        <v>7714</v>
      </c>
      <c r="Z17" s="1196" t="s">
        <v>7567</v>
      </c>
      <c r="AA17" s="1148" t="s">
        <v>6654</v>
      </c>
      <c r="AB17" s="1148" t="s">
        <v>1650</v>
      </c>
      <c r="AC17" s="1148" t="s">
        <v>3636</v>
      </c>
      <c r="AD17" s="1196" t="s">
        <v>203</v>
      </c>
      <c r="AE17" s="1148" t="s">
        <v>4614</v>
      </c>
      <c r="AF17" s="1116"/>
      <c r="AG17" s="1148" t="s">
        <v>7715</v>
      </c>
      <c r="AH17" s="1079"/>
      <c r="AI17" s="1070"/>
      <c r="AJ17" s="1119"/>
      <c r="AK17" s="1151" t="s">
        <v>5604</v>
      </c>
      <c r="AL17" s="1183" t="s">
        <v>7716</v>
      </c>
      <c r="AM17" s="1151" t="s">
        <v>7717</v>
      </c>
      <c r="AN17" s="1119"/>
      <c r="AO17" s="1183" t="s">
        <v>975</v>
      </c>
      <c r="AP17" s="1151" t="s">
        <v>1568</v>
      </c>
      <c r="AQ17" s="1183" t="s">
        <v>7718</v>
      </c>
      <c r="AR17" s="1183" t="s">
        <v>7719</v>
      </c>
      <c r="AS17" s="1119"/>
      <c r="AT17" s="1119"/>
      <c r="AU17" s="1119"/>
      <c r="AV17" s="1119"/>
      <c r="AW17" s="1151" t="s">
        <v>1252</v>
      </c>
      <c r="AX17" s="1183" t="s">
        <v>7720</v>
      </c>
      <c r="AY17" s="1183" t="s">
        <v>7721</v>
      </c>
      <c r="AZ17" s="1085"/>
      <c r="BA17" s="1155"/>
      <c r="BB17" s="1221" t="s">
        <v>7722</v>
      </c>
      <c r="BC17" s="1193"/>
      <c r="BD17" s="1193"/>
      <c r="BE17" s="1221" t="s">
        <v>7723</v>
      </c>
      <c r="BF17" s="1085"/>
      <c r="BG17" s="1213" t="s">
        <v>7724</v>
      </c>
      <c r="BH17" s="1213" t="s">
        <v>2132</v>
      </c>
      <c r="BI17" s="1131"/>
      <c r="BJ17" s="1131"/>
      <c r="BK17" s="1131"/>
      <c r="BL17" s="1131"/>
      <c r="BM17" s="1129" t="s">
        <v>7725</v>
      </c>
      <c r="BN17" s="1070"/>
      <c r="BO17" s="1187" t="s">
        <v>1966</v>
      </c>
      <c r="BP17" s="1186"/>
      <c r="BQ17" s="1133"/>
      <c r="BR17" s="1187" t="s">
        <v>7726</v>
      </c>
      <c r="BS17" s="1133"/>
      <c r="BT17" s="1187" t="s">
        <v>3083</v>
      </c>
      <c r="BU17" s="1133"/>
      <c r="BV17" s="1187" t="s">
        <v>7727</v>
      </c>
      <c r="BW17" s="1187" t="s">
        <v>7728</v>
      </c>
      <c r="BX17" s="1070"/>
      <c r="BY17" s="1188" t="s">
        <v>3458</v>
      </c>
      <c r="BZ17" s="1139"/>
      <c r="CA17" s="1139"/>
      <c r="CB17" s="1160"/>
      <c r="CC17" s="1139"/>
      <c r="CD17" s="1139"/>
      <c r="CE17" s="1139"/>
      <c r="CF17" s="1139"/>
      <c r="CG17" s="1139"/>
      <c r="CH17" s="1139"/>
      <c r="CI17" s="1139"/>
      <c r="CJ17" s="1160"/>
      <c r="CK17" s="1160"/>
    </row>
    <row r="18">
      <c r="A18" s="1106" t="s">
        <v>7729</v>
      </c>
      <c r="B18" s="1064" t="s">
        <v>7730</v>
      </c>
      <c r="C18" s="1060" t="s">
        <v>1259</v>
      </c>
      <c r="D18" s="1061" t="s">
        <v>1259</v>
      </c>
      <c r="E18" s="1062" t="s">
        <v>1259</v>
      </c>
      <c r="F18" s="1063" t="s">
        <v>1201</v>
      </c>
      <c r="G18" s="1064" t="s">
        <v>5785</v>
      </c>
      <c r="H18" s="1107"/>
      <c r="I18" s="1107"/>
      <c r="J18" s="1108" t="s">
        <v>7731</v>
      </c>
      <c r="K18" s="1108" t="s">
        <v>7732</v>
      </c>
      <c r="L18" s="1109" t="s">
        <v>7733</v>
      </c>
      <c r="M18" s="1107"/>
      <c r="N18" s="1179" t="s">
        <v>7734</v>
      </c>
      <c r="O18" s="1108" t="s">
        <v>7735</v>
      </c>
      <c r="P18" s="1070"/>
      <c r="Q18" s="1180" t="s">
        <v>727</v>
      </c>
      <c r="R18" s="1112"/>
      <c r="S18" s="1112"/>
      <c r="T18" s="1112"/>
      <c r="U18" s="1111"/>
      <c r="V18" s="1115" t="s">
        <v>7655</v>
      </c>
      <c r="W18" s="1070"/>
      <c r="X18" s="1181"/>
      <c r="Y18" s="1077" t="s">
        <v>7736</v>
      </c>
      <c r="Z18" s="1148" t="s">
        <v>2400</v>
      </c>
      <c r="AA18" s="1224"/>
      <c r="AB18" s="1181"/>
      <c r="AC18" s="1148" t="s">
        <v>817</v>
      </c>
      <c r="AD18" s="1148" t="s">
        <v>5778</v>
      </c>
      <c r="AE18" s="1148" t="s">
        <v>6977</v>
      </c>
      <c r="AF18" s="1116"/>
      <c r="AG18" s="1148" t="s">
        <v>7737</v>
      </c>
      <c r="AH18" s="1079"/>
      <c r="AI18" s="1070"/>
      <c r="AJ18" s="1118"/>
      <c r="AK18" s="1183" t="s">
        <v>1473</v>
      </c>
      <c r="AL18" s="1119"/>
      <c r="AM18" s="1119"/>
      <c r="AN18" s="1119"/>
      <c r="AO18" s="1119"/>
      <c r="AP18" s="1183" t="s">
        <v>7738</v>
      </c>
      <c r="AQ18" s="1119"/>
      <c r="AR18" s="1119"/>
      <c r="AS18" s="1119"/>
      <c r="AT18" s="1119"/>
      <c r="AU18" s="1119"/>
      <c r="AV18" s="1119"/>
      <c r="AW18" s="1123" t="s">
        <v>6207</v>
      </c>
      <c r="AX18" s="1118" t="s">
        <v>7739</v>
      </c>
      <c r="AY18" s="1118" t="s">
        <v>6314</v>
      </c>
      <c r="AZ18" s="1085"/>
      <c r="BA18" s="1155" t="s">
        <v>7740</v>
      </c>
      <c r="BB18" s="1221" t="s">
        <v>7741</v>
      </c>
      <c r="BC18" s="1126" t="s">
        <v>513</v>
      </c>
      <c r="BD18" s="1124"/>
      <c r="BE18" s="1221" t="s">
        <v>7742</v>
      </c>
      <c r="BF18" s="1085"/>
      <c r="BG18" s="1129" t="s">
        <v>2819</v>
      </c>
      <c r="BH18" s="1213" t="s">
        <v>7743</v>
      </c>
      <c r="BI18" s="1129"/>
      <c r="BJ18" s="1129"/>
      <c r="BK18" s="1131"/>
      <c r="BL18" s="1131"/>
      <c r="BM18" s="1128" t="s">
        <v>7744</v>
      </c>
      <c r="BN18" s="1070"/>
      <c r="BO18" s="1187" t="s">
        <v>6730</v>
      </c>
      <c r="BP18" s="1186"/>
      <c r="BQ18" s="1133"/>
      <c r="BR18" s="1134" t="s">
        <v>7745</v>
      </c>
      <c r="BS18" s="1133"/>
      <c r="BT18" s="1187" t="s">
        <v>2324</v>
      </c>
      <c r="BU18" s="1133"/>
      <c r="BV18" s="1134" t="s">
        <v>254</v>
      </c>
      <c r="BW18" s="1134" t="s">
        <v>1577</v>
      </c>
      <c r="BX18" s="1070"/>
      <c r="BY18" s="1138" t="s">
        <v>4201</v>
      </c>
      <c r="BZ18" s="1159" t="s">
        <v>6056</v>
      </c>
      <c r="CA18" s="1139"/>
      <c r="CB18" s="1160"/>
      <c r="CC18" s="1139"/>
      <c r="CD18" s="1139"/>
      <c r="CE18" s="1138" t="s">
        <v>5897</v>
      </c>
      <c r="CF18" s="1188" t="s">
        <v>7746</v>
      </c>
      <c r="CG18" s="1139"/>
      <c r="CH18" s="1139"/>
      <c r="CI18" s="1138" t="s">
        <v>7747</v>
      </c>
      <c r="CJ18" s="1160"/>
      <c r="CK18" s="1160"/>
    </row>
    <row r="19">
      <c r="A19" s="1106" t="s">
        <v>1809</v>
      </c>
      <c r="B19" s="1064" t="s">
        <v>7748</v>
      </c>
      <c r="C19" s="1060" t="s">
        <v>1259</v>
      </c>
      <c r="D19" s="1061" t="s">
        <v>1259</v>
      </c>
      <c r="E19" s="1062" t="s">
        <v>1259</v>
      </c>
      <c r="F19" s="1063" t="s">
        <v>1259</v>
      </c>
      <c r="G19" s="1064" t="s">
        <v>5785</v>
      </c>
      <c r="H19" s="1107"/>
      <c r="I19" s="1108" t="s">
        <v>2657</v>
      </c>
      <c r="J19" s="1108" t="s">
        <v>2097</v>
      </c>
      <c r="K19" s="1108" t="s">
        <v>7749</v>
      </c>
      <c r="L19" s="1179" t="s">
        <v>7750</v>
      </c>
      <c r="M19" s="1107"/>
      <c r="N19" s="1179" t="s">
        <v>7751</v>
      </c>
      <c r="O19" s="1108" t="s">
        <v>7752</v>
      </c>
      <c r="P19" s="1070"/>
      <c r="Q19" s="1180" t="s">
        <v>2549</v>
      </c>
      <c r="R19" s="1112"/>
      <c r="S19" s="1112"/>
      <c r="T19" s="1180" t="s">
        <v>5029</v>
      </c>
      <c r="U19" s="1111"/>
      <c r="V19" s="1180" t="s">
        <v>7753</v>
      </c>
      <c r="W19" s="1070"/>
      <c r="X19" s="1148" t="s">
        <v>4111</v>
      </c>
      <c r="Y19" s="1148" t="s">
        <v>7754</v>
      </c>
      <c r="Z19" s="1148" t="s">
        <v>7755</v>
      </c>
      <c r="AA19" s="1148" t="s">
        <v>3031</v>
      </c>
      <c r="AB19" s="1148" t="s">
        <v>4694</v>
      </c>
      <c r="AC19" s="1116" t="s">
        <v>7756</v>
      </c>
      <c r="AD19" s="1148" t="s">
        <v>4601</v>
      </c>
      <c r="AE19" s="1148" t="s">
        <v>4885</v>
      </c>
      <c r="AF19" s="1116"/>
      <c r="AG19" s="1116" t="s">
        <v>7757</v>
      </c>
      <c r="AH19" s="1225" t="s">
        <v>7758</v>
      </c>
      <c r="AI19" s="1070"/>
      <c r="AJ19" s="1119"/>
      <c r="AK19" s="1119"/>
      <c r="AL19" s="1119"/>
      <c r="AM19" s="1118" t="s">
        <v>172</v>
      </c>
      <c r="AN19" s="1119"/>
      <c r="AO19" s="1183" t="s">
        <v>4385</v>
      </c>
      <c r="AP19" s="1118" t="s">
        <v>3299</v>
      </c>
      <c r="AQ19" s="1183" t="s">
        <v>7759</v>
      </c>
      <c r="AR19" s="1119"/>
      <c r="AS19" s="1119"/>
      <c r="AT19" s="1119"/>
      <c r="AU19" s="1119"/>
      <c r="AV19" s="1119"/>
      <c r="AW19" s="1183" t="s">
        <v>1008</v>
      </c>
      <c r="AX19" s="1183" t="s">
        <v>4875</v>
      </c>
      <c r="AY19" s="1119"/>
      <c r="AZ19" s="1085"/>
      <c r="BA19" s="1193"/>
      <c r="BB19" s="1193"/>
      <c r="BC19" s="1221" t="s">
        <v>6860</v>
      </c>
      <c r="BD19" s="1155"/>
      <c r="BE19" s="1155" t="s">
        <v>7760</v>
      </c>
      <c r="BF19" s="1085"/>
      <c r="BG19" s="1213" t="s">
        <v>1206</v>
      </c>
      <c r="BH19" s="1213" t="s">
        <v>2132</v>
      </c>
      <c r="BI19" s="1131"/>
      <c r="BJ19" s="1131"/>
      <c r="BK19" s="1129" t="s">
        <v>7761</v>
      </c>
      <c r="BL19" s="1131"/>
      <c r="BM19" s="1213" t="s">
        <v>7762</v>
      </c>
      <c r="BN19" s="1070"/>
      <c r="BO19" s="1187" t="s">
        <v>7763</v>
      </c>
      <c r="BP19" s="1186"/>
      <c r="BQ19" s="1133"/>
      <c r="BR19" s="1133"/>
      <c r="BS19" s="1133"/>
      <c r="BT19" s="1187" t="s">
        <v>2771</v>
      </c>
      <c r="BU19" s="1133"/>
      <c r="BV19" s="1133"/>
      <c r="BW19" s="1186" t="s">
        <v>7764</v>
      </c>
      <c r="BX19" s="1070"/>
      <c r="BY19" s="1138" t="s">
        <v>2996</v>
      </c>
      <c r="BZ19" s="1139"/>
      <c r="CA19" s="1139"/>
      <c r="CB19" s="1160"/>
      <c r="CC19" s="1139"/>
      <c r="CD19" s="1139"/>
      <c r="CE19" s="1139"/>
      <c r="CF19" s="1139"/>
      <c r="CG19" s="1139"/>
      <c r="CH19" s="1139"/>
      <c r="CI19" s="1139"/>
      <c r="CJ19" s="1160"/>
      <c r="CK19" s="1160"/>
    </row>
    <row r="20">
      <c r="A20" s="1106" t="s">
        <v>3560</v>
      </c>
      <c r="B20" s="1064" t="s">
        <v>7765</v>
      </c>
      <c r="C20" s="1060" t="s">
        <v>548</v>
      </c>
      <c r="D20" s="1061" t="s">
        <v>1259</v>
      </c>
      <c r="E20" s="1062" t="s">
        <v>334</v>
      </c>
      <c r="F20" s="1063" t="s">
        <v>3283</v>
      </c>
      <c r="G20" s="1064" t="s">
        <v>3834</v>
      </c>
      <c r="H20" s="1205" t="s">
        <v>268</v>
      </c>
      <c r="I20" s="1107"/>
      <c r="J20" s="1107"/>
      <c r="K20" s="1107"/>
      <c r="L20" s="1109" t="s">
        <v>1162</v>
      </c>
      <c r="M20" s="1107"/>
      <c r="N20" s="1109" t="s">
        <v>7766</v>
      </c>
      <c r="O20" s="1107"/>
      <c r="P20" s="1070"/>
      <c r="Q20" s="1226" t="s">
        <v>7767</v>
      </c>
      <c r="R20" s="1112"/>
      <c r="S20" s="1111" t="s">
        <v>6009</v>
      </c>
      <c r="T20" s="1226" t="s">
        <v>5381</v>
      </c>
      <c r="U20" s="1227" t="s">
        <v>7768</v>
      </c>
      <c r="V20" s="1111" t="s">
        <v>7769</v>
      </c>
      <c r="W20" s="1070"/>
      <c r="X20" s="1077" t="s">
        <v>2645</v>
      </c>
      <c r="Y20" s="1116" t="s">
        <v>3575</v>
      </c>
      <c r="Z20" s="1116" t="s">
        <v>7567</v>
      </c>
      <c r="AA20" s="1165" t="s">
        <v>7770</v>
      </c>
      <c r="AB20" s="1116" t="s">
        <v>2389</v>
      </c>
      <c r="AC20" s="1116" t="s">
        <v>3903</v>
      </c>
      <c r="AD20" s="1116" t="s">
        <v>3073</v>
      </c>
      <c r="AE20" s="1077" t="s">
        <v>246</v>
      </c>
      <c r="AF20" s="1076" t="s">
        <v>1093</v>
      </c>
      <c r="AG20" s="1116" t="s">
        <v>7771</v>
      </c>
      <c r="AH20" s="1228" t="s">
        <v>3577</v>
      </c>
      <c r="AI20" s="1070"/>
      <c r="AJ20" s="1118"/>
      <c r="AK20" s="1118" t="s">
        <v>7772</v>
      </c>
      <c r="AL20" s="1118" t="s">
        <v>7773</v>
      </c>
      <c r="AM20" s="1118" t="s">
        <v>5108</v>
      </c>
      <c r="AN20" s="1118"/>
      <c r="AO20" s="1119"/>
      <c r="AP20" s="1121" t="s">
        <v>1695</v>
      </c>
      <c r="AQ20" s="1119"/>
      <c r="AR20" s="1118" t="s">
        <v>7774</v>
      </c>
      <c r="AS20" s="1118" t="s">
        <v>7775</v>
      </c>
      <c r="AT20" s="1118" t="s">
        <v>7776</v>
      </c>
      <c r="AU20" s="1118" t="s">
        <v>7777</v>
      </c>
      <c r="AV20" s="1119"/>
      <c r="AW20" s="1121" t="s">
        <v>416</v>
      </c>
      <c r="AX20" s="1123" t="s">
        <v>7778</v>
      </c>
      <c r="AY20" s="1118" t="s">
        <v>7779</v>
      </c>
      <c r="AZ20" s="1085"/>
      <c r="BA20" s="1155" t="s">
        <v>7780</v>
      </c>
      <c r="BB20" s="1155" t="s">
        <v>7781</v>
      </c>
      <c r="BC20" s="1155" t="s">
        <v>5174</v>
      </c>
      <c r="BD20" s="1155"/>
      <c r="BE20" s="1155" t="s">
        <v>7782</v>
      </c>
      <c r="BF20" s="1085"/>
      <c r="BG20" s="1129" t="s">
        <v>7783</v>
      </c>
      <c r="BH20" s="1129" t="s">
        <v>2011</v>
      </c>
      <c r="BI20" s="1129" t="s">
        <v>1825</v>
      </c>
      <c r="BJ20" s="1131"/>
      <c r="BK20" s="1129" t="s">
        <v>1476</v>
      </c>
      <c r="BL20" s="1129" t="s">
        <v>7784</v>
      </c>
      <c r="BM20" s="1129" t="s">
        <v>7785</v>
      </c>
      <c r="BN20" s="1070"/>
      <c r="BO20" s="1187" t="s">
        <v>4863</v>
      </c>
      <c r="BP20" s="1186"/>
      <c r="BQ20" s="1134" t="s">
        <v>2594</v>
      </c>
      <c r="BR20" s="1134" t="s">
        <v>3782</v>
      </c>
      <c r="BS20" s="1173" t="s">
        <v>7786</v>
      </c>
      <c r="BT20" s="1187" t="s">
        <v>2316</v>
      </c>
      <c r="BU20" s="1173" t="s">
        <v>7787</v>
      </c>
      <c r="BV20" s="1134" t="s">
        <v>7788</v>
      </c>
      <c r="BW20" s="1134" t="s">
        <v>7789</v>
      </c>
      <c r="BX20" s="1070"/>
      <c r="BY20" s="1139"/>
      <c r="BZ20" s="1138" t="s">
        <v>3301</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1259</v>
      </c>
      <c r="D21" s="1061" t="s">
        <v>1259</v>
      </c>
      <c r="E21" s="1062" t="s">
        <v>548</v>
      </c>
      <c r="F21" s="1063" t="s">
        <v>548</v>
      </c>
      <c r="G21" s="1064" t="s">
        <v>7631</v>
      </c>
      <c r="H21" s="1107"/>
      <c r="I21" s="1107"/>
      <c r="J21" s="1108" t="s">
        <v>7795</v>
      </c>
      <c r="K21" s="1108" t="s">
        <v>7796</v>
      </c>
      <c r="L21" s="1107"/>
      <c r="M21" s="1107"/>
      <c r="N21" s="1107"/>
      <c r="O21" s="1179" t="s">
        <v>7797</v>
      </c>
      <c r="P21" s="1070"/>
      <c r="Q21" s="1111" t="s">
        <v>7798</v>
      </c>
      <c r="R21" s="1112"/>
      <c r="S21" s="1111" t="s">
        <v>5899</v>
      </c>
      <c r="T21" s="1111" t="s">
        <v>5144</v>
      </c>
      <c r="U21" s="1111" t="s">
        <v>7799</v>
      </c>
      <c r="V21" s="1180" t="s">
        <v>7800</v>
      </c>
      <c r="W21" s="1070"/>
      <c r="X21" s="1181"/>
      <c r="Y21" s="1181"/>
      <c r="Z21" s="1116" t="s">
        <v>7801</v>
      </c>
      <c r="AA21" s="1224"/>
      <c r="AB21" s="1116" t="s">
        <v>2272</v>
      </c>
      <c r="AC21" s="1148" t="s">
        <v>7802</v>
      </c>
      <c r="AD21" s="1181"/>
      <c r="AE21" s="1181"/>
      <c r="AF21" s="1181"/>
      <c r="AG21" s="1148" t="s">
        <v>7803</v>
      </c>
      <c r="AH21" s="1079"/>
      <c r="AI21" s="1070"/>
      <c r="AJ21" s="1119"/>
      <c r="AK21" s="1119"/>
      <c r="AL21" s="1119"/>
      <c r="AM21" s="1118" t="s">
        <v>1313</v>
      </c>
      <c r="AN21" s="1118"/>
      <c r="AO21" s="1119"/>
      <c r="AP21" s="1119"/>
      <c r="AQ21" s="1119"/>
      <c r="AR21" s="1119"/>
      <c r="AS21" s="1119"/>
      <c r="AT21" s="1119"/>
      <c r="AU21" s="1119"/>
      <c r="AV21" s="1119"/>
      <c r="AW21" s="1118" t="s">
        <v>3935</v>
      </c>
      <c r="AX21" s="1183" t="s">
        <v>7804</v>
      </c>
      <c r="AY21" s="1119"/>
      <c r="AZ21" s="1085"/>
      <c r="BA21" s="1193"/>
      <c r="BB21" s="1155" t="s">
        <v>7805</v>
      </c>
      <c r="BC21" s="1155" t="s">
        <v>3728</v>
      </c>
      <c r="BD21" s="1155"/>
      <c r="BE21" s="1221" t="s">
        <v>7806</v>
      </c>
      <c r="BF21" s="1085"/>
      <c r="BG21" s="1129" t="s">
        <v>714</v>
      </c>
      <c r="BH21" s="1213" t="s">
        <v>4287</v>
      </c>
      <c r="BI21" s="1129" t="s">
        <v>1759</v>
      </c>
      <c r="BJ21" s="1129" t="s">
        <v>7807</v>
      </c>
      <c r="BK21" s="1129" t="s">
        <v>7808</v>
      </c>
      <c r="BL21" s="1131"/>
      <c r="BM21" s="1129" t="s">
        <v>7809</v>
      </c>
      <c r="BN21" s="1070"/>
      <c r="BO21" s="1134" t="s">
        <v>4724</v>
      </c>
      <c r="BP21" s="1186"/>
      <c r="BQ21" s="1133"/>
      <c r="BR21" s="1173" t="s">
        <v>7810</v>
      </c>
      <c r="BS21" s="1133"/>
      <c r="BT21" s="1134" t="s">
        <v>2365</v>
      </c>
      <c r="BU21" s="1133"/>
      <c r="BV21" s="1134" t="s">
        <v>7811</v>
      </c>
      <c r="BW21" s="1134" t="s">
        <v>2056</v>
      </c>
      <c r="BX21" s="1070"/>
      <c r="BY21" s="1138" t="s">
        <v>4578</v>
      </c>
      <c r="BZ21" s="1176"/>
      <c r="CA21" s="1139"/>
      <c r="CB21" s="1160"/>
      <c r="CC21" s="1139"/>
      <c r="CD21" s="1139"/>
      <c r="CE21" s="1139"/>
      <c r="CF21" s="1139"/>
      <c r="CG21" s="1139"/>
      <c r="CH21" s="1139"/>
      <c r="CI21" s="1139"/>
      <c r="CJ21" s="1160"/>
      <c r="CK21" s="1160"/>
    </row>
    <row r="22">
      <c r="A22" s="1106" t="s">
        <v>2986</v>
      </c>
      <c r="B22" s="1064" t="s">
        <v>7812</v>
      </c>
      <c r="C22" s="1060" t="s">
        <v>548</v>
      </c>
      <c r="D22" s="1061" t="s">
        <v>1259</v>
      </c>
      <c r="E22" s="1062" t="s">
        <v>1259</v>
      </c>
      <c r="F22" s="1063" t="s">
        <v>548</v>
      </c>
      <c r="G22" s="1064" t="s">
        <v>5139</v>
      </c>
      <c r="H22" s="1107"/>
      <c r="I22" s="1107"/>
      <c r="J22" s="1108" t="s">
        <v>313</v>
      </c>
      <c r="K22" s="1108" t="s">
        <v>7813</v>
      </c>
      <c r="L22" s="1108"/>
      <c r="M22" s="1107"/>
      <c r="N22" s="1107"/>
      <c r="O22" s="1108" t="s">
        <v>7814</v>
      </c>
      <c r="P22" s="1070"/>
      <c r="Q22" s="1111" t="s">
        <v>4935</v>
      </c>
      <c r="R22" s="1111" t="s">
        <v>3800</v>
      </c>
      <c r="S22" s="1111" t="s">
        <v>692</v>
      </c>
      <c r="T22" s="1111" t="s">
        <v>253</v>
      </c>
      <c r="U22" s="1112"/>
      <c r="V22" s="1111" t="s">
        <v>7815</v>
      </c>
      <c r="W22" s="1070"/>
      <c r="X22" s="1116" t="s">
        <v>6435</v>
      </c>
      <c r="Y22" s="1181"/>
      <c r="Z22" s="1116" t="s">
        <v>4900</v>
      </c>
      <c r="AA22" s="1116" t="s">
        <v>7816</v>
      </c>
      <c r="AB22" s="1116" t="s">
        <v>3004</v>
      </c>
      <c r="AC22" s="1116" t="s">
        <v>1669</v>
      </c>
      <c r="AD22" s="1116" t="s">
        <v>6690</v>
      </c>
      <c r="AE22" s="1116" t="s">
        <v>2806</v>
      </c>
      <c r="AF22" s="1116"/>
      <c r="AG22" s="1116" t="s">
        <v>7817</v>
      </c>
      <c r="AH22" s="1229" t="s">
        <v>3007</v>
      </c>
      <c r="AI22" s="1070"/>
      <c r="AJ22" s="1119"/>
      <c r="AK22" s="1119"/>
      <c r="AL22" s="1120" t="s">
        <v>7818</v>
      </c>
      <c r="AM22" s="1118" t="s">
        <v>1898</v>
      </c>
      <c r="AN22" s="1118"/>
      <c r="AO22" s="1119"/>
      <c r="AP22" s="1119"/>
      <c r="AQ22" s="1119"/>
      <c r="AR22" s="1118" t="s">
        <v>7819</v>
      </c>
      <c r="AS22" s="1118"/>
      <c r="AT22" s="1119"/>
      <c r="AU22" s="1118" t="s">
        <v>7820</v>
      </c>
      <c r="AV22" s="1183" t="s">
        <v>7821</v>
      </c>
      <c r="AW22" s="1118" t="s">
        <v>194</v>
      </c>
      <c r="AX22" s="1183" t="s">
        <v>7822</v>
      </c>
      <c r="AY22" s="1118" t="s">
        <v>7823</v>
      </c>
      <c r="AZ22" s="1085"/>
      <c r="BA22" s="1155" t="s">
        <v>7824</v>
      </c>
      <c r="BB22" s="1155" t="s">
        <v>7825</v>
      </c>
      <c r="BC22" s="1193"/>
      <c r="BD22" s="1193"/>
      <c r="BE22" s="1155" t="s">
        <v>7826</v>
      </c>
      <c r="BF22" s="1085"/>
      <c r="BG22" s="1129" t="s">
        <v>6189</v>
      </c>
      <c r="BH22" s="1131"/>
      <c r="BI22" s="1129" t="s">
        <v>477</v>
      </c>
      <c r="BJ22" s="1129" t="s">
        <v>7827</v>
      </c>
      <c r="BK22" s="1129" t="s">
        <v>6967</v>
      </c>
      <c r="BL22" s="1129" t="s">
        <v>7828</v>
      </c>
      <c r="BM22" s="1185" t="s">
        <v>7829</v>
      </c>
      <c r="BN22" s="1070"/>
      <c r="BO22" s="1134" t="s">
        <v>7830</v>
      </c>
      <c r="BP22" s="1134" t="s">
        <v>4174</v>
      </c>
      <c r="BQ22" s="1133"/>
      <c r="BR22" s="1134" t="s">
        <v>7831</v>
      </c>
      <c r="BS22" s="1133"/>
      <c r="BT22" s="1134" t="s">
        <v>3025</v>
      </c>
      <c r="BU22" s="1134" t="s">
        <v>5161</v>
      </c>
      <c r="BV22" s="1134" t="s">
        <v>7832</v>
      </c>
      <c r="BW22" s="1134" t="s">
        <v>7833</v>
      </c>
      <c r="BX22" s="1070"/>
      <c r="BY22" s="1230" t="s">
        <v>3549</v>
      </c>
      <c r="BZ22" s="1138" t="s">
        <v>854</v>
      </c>
      <c r="CA22" s="1139"/>
      <c r="CB22" s="1160"/>
      <c r="CC22" s="1139"/>
      <c r="CD22" s="1139"/>
      <c r="CE22" s="1138" t="s">
        <v>7834</v>
      </c>
      <c r="CF22" s="1138" t="s">
        <v>7835</v>
      </c>
      <c r="CG22" s="1139"/>
      <c r="CH22" s="1139"/>
      <c r="CI22" s="1139"/>
      <c r="CJ22" s="1160"/>
      <c r="CK22" s="1160"/>
    </row>
    <row r="23">
      <c r="A23" s="1106" t="s">
        <v>7836</v>
      </c>
      <c r="B23" s="1064" t="s">
        <v>7837</v>
      </c>
      <c r="C23" s="1060" t="s">
        <v>1259</v>
      </c>
      <c r="D23" s="1061" t="s">
        <v>1259</v>
      </c>
      <c r="E23" s="1062" t="s">
        <v>1259</v>
      </c>
      <c r="F23" s="1063" t="s">
        <v>440</v>
      </c>
      <c r="G23" s="1064" t="s">
        <v>223</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4133</v>
      </c>
      <c r="BD23" s="1193"/>
      <c r="BE23" s="1221" t="s">
        <v>7845</v>
      </c>
      <c r="BF23" s="1085"/>
      <c r="BG23" s="1131"/>
      <c r="BH23" s="1131"/>
      <c r="BI23" s="1131"/>
      <c r="BJ23" s="1131"/>
      <c r="BK23" s="1131"/>
      <c r="BL23" s="1233" t="str">
        <f>HYPERLINK("https://youtu.be/ZWHJWoriERw","3:48.70")</f>
        <v>3:48.70</v>
      </c>
      <c r="BM23" s="1128" t="s">
        <v>7846</v>
      </c>
      <c r="BN23" s="1070"/>
      <c r="BO23" s="1186" t="s">
        <v>232</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3465</v>
      </c>
      <c r="B24" s="1064" t="s">
        <v>7847</v>
      </c>
      <c r="C24" s="1060" t="s">
        <v>1259</v>
      </c>
      <c r="D24" s="1061" t="s">
        <v>548</v>
      </c>
      <c r="E24" s="1062" t="s">
        <v>1259</v>
      </c>
      <c r="F24" s="1063" t="s">
        <v>441</v>
      </c>
      <c r="G24" s="1064" t="s">
        <v>1061</v>
      </c>
      <c r="H24" s="1107"/>
      <c r="I24" s="1107"/>
      <c r="J24" s="1107"/>
      <c r="K24" s="1107"/>
      <c r="L24" s="1107"/>
      <c r="M24" s="1107"/>
      <c r="N24" s="1108" t="s">
        <v>7848</v>
      </c>
      <c r="O24" s="1107"/>
      <c r="P24" s="1070"/>
      <c r="Q24" s="1112"/>
      <c r="R24" s="1112"/>
      <c r="S24" s="1112"/>
      <c r="T24" s="1112"/>
      <c r="U24" s="1111" t="s">
        <v>3119</v>
      </c>
      <c r="V24" s="1111" t="s">
        <v>7849</v>
      </c>
      <c r="W24" s="1070"/>
      <c r="X24" s="1116" t="s">
        <v>199</v>
      </c>
      <c r="Y24" s="1116" t="s">
        <v>7850</v>
      </c>
      <c r="Z24" s="1116" t="s">
        <v>7851</v>
      </c>
      <c r="AA24" s="1236" t="s">
        <v>2891</v>
      </c>
      <c r="AB24" s="1116" t="s">
        <v>658</v>
      </c>
      <c r="AC24" s="1116" t="s">
        <v>1814</v>
      </c>
      <c r="AD24" s="1116" t="s">
        <v>2555</v>
      </c>
      <c r="AE24" s="1116" t="s">
        <v>147</v>
      </c>
      <c r="AF24" s="1116"/>
      <c r="AG24" s="1116" t="s">
        <v>6531</v>
      </c>
      <c r="AH24" s="1237" t="s">
        <v>7852</v>
      </c>
      <c r="AI24" s="1070"/>
      <c r="AJ24" s="1118"/>
      <c r="AK24" s="1118" t="s">
        <v>5756</v>
      </c>
      <c r="AL24" s="1119"/>
      <c r="AM24" s="1118" t="s">
        <v>5159</v>
      </c>
      <c r="AN24" s="1119"/>
      <c r="AO24" s="1119"/>
      <c r="AP24" s="1118" t="s">
        <v>1995</v>
      </c>
      <c r="AQ24" s="1119"/>
      <c r="AR24" s="1118" t="s">
        <v>7853</v>
      </c>
      <c r="AS24" s="1118"/>
      <c r="AT24" s="1218"/>
      <c r="AU24" s="1119"/>
      <c r="AV24" s="1183" t="s">
        <v>7854</v>
      </c>
      <c r="AW24" s="1123" t="s">
        <v>6112</v>
      </c>
      <c r="AX24" s="1118" t="s">
        <v>7855</v>
      </c>
      <c r="AY24" s="1118" t="s">
        <v>7856</v>
      </c>
      <c r="AZ24" s="1085"/>
      <c r="BA24" s="1193"/>
      <c r="BB24" s="1126" t="s">
        <v>7857</v>
      </c>
      <c r="BC24" s="1155" t="s">
        <v>138</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901</v>
      </c>
      <c r="B25" s="1064" t="s">
        <v>7862</v>
      </c>
      <c r="C25" s="1060" t="s">
        <v>1259</v>
      </c>
      <c r="D25" s="1061" t="s">
        <v>1259</v>
      </c>
      <c r="E25" s="1062" t="s">
        <v>1259</v>
      </c>
      <c r="F25" s="1063" t="s">
        <v>1201</v>
      </c>
      <c r="G25" s="1064" t="s">
        <v>3929</v>
      </c>
      <c r="H25" s="1109" t="s">
        <v>2607</v>
      </c>
      <c r="I25" s="1109" t="s">
        <v>7863</v>
      </c>
      <c r="J25" s="1240"/>
      <c r="K25" s="1109" t="s">
        <v>3304</v>
      </c>
      <c r="L25" s="1108"/>
      <c r="M25" s="1107"/>
      <c r="N25" s="1107"/>
      <c r="O25" s="1179" t="s">
        <v>7864</v>
      </c>
      <c r="P25" s="1070"/>
      <c r="Q25" s="1180" t="s">
        <v>7865</v>
      </c>
      <c r="R25" s="1112"/>
      <c r="S25" s="1112"/>
      <c r="T25" s="1180" t="s">
        <v>5174</v>
      </c>
      <c r="U25" s="1111"/>
      <c r="V25" s="1180" t="s">
        <v>7866</v>
      </c>
      <c r="W25" s="1070"/>
      <c r="X25" s="1148" t="s">
        <v>2144</v>
      </c>
      <c r="Y25" s="1181"/>
      <c r="Z25" s="1148" t="s">
        <v>1840</v>
      </c>
      <c r="AA25" s="1224"/>
      <c r="AB25" s="1148" t="s">
        <v>5319</v>
      </c>
      <c r="AC25" s="1181"/>
      <c r="AD25" s="1181"/>
      <c r="AE25" s="1148" t="s">
        <v>4421</v>
      </c>
      <c r="AF25" s="1116"/>
      <c r="AG25" s="1148" t="s">
        <v>7867</v>
      </c>
      <c r="AH25" s="1079"/>
      <c r="AI25" s="1070"/>
      <c r="AJ25" s="1119"/>
      <c r="AK25" s="1119"/>
      <c r="AL25" s="1119"/>
      <c r="AM25" s="1119"/>
      <c r="AN25" s="1119"/>
      <c r="AO25" s="1183" t="s">
        <v>5089</v>
      </c>
      <c r="AP25" s="1119"/>
      <c r="AQ25" s="1123" t="s">
        <v>3202</v>
      </c>
      <c r="AR25" s="1119"/>
      <c r="AS25" s="1119"/>
      <c r="AT25" s="1119"/>
      <c r="AU25" s="1119"/>
      <c r="AV25" s="1119"/>
      <c r="AW25" s="1123" t="s">
        <v>722</v>
      </c>
      <c r="AX25" s="1119"/>
      <c r="AY25" s="1119"/>
      <c r="AZ25" s="1085"/>
      <c r="BA25" s="1193"/>
      <c r="BB25" s="1193"/>
      <c r="BC25" s="1193"/>
      <c r="BD25" s="1193"/>
      <c r="BE25" s="1221" t="s">
        <v>7868</v>
      </c>
      <c r="BF25" s="1085"/>
      <c r="BG25" s="1213" t="s">
        <v>2622</v>
      </c>
      <c r="BH25" s="1131"/>
      <c r="BI25" s="1131"/>
      <c r="BJ25" s="1131"/>
      <c r="BK25" s="1131"/>
      <c r="BL25" s="1131"/>
      <c r="BM25" s="1213" t="s">
        <v>7869</v>
      </c>
      <c r="BN25" s="1070"/>
      <c r="BO25" s="1187" t="s">
        <v>614</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1259</v>
      </c>
      <c r="D26" s="1061" t="s">
        <v>1259</v>
      </c>
      <c r="E26" s="1062" t="s">
        <v>1259</v>
      </c>
      <c r="F26" s="1063" t="s">
        <v>439</v>
      </c>
      <c r="G26" s="1064" t="s">
        <v>3929</v>
      </c>
      <c r="H26" s="1107"/>
      <c r="I26" s="1107"/>
      <c r="J26" s="1107"/>
      <c r="K26" s="1107"/>
      <c r="L26" s="1108" t="s">
        <v>746</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4774</v>
      </c>
      <c r="AD26" s="1116" t="s">
        <v>1335</v>
      </c>
      <c r="AE26" s="1116" t="s">
        <v>7879</v>
      </c>
      <c r="AF26" s="1116"/>
      <c r="AG26" s="1148" t="s">
        <v>7880</v>
      </c>
      <c r="AH26" s="1079"/>
      <c r="AI26" s="1070"/>
      <c r="AJ26" s="1119"/>
      <c r="AK26" s="1119"/>
      <c r="AL26" s="1119"/>
      <c r="AM26" s="1118" t="s">
        <v>4950</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4928</v>
      </c>
      <c r="BP26" s="1186"/>
      <c r="BQ26" s="1133"/>
      <c r="BR26" s="1134" t="s">
        <v>7884</v>
      </c>
      <c r="BS26" s="1135" t="s">
        <v>7637</v>
      </c>
      <c r="BT26" s="1134" t="s">
        <v>1320</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548</v>
      </c>
      <c r="D28" s="1061" t="s">
        <v>1259</v>
      </c>
      <c r="E28" s="1062" t="s">
        <v>548</v>
      </c>
      <c r="F28" s="1063" t="s">
        <v>441</v>
      </c>
      <c r="G28" s="1064" t="s">
        <v>2931</v>
      </c>
      <c r="H28" s="1108" t="s">
        <v>4030</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4603</v>
      </c>
      <c r="AB28" s="1116" t="s">
        <v>1187</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6569</v>
      </c>
      <c r="AW28" s="1118" t="s">
        <v>2654</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4047</v>
      </c>
      <c r="BP28" s="1186"/>
      <c r="BQ28" s="1133"/>
      <c r="BR28" s="1134" t="s">
        <v>7911</v>
      </c>
      <c r="BS28" s="1133"/>
      <c r="BT28" s="1187" t="s">
        <v>974</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1259</v>
      </c>
      <c r="D29" s="1061" t="s">
        <v>1259</v>
      </c>
      <c r="E29" s="1062" t="s">
        <v>1259</v>
      </c>
      <c r="F29" s="1063" t="s">
        <v>440</v>
      </c>
      <c r="G29" s="1064" t="s">
        <v>4104</v>
      </c>
      <c r="H29" s="1205" t="s">
        <v>4224</v>
      </c>
      <c r="I29" s="1108" t="s">
        <v>7916</v>
      </c>
      <c r="J29" s="1108"/>
      <c r="K29" s="1108"/>
      <c r="L29" s="1179" t="s">
        <v>7917</v>
      </c>
      <c r="M29" s="1107"/>
      <c r="N29" s="1109" t="s">
        <v>7918</v>
      </c>
      <c r="O29" s="1107"/>
      <c r="P29" s="1070"/>
      <c r="Q29" s="1112"/>
      <c r="R29" s="1112"/>
      <c r="S29" s="1112"/>
      <c r="T29" s="1112"/>
      <c r="U29" s="1111" t="s">
        <v>417</v>
      </c>
      <c r="V29" s="1115" t="s">
        <v>7919</v>
      </c>
      <c r="W29" s="1070"/>
      <c r="X29" s="1148" t="s">
        <v>4924</v>
      </c>
      <c r="Y29" s="1116" t="s">
        <v>6154</v>
      </c>
      <c r="Z29" s="1148" t="s">
        <v>6070</v>
      </c>
      <c r="AA29" s="1219" t="s">
        <v>4603</v>
      </c>
      <c r="AB29" s="1148" t="s">
        <v>2505</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113" t="s">
        <v>7925</v>
      </c>
      <c r="AQ29" s="1119"/>
      <c r="AR29" s="1119"/>
      <c r="AS29" s="1119"/>
      <c r="AT29" s="1119"/>
      <c r="AU29" s="1119"/>
      <c r="AV29" s="1119"/>
      <c r="AW29" s="1118" t="s">
        <v>1619</v>
      </c>
      <c r="AX29" s="1118" t="s">
        <v>7926</v>
      </c>
      <c r="AY29" s="1119"/>
      <c r="AZ29" s="1085"/>
      <c r="BA29" s="1193"/>
      <c r="BB29" s="1193"/>
      <c r="BC29" s="1193"/>
      <c r="BD29" s="1193"/>
      <c r="BE29" s="1221" t="s">
        <v>7927</v>
      </c>
      <c r="BF29" s="1085"/>
      <c r="BG29" s="1129" t="s">
        <v>1468</v>
      </c>
      <c r="BH29" s="1131"/>
      <c r="BI29" s="1131"/>
      <c r="BJ29" s="1131"/>
      <c r="BK29" s="1129" t="s">
        <v>7928</v>
      </c>
      <c r="BL29" s="1131"/>
      <c r="BM29" s="1129" t="s">
        <v>7929</v>
      </c>
      <c r="BN29" s="1070"/>
      <c r="BO29" s="1134" t="s">
        <v>7930</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7931</v>
      </c>
      <c r="C30" s="1060" t="s">
        <v>548</v>
      </c>
      <c r="D30" s="1061" t="s">
        <v>1259</v>
      </c>
      <c r="E30" s="1062" t="s">
        <v>1259</v>
      </c>
      <c r="F30" s="1063" t="s">
        <v>548</v>
      </c>
      <c r="G30" s="1064" t="s">
        <v>2903</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205</v>
      </c>
      <c r="AE30" s="1116" t="s">
        <v>1296</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416</v>
      </c>
      <c r="AX30" s="1119"/>
      <c r="AY30" s="1118" t="s">
        <v>7944</v>
      </c>
      <c r="AZ30" s="1085"/>
      <c r="BA30" s="1155" t="s">
        <v>7945</v>
      </c>
      <c r="BB30" s="1155" t="s">
        <v>7946</v>
      </c>
      <c r="BC30" s="1155" t="s">
        <v>5294</v>
      </c>
      <c r="BD30" s="1193"/>
      <c r="BE30" s="1155" t="s">
        <v>7947</v>
      </c>
      <c r="BF30" s="1085"/>
      <c r="BG30" s="1129" t="s">
        <v>7598</v>
      </c>
      <c r="BH30" s="1129" t="s">
        <v>5793</v>
      </c>
      <c r="BI30" s="1129" t="s">
        <v>3910</v>
      </c>
      <c r="BJ30" s="1213" t="s">
        <v>6403</v>
      </c>
      <c r="BK30" s="1131"/>
      <c r="BL30" s="1129" t="s">
        <v>7948</v>
      </c>
      <c r="BM30" s="1131"/>
      <c r="BN30" s="1070"/>
      <c r="BO30" s="1134" t="s">
        <v>7949</v>
      </c>
      <c r="BP30" s="1186"/>
      <c r="BQ30" s="1133"/>
      <c r="BR30" s="1134" t="s">
        <v>1334</v>
      </c>
      <c r="BS30" s="1133"/>
      <c r="BT30" s="1134" t="s">
        <v>1290</v>
      </c>
      <c r="BU30" s="1133"/>
      <c r="BV30" s="1133"/>
      <c r="BW30" s="1133"/>
      <c r="BX30" s="1070"/>
      <c r="BY30" s="1138" t="s">
        <v>4433</v>
      </c>
      <c r="BZ30" s="1139"/>
      <c r="CA30" s="1139"/>
      <c r="CB30" s="1160"/>
      <c r="CC30" s="1189" t="s">
        <v>7950</v>
      </c>
      <c r="CD30" s="1139"/>
      <c r="CE30" s="1139"/>
      <c r="CF30" s="1138" t="s">
        <v>7435</v>
      </c>
      <c r="CG30" s="1139"/>
      <c r="CH30" s="1139"/>
      <c r="CI30" s="1139"/>
      <c r="CJ30" s="1160"/>
      <c r="CK30" s="1160"/>
    </row>
    <row r="31">
      <c r="A31" s="1106" t="s">
        <v>4040</v>
      </c>
      <c r="B31" s="1064" t="s">
        <v>7951</v>
      </c>
      <c r="C31" s="1060" t="s">
        <v>1259</v>
      </c>
      <c r="D31" s="1061" t="s">
        <v>1259</v>
      </c>
      <c r="E31" s="1062" t="s">
        <v>1259</v>
      </c>
      <c r="F31" s="1063" t="s">
        <v>439</v>
      </c>
      <c r="G31" s="1064" t="s">
        <v>2988</v>
      </c>
      <c r="H31" s="1108" t="s">
        <v>2307</v>
      </c>
      <c r="I31" s="1107"/>
      <c r="J31" s="1107"/>
      <c r="K31" s="1107"/>
      <c r="L31" s="1108" t="s">
        <v>6472</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4846</v>
      </c>
      <c r="AC31" s="1116" t="s">
        <v>311</v>
      </c>
      <c r="AD31" s="1181"/>
      <c r="AE31" s="1116" t="s">
        <v>2775</v>
      </c>
      <c r="AF31" s="1116"/>
      <c r="AG31" s="1077" t="s">
        <v>7956</v>
      </c>
      <c r="AH31" s="1229" t="s">
        <v>7957</v>
      </c>
      <c r="AI31" s="1070"/>
      <c r="AJ31" s="1118"/>
      <c r="AK31" s="1118" t="s">
        <v>7958</v>
      </c>
      <c r="AL31" s="1118" t="s">
        <v>7959</v>
      </c>
      <c r="AM31" s="1118" t="s">
        <v>4191</v>
      </c>
      <c r="AN31" s="1118"/>
      <c r="AO31" s="1119"/>
      <c r="AP31" s="1119"/>
      <c r="AQ31" s="1119"/>
      <c r="AR31" s="1118" t="s">
        <v>7960</v>
      </c>
      <c r="AS31" s="1118" t="s">
        <v>7961</v>
      </c>
      <c r="AT31" s="1118"/>
      <c r="AU31" s="1118" t="s">
        <v>7962</v>
      </c>
      <c r="AV31" s="1118"/>
      <c r="AW31" s="1118" t="s">
        <v>194</v>
      </c>
      <c r="AX31" s="1119"/>
      <c r="AY31" s="1118" t="s">
        <v>7963</v>
      </c>
      <c r="AZ31" s="1085"/>
      <c r="BA31" s="1155"/>
      <c r="BB31" s="1155" t="s">
        <v>7964</v>
      </c>
      <c r="BC31" s="1221" t="s">
        <v>4497</v>
      </c>
      <c r="BD31" s="1155"/>
      <c r="BE31" s="1221" t="s">
        <v>7965</v>
      </c>
      <c r="BF31" s="1085"/>
      <c r="BG31" s="1129" t="s">
        <v>7966</v>
      </c>
      <c r="BH31" s="1131"/>
      <c r="BI31" s="1131"/>
      <c r="BJ31" s="1131"/>
      <c r="BK31" s="1131"/>
      <c r="BL31" s="1129" t="s">
        <v>7967</v>
      </c>
      <c r="BM31" s="1129" t="s">
        <v>7968</v>
      </c>
      <c r="BN31" s="1070"/>
      <c r="BO31" s="1134" t="s">
        <v>3392</v>
      </c>
      <c r="BP31" s="1186"/>
      <c r="BQ31" s="1133"/>
      <c r="BR31" s="1134" t="s">
        <v>7969</v>
      </c>
      <c r="BS31" s="1187" t="s">
        <v>7970</v>
      </c>
      <c r="BT31" s="1133"/>
      <c r="BU31" s="1133"/>
      <c r="BV31" s="1134" t="s">
        <v>5331</v>
      </c>
      <c r="BW31" s="1134" t="s">
        <v>4508</v>
      </c>
      <c r="BX31" s="1070"/>
      <c r="BY31" s="1139"/>
      <c r="BZ31" s="1139"/>
      <c r="CA31" s="1139"/>
      <c r="CB31" s="1160"/>
      <c r="CC31" s="1139"/>
      <c r="CD31" s="1139"/>
      <c r="CE31" s="1139"/>
      <c r="CF31" s="1138" t="s">
        <v>7971</v>
      </c>
      <c r="CG31" s="1139"/>
      <c r="CH31" s="1139"/>
      <c r="CI31" s="1159" t="s">
        <v>7972</v>
      </c>
      <c r="CJ31" s="1160"/>
      <c r="CK31" s="1160"/>
    </row>
    <row r="32">
      <c r="A32" s="1106" t="s">
        <v>2929</v>
      </c>
      <c r="B32" s="1064" t="s">
        <v>7973</v>
      </c>
      <c r="C32" s="1060" t="s">
        <v>548</v>
      </c>
      <c r="D32" s="1061" t="s">
        <v>1259</v>
      </c>
      <c r="E32" s="1062" t="s">
        <v>548</v>
      </c>
      <c r="F32" s="1063" t="s">
        <v>441</v>
      </c>
      <c r="G32" s="1064" t="s">
        <v>4220</v>
      </c>
      <c r="H32" s="1108"/>
      <c r="I32" s="1107"/>
      <c r="J32" s="1107"/>
      <c r="K32" s="1107"/>
      <c r="L32" s="1107"/>
      <c r="M32" s="1107"/>
      <c r="N32" s="1107"/>
      <c r="O32" s="1107"/>
      <c r="P32" s="1070"/>
      <c r="Q32" s="1112"/>
      <c r="R32" s="1112"/>
      <c r="S32" s="1112"/>
      <c r="T32" s="1111" t="s">
        <v>1943</v>
      </c>
      <c r="U32" s="1115" t="s">
        <v>7974</v>
      </c>
      <c r="V32" s="1111" t="s">
        <v>7975</v>
      </c>
      <c r="W32" s="1070"/>
      <c r="X32" s="1181"/>
      <c r="Y32" s="1181"/>
      <c r="Z32" s="1181"/>
      <c r="AA32" s="1224"/>
      <c r="AB32" s="1116"/>
      <c r="AC32" s="1076" t="s">
        <v>7976</v>
      </c>
      <c r="AD32" s="1116" t="s">
        <v>7977</v>
      </c>
      <c r="AE32" s="1116" t="s">
        <v>4565</v>
      </c>
      <c r="AF32" s="1116"/>
      <c r="AG32" s="1181"/>
      <c r="AH32" s="1079"/>
      <c r="AI32" s="1070"/>
      <c r="AJ32" s="1119"/>
      <c r="AK32" s="1119"/>
      <c r="AL32" s="1119"/>
      <c r="AM32" s="1119"/>
      <c r="AN32" s="1119"/>
      <c r="AO32" s="1119"/>
      <c r="AP32" s="1152" t="s">
        <v>7978</v>
      </c>
      <c r="AQ32" s="1119"/>
      <c r="AR32" s="1119"/>
      <c r="AS32" s="1119"/>
      <c r="AT32" s="1119"/>
      <c r="AU32" s="1119"/>
      <c r="AV32" s="1119"/>
      <c r="AW32" s="1118" t="s">
        <v>1702</v>
      </c>
      <c r="AX32" s="1119"/>
      <c r="AY32" s="1119"/>
      <c r="AZ32" s="1085"/>
      <c r="BA32" s="1193"/>
      <c r="BB32" s="1193"/>
      <c r="BC32" s="1126" t="s">
        <v>5623</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6006</v>
      </c>
      <c r="C33" s="1060" t="s">
        <v>1259</v>
      </c>
      <c r="D33" s="1061" t="s">
        <v>1259</v>
      </c>
      <c r="E33" s="1062" t="s">
        <v>1259</v>
      </c>
      <c r="F33" s="1063" t="s">
        <v>1259</v>
      </c>
      <c r="G33" s="1064" t="s">
        <v>222</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2299</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2471</v>
      </c>
      <c r="BS33" s="1133"/>
      <c r="BT33" s="1133"/>
      <c r="BU33" s="1133"/>
      <c r="BV33" s="1187" t="s">
        <v>7991</v>
      </c>
      <c r="BW33" s="1134" t="s">
        <v>7992</v>
      </c>
      <c r="BX33" s="1070"/>
      <c r="BY33" s="1138" t="s">
        <v>6300</v>
      </c>
      <c r="BZ33" s="1139"/>
      <c r="CA33" s="1138"/>
      <c r="CB33" s="1188"/>
      <c r="CC33" s="1138"/>
      <c r="CD33" s="1139"/>
      <c r="CE33" s="1139"/>
      <c r="CF33" s="1139"/>
      <c r="CG33" s="1139"/>
      <c r="CH33" s="1139"/>
      <c r="CI33" s="1139"/>
      <c r="CJ33" s="1160"/>
      <c r="CK33" s="1160"/>
    </row>
    <row r="34">
      <c r="A34" s="1248" t="s">
        <v>5050</v>
      </c>
      <c r="B34" s="1064" t="s">
        <v>3563</v>
      </c>
      <c r="C34" s="1060" t="s">
        <v>1259</v>
      </c>
      <c r="D34" s="1061" t="s">
        <v>1259</v>
      </c>
      <c r="E34" s="1062" t="s">
        <v>1259</v>
      </c>
      <c r="F34" s="1063" t="s">
        <v>441</v>
      </c>
      <c r="G34" s="1064" t="s">
        <v>6280</v>
      </c>
      <c r="H34" s="1108" t="s">
        <v>7993</v>
      </c>
      <c r="I34" s="1107"/>
      <c r="J34" s="1107"/>
      <c r="K34" s="1107"/>
      <c r="L34" s="1107"/>
      <c r="M34" s="1107"/>
      <c r="N34" s="1107"/>
      <c r="O34" s="1107"/>
      <c r="P34" s="1070"/>
      <c r="Q34" s="1112"/>
      <c r="R34" s="1112"/>
      <c r="S34" s="1111" t="s">
        <v>1024</v>
      </c>
      <c r="T34" s="1111" t="s">
        <v>1978</v>
      </c>
      <c r="U34" s="1111" t="s">
        <v>4562</v>
      </c>
      <c r="V34" s="1111" t="s">
        <v>7994</v>
      </c>
      <c r="W34" s="1070"/>
      <c r="X34" s="1116" t="s">
        <v>1666</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1439</v>
      </c>
      <c r="AX34" s="1119"/>
      <c r="AY34" s="1119"/>
      <c r="AZ34" s="1085"/>
      <c r="BA34" s="1193"/>
      <c r="BB34" s="1155" t="s">
        <v>7998</v>
      </c>
      <c r="BC34" s="1155" t="s">
        <v>422</v>
      </c>
      <c r="BD34" s="1155"/>
      <c r="BE34" s="1155" t="s">
        <v>7999</v>
      </c>
      <c r="BF34" s="1085"/>
      <c r="BG34" s="1131"/>
      <c r="BH34" s="1131"/>
      <c r="BI34" s="1131"/>
      <c r="BJ34" s="1131"/>
      <c r="BK34" s="1131"/>
      <c r="BL34" s="1131"/>
      <c r="BM34" s="1131"/>
      <c r="BN34" s="1070"/>
      <c r="BO34" s="1135" t="s">
        <v>8000</v>
      </c>
      <c r="BP34" s="1186"/>
      <c r="BQ34" s="1135" t="s">
        <v>1035</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3921</v>
      </c>
      <c r="AC35" s="1116" t="s">
        <v>8008</v>
      </c>
      <c r="AD35" s="1181"/>
      <c r="AE35" s="1116" t="s">
        <v>2600</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435</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8016</v>
      </c>
      <c r="O36" s="1107"/>
      <c r="P36" s="1070"/>
      <c r="Q36" s="1112"/>
      <c r="R36" s="1112"/>
      <c r="S36" s="1191" t="s">
        <v>2808</v>
      </c>
      <c r="T36" s="1112"/>
      <c r="U36" s="1112"/>
      <c r="V36" s="1111" t="s">
        <v>8017</v>
      </c>
      <c r="W36" s="1070"/>
      <c r="X36" s="1181"/>
      <c r="Y36" s="1181"/>
      <c r="Z36" s="1116" t="s">
        <v>7795</v>
      </c>
      <c r="AA36" s="1165" t="s">
        <v>609</v>
      </c>
      <c r="AB36" s="1181"/>
      <c r="AC36" s="1181"/>
      <c r="AD36" s="1116" t="s">
        <v>4939</v>
      </c>
      <c r="AE36" s="1116" t="s">
        <v>751</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1393</v>
      </c>
      <c r="BH36" s="1131"/>
      <c r="BI36" s="1131"/>
      <c r="BJ36" s="1131"/>
      <c r="BK36" s="1131"/>
      <c r="BL36" s="1129" t="s">
        <v>8023</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8024</v>
      </c>
      <c r="M37" s="1107"/>
      <c r="N37" s="1108" t="s">
        <v>8025</v>
      </c>
      <c r="O37" s="1107"/>
      <c r="P37" s="1070"/>
      <c r="Q37" s="1112"/>
      <c r="R37" s="1112"/>
      <c r="S37" s="1112"/>
      <c r="T37" s="1112"/>
      <c r="U37" s="1111" t="s">
        <v>4509</v>
      </c>
      <c r="V37" s="1111" t="s">
        <v>8026</v>
      </c>
      <c r="W37" s="1070"/>
      <c r="X37" s="1181"/>
      <c r="Y37" s="1181"/>
      <c r="Z37" s="1116" t="s">
        <v>8027</v>
      </c>
      <c r="AA37" s="1224"/>
      <c r="AB37" s="1181"/>
      <c r="AC37" s="1181"/>
      <c r="AD37" s="1116" t="s">
        <v>1413</v>
      </c>
      <c r="AE37" s="1116" t="s">
        <v>3262</v>
      </c>
      <c r="AF37" s="1116"/>
      <c r="AG37" s="1181"/>
      <c r="AH37" s="1229" t="s">
        <v>8028</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8029</v>
      </c>
      <c r="BF37" s="1085"/>
      <c r="BG37" s="1129" t="s">
        <v>8030</v>
      </c>
      <c r="BH37" s="1129" t="s">
        <v>2996</v>
      </c>
      <c r="BI37" s="1131"/>
      <c r="BJ37" s="1131"/>
      <c r="BK37" s="1131"/>
      <c r="BL37" s="1129" t="s">
        <v>8031</v>
      </c>
      <c r="BM37" s="1131"/>
      <c r="BN37" s="1070"/>
      <c r="BO37" s="1134" t="s">
        <v>1832</v>
      </c>
      <c r="BP37" s="1186"/>
      <c r="BQ37" s="1133"/>
      <c r="BR37" s="1133"/>
      <c r="BS37" s="1133"/>
      <c r="BT37" s="1134" t="s">
        <v>4387</v>
      </c>
      <c r="BU37" s="1133"/>
      <c r="BV37" s="1134" t="s">
        <v>8032</v>
      </c>
      <c r="BW37" s="1134" t="s">
        <v>8033</v>
      </c>
      <c r="BX37" s="1070"/>
      <c r="BY37" s="1139"/>
      <c r="BZ37" s="1139"/>
      <c r="CA37" s="1139"/>
      <c r="CB37" s="1160"/>
      <c r="CC37" s="1139"/>
      <c r="CD37" s="1139"/>
      <c r="CE37" s="1139"/>
      <c r="CF37" s="1139"/>
      <c r="CG37" s="1139"/>
      <c r="CH37" s="1188" t="s">
        <v>6076</v>
      </c>
      <c r="CI37" s="1139"/>
      <c r="CJ37" s="1160"/>
      <c r="CK37" s="1160"/>
    </row>
    <row r="38">
      <c r="A38" s="1106" t="s">
        <v>5236</v>
      </c>
      <c r="B38" s="1064" t="s">
        <v>8034</v>
      </c>
      <c r="C38" s="1060" t="s">
        <v>1259</v>
      </c>
      <c r="D38" s="1061" t="s">
        <v>1259</v>
      </c>
      <c r="E38" s="1062" t="s">
        <v>1259</v>
      </c>
      <c r="F38" s="1063" t="s">
        <v>548</v>
      </c>
      <c r="G38" s="1064" t="s">
        <v>222</v>
      </c>
      <c r="H38" s="1107"/>
      <c r="I38" s="1107"/>
      <c r="J38" s="1107"/>
      <c r="K38" s="1107"/>
      <c r="L38" s="1205" t="s">
        <v>293</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3406</v>
      </c>
      <c r="BV38" s="1134" t="s">
        <v>392</v>
      </c>
      <c r="BW38" s="1187" t="s">
        <v>8040</v>
      </c>
      <c r="BX38" s="1070"/>
      <c r="BY38" s="1139"/>
      <c r="BZ38" s="1230" t="s">
        <v>2841</v>
      </c>
      <c r="CA38" s="1139"/>
      <c r="CB38" s="1160"/>
      <c r="CC38" s="1139"/>
      <c r="CD38" s="1139"/>
      <c r="CE38" s="1139"/>
      <c r="CF38" s="1138" t="s">
        <v>8041</v>
      </c>
      <c r="CG38" s="1139"/>
      <c r="CH38" s="1139"/>
      <c r="CI38" s="1159" t="s">
        <v>5009</v>
      </c>
      <c r="CJ38" s="1160"/>
      <c r="CK38" s="1160"/>
    </row>
    <row r="39">
      <c r="A39" s="1106" t="s">
        <v>8042</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4667</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8044</v>
      </c>
      <c r="Z40" s="792"/>
      <c r="AA40" s="792"/>
      <c r="AB40" s="753" t="s">
        <v>5131</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4590</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4548</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4429</v>
      </c>
      <c r="B42" s="1064" t="s">
        <v>4771</v>
      </c>
      <c r="C42" s="1060" t="s">
        <v>1259</v>
      </c>
      <c r="D42" s="1061" t="s">
        <v>1259</v>
      </c>
      <c r="E42" s="1062" t="s">
        <v>1259</v>
      </c>
      <c r="F42" s="1063" t="s">
        <v>1259</v>
      </c>
      <c r="G42" s="1064" t="s">
        <v>4220</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5266</v>
      </c>
      <c r="B43" s="1064" t="s">
        <v>4669</v>
      </c>
      <c r="C43" s="1060" t="s">
        <v>1259</v>
      </c>
      <c r="D43" s="1061" t="s">
        <v>548</v>
      </c>
      <c r="E43" s="1062" t="s">
        <v>1259</v>
      </c>
      <c r="F43" s="1063" t="s">
        <v>441</v>
      </c>
      <c r="G43" s="1064" t="s">
        <v>2675</v>
      </c>
      <c r="H43" s="1108" t="s">
        <v>2060</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3657</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8069</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3859</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4259</v>
      </c>
      <c r="AE46" s="1181"/>
      <c r="AF46" s="1181"/>
      <c r="AG46" s="1181"/>
      <c r="AH46" s="1079"/>
      <c r="AI46" s="1070"/>
      <c r="AJ46" s="1119"/>
      <c r="AK46" s="1119"/>
      <c r="AL46" s="1119"/>
      <c r="AM46" s="1118" t="s">
        <v>3333</v>
      </c>
      <c r="AN46" s="1119"/>
      <c r="AO46" s="1119"/>
      <c r="AP46" s="1118" t="s">
        <v>704</v>
      </c>
      <c r="AQ46" s="1119"/>
      <c r="AR46" s="1118" t="s">
        <v>8072</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8073</v>
      </c>
      <c r="BP46" s="1186"/>
      <c r="BQ46" s="1133"/>
      <c r="BR46" s="1133"/>
      <c r="BS46" s="1133"/>
      <c r="BT46" s="1134" t="s">
        <v>4038</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8074</v>
      </c>
      <c r="O47" s="1107"/>
      <c r="P47" s="1070"/>
      <c r="Q47" s="1112"/>
      <c r="R47" s="1112"/>
      <c r="S47" s="1112"/>
      <c r="T47" s="1112"/>
      <c r="U47" s="1111"/>
      <c r="V47" s="1111" t="s">
        <v>8075</v>
      </c>
      <c r="W47" s="1070"/>
      <c r="X47" s="1181"/>
      <c r="Y47" s="1181"/>
      <c r="Z47" s="1148" t="s">
        <v>8076</v>
      </c>
      <c r="AA47" s="1224"/>
      <c r="AB47" s="1116" t="s">
        <v>817</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222</v>
      </c>
      <c r="C51" s="1060" t="s">
        <v>1259</v>
      </c>
      <c r="D51" s="1061" t="s">
        <v>1259</v>
      </c>
      <c r="E51" s="1062" t="s">
        <v>1259</v>
      </c>
      <c r="F51" s="1063" t="s">
        <v>1259</v>
      </c>
      <c r="G51" s="1064" t="s">
        <v>334</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3283</v>
      </c>
      <c r="C53" s="1060" t="s">
        <v>1259</v>
      </c>
      <c r="D53" s="1061" t="s">
        <v>1259</v>
      </c>
      <c r="E53" s="1062" t="s">
        <v>1259</v>
      </c>
      <c r="F53" s="1063" t="s">
        <v>1259</v>
      </c>
      <c r="G53" s="1064" t="s">
        <v>1201</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3615</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3991</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4639</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334</v>
      </c>
      <c r="C61" s="1060" t="s">
        <v>1259</v>
      </c>
      <c r="D61" s="1061" t="s">
        <v>1259</v>
      </c>
      <c r="E61" s="1062" t="s">
        <v>1259</v>
      </c>
      <c r="F61" s="1063" t="s">
        <v>439</v>
      </c>
      <c r="G61" s="1064" t="s">
        <v>439</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548</v>
      </c>
      <c r="C62" s="1060" t="s">
        <v>1259</v>
      </c>
      <c r="D62" s="1061" t="s">
        <v>1259</v>
      </c>
      <c r="E62" s="1062" t="s">
        <v>1259</v>
      </c>
      <c r="F62" s="1063" t="s">
        <v>1259</v>
      </c>
      <c r="G62" s="1064" t="s">
        <v>548</v>
      </c>
      <c r="H62" s="1108" t="s">
        <v>3873</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70"/>
      <c r="AH1" s="1270"/>
    </row>
    <row r="2" ht="38.25" customHeight="1">
      <c r="A2" s="35" t="s">
        <v>43</v>
      </c>
      <c r="B2" s="36" t="s">
        <v>44</v>
      </c>
      <c r="C2" s="36" t="s">
        <v>45</v>
      </c>
      <c r="F2" s="36" t="s">
        <v>8112</v>
      </c>
      <c r="H2" s="1271" t="s">
        <v>8113</v>
      </c>
      <c r="I2" s="1272"/>
      <c r="J2" s="1272"/>
      <c r="K2" s="1273" t="s">
        <v>8114</v>
      </c>
      <c r="L2" s="1274" t="s">
        <v>8115</v>
      </c>
      <c r="M2" s="1273" t="s">
        <v>8116</v>
      </c>
      <c r="N2" s="1273" t="s">
        <v>8117</v>
      </c>
      <c r="O2" s="1275" t="s">
        <v>8118</v>
      </c>
      <c r="P2" s="1275" t="s">
        <v>8119</v>
      </c>
      <c r="Q2" s="1275"/>
      <c r="R2" s="42" t="s">
        <v>48</v>
      </c>
      <c r="S2" s="42" t="s">
        <v>8120</v>
      </c>
      <c r="T2" s="42"/>
      <c r="U2" s="44" t="s">
        <v>50</v>
      </c>
      <c r="V2" s="44" t="s">
        <v>54</v>
      </c>
      <c r="W2" s="44" t="s">
        <v>62</v>
      </c>
      <c r="X2" s="45" t="s">
        <v>52</v>
      </c>
      <c r="Y2" s="45"/>
      <c r="Z2" s="45"/>
      <c r="AA2" s="47" t="s">
        <v>51</v>
      </c>
      <c r="AB2" s="1276" t="s">
        <v>8121</v>
      </c>
      <c r="AC2" s="47"/>
      <c r="AD2" s="1277" t="s">
        <v>8122</v>
      </c>
      <c r="AE2" s="1277"/>
      <c r="AF2" s="1277"/>
      <c r="AG2" s="1278"/>
      <c r="AH2" s="1278"/>
    </row>
    <row r="3">
      <c r="A3" s="1279" t="s">
        <v>4241</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7115</v>
      </c>
      <c r="V3" s="1289"/>
      <c r="W3" s="1289"/>
      <c r="X3" s="1291" t="s">
        <v>8123</v>
      </c>
      <c r="Y3" s="1289"/>
      <c r="Z3" s="1289"/>
      <c r="AA3" s="1292" t="s">
        <v>8124</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8125</v>
      </c>
      <c r="Y4" s="1289"/>
      <c r="Z4" s="1289"/>
      <c r="AA4" s="753" t="s">
        <v>1246</v>
      </c>
      <c r="AB4" s="1289"/>
      <c r="AC4" s="1253"/>
      <c r="AD4" s="1289"/>
      <c r="AE4" s="1289"/>
      <c r="AF4" s="1289"/>
      <c r="AG4" s="1293"/>
      <c r="AH4" s="1293"/>
    </row>
    <row r="5">
      <c r="A5" s="1279" t="s">
        <v>4040</v>
      </c>
      <c r="B5" s="1280" t="s">
        <v>4220</v>
      </c>
      <c r="C5" s="1281" t="s">
        <v>1259</v>
      </c>
      <c r="D5" s="1282" t="s">
        <v>548</v>
      </c>
      <c r="E5" s="1283" t="s">
        <v>1259</v>
      </c>
      <c r="F5" s="1284" t="s">
        <v>334</v>
      </c>
      <c r="G5" s="1280" t="s">
        <v>335</v>
      </c>
      <c r="H5" s="1253"/>
      <c r="I5" s="97"/>
      <c r="J5" s="92"/>
      <c r="K5" s="1253"/>
      <c r="L5" s="1253"/>
      <c r="M5" s="1253"/>
      <c r="N5" s="1253"/>
      <c r="O5" s="1253"/>
      <c r="P5" s="1253"/>
      <c r="Q5" s="1289"/>
      <c r="R5" s="1296" t="s">
        <v>4507</v>
      </c>
      <c r="S5" s="1297" t="s">
        <v>1662</v>
      </c>
      <c r="T5" s="1253"/>
      <c r="U5" s="753" t="s">
        <v>1041</v>
      </c>
      <c r="V5" s="1289"/>
      <c r="W5" s="1289"/>
      <c r="X5" s="753" t="s">
        <v>8126</v>
      </c>
      <c r="Y5" s="1289"/>
      <c r="Z5" s="1289"/>
      <c r="AA5" s="1298" t="s">
        <v>8127</v>
      </c>
      <c r="AB5" s="1289"/>
      <c r="AC5" s="1253"/>
      <c r="AD5" s="1289"/>
      <c r="AE5" s="1289"/>
      <c r="AF5" s="1289"/>
      <c r="AG5" s="1293"/>
      <c r="AH5" s="1293"/>
    </row>
    <row r="6">
      <c r="A6" s="1279" t="s">
        <v>2456</v>
      </c>
      <c r="B6" s="1280" t="s">
        <v>4220</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7966</v>
      </c>
      <c r="X6" s="1253"/>
      <c r="Y6" s="1289"/>
      <c r="Z6" s="1289"/>
      <c r="AA6" s="1253"/>
      <c r="AB6" s="1289"/>
      <c r="AC6" s="1253"/>
      <c r="AD6" s="753" t="s">
        <v>218</v>
      </c>
      <c r="AE6" s="1289"/>
      <c r="AF6" s="1289"/>
      <c r="AG6" s="1293"/>
      <c r="AH6" s="1293"/>
    </row>
    <row r="7">
      <c r="A7" s="1279" t="s">
        <v>983</v>
      </c>
      <c r="B7" s="1280" t="s">
        <v>3283</v>
      </c>
      <c r="C7" s="1281" t="s">
        <v>439</v>
      </c>
      <c r="D7" s="1282" t="s">
        <v>548</v>
      </c>
      <c r="E7" s="1283" t="s">
        <v>1259</v>
      </c>
      <c r="F7" s="1284" t="s">
        <v>334</v>
      </c>
      <c r="G7" s="1280" t="s">
        <v>334</v>
      </c>
      <c r="H7" s="1253"/>
      <c r="I7" s="97"/>
      <c r="J7" s="92"/>
      <c r="K7" s="1285"/>
      <c r="L7" s="1285"/>
      <c r="M7" s="1285"/>
      <c r="N7" s="792"/>
      <c r="O7" s="1300"/>
      <c r="P7" s="1253"/>
      <c r="Q7" s="1289"/>
      <c r="R7" s="1289"/>
      <c r="S7" s="1296" t="s">
        <v>8128</v>
      </c>
      <c r="T7" s="1253"/>
      <c r="U7" s="1289"/>
      <c r="V7" s="1289"/>
      <c r="W7" s="1289"/>
      <c r="X7" s="1253"/>
      <c r="Y7" s="1289"/>
      <c r="Z7" s="1289"/>
      <c r="AA7" s="1290" t="s">
        <v>8129</v>
      </c>
      <c r="AB7" s="1290" t="s">
        <v>6409</v>
      </c>
      <c r="AC7" s="1253"/>
      <c r="AD7" s="1289"/>
      <c r="AE7" s="1289"/>
      <c r="AF7" s="1289"/>
      <c r="AG7" s="1293"/>
      <c r="AH7" s="1293"/>
    </row>
    <row r="8">
      <c r="A8" s="1279" t="s">
        <v>1059</v>
      </c>
      <c r="B8" s="1280" t="s">
        <v>3283</v>
      </c>
      <c r="C8" s="1281" t="s">
        <v>548</v>
      </c>
      <c r="D8" s="1282" t="s">
        <v>439</v>
      </c>
      <c r="E8" s="1283" t="s">
        <v>548</v>
      </c>
      <c r="F8" s="1284" t="s">
        <v>441</v>
      </c>
      <c r="G8" s="1280" t="s">
        <v>441</v>
      </c>
      <c r="H8" s="1253"/>
      <c r="I8" s="97"/>
      <c r="J8" s="92"/>
      <c r="K8" s="1296" t="s">
        <v>8130</v>
      </c>
      <c r="L8" s="1295" t="s">
        <v>6233</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6998</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3193</v>
      </c>
      <c r="X10" s="1253"/>
      <c r="Y10" s="1289"/>
      <c r="Z10" s="1289"/>
      <c r="AA10" s="1253"/>
      <c r="AB10" s="1289"/>
      <c r="AC10" s="1253"/>
      <c r="AD10" s="1296" t="s">
        <v>8132</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7032</v>
      </c>
      <c r="AE11" s="1289"/>
      <c r="AF11" s="1289"/>
      <c r="AG11" s="1293"/>
      <c r="AH11" s="1293"/>
    </row>
    <row r="12">
      <c r="A12" s="1259" t="s">
        <v>4533</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440</v>
      </c>
      <c r="C13" s="1281" t="s">
        <v>439</v>
      </c>
      <c r="D13" s="1282" t="s">
        <v>548</v>
      </c>
      <c r="E13" s="1283" t="s">
        <v>1259</v>
      </c>
      <c r="F13" s="1284" t="s">
        <v>334</v>
      </c>
      <c r="G13" s="1280" t="s">
        <v>334</v>
      </c>
      <c r="H13" s="1253"/>
      <c r="I13" s="97"/>
      <c r="J13" s="92"/>
      <c r="K13" s="1290" t="s">
        <v>8135</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7104</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8136</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8137</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8138</v>
      </c>
      <c r="B18" s="1280" t="s">
        <v>441</v>
      </c>
      <c r="C18" s="1281" t="s">
        <v>548</v>
      </c>
      <c r="D18" s="1282" t="s">
        <v>1259</v>
      </c>
      <c r="E18" s="1283" t="s">
        <v>1259</v>
      </c>
      <c r="F18" s="1284" t="s">
        <v>548</v>
      </c>
      <c r="G18" s="1280" t="s">
        <v>548</v>
      </c>
      <c r="H18" s="1253"/>
      <c r="I18" s="97"/>
      <c r="J18" s="92"/>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3734</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8140</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8141</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8143</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8144</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43</v>
      </c>
      <c r="B2" s="36" t="s">
        <v>44</v>
      </c>
      <c r="C2" s="36" t="s">
        <v>45</v>
      </c>
      <c r="F2" s="36"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4220</v>
      </c>
      <c r="D3" s="1061" t="s">
        <v>548</v>
      </c>
      <c r="E3" s="1062" t="s">
        <v>335</v>
      </c>
      <c r="F3" s="1063" t="s">
        <v>6214</v>
      </c>
      <c r="G3" s="1064" t="s">
        <v>3432</v>
      </c>
      <c r="H3" s="792" t="s">
        <v>8246</v>
      </c>
      <c r="I3" s="1295" t="s">
        <v>8247</v>
      </c>
      <c r="J3" s="792" t="s">
        <v>6569</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2355</v>
      </c>
      <c r="X3" s="1298" t="s">
        <v>1779</v>
      </c>
      <c r="Y3" s="792" t="s">
        <v>1951</v>
      </c>
      <c r="Z3" s="1298" t="s">
        <v>8260</v>
      </c>
      <c r="AA3" s="792" t="s">
        <v>4445</v>
      </c>
      <c r="AB3" s="1298"/>
      <c r="AC3" s="792" t="s">
        <v>3479</v>
      </c>
      <c r="AD3" s="792" t="s">
        <v>4004</v>
      </c>
      <c r="AE3" s="792" t="s">
        <v>8261</v>
      </c>
      <c r="AF3" s="1298" t="s">
        <v>8262</v>
      </c>
      <c r="AG3" s="792"/>
      <c r="AH3" s="1298" t="s">
        <v>8263</v>
      </c>
      <c r="AI3" s="1298" t="s">
        <v>8264</v>
      </c>
      <c r="AJ3" s="1289"/>
      <c r="AK3" s="792"/>
      <c r="AL3" s="792"/>
      <c r="AM3" s="753" t="s">
        <v>4353</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5139</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3923</v>
      </c>
      <c r="BY3" s="1253"/>
      <c r="BZ3" s="1253"/>
      <c r="CA3" s="1298" t="s">
        <v>3512</v>
      </c>
      <c r="CB3" s="1298" t="s">
        <v>373</v>
      </c>
      <c r="CC3" s="1298" t="s">
        <v>2384</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335</v>
      </c>
      <c r="D4" s="1061" t="s">
        <v>441</v>
      </c>
      <c r="E4" s="1062" t="s">
        <v>3283</v>
      </c>
      <c r="F4" s="1063" t="s">
        <v>2903</v>
      </c>
      <c r="G4" s="1064" t="s">
        <v>3562</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1296</v>
      </c>
      <c r="X4" s="753" t="s">
        <v>1726</v>
      </c>
      <c r="Y4" s="753" t="s">
        <v>1585</v>
      </c>
      <c r="Z4" s="1290" t="s">
        <v>2742</v>
      </c>
      <c r="AA4" s="1285"/>
      <c r="AB4" s="1340" t="s">
        <v>8301</v>
      </c>
      <c r="AC4" s="753" t="s">
        <v>3404</v>
      </c>
      <c r="AD4" s="753" t="s">
        <v>4764</v>
      </c>
      <c r="AE4" s="1285"/>
      <c r="AF4" s="1295" t="s">
        <v>7995</v>
      </c>
      <c r="AG4" s="1253"/>
      <c r="AH4" s="1296" t="s">
        <v>8302</v>
      </c>
      <c r="AI4" s="1296" t="s">
        <v>5044</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1578</v>
      </c>
      <c r="BA4" s="1296" t="s">
        <v>5301</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441</v>
      </c>
      <c r="D5" s="1061" t="s">
        <v>335</v>
      </c>
      <c r="E5" s="1062" t="s">
        <v>1259</v>
      </c>
      <c r="F5" s="1063" t="s">
        <v>1200</v>
      </c>
      <c r="G5" s="1064" t="s">
        <v>5620</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122</v>
      </c>
      <c r="AA5" s="1285"/>
      <c r="AB5" s="1285"/>
      <c r="AC5" s="792" t="s">
        <v>8325</v>
      </c>
      <c r="AD5" s="1253"/>
      <c r="AE5" s="792"/>
      <c r="AF5" s="792" t="s">
        <v>8326</v>
      </c>
      <c r="AG5" s="792"/>
      <c r="AH5" s="792" t="s">
        <v>4762</v>
      </c>
      <c r="AI5" s="792" t="s">
        <v>2034</v>
      </c>
      <c r="AJ5" s="1253"/>
      <c r="AK5" s="792"/>
      <c r="AL5" s="792"/>
      <c r="AM5" s="792" t="s">
        <v>8327</v>
      </c>
      <c r="AN5" s="1253"/>
      <c r="AO5" s="1253"/>
      <c r="AP5" s="792" t="s">
        <v>8328</v>
      </c>
      <c r="AQ5" s="1296" t="s">
        <v>8329</v>
      </c>
      <c r="AR5" s="792" t="s">
        <v>8330</v>
      </c>
      <c r="AS5" s="792"/>
      <c r="AT5" s="792" t="s">
        <v>8331</v>
      </c>
      <c r="AU5" s="753" t="s">
        <v>8332</v>
      </c>
      <c r="AV5" s="792"/>
      <c r="AW5" s="1299" t="s">
        <v>8333</v>
      </c>
      <c r="AX5" s="113"/>
      <c r="AY5" s="113" t="s">
        <v>8334</v>
      </c>
      <c r="AZ5" s="792" t="s">
        <v>3092</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3283</v>
      </c>
      <c r="D6" s="1061" t="s">
        <v>4220</v>
      </c>
      <c r="E6" s="1062" t="s">
        <v>334</v>
      </c>
      <c r="F6" s="1063" t="s">
        <v>2903</v>
      </c>
      <c r="G6" s="1064" t="s">
        <v>5723</v>
      </c>
      <c r="H6" s="1296" t="s">
        <v>8341</v>
      </c>
      <c r="I6" s="753" t="s">
        <v>8342</v>
      </c>
      <c r="J6" s="792"/>
      <c r="K6" s="753" t="s">
        <v>8343</v>
      </c>
      <c r="L6" s="753" t="s">
        <v>8344</v>
      </c>
      <c r="M6" s="1253"/>
      <c r="N6" s="1253"/>
      <c r="O6" s="753" t="s">
        <v>8345</v>
      </c>
      <c r="P6" s="1253"/>
      <c r="Q6" s="792" t="s">
        <v>8346</v>
      </c>
      <c r="R6" s="1296" t="s">
        <v>8347</v>
      </c>
      <c r="S6" s="1253"/>
      <c r="T6" s="1295" t="s">
        <v>8348</v>
      </c>
      <c r="U6" s="1295" t="s">
        <v>672</v>
      </c>
      <c r="V6" s="792" t="s">
        <v>8349</v>
      </c>
      <c r="W6" s="1253"/>
      <c r="X6" s="1295" t="s">
        <v>6230</v>
      </c>
      <c r="Y6" s="1296" t="s">
        <v>2537</v>
      </c>
      <c r="Z6" s="1253"/>
      <c r="AA6" s="1253"/>
      <c r="AB6" s="1253"/>
      <c r="AC6" s="1253"/>
      <c r="AD6" s="792" t="s">
        <v>8350</v>
      </c>
      <c r="AE6" s="1285"/>
      <c r="AF6" s="753" t="s">
        <v>467</v>
      </c>
      <c r="AG6" s="1285"/>
      <c r="AH6" s="1253"/>
      <c r="AI6" s="1253"/>
      <c r="AJ6" s="1290" t="s">
        <v>2255</v>
      </c>
      <c r="AK6" s="1296" t="s">
        <v>6211</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4622</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453</v>
      </c>
      <c r="CD6" s="1285"/>
      <c r="CE6" s="1346"/>
      <c r="CF6" s="1346"/>
      <c r="CG6" s="1347"/>
      <c r="CH6" s="1347"/>
      <c r="CI6" s="1346" t="s">
        <v>8365</v>
      </c>
      <c r="CJ6" s="1347"/>
      <c r="CK6" s="1347"/>
      <c r="CL6" s="1346" t="s">
        <v>5620</v>
      </c>
      <c r="CM6" s="1348" t="s">
        <v>2153</v>
      </c>
      <c r="CN6" s="1348" t="s">
        <v>3371</v>
      </c>
      <c r="CO6" s="1346"/>
      <c r="CP6" s="1346"/>
      <c r="CQ6" s="1346"/>
      <c r="CR6" s="1346"/>
      <c r="CS6" s="1348" t="s">
        <v>8366</v>
      </c>
      <c r="CT6" s="1253"/>
      <c r="CU6" s="1253"/>
    </row>
    <row r="7">
      <c r="A7" s="1349" t="s">
        <v>7448</v>
      </c>
      <c r="B7" s="1064" t="s">
        <v>8367</v>
      </c>
      <c r="C7" s="1060" t="s">
        <v>441</v>
      </c>
      <c r="D7" s="1061" t="s">
        <v>440</v>
      </c>
      <c r="E7" s="1062" t="s">
        <v>335</v>
      </c>
      <c r="F7" s="1063" t="s">
        <v>1061</v>
      </c>
      <c r="G7" s="1064" t="s">
        <v>3092</v>
      </c>
      <c r="H7" s="753" t="s">
        <v>8368</v>
      </c>
      <c r="I7" s="740" t="s">
        <v>8369</v>
      </c>
      <c r="J7" s="1350"/>
      <c r="K7" s="753" t="s">
        <v>8370</v>
      </c>
      <c r="L7" s="1285"/>
      <c r="M7" s="753" t="s">
        <v>8371</v>
      </c>
      <c r="N7" s="1253"/>
      <c r="O7" s="1253"/>
      <c r="P7" s="1298" t="s">
        <v>8372</v>
      </c>
      <c r="Q7" s="1253"/>
      <c r="R7" s="792"/>
      <c r="S7" s="1253"/>
      <c r="T7" s="1253"/>
      <c r="U7" s="1298" t="s">
        <v>8373</v>
      </c>
      <c r="V7" s="1298"/>
      <c r="W7" s="1295" t="s">
        <v>2131</v>
      </c>
      <c r="X7" s="753" t="s">
        <v>1822</v>
      </c>
      <c r="Y7" s="753" t="s">
        <v>2062</v>
      </c>
      <c r="Z7" s="1295" t="s">
        <v>8374</v>
      </c>
      <c r="AA7" s="1285"/>
      <c r="AB7" s="1285"/>
      <c r="AC7" s="1298" t="s">
        <v>8375</v>
      </c>
      <c r="AD7" s="753" t="s">
        <v>4468</v>
      </c>
      <c r="AE7" s="1285"/>
      <c r="AF7" s="753" t="s">
        <v>8376</v>
      </c>
      <c r="AG7" s="1285"/>
      <c r="AH7" s="1298" t="s">
        <v>8377</v>
      </c>
      <c r="AI7" s="1298" t="s">
        <v>1277</v>
      </c>
      <c r="AJ7" s="1298"/>
      <c r="AK7" s="792" t="s">
        <v>5931</v>
      </c>
      <c r="AL7" s="1298" t="s">
        <v>6387</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4669</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8389</v>
      </c>
      <c r="BZ7" s="1296" t="s">
        <v>8390</v>
      </c>
      <c r="CA7" s="1290" t="s">
        <v>1281</v>
      </c>
      <c r="CB7" s="1290" t="s">
        <v>8391</v>
      </c>
      <c r="CC7" s="1290" t="s">
        <v>479</v>
      </c>
      <c r="CD7" s="1353" t="s">
        <v>2514</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548</v>
      </c>
      <c r="D8" s="1061" t="s">
        <v>441</v>
      </c>
      <c r="E8" s="1062" t="s">
        <v>335</v>
      </c>
      <c r="F8" s="1063" t="s">
        <v>223</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784</v>
      </c>
      <c r="X8" s="1307" t="s">
        <v>3765</v>
      </c>
      <c r="Y8" s="1355" t="s">
        <v>5041</v>
      </c>
      <c r="Z8" s="1285"/>
      <c r="AA8" s="1285" t="s">
        <v>8400</v>
      </c>
      <c r="AB8" s="1307"/>
      <c r="AC8" s="1295" t="s">
        <v>8401</v>
      </c>
      <c r="AD8" s="753" t="s">
        <v>820</v>
      </c>
      <c r="AE8" s="1285"/>
      <c r="AF8" s="1285"/>
      <c r="AG8" s="1285"/>
      <c r="AH8" s="1253"/>
      <c r="AI8" s="1289"/>
      <c r="AJ8" s="1289"/>
      <c r="AK8" s="1298" t="s">
        <v>327</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1136</v>
      </c>
      <c r="BW8" s="1295" t="s">
        <v>3630</v>
      </c>
      <c r="BX8" s="1296" t="s">
        <v>2314</v>
      </c>
      <c r="BY8" s="1351" t="s">
        <v>3268</v>
      </c>
      <c r="BZ8" s="1285"/>
      <c r="CA8" s="1296" t="s">
        <v>1975</v>
      </c>
      <c r="CB8" s="1351" t="s">
        <v>2820</v>
      </c>
      <c r="CC8" s="1357" t="s">
        <v>3535</v>
      </c>
      <c r="CD8" s="1300"/>
      <c r="CE8" s="1347"/>
      <c r="CF8" s="1347"/>
      <c r="CG8" s="1358"/>
      <c r="CH8" s="1358"/>
      <c r="CI8" s="1347"/>
      <c r="CJ8" s="1347"/>
      <c r="CK8" s="1358"/>
      <c r="CL8" s="1358"/>
      <c r="CM8" s="1359" t="s">
        <v>2154</v>
      </c>
      <c r="CN8" s="1347"/>
      <c r="CO8" s="1358"/>
      <c r="CP8" s="1358"/>
      <c r="CQ8" s="1360" t="s">
        <v>8384</v>
      </c>
      <c r="CR8" s="1358"/>
      <c r="CS8" s="1358"/>
      <c r="CT8" s="1285"/>
      <c r="CU8" s="1285"/>
    </row>
    <row r="9">
      <c r="A9" s="1361" t="s">
        <v>8410</v>
      </c>
      <c r="B9" s="1064" t="s">
        <v>8411</v>
      </c>
      <c r="C9" s="1060" t="s">
        <v>548</v>
      </c>
      <c r="D9" s="1061" t="s">
        <v>1201</v>
      </c>
      <c r="E9" s="1062" t="s">
        <v>335</v>
      </c>
      <c r="F9" s="1063" t="s">
        <v>7631</v>
      </c>
      <c r="G9" s="1064" t="s">
        <v>2988</v>
      </c>
      <c r="H9" s="1339" t="s">
        <v>8412</v>
      </c>
      <c r="I9" s="1339" t="s">
        <v>8413</v>
      </c>
      <c r="J9" s="1253"/>
      <c r="K9" s="753" t="s">
        <v>8414</v>
      </c>
      <c r="L9" s="753" t="s">
        <v>8415</v>
      </c>
      <c r="M9" s="1253"/>
      <c r="N9" s="1253"/>
      <c r="O9" s="753" t="s">
        <v>8416</v>
      </c>
      <c r="P9" s="753" t="s">
        <v>8417</v>
      </c>
      <c r="Q9" s="1296" t="s">
        <v>5112</v>
      </c>
      <c r="R9" s="753" t="s">
        <v>8418</v>
      </c>
      <c r="S9" s="1295" t="s">
        <v>8419</v>
      </c>
      <c r="T9" s="753" t="s">
        <v>8420</v>
      </c>
      <c r="U9" s="753" t="s">
        <v>6021</v>
      </c>
      <c r="V9" s="1289"/>
      <c r="W9" s="1253"/>
      <c r="X9" s="753" t="s">
        <v>2499</v>
      </c>
      <c r="Y9" s="753" t="s">
        <v>4203</v>
      </c>
      <c r="Z9" s="1253"/>
      <c r="AA9" s="1296" t="s">
        <v>6115</v>
      </c>
      <c r="AB9" s="1289"/>
      <c r="AC9" s="753" t="s">
        <v>2256</v>
      </c>
      <c r="AD9" s="753" t="s">
        <v>2298</v>
      </c>
      <c r="AE9" s="1295" t="s">
        <v>1275</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2189</v>
      </c>
      <c r="B10" s="1064" t="s">
        <v>8432</v>
      </c>
      <c r="C10" s="1060" t="s">
        <v>1259</v>
      </c>
      <c r="D10" s="1061" t="s">
        <v>439</v>
      </c>
      <c r="E10" s="1062" t="s">
        <v>548</v>
      </c>
      <c r="F10" s="1063" t="s">
        <v>441</v>
      </c>
      <c r="G10" s="1064" t="s">
        <v>4622</v>
      </c>
      <c r="H10" s="1367" t="s">
        <v>8433</v>
      </c>
      <c r="I10" s="1368"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3962</v>
      </c>
      <c r="X10" s="792" t="s">
        <v>8447</v>
      </c>
      <c r="Y10" s="1298" t="s">
        <v>1991</v>
      </c>
      <c r="Z10" s="1253"/>
      <c r="AA10" s="1253"/>
      <c r="AB10" s="1289"/>
      <c r="AC10" s="1298" t="s">
        <v>8448</v>
      </c>
      <c r="AD10" s="1298" t="s">
        <v>5289</v>
      </c>
      <c r="AE10" s="1296" t="s">
        <v>2524</v>
      </c>
      <c r="AF10" s="1298" t="s">
        <v>8449</v>
      </c>
      <c r="AG10" s="792" t="s">
        <v>8450</v>
      </c>
      <c r="AH10" s="1253"/>
      <c r="AI10" s="1289"/>
      <c r="AJ10" s="1289"/>
      <c r="AK10" s="792" t="s">
        <v>8451</v>
      </c>
      <c r="AL10" s="792" t="s">
        <v>2891</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3512</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2986</v>
      </c>
      <c r="B11" s="1064" t="s">
        <v>8457</v>
      </c>
      <c r="C11" s="1060" t="s">
        <v>439</v>
      </c>
      <c r="D11" s="1061" t="s">
        <v>439</v>
      </c>
      <c r="E11" s="1062" t="s">
        <v>1259</v>
      </c>
      <c r="F11" s="1063" t="s">
        <v>1201</v>
      </c>
      <c r="G11" s="1064" t="s">
        <v>5785</v>
      </c>
      <c r="H11" s="1367"/>
      <c r="I11" s="1367" t="s">
        <v>8458</v>
      </c>
      <c r="J11" s="1253"/>
      <c r="K11" s="792" t="s">
        <v>8459</v>
      </c>
      <c r="L11" s="753" t="s">
        <v>8460</v>
      </c>
      <c r="M11" s="792" t="s">
        <v>8461</v>
      </c>
      <c r="N11" s="1253"/>
      <c r="O11" s="792" t="s">
        <v>8462</v>
      </c>
      <c r="P11" s="792" t="s">
        <v>8463</v>
      </c>
      <c r="Q11" s="792" t="s">
        <v>8464</v>
      </c>
      <c r="R11" s="792" t="s">
        <v>8465</v>
      </c>
      <c r="S11" s="1296" t="s">
        <v>3023</v>
      </c>
      <c r="T11" s="1253"/>
      <c r="U11" s="792" t="s">
        <v>3963</v>
      </c>
      <c r="V11" s="1289"/>
      <c r="W11" s="792" t="s">
        <v>5015</v>
      </c>
      <c r="X11" s="753" t="s">
        <v>3660</v>
      </c>
      <c r="Y11" s="753" t="s">
        <v>8466</v>
      </c>
      <c r="Z11" s="1253"/>
      <c r="AA11" s="1290" t="s">
        <v>5717</v>
      </c>
      <c r="AB11" s="1289"/>
      <c r="AC11" s="792" t="s">
        <v>5873</v>
      </c>
      <c r="AD11" s="792" t="s">
        <v>1991</v>
      </c>
      <c r="AE11" s="792"/>
      <c r="AF11" s="792" t="s">
        <v>5646</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5139</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3449</v>
      </c>
      <c r="BZ11" s="1253"/>
      <c r="CA11" s="1289"/>
      <c r="CB11" s="792" t="s">
        <v>3637</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3859</v>
      </c>
      <c r="B12" s="1064" t="s">
        <v>8473</v>
      </c>
      <c r="C12" s="1060" t="s">
        <v>1259</v>
      </c>
      <c r="D12" s="1061" t="s">
        <v>548</v>
      </c>
      <c r="E12" s="1062" t="s">
        <v>1259</v>
      </c>
      <c r="F12" s="1063" t="s">
        <v>548</v>
      </c>
      <c r="G12" s="1064" t="s">
        <v>2428</v>
      </c>
      <c r="H12" s="1367"/>
      <c r="I12" s="1367" t="s">
        <v>3868</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4076</v>
      </c>
      <c r="W12" s="792" t="s">
        <v>4992</v>
      </c>
      <c r="X12" s="792" t="s">
        <v>8485</v>
      </c>
      <c r="Y12" s="792" t="s">
        <v>378</v>
      </c>
      <c r="Z12" s="1298" t="s">
        <v>3216</v>
      </c>
      <c r="AA12" s="792" t="s">
        <v>8486</v>
      </c>
      <c r="AB12" s="1298"/>
      <c r="AC12" s="1298" t="s">
        <v>2253</v>
      </c>
      <c r="AD12" s="1298" t="s">
        <v>8487</v>
      </c>
      <c r="AE12" s="792" t="s">
        <v>5179</v>
      </c>
      <c r="AF12" s="792" t="s">
        <v>4083</v>
      </c>
      <c r="AG12" s="1298" t="s">
        <v>8488</v>
      </c>
      <c r="AH12" s="1253"/>
      <c r="AI12" s="1289"/>
      <c r="AJ12" s="1289"/>
      <c r="AK12" s="1253"/>
      <c r="AL12" s="792" t="s">
        <v>5526</v>
      </c>
      <c r="AM12" s="1298" t="s">
        <v>8406</v>
      </c>
      <c r="AN12" s="1298" t="s">
        <v>8489</v>
      </c>
      <c r="AO12" s="1253"/>
      <c r="AP12" s="792" t="s">
        <v>8490</v>
      </c>
      <c r="AQ12" s="792" t="s">
        <v>8288</v>
      </c>
      <c r="AR12" s="1298" t="s">
        <v>8491</v>
      </c>
      <c r="AS12" s="792" t="s">
        <v>8492</v>
      </c>
      <c r="AT12" s="792" t="s">
        <v>8493</v>
      </c>
      <c r="AU12" s="792" t="s">
        <v>8360</v>
      </c>
      <c r="AV12" s="113" t="s">
        <v>8494</v>
      </c>
      <c r="AW12" s="792" t="s">
        <v>8495</v>
      </c>
      <c r="AX12" s="792" t="s">
        <v>8496</v>
      </c>
      <c r="AY12" s="1253"/>
      <c r="AZ12" s="1298" t="s">
        <v>1725</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4200</v>
      </c>
      <c r="BW12" s="1289"/>
      <c r="BX12" s="792" t="s">
        <v>4532</v>
      </c>
      <c r="BY12" s="792" t="s">
        <v>5434</v>
      </c>
      <c r="BZ12" s="1253"/>
      <c r="CA12" s="1289"/>
      <c r="CB12" s="792" t="s">
        <v>1666</v>
      </c>
      <c r="CC12" s="1289"/>
      <c r="CD12" s="1289"/>
      <c r="CE12" s="1347"/>
      <c r="CF12" s="792" t="s">
        <v>8454</v>
      </c>
      <c r="CG12" s="1289"/>
      <c r="CH12" s="1358"/>
      <c r="CI12" s="1360" t="s">
        <v>8289</v>
      </c>
      <c r="CJ12" s="1346" t="s">
        <v>8500</v>
      </c>
      <c r="CK12" s="1346"/>
      <c r="CL12" s="1359" t="s">
        <v>2903</v>
      </c>
      <c r="CM12" s="1346" t="s">
        <v>8501</v>
      </c>
      <c r="CN12" s="1346" t="s">
        <v>6214</v>
      </c>
      <c r="CO12" s="1346" t="s">
        <v>5785</v>
      </c>
      <c r="CP12" s="1346" t="s">
        <v>8383</v>
      </c>
      <c r="CQ12" s="1346" t="s">
        <v>8380</v>
      </c>
      <c r="CR12" s="1358"/>
      <c r="CS12" s="1358"/>
      <c r="CT12" s="1253"/>
      <c r="CU12" s="1253"/>
    </row>
    <row r="13">
      <c r="A13" s="1371" t="s">
        <v>6647</v>
      </c>
      <c r="B13" s="1064" t="s">
        <v>7862</v>
      </c>
      <c r="C13" s="1060" t="s">
        <v>441</v>
      </c>
      <c r="D13" s="1061" t="s">
        <v>335</v>
      </c>
      <c r="E13" s="1062" t="s">
        <v>334</v>
      </c>
      <c r="F13" s="1063" t="s">
        <v>223</v>
      </c>
      <c r="G13" s="1064" t="s">
        <v>1061</v>
      </c>
      <c r="H13" s="1372" t="str">
        <f>HYPERLINK("https://www.twitch.tv/videos/990301696","3:46.19")</f>
        <v>3:46.19</v>
      </c>
      <c r="I13" s="1367" t="s">
        <v>8502</v>
      </c>
      <c r="J13" s="792"/>
      <c r="K13" s="792" t="s">
        <v>8503</v>
      </c>
      <c r="L13" s="1253"/>
      <c r="M13" s="1373" t="str">
        <f>HYPERLINK("https://youtu.be/muKa7MrNAp8","2:59.41")</f>
        <v>2:59.41</v>
      </c>
      <c r="N13" s="1336"/>
      <c r="O13" s="113"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4257</v>
      </c>
      <c r="AE13" s="1253"/>
      <c r="AF13" s="1253"/>
      <c r="AG13" s="1253"/>
      <c r="AH13" s="792" t="s">
        <v>5727</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8509</v>
      </c>
      <c r="C14" s="1060" t="s">
        <v>334</v>
      </c>
      <c r="D14" s="1061" t="s">
        <v>334</v>
      </c>
      <c r="E14" s="1062" t="s">
        <v>1259</v>
      </c>
      <c r="F14" s="1063" t="s">
        <v>986</v>
      </c>
      <c r="G14" s="1064" t="s">
        <v>4042</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5127</v>
      </c>
      <c r="X14" s="753" t="s">
        <v>8517</v>
      </c>
      <c r="Y14" s="1298" t="s">
        <v>2713</v>
      </c>
      <c r="Z14" s="1253"/>
      <c r="AA14" s="1253"/>
      <c r="AB14" s="1289"/>
      <c r="AC14" s="792" t="s">
        <v>8518</v>
      </c>
      <c r="AD14" s="740" t="s">
        <v>4257</v>
      </c>
      <c r="AE14" s="1253"/>
      <c r="AF14" s="1253"/>
      <c r="AG14" s="1253"/>
      <c r="AH14" s="1298" t="s">
        <v>5407</v>
      </c>
      <c r="AI14" s="1289"/>
      <c r="AJ14" s="1289"/>
      <c r="AK14" s="1298" t="s">
        <v>4824</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6214</v>
      </c>
      <c r="CO14" s="1358"/>
      <c r="CP14" s="1358"/>
      <c r="CQ14" s="1358"/>
      <c r="CR14" s="1386" t="s">
        <v>7631</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8525</v>
      </c>
      <c r="N15" s="1253"/>
      <c r="O15" s="1253"/>
      <c r="P15" s="1253"/>
      <c r="Q15" s="1290" t="s">
        <v>8526</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8531</v>
      </c>
      <c r="C16" s="1060" t="s">
        <v>1201</v>
      </c>
      <c r="D16" s="1061" t="s">
        <v>548</v>
      </c>
      <c r="E16" s="1062" t="s">
        <v>1259</v>
      </c>
      <c r="F16" s="1063" t="s">
        <v>648</v>
      </c>
      <c r="G16" s="1064" t="s">
        <v>222</v>
      </c>
      <c r="H16" s="1388" t="s">
        <v>8532</v>
      </c>
      <c r="I16" s="1388" t="s">
        <v>8516</v>
      </c>
      <c r="J16" s="1290" t="s">
        <v>8533</v>
      </c>
      <c r="K16" s="1290" t="s">
        <v>8534</v>
      </c>
      <c r="L16" s="792" t="s">
        <v>8535</v>
      </c>
      <c r="M16" s="1253"/>
      <c r="N16" s="1290" t="s">
        <v>3690</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4040</v>
      </c>
      <c r="B17" s="1064" t="s">
        <v>7951</v>
      </c>
      <c r="C17" s="1060" t="s">
        <v>548</v>
      </c>
      <c r="D17" s="1061" t="s">
        <v>1259</v>
      </c>
      <c r="E17" s="1062" t="s">
        <v>548</v>
      </c>
      <c r="F17" s="1063" t="s">
        <v>439</v>
      </c>
      <c r="G17" s="1064" t="s">
        <v>3092</v>
      </c>
      <c r="H17" s="1367"/>
      <c r="I17" s="1367" t="s">
        <v>8543</v>
      </c>
      <c r="J17" s="792"/>
      <c r="K17" s="1298" t="s">
        <v>8544</v>
      </c>
      <c r="L17" s="792"/>
      <c r="M17" s="1298" t="s">
        <v>8545</v>
      </c>
      <c r="N17" s="1253"/>
      <c r="O17" s="1298" t="s">
        <v>8546</v>
      </c>
      <c r="P17" s="1253"/>
      <c r="Q17" s="1253"/>
      <c r="R17" s="792" t="s">
        <v>8547</v>
      </c>
      <c r="S17" s="1336" t="s">
        <v>8548</v>
      </c>
      <c r="T17" s="1298" t="s">
        <v>8549</v>
      </c>
      <c r="U17" s="792" t="s">
        <v>3776</v>
      </c>
      <c r="V17" s="1298"/>
      <c r="W17" s="1298" t="s">
        <v>4436</v>
      </c>
      <c r="X17" s="792" t="s">
        <v>3809</v>
      </c>
      <c r="Y17" s="1298" t="s">
        <v>2797</v>
      </c>
      <c r="Z17" s="1253"/>
      <c r="AA17" s="1253"/>
      <c r="AB17" s="1289"/>
      <c r="AC17" s="1298" t="s">
        <v>8550</v>
      </c>
      <c r="AD17" s="792" t="s">
        <v>2025</v>
      </c>
      <c r="AE17" s="792"/>
      <c r="AF17" s="1298" t="s">
        <v>8551</v>
      </c>
      <c r="AG17" s="1290" t="s">
        <v>8552</v>
      </c>
      <c r="AH17" s="1295" t="s">
        <v>1268</v>
      </c>
      <c r="AI17" s="1289"/>
      <c r="AJ17" s="1289"/>
      <c r="AK17" s="1298" t="s">
        <v>708</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4771</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4688</v>
      </c>
      <c r="BW17" s="1289"/>
      <c r="BX17" s="1253"/>
      <c r="BY17" s="792" t="s">
        <v>2229</v>
      </c>
      <c r="BZ17" s="1253"/>
      <c r="CA17" s="1289"/>
      <c r="CB17" s="792" t="s">
        <v>4527</v>
      </c>
      <c r="CC17" s="1298" t="s">
        <v>8559</v>
      </c>
      <c r="CD17" s="1298"/>
      <c r="CE17" s="1253"/>
      <c r="CF17" s="1253"/>
      <c r="CG17" s="1289"/>
      <c r="CH17" s="1289"/>
      <c r="CI17" s="1253"/>
      <c r="CJ17" s="1253"/>
      <c r="CK17" s="1289"/>
      <c r="CL17" s="1289"/>
      <c r="CM17" s="1298" t="s">
        <v>8560</v>
      </c>
      <c r="CN17" s="1298" t="s">
        <v>1881</v>
      </c>
      <c r="CO17" s="1298" t="s">
        <v>1811</v>
      </c>
      <c r="CP17" s="1298" t="s">
        <v>8561</v>
      </c>
      <c r="CQ17" s="792" t="s">
        <v>8562</v>
      </c>
      <c r="CR17" s="1298" t="s">
        <v>3337</v>
      </c>
      <c r="CS17" s="792" t="s">
        <v>8563</v>
      </c>
      <c r="CT17" s="1253"/>
      <c r="CU17" s="1253"/>
    </row>
    <row r="18">
      <c r="A18" s="1390" t="s">
        <v>8137</v>
      </c>
      <c r="B18" s="1064" t="s">
        <v>8564</v>
      </c>
      <c r="C18" s="1060" t="s">
        <v>440</v>
      </c>
      <c r="D18" s="1061" t="s">
        <v>439</v>
      </c>
      <c r="E18" s="1062" t="s">
        <v>1259</v>
      </c>
      <c r="F18" s="1063" t="s">
        <v>3283</v>
      </c>
      <c r="G18" s="1064" t="s">
        <v>1200</v>
      </c>
      <c r="H18" s="1367"/>
      <c r="I18" s="1367"/>
      <c r="J18" s="1253"/>
      <c r="K18" s="1253"/>
      <c r="L18" s="1253"/>
      <c r="M18" s="1253"/>
      <c r="N18" s="1253"/>
      <c r="O18" s="1253"/>
      <c r="P18" s="1253"/>
      <c r="Q18" s="1253"/>
      <c r="R18" s="1253"/>
      <c r="S18" s="1253"/>
      <c r="T18" s="1253"/>
      <c r="U18" s="1253"/>
      <c r="V18" s="1289"/>
      <c r="W18" s="1290" t="s">
        <v>8565</v>
      </c>
      <c r="X18" s="1296" t="s">
        <v>1742</v>
      </c>
      <c r="Y18" s="1253"/>
      <c r="Z18" s="1253"/>
      <c r="AA18" s="1253"/>
      <c r="AB18" s="1290" t="s">
        <v>8566</v>
      </c>
      <c r="AC18" s="1296" t="s">
        <v>2458</v>
      </c>
      <c r="AD18" s="753" t="s">
        <v>2733</v>
      </c>
      <c r="AE18" s="1285"/>
      <c r="AF18" s="1290" t="s">
        <v>8567</v>
      </c>
      <c r="AG18" s="1253"/>
      <c r="AH18" s="1290" t="s">
        <v>1700</v>
      </c>
      <c r="AI18" s="1290" t="s">
        <v>3142</v>
      </c>
      <c r="AJ18" s="1289"/>
      <c r="AK18" s="792" t="s">
        <v>4259</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3471</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8569</v>
      </c>
      <c r="C19" s="1060" t="s">
        <v>1259</v>
      </c>
      <c r="D19" s="1061" t="s">
        <v>1259</v>
      </c>
      <c r="E19" s="1062" t="s">
        <v>1259</v>
      </c>
      <c r="F19" s="1063" t="s">
        <v>548</v>
      </c>
      <c r="G19" s="1064" t="s">
        <v>3371</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3439</v>
      </c>
      <c r="X19" s="792" t="s">
        <v>2615</v>
      </c>
      <c r="Y19" s="1298" t="s">
        <v>8575</v>
      </c>
      <c r="Z19" s="1253"/>
      <c r="AA19" s="1253"/>
      <c r="AB19" s="1289"/>
      <c r="AC19" s="753" t="s">
        <v>345</v>
      </c>
      <c r="AD19" s="1298" t="s">
        <v>4002</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2153</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4429</v>
      </c>
      <c r="B20" s="1064" t="s">
        <v>8582</v>
      </c>
      <c r="C20" s="1060" t="s">
        <v>1259</v>
      </c>
      <c r="D20" s="1061" t="s">
        <v>1259</v>
      </c>
      <c r="E20" s="1062" t="s">
        <v>1259</v>
      </c>
      <c r="F20" s="1063" t="s">
        <v>1259</v>
      </c>
      <c r="G20" s="1064" t="s">
        <v>3371</v>
      </c>
      <c r="H20" s="1367" t="s">
        <v>8583</v>
      </c>
      <c r="I20" s="1367" t="s">
        <v>8584</v>
      </c>
      <c r="J20" s="792" t="s">
        <v>8585</v>
      </c>
      <c r="K20" s="1367" t="s">
        <v>8586</v>
      </c>
      <c r="L20" s="792" t="s">
        <v>8587</v>
      </c>
      <c r="M20" s="792" t="s">
        <v>8368</v>
      </c>
      <c r="N20" s="792" t="s">
        <v>8588</v>
      </c>
      <c r="O20" s="792" t="s">
        <v>8589</v>
      </c>
      <c r="P20" s="792" t="s">
        <v>7858</v>
      </c>
      <c r="Q20" s="1253"/>
      <c r="R20" s="792" t="s">
        <v>8504</v>
      </c>
      <c r="S20" s="113" t="s">
        <v>8590</v>
      </c>
      <c r="T20" s="1253"/>
      <c r="U20" s="1392" t="s">
        <v>8591</v>
      </c>
      <c r="V20" s="792" t="s">
        <v>8592</v>
      </c>
      <c r="W20" s="1298" t="s">
        <v>8593</v>
      </c>
      <c r="X20" s="792" t="s">
        <v>8594</v>
      </c>
      <c r="Y20" s="792" t="s">
        <v>250</v>
      </c>
      <c r="Z20" s="1253"/>
      <c r="AA20" s="1253"/>
      <c r="AB20" s="1289"/>
      <c r="AC20" s="1298" t="s">
        <v>8595</v>
      </c>
      <c r="AD20" s="792" t="s">
        <v>4164</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8597</v>
      </c>
      <c r="C21" s="1060" t="s">
        <v>1259</v>
      </c>
      <c r="D21" s="1061" t="s">
        <v>1259</v>
      </c>
      <c r="E21" s="1062" t="s">
        <v>1259</v>
      </c>
      <c r="F21" s="1063" t="s">
        <v>1259</v>
      </c>
      <c r="G21" s="1064" t="s">
        <v>223</v>
      </c>
      <c r="H21" s="1367"/>
      <c r="I21" s="1367" t="s">
        <v>8598</v>
      </c>
      <c r="J21" s="792"/>
      <c r="K21" s="1298" t="s">
        <v>8599</v>
      </c>
      <c r="L21" s="792"/>
      <c r="M21" s="792"/>
      <c r="N21" s="792"/>
      <c r="O21" s="1298" t="s">
        <v>8600</v>
      </c>
      <c r="P21" s="792"/>
      <c r="Q21" s="1253"/>
      <c r="R21" s="1253"/>
      <c r="S21" s="1253"/>
      <c r="T21" s="792"/>
      <c r="U21" s="1298" t="s">
        <v>8601</v>
      </c>
      <c r="V21" s="1298"/>
      <c r="W21" s="1298" t="s">
        <v>117</v>
      </c>
      <c r="X21" s="792"/>
      <c r="Y21" s="1298" t="s">
        <v>3231</v>
      </c>
      <c r="Z21" s="792"/>
      <c r="AA21" s="792"/>
      <c r="AB21" s="1298"/>
      <c r="AC21" s="1298" t="s">
        <v>8602</v>
      </c>
      <c r="AD21" s="1298" t="s">
        <v>4886</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5139</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1259</v>
      </c>
      <c r="D22" s="1061" t="s">
        <v>1259</v>
      </c>
      <c r="E22" s="1062" t="s">
        <v>1259</v>
      </c>
      <c r="F22" s="1063" t="s">
        <v>439</v>
      </c>
      <c r="G22" s="1064" t="s">
        <v>223</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370</v>
      </c>
      <c r="X22" s="792"/>
      <c r="Y22" s="1298" t="s">
        <v>5166</v>
      </c>
      <c r="Z22" s="1253"/>
      <c r="AA22" s="1253"/>
      <c r="AB22" s="1289"/>
      <c r="AC22" s="1298" t="s">
        <v>8613</v>
      </c>
      <c r="AD22" s="1298" t="s">
        <v>4106</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1259</v>
      </c>
      <c r="D23" s="1061" t="s">
        <v>1259</v>
      </c>
      <c r="E23" s="1062" t="s">
        <v>1259</v>
      </c>
      <c r="F23" s="1063" t="s">
        <v>1259</v>
      </c>
      <c r="G23" s="1064" t="s">
        <v>2837</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2767</v>
      </c>
      <c r="X23" s="792"/>
      <c r="Y23" s="1298" t="s">
        <v>1015</v>
      </c>
      <c r="Z23" s="1289" t="s">
        <v>8622</v>
      </c>
      <c r="AA23" s="1253"/>
      <c r="AB23" s="1289"/>
      <c r="AC23" s="792"/>
      <c r="AD23" s="1298" t="s">
        <v>1911</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1259</v>
      </c>
      <c r="D24" s="1061" t="s">
        <v>548</v>
      </c>
      <c r="E24" s="1062" t="s">
        <v>1259</v>
      </c>
      <c r="F24" s="1063" t="s">
        <v>441</v>
      </c>
      <c r="G24" s="1064" t="s">
        <v>3371</v>
      </c>
      <c r="H24" s="1367"/>
      <c r="I24" s="1367" t="s">
        <v>8631</v>
      </c>
      <c r="J24" s="792"/>
      <c r="K24" s="792" t="s">
        <v>8632</v>
      </c>
      <c r="L24" s="1296" t="s">
        <v>3754</v>
      </c>
      <c r="M24" s="1253"/>
      <c r="N24" s="1253"/>
      <c r="O24" s="1253"/>
      <c r="P24" s="792" t="s">
        <v>5810</v>
      </c>
      <c r="Q24" s="1253"/>
      <c r="R24" s="753" t="s">
        <v>8633</v>
      </c>
      <c r="S24" s="1253"/>
      <c r="T24" s="1253"/>
      <c r="U24" s="792" t="s">
        <v>753</v>
      </c>
      <c r="V24" s="1298"/>
      <c r="W24" s="1298" t="s">
        <v>4309</v>
      </c>
      <c r="X24" s="792" t="s">
        <v>3444</v>
      </c>
      <c r="Y24" s="753" t="s">
        <v>5847</v>
      </c>
      <c r="Z24" s="1253"/>
      <c r="AA24" s="1253"/>
      <c r="AB24" s="1289"/>
      <c r="AC24" s="1298" t="s">
        <v>8634</v>
      </c>
      <c r="AD24" s="1298" t="s">
        <v>5673</v>
      </c>
      <c r="AE24" s="792"/>
      <c r="AF24" s="1298" t="s">
        <v>8635</v>
      </c>
      <c r="AG24" s="792"/>
      <c r="AH24" s="1298" t="s">
        <v>8636</v>
      </c>
      <c r="AI24" s="1289"/>
      <c r="AJ24" s="1289"/>
      <c r="AK24" s="1303" t="s">
        <v>3799</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4042</v>
      </c>
      <c r="CN24" s="1298" t="s">
        <v>221</v>
      </c>
      <c r="CO24" s="1298" t="s">
        <v>4669</v>
      </c>
      <c r="CP24" s="1289"/>
      <c r="CQ24" s="1289"/>
      <c r="CR24" s="1289"/>
      <c r="CS24" s="1289"/>
      <c r="CT24" s="1253"/>
      <c r="CU24" s="1253"/>
    </row>
    <row r="25">
      <c r="A25" s="1398" t="s">
        <v>5299</v>
      </c>
      <c r="B25" s="1064" t="s">
        <v>8630</v>
      </c>
      <c r="C25" s="1060" t="s">
        <v>1259</v>
      </c>
      <c r="D25" s="1061" t="s">
        <v>548</v>
      </c>
      <c r="E25" s="1062" t="s">
        <v>548</v>
      </c>
      <c r="F25" s="1063" t="s">
        <v>440</v>
      </c>
      <c r="G25" s="1064" t="s">
        <v>5139</v>
      </c>
      <c r="H25" s="1372" t="s">
        <v>8638</v>
      </c>
      <c r="I25" s="1372" t="s">
        <v>5305</v>
      </c>
      <c r="J25" s="1285"/>
      <c r="K25" s="1298" t="s">
        <v>8639</v>
      </c>
      <c r="L25" s="792"/>
      <c r="M25" s="792"/>
      <c r="N25" s="1298" t="s">
        <v>8640</v>
      </c>
      <c r="O25" s="1298" t="s">
        <v>8641</v>
      </c>
      <c r="P25" s="1298" t="s">
        <v>8642</v>
      </c>
      <c r="Q25" s="1298" t="s">
        <v>8643</v>
      </c>
      <c r="R25" s="1298" t="s">
        <v>8644</v>
      </c>
      <c r="S25" s="1298" t="s">
        <v>5323</v>
      </c>
      <c r="T25" s="1298" t="s">
        <v>8645</v>
      </c>
      <c r="U25" s="1298" t="s">
        <v>8646</v>
      </c>
      <c r="V25" s="1298"/>
      <c r="W25" s="1298" t="s">
        <v>6076</v>
      </c>
      <c r="X25" s="792"/>
      <c r="Y25" s="1253"/>
      <c r="Z25" s="1253"/>
      <c r="AA25" s="1253"/>
      <c r="AB25" s="1289"/>
      <c r="AC25" s="1298" t="s">
        <v>8647</v>
      </c>
      <c r="AD25" s="1298" t="s">
        <v>5880</v>
      </c>
      <c r="AE25" s="792"/>
      <c r="AF25" s="1298" t="s">
        <v>7690</v>
      </c>
      <c r="AG25" s="792"/>
      <c r="AH25" s="1298" t="s">
        <v>3323</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163</v>
      </c>
      <c r="BW25" s="1298" t="s">
        <v>1782</v>
      </c>
      <c r="BX25" s="1298" t="s">
        <v>1631</v>
      </c>
      <c r="BY25" s="1295" t="s">
        <v>4958</v>
      </c>
      <c r="BZ25" s="1298" t="s">
        <v>2253</v>
      </c>
      <c r="CA25" s="1298" t="s">
        <v>5457</v>
      </c>
      <c r="CB25" s="1298" t="s">
        <v>2132</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4882</v>
      </c>
      <c r="CU25" s="1285"/>
    </row>
    <row r="26">
      <c r="A26" s="1403" t="s">
        <v>3188</v>
      </c>
      <c r="B26" s="1064" t="s">
        <v>8630</v>
      </c>
      <c r="C26" s="1060" t="s">
        <v>548</v>
      </c>
      <c r="D26" s="1061" t="s">
        <v>1259</v>
      </c>
      <c r="E26" s="1062" t="s">
        <v>548</v>
      </c>
      <c r="F26" s="1063" t="s">
        <v>335</v>
      </c>
      <c r="G26" s="1064" t="s">
        <v>3371</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5073</v>
      </c>
      <c r="Z26" s="1253"/>
      <c r="AA26" s="792" t="s">
        <v>8667</v>
      </c>
      <c r="AB26" s="1289"/>
      <c r="AC26" s="792" t="s">
        <v>8668</v>
      </c>
      <c r="AD26" s="792" t="s">
        <v>5290</v>
      </c>
      <c r="AE26" s="753" t="s">
        <v>4527</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1259</v>
      </c>
      <c r="D27" s="1061" t="s">
        <v>1259</v>
      </c>
      <c r="E27" s="1062" t="s">
        <v>1259</v>
      </c>
      <c r="F27" s="1063" t="s">
        <v>441</v>
      </c>
      <c r="G27" s="1064" t="s">
        <v>2675</v>
      </c>
      <c r="H27" s="1367"/>
      <c r="I27" s="1367" t="s">
        <v>8673</v>
      </c>
      <c r="J27" s="1253"/>
      <c r="K27" s="792" t="s">
        <v>8674</v>
      </c>
      <c r="L27" s="1253"/>
      <c r="M27" s="1253"/>
      <c r="N27" s="1253"/>
      <c r="O27" s="1253"/>
      <c r="P27" s="792" t="s">
        <v>8675</v>
      </c>
      <c r="Q27" s="1253"/>
      <c r="R27" s="792" t="s">
        <v>8676</v>
      </c>
      <c r="S27" s="1253"/>
      <c r="T27" s="792" t="s">
        <v>8677</v>
      </c>
      <c r="U27" s="753" t="s">
        <v>5398</v>
      </c>
      <c r="V27" s="1289"/>
      <c r="W27" s="1253"/>
      <c r="X27" s="792" t="s">
        <v>6839</v>
      </c>
      <c r="Y27" s="753" t="s">
        <v>6932</v>
      </c>
      <c r="Z27" s="1253"/>
      <c r="AA27" s="792" t="s">
        <v>8678</v>
      </c>
      <c r="AB27" s="1289"/>
      <c r="AC27" s="792" t="s">
        <v>8679</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4667</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8507</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3966</v>
      </c>
      <c r="BW28" s="1289"/>
      <c r="BX28" s="1290" t="s">
        <v>1664</v>
      </c>
      <c r="BY28" s="1253"/>
      <c r="BZ28" s="1290" t="s">
        <v>8680</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8034</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3276</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8681</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8682</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3834</v>
      </c>
      <c r="C31" s="1060" t="s">
        <v>1259</v>
      </c>
      <c r="D31" s="1061" t="s">
        <v>1259</v>
      </c>
      <c r="E31" s="1062" t="s">
        <v>1259</v>
      </c>
      <c r="F31" s="1063" t="s">
        <v>1259</v>
      </c>
      <c r="G31" s="1064" t="s">
        <v>222</v>
      </c>
      <c r="H31" s="1367"/>
      <c r="I31" s="1367" t="s">
        <v>6706</v>
      </c>
      <c r="J31" s="1253"/>
      <c r="K31" s="792" t="s">
        <v>8683</v>
      </c>
      <c r="L31" s="1253"/>
      <c r="M31" s="1253"/>
      <c r="N31" s="1253"/>
      <c r="O31" s="1253"/>
      <c r="P31" s="792" t="s">
        <v>8684</v>
      </c>
      <c r="Q31" s="1253"/>
      <c r="R31" s="1253"/>
      <c r="S31" s="1253"/>
      <c r="T31" s="792" t="s">
        <v>8685</v>
      </c>
      <c r="U31" s="792" t="s">
        <v>8686</v>
      </c>
      <c r="V31" s="1289"/>
      <c r="W31" s="792" t="s">
        <v>251</v>
      </c>
      <c r="X31" s="792" t="s">
        <v>8687</v>
      </c>
      <c r="Y31" s="792" t="s">
        <v>367</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2373</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4533</v>
      </c>
      <c r="B32" s="1064" t="s">
        <v>4025</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8689</v>
      </c>
      <c r="AD32" s="792" t="s">
        <v>2126</v>
      </c>
      <c r="AE32" s="792"/>
      <c r="AF32" s="1298" t="s">
        <v>7904</v>
      </c>
      <c r="AG32" s="792"/>
      <c r="AH32" s="1298" t="s">
        <v>4444</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4554</v>
      </c>
      <c r="BY32" s="1298" t="s">
        <v>4471</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4220</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1653</v>
      </c>
      <c r="AD33" s="792" t="s">
        <v>5477</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3562</v>
      </c>
      <c r="C34" s="1060" t="s">
        <v>439</v>
      </c>
      <c r="D34" s="1061" t="s">
        <v>1259</v>
      </c>
      <c r="E34" s="1062" t="s">
        <v>1259</v>
      </c>
      <c r="F34" s="1063" t="s">
        <v>439</v>
      </c>
      <c r="G34" s="1064" t="s">
        <v>439</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3745</v>
      </c>
      <c r="BZ35" s="1351" t="s">
        <v>8701</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4104</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4220</v>
      </c>
      <c r="H38" s="1367"/>
      <c r="I38" s="1367"/>
      <c r="J38" s="1253"/>
      <c r="K38" s="1253"/>
      <c r="L38" s="1253"/>
      <c r="M38" s="1253"/>
      <c r="N38" s="1253"/>
      <c r="O38" s="1253"/>
      <c r="P38" s="1253"/>
      <c r="Q38" s="1253"/>
      <c r="R38" s="1253"/>
      <c r="S38" s="792" t="s">
        <v>8702</v>
      </c>
      <c r="T38" s="1253"/>
      <c r="U38" s="792" t="s">
        <v>8703</v>
      </c>
      <c r="V38" s="1289"/>
      <c r="W38" s="1253"/>
      <c r="X38" s="792" t="s">
        <v>6399</v>
      </c>
      <c r="Y38" s="792" t="s">
        <v>1938</v>
      </c>
      <c r="Z38" s="1253"/>
      <c r="AA38" s="792" t="s">
        <v>3139</v>
      </c>
      <c r="AB38" s="1289"/>
      <c r="AC38" s="792" t="s">
        <v>8704</v>
      </c>
      <c r="AD38" s="792" t="s">
        <v>2125</v>
      </c>
      <c r="AE38" s="792" t="s">
        <v>6477</v>
      </c>
      <c r="AF38" s="792" t="s">
        <v>8705</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1416</v>
      </c>
      <c r="B39" s="1064" t="s">
        <v>8706</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4643</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3929</v>
      </c>
      <c r="C41" s="1060" t="s">
        <v>1259</v>
      </c>
      <c r="D41" s="1061" t="s">
        <v>1259</v>
      </c>
      <c r="E41" s="1062" t="s">
        <v>1259</v>
      </c>
      <c r="F41" s="1063" t="s">
        <v>1259</v>
      </c>
      <c r="G41" s="1064" t="s">
        <v>439</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3371</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3880</v>
      </c>
      <c r="AF43" s="792" t="s">
        <v>8713</v>
      </c>
      <c r="AG43" s="792" t="s">
        <v>570</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8716</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3615</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4220</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4220</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8719</v>
      </c>
      <c r="V50" s="1289"/>
      <c r="W50" s="1253"/>
      <c r="X50" s="792" t="s">
        <v>666</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4122</v>
      </c>
      <c r="B51" s="1064" t="s">
        <v>3283</v>
      </c>
      <c r="C51" s="1060" t="s">
        <v>1259</v>
      </c>
      <c r="D51" s="1061" t="s">
        <v>1259</v>
      </c>
      <c r="E51" s="1062" t="s">
        <v>1259</v>
      </c>
      <c r="F51" s="1063" t="s">
        <v>1259</v>
      </c>
      <c r="G51" s="1064" t="s">
        <v>439</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4309</v>
      </c>
      <c r="X52" s="792"/>
      <c r="Y52" s="792" t="s">
        <v>3205</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4165</v>
      </c>
      <c r="CU55" s="1285"/>
    </row>
    <row r="56">
      <c r="A56" s="1421" t="s">
        <v>8730</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3754</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3927</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6284</v>
      </c>
      <c r="I2" s="1443" t="s">
        <v>8778</v>
      </c>
      <c r="J2" s="1444" t="s">
        <v>5198</v>
      </c>
      <c r="K2" s="1445" t="s">
        <v>8779</v>
      </c>
      <c r="L2" s="1445" t="s">
        <v>235</v>
      </c>
      <c r="M2" s="1445" t="s">
        <v>6258</v>
      </c>
      <c r="N2" s="1445" t="s">
        <v>4059</v>
      </c>
      <c r="O2" s="1445" t="s">
        <v>8780</v>
      </c>
      <c r="P2" s="1445" t="s">
        <v>1286</v>
      </c>
      <c r="Q2" s="1446" t="s">
        <v>8781</v>
      </c>
      <c r="R2" s="1447" t="s">
        <v>8782</v>
      </c>
      <c r="S2" s="1446" t="s">
        <v>6881</v>
      </c>
      <c r="T2" s="1447" t="s">
        <v>3266</v>
      </c>
      <c r="U2" s="1446" t="s">
        <v>7623</v>
      </c>
      <c r="V2" s="1446" t="s">
        <v>3764</v>
      </c>
      <c r="W2" s="1448" t="s">
        <v>8783</v>
      </c>
      <c r="X2" s="1449" t="s">
        <v>8784</v>
      </c>
      <c r="Y2" s="1449" t="s">
        <v>5852</v>
      </c>
      <c r="Z2" s="1450" t="s">
        <v>2928</v>
      </c>
      <c r="AA2" s="1449" t="s">
        <v>8785</v>
      </c>
      <c r="AB2" s="1449" t="s">
        <v>8786</v>
      </c>
      <c r="AC2" s="1450" t="s">
        <v>4085</v>
      </c>
      <c r="AD2" s="1451" t="s">
        <v>8787</v>
      </c>
      <c r="AE2" s="1452" t="s">
        <v>4793</v>
      </c>
      <c r="AF2" s="1453" t="s">
        <v>8788</v>
      </c>
      <c r="AG2" s="1453" t="s">
        <v>8789</v>
      </c>
      <c r="AH2" s="1453" t="s">
        <v>3840</v>
      </c>
      <c r="AI2" s="1454" t="s">
        <v>5406</v>
      </c>
      <c r="AJ2" s="1454" t="s">
        <v>8790</v>
      </c>
      <c r="AK2" s="1454" t="s">
        <v>8791</v>
      </c>
      <c r="AL2" s="1454" t="s">
        <v>5566</v>
      </c>
      <c r="AM2" s="1455" t="s">
        <v>8792</v>
      </c>
      <c r="AN2" s="1456" t="s">
        <v>8793</v>
      </c>
      <c r="AO2" s="1456" t="s">
        <v>7756</v>
      </c>
      <c r="AP2" s="1457" t="s">
        <v>8794</v>
      </c>
      <c r="AQ2" s="1455" t="s">
        <v>8795</v>
      </c>
      <c r="AR2" s="1456" t="s">
        <v>8796</v>
      </c>
      <c r="AS2" s="1455" t="s">
        <v>1333</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1352</v>
      </c>
      <c r="K3" s="1466" t="s">
        <v>8806</v>
      </c>
      <c r="L3" s="1466" t="s">
        <v>2942</v>
      </c>
      <c r="M3" s="1466" t="s">
        <v>8807</v>
      </c>
      <c r="N3" s="1466" t="s">
        <v>2495</v>
      </c>
      <c r="O3" s="1466" t="s">
        <v>8808</v>
      </c>
      <c r="P3" s="1466" t="s">
        <v>5500</v>
      </c>
      <c r="Q3" s="1467" t="s">
        <v>5840</v>
      </c>
      <c r="R3" s="1467" t="s">
        <v>8809</v>
      </c>
      <c r="S3" s="1467" t="s">
        <v>337</v>
      </c>
      <c r="T3" s="1467" t="s">
        <v>8810</v>
      </c>
      <c r="U3" s="1468" t="s">
        <v>8065</v>
      </c>
      <c r="V3" s="1467" t="s">
        <v>8811</v>
      </c>
      <c r="W3" s="1469" t="s">
        <v>4142</v>
      </c>
      <c r="X3" s="1469" t="s">
        <v>7676</v>
      </c>
      <c r="Y3" s="1470" t="s">
        <v>8812</v>
      </c>
      <c r="Z3" s="1470" t="s">
        <v>1339</v>
      </c>
      <c r="AA3" s="1470" t="s">
        <v>5985</v>
      </c>
      <c r="AB3" s="1469" t="s">
        <v>2980</v>
      </c>
      <c r="AC3" s="1470" t="s">
        <v>8813</v>
      </c>
      <c r="AD3" s="1464" t="s">
        <v>8814</v>
      </c>
      <c r="AE3" s="1464" t="s">
        <v>6854</v>
      </c>
      <c r="AF3" s="1471" t="s">
        <v>8815</v>
      </c>
      <c r="AG3" s="1472" t="s">
        <v>4603</v>
      </c>
      <c r="AH3" s="1472" t="s">
        <v>8816</v>
      </c>
      <c r="AI3" s="1472" t="s">
        <v>8817</v>
      </c>
      <c r="AJ3" s="1471" t="s">
        <v>8818</v>
      </c>
      <c r="AK3" s="1472" t="s">
        <v>8819</v>
      </c>
      <c r="AL3" s="1472" t="s">
        <v>6238</v>
      </c>
      <c r="AM3" s="1473" t="s">
        <v>8820</v>
      </c>
      <c r="AN3" s="1473" t="s">
        <v>3209</v>
      </c>
      <c r="AO3" s="1474" t="s">
        <v>7955</v>
      </c>
      <c r="AP3" s="1474" t="s">
        <v>8821</v>
      </c>
      <c r="AQ3" s="1474" t="s">
        <v>8822</v>
      </c>
      <c r="AR3" s="1474" t="s">
        <v>4066</v>
      </c>
      <c r="AS3" s="1473" t="s">
        <v>5227</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351</v>
      </c>
      <c r="J4" s="1482" t="s">
        <v>8832</v>
      </c>
      <c r="K4" s="1482" t="s">
        <v>6306</v>
      </c>
      <c r="L4" s="1482" t="s">
        <v>3798</v>
      </c>
      <c r="M4" s="1482" t="s">
        <v>8833</v>
      </c>
      <c r="N4" s="1482" t="s">
        <v>8792</v>
      </c>
      <c r="O4" s="1482" t="s">
        <v>8834</v>
      </c>
      <c r="P4" s="1482" t="s">
        <v>8835</v>
      </c>
      <c r="Q4" s="1483" t="s">
        <v>8836</v>
      </c>
      <c r="R4" s="1483" t="s">
        <v>8837</v>
      </c>
      <c r="S4" s="1483" t="s">
        <v>2267</v>
      </c>
      <c r="T4" s="1483" t="s">
        <v>8838</v>
      </c>
      <c r="U4" s="1483" t="s">
        <v>8839</v>
      </c>
      <c r="V4" s="1483" t="s">
        <v>4270</v>
      </c>
      <c r="W4" s="1484" t="s">
        <v>8840</v>
      </c>
      <c r="X4" s="1484" t="s">
        <v>8841</v>
      </c>
      <c r="Y4" s="1484">
        <v>47.93</v>
      </c>
      <c r="Z4" s="1484" t="s">
        <v>8842</v>
      </c>
      <c r="AA4" s="1484" t="s">
        <v>8843</v>
      </c>
      <c r="AB4" s="1484" t="s">
        <v>8844</v>
      </c>
      <c r="AC4" s="1484">
        <v>49.24</v>
      </c>
      <c r="AD4" s="1485" t="s">
        <v>8845</v>
      </c>
      <c r="AE4" s="1486" t="s">
        <v>5594</v>
      </c>
      <c r="AF4" s="1487" t="s">
        <v>2706</v>
      </c>
      <c r="AG4" s="1487" t="s">
        <v>4598</v>
      </c>
      <c r="AH4" s="1487" t="s">
        <v>5229</v>
      </c>
      <c r="AI4" s="1487" t="s">
        <v>8846</v>
      </c>
      <c r="AJ4" s="1487" t="s">
        <v>8847</v>
      </c>
      <c r="AK4" s="1487" t="s">
        <v>887</v>
      </c>
      <c r="AL4" s="1487" t="s">
        <v>8848</v>
      </c>
      <c r="AM4" s="1488" t="s">
        <v>8849</v>
      </c>
      <c r="AN4" s="1489" t="s">
        <v>8850</v>
      </c>
      <c r="AO4" s="1488" t="s">
        <v>8851</v>
      </c>
      <c r="AP4" s="1489" t="s">
        <v>8852</v>
      </c>
      <c r="AQ4" s="1488" t="s">
        <v>8853</v>
      </c>
      <c r="AR4" s="1488" t="s">
        <v>6657</v>
      </c>
      <c r="AS4" s="1488" t="s">
        <v>756</v>
      </c>
      <c r="AT4" s="1490" t="s">
        <v>8854</v>
      </c>
      <c r="AU4" s="1491" t="s">
        <v>8855</v>
      </c>
      <c r="AV4" s="1492" t="str">
        <f t="shared" si="1"/>
        <v>2:49</v>
      </c>
      <c r="AW4" s="1460"/>
    </row>
    <row r="5" ht="15.75" customHeight="1">
      <c r="A5" s="1493" t="s">
        <v>1059</v>
      </c>
      <c r="B5" s="1494" t="s">
        <v>8773</v>
      </c>
      <c r="C5" s="1495">
        <v>0.0490162037037037</v>
      </c>
      <c r="D5" s="1496" t="s">
        <v>8774</v>
      </c>
      <c r="E5" s="1496" t="s">
        <v>8775</v>
      </c>
      <c r="F5" s="1497" t="s">
        <v>8856</v>
      </c>
      <c r="G5" s="1498" t="s">
        <v>8777</v>
      </c>
      <c r="H5" s="1496" t="s">
        <v>6284</v>
      </c>
      <c r="I5" s="1496" t="s">
        <v>8778</v>
      </c>
      <c r="J5" s="1498" t="s">
        <v>5198</v>
      </c>
      <c r="K5" s="1499" t="s">
        <v>4364</v>
      </c>
      <c r="L5" s="1497" t="s">
        <v>2307</v>
      </c>
      <c r="M5" s="1499" t="s">
        <v>2564</v>
      </c>
      <c r="N5" s="1500" t="s">
        <v>4059</v>
      </c>
      <c r="O5" s="1501" t="s">
        <v>8857</v>
      </c>
      <c r="P5" s="1502" t="s">
        <v>4180</v>
      </c>
      <c r="Q5" s="1500" t="s">
        <v>8781</v>
      </c>
      <c r="R5" s="1498" t="s">
        <v>8782</v>
      </c>
      <c r="S5" s="1500" t="s">
        <v>6881</v>
      </c>
      <c r="T5" s="1498" t="s">
        <v>3266</v>
      </c>
      <c r="U5" s="1500" t="s">
        <v>7623</v>
      </c>
      <c r="V5" s="1503" t="s">
        <v>3764</v>
      </c>
      <c r="W5" s="1496" t="s">
        <v>8783</v>
      </c>
      <c r="X5" s="1498" t="s">
        <v>8784</v>
      </c>
      <c r="Y5" s="1498" t="s">
        <v>5852</v>
      </c>
      <c r="Z5" s="1501" t="s">
        <v>5056</v>
      </c>
      <c r="AA5" s="1498" t="s">
        <v>8785</v>
      </c>
      <c r="AB5" s="1497" t="s">
        <v>3286</v>
      </c>
      <c r="AC5" s="1500" t="s">
        <v>4085</v>
      </c>
      <c r="AD5" s="1498" t="s">
        <v>8787</v>
      </c>
      <c r="AE5" s="1499" t="s">
        <v>1097</v>
      </c>
      <c r="AF5" s="1413" t="s">
        <v>8858</v>
      </c>
      <c r="AG5" s="1285" t="s">
        <v>8859</v>
      </c>
      <c r="AH5" s="1497" t="s">
        <v>5556</v>
      </c>
      <c r="AI5" s="1500" t="s">
        <v>5406</v>
      </c>
      <c r="AJ5" s="1285" t="s">
        <v>8860</v>
      </c>
      <c r="AK5" s="1500" t="s">
        <v>8791</v>
      </c>
      <c r="AL5" s="1498" t="s">
        <v>5566</v>
      </c>
      <c r="AM5" s="1498" t="s">
        <v>8792</v>
      </c>
      <c r="AN5" s="1501" t="s">
        <v>5342</v>
      </c>
      <c r="AO5" s="1499" t="s">
        <v>7494</v>
      </c>
      <c r="AP5" s="1498" t="s">
        <v>8794</v>
      </c>
      <c r="AQ5" s="1498" t="s">
        <v>8795</v>
      </c>
      <c r="AR5" s="1285" t="s">
        <v>8861</v>
      </c>
      <c r="AS5" s="1501" t="s">
        <v>105</v>
      </c>
      <c r="AT5" s="1497" t="s">
        <v>8862</v>
      </c>
      <c r="AU5" s="1504" t="s">
        <v>8863</v>
      </c>
      <c r="AV5" s="1413" t="str">
        <f t="shared" si="1"/>
        <v>2:02</v>
      </c>
      <c r="AW5" s="1505" t="s">
        <v>8864</v>
      </c>
    </row>
    <row r="6" ht="15.75" customHeight="1">
      <c r="A6" s="1506" t="s">
        <v>437</v>
      </c>
      <c r="B6" s="1494" t="s">
        <v>8773</v>
      </c>
      <c r="C6" s="1495">
        <v>0.0493287037037037</v>
      </c>
      <c r="D6" s="1507" t="s">
        <v>8865</v>
      </c>
      <c r="E6" s="1508" t="s">
        <v>8866</v>
      </c>
      <c r="F6" s="1508" t="s">
        <v>8867</v>
      </c>
      <c r="G6" s="1508" t="s">
        <v>8868</v>
      </c>
      <c r="H6" s="1508" t="s">
        <v>8869</v>
      </c>
      <c r="I6" s="1509" t="s">
        <v>8870</v>
      </c>
      <c r="J6" s="1508" t="s">
        <v>8871</v>
      </c>
      <c r="K6" s="1508" t="s">
        <v>782</v>
      </c>
      <c r="L6" s="1508" t="s">
        <v>8872</v>
      </c>
      <c r="M6" s="1508" t="s">
        <v>2564</v>
      </c>
      <c r="N6" s="1508" t="s">
        <v>8873</v>
      </c>
      <c r="O6" s="1508" t="s">
        <v>8874</v>
      </c>
      <c r="P6" s="1510" t="s">
        <v>1286</v>
      </c>
      <c r="Q6" s="1502" t="s">
        <v>1569</v>
      </c>
      <c r="R6" s="1508" t="s">
        <v>4444</v>
      </c>
      <c r="S6" s="1508" t="s">
        <v>8871</v>
      </c>
      <c r="T6" s="1508" t="s">
        <v>5270</v>
      </c>
      <c r="U6" s="1502" t="s">
        <v>8875</v>
      </c>
      <c r="V6" s="1511" t="s">
        <v>8613</v>
      </c>
      <c r="W6" s="1508" t="s">
        <v>8876</v>
      </c>
      <c r="X6" s="1508" t="s">
        <v>8877</v>
      </c>
      <c r="Y6" s="1512">
        <v>46.72</v>
      </c>
      <c r="Z6" s="1512" t="s">
        <v>3692</v>
      </c>
      <c r="AA6" s="1508" t="s">
        <v>3705</v>
      </c>
      <c r="AB6" s="1510" t="s">
        <v>8786</v>
      </c>
      <c r="AC6" s="1508" t="s">
        <v>5481</v>
      </c>
      <c r="AD6" s="1508" t="s">
        <v>7641</v>
      </c>
      <c r="AE6" s="1513" t="s">
        <v>4793</v>
      </c>
      <c r="AF6" s="1512" t="s">
        <v>8878</v>
      </c>
      <c r="AG6" s="1511" t="s">
        <v>6149</v>
      </c>
      <c r="AH6" s="1510" t="s">
        <v>3840</v>
      </c>
      <c r="AI6" s="1508" t="s">
        <v>6045</v>
      </c>
      <c r="AJ6" s="1512" t="s">
        <v>8879</v>
      </c>
      <c r="AK6" s="1512" t="s">
        <v>5957</v>
      </c>
      <c r="AL6" s="1511" t="s">
        <v>6271</v>
      </c>
      <c r="AM6" s="1508" t="s">
        <v>8880</v>
      </c>
      <c r="AN6" s="1511" t="s">
        <v>4235</v>
      </c>
      <c r="AO6" s="1511" t="s">
        <v>2810</v>
      </c>
      <c r="AP6" s="1511" t="s">
        <v>8881</v>
      </c>
      <c r="AQ6" s="1413" t="s">
        <v>8882</v>
      </c>
      <c r="AR6" s="1511" t="s">
        <v>8883</v>
      </c>
      <c r="AS6" s="1511" t="s">
        <v>8884</v>
      </c>
      <c r="AT6" s="1511" t="s">
        <v>8885</v>
      </c>
      <c r="AU6" s="1514" t="s">
        <v>8886</v>
      </c>
      <c r="AV6" s="1413" t="str">
        <f t="shared" si="1"/>
        <v>2:15</v>
      </c>
      <c r="AW6" s="1505"/>
    </row>
    <row r="7">
      <c r="A7" s="1515" t="s">
        <v>2539</v>
      </c>
      <c r="B7" s="1516" t="s">
        <v>8773</v>
      </c>
      <c r="C7" s="1517">
        <v>0.04939673611111111</v>
      </c>
      <c r="D7" s="1518" t="s">
        <v>8887</v>
      </c>
      <c r="E7" s="1519" t="s">
        <v>2682</v>
      </c>
      <c r="F7" s="1518" t="s">
        <v>8888</v>
      </c>
      <c r="G7" s="1520" t="s">
        <v>8889</v>
      </c>
      <c r="H7" s="1518" t="s">
        <v>5941</v>
      </c>
      <c r="I7" s="1519" t="s">
        <v>4275</v>
      </c>
      <c r="J7" s="1518" t="s">
        <v>8890</v>
      </c>
      <c r="K7" s="1518" t="s">
        <v>8891</v>
      </c>
      <c r="L7" s="1518" t="s">
        <v>8892</v>
      </c>
      <c r="M7" s="1521" t="s">
        <v>8893</v>
      </c>
      <c r="N7" s="1519" t="s">
        <v>3846</v>
      </c>
      <c r="O7" s="1520" t="s">
        <v>8894</v>
      </c>
      <c r="P7" s="1520" t="s">
        <v>6580</v>
      </c>
      <c r="Q7" s="1520" t="s">
        <v>5801</v>
      </c>
      <c r="R7" s="1518" t="s">
        <v>5606</v>
      </c>
      <c r="S7" s="1519" t="s">
        <v>7459</v>
      </c>
      <c r="T7" s="1518" t="s">
        <v>8895</v>
      </c>
      <c r="U7" s="1522" t="s">
        <v>8896</v>
      </c>
      <c r="V7" s="1518" t="s">
        <v>8897</v>
      </c>
      <c r="W7" s="1519" t="s">
        <v>8898</v>
      </c>
      <c r="X7" s="1519" t="s">
        <v>4780</v>
      </c>
      <c r="Y7" s="1518" t="s">
        <v>7225</v>
      </c>
      <c r="Z7" s="1521" t="s">
        <v>8899</v>
      </c>
      <c r="AA7" s="1521" t="s">
        <v>8900</v>
      </c>
      <c r="AB7" s="1518" t="s">
        <v>8901</v>
      </c>
      <c r="AC7" s="1518" t="s">
        <v>7214</v>
      </c>
      <c r="AD7" s="1519" t="s">
        <v>8902</v>
      </c>
      <c r="AE7" s="1520" t="s">
        <v>8903</v>
      </c>
      <c r="AF7" s="1520" t="s">
        <v>8904</v>
      </c>
      <c r="AG7" s="1518" t="s">
        <v>6009</v>
      </c>
      <c r="AH7" s="1519" t="s">
        <v>3259</v>
      </c>
      <c r="AI7" s="1518" t="s">
        <v>8905</v>
      </c>
      <c r="AJ7" s="1520" t="s">
        <v>8906</v>
      </c>
      <c r="AK7" s="1518" t="s">
        <v>8792</v>
      </c>
      <c r="AL7" s="1518" t="s">
        <v>8907</v>
      </c>
      <c r="AM7" s="1518" t="s">
        <v>5022</v>
      </c>
      <c r="AN7" s="1520" t="s">
        <v>6271</v>
      </c>
      <c r="AO7" s="1518" t="s">
        <v>8908</v>
      </c>
      <c r="AP7" s="1520" t="s">
        <v>8909</v>
      </c>
      <c r="AQ7" s="1518" t="s">
        <v>4735</v>
      </c>
      <c r="AR7" s="1519" t="s">
        <v>383</v>
      </c>
      <c r="AS7" s="1518" t="s">
        <v>2004</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2948</v>
      </c>
      <c r="J8" s="1501" t="s">
        <v>8917</v>
      </c>
      <c r="K8" s="1509" t="s">
        <v>3556</v>
      </c>
      <c r="L8" s="1509" t="s">
        <v>4182</v>
      </c>
      <c r="M8" s="1509" t="s">
        <v>6576</v>
      </c>
      <c r="N8" s="1501" t="s">
        <v>8918</v>
      </c>
      <c r="O8" s="1509" t="s">
        <v>8919</v>
      </c>
      <c r="P8" s="1413" t="s">
        <v>7214</v>
      </c>
      <c r="Q8" s="1501" t="s">
        <v>8920</v>
      </c>
      <c r="R8" s="1509" t="s">
        <v>7485</v>
      </c>
      <c r="S8" s="1509" t="s">
        <v>3429</v>
      </c>
      <c r="T8" s="1413" t="s">
        <v>8921</v>
      </c>
      <c r="U8" s="1509" t="s">
        <v>8922</v>
      </c>
      <c r="V8" s="1509" t="s">
        <v>5206</v>
      </c>
      <c r="W8" s="1525" t="s">
        <v>8923</v>
      </c>
      <c r="X8" s="1413" t="s">
        <v>2563</v>
      </c>
      <c r="Y8" s="1526" t="s">
        <v>8924</v>
      </c>
      <c r="Z8" s="1509" t="s">
        <v>7904</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4536</v>
      </c>
      <c r="AN8" s="1501" t="s">
        <v>2686</v>
      </c>
      <c r="AO8" s="1501" t="s">
        <v>5731</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1809</v>
      </c>
      <c r="B9" s="1494" t="s">
        <v>8773</v>
      </c>
      <c r="C9" s="1495">
        <v>0.04949074074074074</v>
      </c>
      <c r="D9" s="1530" t="s">
        <v>8936</v>
      </c>
      <c r="E9" s="1526" t="s">
        <v>8937</v>
      </c>
      <c r="F9" s="1526" t="s">
        <v>2134</v>
      </c>
      <c r="G9" s="1526" t="s">
        <v>8938</v>
      </c>
      <c r="H9" s="1501" t="s">
        <v>8939</v>
      </c>
      <c r="I9" s="1508">
        <v>47.34</v>
      </c>
      <c r="J9" s="1526" t="s">
        <v>1727</v>
      </c>
      <c r="K9" s="1526" t="s">
        <v>8940</v>
      </c>
      <c r="L9" s="1526">
        <v>55.97</v>
      </c>
      <c r="M9" s="1526" t="s">
        <v>1982</v>
      </c>
      <c r="N9" s="1526" t="s">
        <v>8941</v>
      </c>
      <c r="O9" s="1531" t="s">
        <v>8780</v>
      </c>
      <c r="P9" s="1526">
        <v>47.49</v>
      </c>
      <c r="Q9" s="1526" t="s">
        <v>8942</v>
      </c>
      <c r="R9" s="1526" t="s">
        <v>1228</v>
      </c>
      <c r="S9" s="1532" t="s">
        <v>1832</v>
      </c>
      <c r="T9" s="1526" t="s">
        <v>8943</v>
      </c>
      <c r="U9" s="1501" t="s">
        <v>8944</v>
      </c>
      <c r="V9" s="1526">
        <v>59.32</v>
      </c>
      <c r="W9" s="1530" t="s">
        <v>8945</v>
      </c>
      <c r="X9" s="1533" t="s">
        <v>8946</v>
      </c>
      <c r="Y9" s="1526">
        <v>46.65</v>
      </c>
      <c r="Z9" s="1526" t="s">
        <v>8947</v>
      </c>
      <c r="AA9" s="1526" t="s">
        <v>2492</v>
      </c>
      <c r="AB9" s="1526" t="s">
        <v>8948</v>
      </c>
      <c r="AC9" s="1526">
        <v>47.89</v>
      </c>
      <c r="AD9" s="1526" t="s">
        <v>1831</v>
      </c>
      <c r="AE9" s="1526">
        <v>47.98</v>
      </c>
      <c r="AF9" s="1533" t="s">
        <v>8949</v>
      </c>
      <c r="AG9" s="1526" t="s">
        <v>8950</v>
      </c>
      <c r="AH9" s="1526">
        <v>57.45</v>
      </c>
      <c r="AI9" s="1512" t="s">
        <v>7416</v>
      </c>
      <c r="AJ9" s="1534" t="s">
        <v>8860</v>
      </c>
      <c r="AK9" s="1526" t="s">
        <v>5449</v>
      </c>
      <c r="AL9" s="1526">
        <v>56.23</v>
      </c>
      <c r="AM9" s="1530" t="s">
        <v>3982</v>
      </c>
      <c r="AN9" s="1530" t="s">
        <v>8951</v>
      </c>
      <c r="AO9" s="1526" t="s">
        <v>8952</v>
      </c>
      <c r="AP9" s="1526" t="s">
        <v>8953</v>
      </c>
      <c r="AQ9" s="1526" t="s">
        <v>8954</v>
      </c>
      <c r="AR9" s="1533" t="s">
        <v>3880</v>
      </c>
      <c r="AS9" s="1526">
        <v>46.19</v>
      </c>
      <c r="AT9" s="1535" t="s">
        <v>8797</v>
      </c>
      <c r="AU9" s="1413" t="s">
        <v>8955</v>
      </c>
      <c r="AV9" s="1413" t="str">
        <f t="shared" si="1"/>
        <v>1:33</v>
      </c>
      <c r="AW9" s="1529" t="s">
        <v>8956</v>
      </c>
    </row>
    <row r="10">
      <c r="A10" s="1536" t="s">
        <v>828</v>
      </c>
      <c r="B10" s="1537" t="s">
        <v>8773</v>
      </c>
      <c r="C10" s="1495">
        <v>0.04951388888888889</v>
      </c>
      <c r="D10" s="1511" t="s">
        <v>8912</v>
      </c>
      <c r="E10" s="1511" t="s">
        <v>255</v>
      </c>
      <c r="F10" s="1511" t="s">
        <v>8957</v>
      </c>
      <c r="G10" s="1512" t="s">
        <v>8958</v>
      </c>
      <c r="H10" s="1511" t="s">
        <v>8959</v>
      </c>
      <c r="I10" s="1511" t="s">
        <v>4544</v>
      </c>
      <c r="J10" s="1508" t="s">
        <v>1491</v>
      </c>
      <c r="K10" s="1511" t="s">
        <v>8960</v>
      </c>
      <c r="L10" s="1511" t="s">
        <v>8961</v>
      </c>
      <c r="M10" s="1513" t="s">
        <v>6258</v>
      </c>
      <c r="N10" s="1511" t="s">
        <v>5897</v>
      </c>
      <c r="O10" s="1511" t="s">
        <v>8962</v>
      </c>
      <c r="P10" s="1511" t="s">
        <v>6178</v>
      </c>
      <c r="Q10" s="1511" t="s">
        <v>4788</v>
      </c>
      <c r="R10" s="1511" t="s">
        <v>5744</v>
      </c>
      <c r="S10" s="1501" t="s">
        <v>2868</v>
      </c>
      <c r="T10" s="1511" t="s">
        <v>8963</v>
      </c>
      <c r="U10" s="1511" t="s">
        <v>8964</v>
      </c>
      <c r="V10" s="1511" t="s">
        <v>8965</v>
      </c>
      <c r="W10" s="1511" t="s">
        <v>8966</v>
      </c>
      <c r="X10" s="1501" t="s">
        <v>8967</v>
      </c>
      <c r="Y10" s="1511" t="s">
        <v>6178</v>
      </c>
      <c r="Z10" s="1531" t="s">
        <v>2928</v>
      </c>
      <c r="AA10" s="1501" t="s">
        <v>8817</v>
      </c>
      <c r="AB10" s="1511" t="s">
        <v>417</v>
      </c>
      <c r="AC10" s="1511" t="s">
        <v>3786</v>
      </c>
      <c r="AD10" s="1538" t="s">
        <v>3718</v>
      </c>
      <c r="AE10" s="1512">
        <v>47.81</v>
      </c>
      <c r="AF10" s="1511" t="s">
        <v>8968</v>
      </c>
      <c r="AG10" s="1511" t="s">
        <v>8969</v>
      </c>
      <c r="AH10" s="1511" t="s">
        <v>751</v>
      </c>
      <c r="AI10" s="1511" t="s">
        <v>8970</v>
      </c>
      <c r="AJ10" s="1511" t="s">
        <v>8971</v>
      </c>
      <c r="AK10" s="1511" t="s">
        <v>8972</v>
      </c>
      <c r="AL10" s="1511" t="s">
        <v>8973</v>
      </c>
      <c r="AM10" s="1511" t="s">
        <v>4536</v>
      </c>
      <c r="AN10" s="1531" t="s">
        <v>8793</v>
      </c>
      <c r="AO10" s="1531" t="s">
        <v>7756</v>
      </c>
      <c r="AP10" s="1511" t="s">
        <v>8974</v>
      </c>
      <c r="AQ10" s="1511" t="s">
        <v>8975</v>
      </c>
      <c r="AR10" s="1531" t="s">
        <v>8796</v>
      </c>
      <c r="AS10" s="1513" t="s">
        <v>1333</v>
      </c>
      <c r="AT10" s="1511" t="s">
        <v>8976</v>
      </c>
      <c r="AU10" s="1539" t="s">
        <v>8977</v>
      </c>
      <c r="AV10" s="1413" t="str">
        <f t="shared" si="1"/>
        <v>2:15</v>
      </c>
      <c r="AW10" s="1540" t="s">
        <v>8978</v>
      </c>
    </row>
    <row r="11" ht="15.75" customHeight="1">
      <c r="A11" s="1506" t="s">
        <v>332</v>
      </c>
      <c r="B11" s="1494" t="s">
        <v>8773</v>
      </c>
      <c r="C11" s="1495">
        <v>0.04957175925925926</v>
      </c>
      <c r="D11" s="1541" t="s">
        <v>8979</v>
      </c>
      <c r="E11" s="1508" t="s">
        <v>8980</v>
      </c>
      <c r="F11" s="1542" t="s">
        <v>8776</v>
      </c>
      <c r="G11" s="1511" t="s">
        <v>8981</v>
      </c>
      <c r="H11" s="1543" t="s">
        <v>5418</v>
      </c>
      <c r="I11" s="1511" t="s">
        <v>1388</v>
      </c>
      <c r="J11" s="831" t="s">
        <v>8982</v>
      </c>
      <c r="K11" s="1511" t="s">
        <v>6961</v>
      </c>
      <c r="L11" s="1510" t="s">
        <v>235</v>
      </c>
      <c r="M11" s="831" t="s">
        <v>8983</v>
      </c>
      <c r="N11" s="1508" t="s">
        <v>8984</v>
      </c>
      <c r="O11" s="831" t="s">
        <v>8985</v>
      </c>
      <c r="P11" s="1511" t="s">
        <v>6561</v>
      </c>
      <c r="Q11" s="1511" t="s">
        <v>8942</v>
      </c>
      <c r="R11" s="1511" t="s">
        <v>5641</v>
      </c>
      <c r="S11" s="1511" t="s">
        <v>8986</v>
      </c>
      <c r="T11" s="1511" t="s">
        <v>4068</v>
      </c>
      <c r="U11" s="1511" t="s">
        <v>6255</v>
      </c>
      <c r="V11" s="792" t="s">
        <v>8987</v>
      </c>
      <c r="W11" s="1544" t="s">
        <v>8988</v>
      </c>
      <c r="X11" s="1511" t="s">
        <v>8989</v>
      </c>
      <c r="Y11" s="1508">
        <v>46.63</v>
      </c>
      <c r="Z11" s="789" t="s">
        <v>308</v>
      </c>
      <c r="AA11" s="1508" t="s">
        <v>8990</v>
      </c>
      <c r="AB11" s="1510" t="s">
        <v>8786</v>
      </c>
      <c r="AC11" s="1511" t="s">
        <v>5479</v>
      </c>
      <c r="AD11" s="1511" t="s">
        <v>8991</v>
      </c>
      <c r="AE11" s="1512" t="s">
        <v>8992</v>
      </c>
      <c r="AF11" s="1508" t="s">
        <v>8993</v>
      </c>
      <c r="AG11" s="1526" t="s">
        <v>8994</v>
      </c>
      <c r="AH11" s="1511" t="s">
        <v>8995</v>
      </c>
      <c r="AI11" s="792" t="s">
        <v>8996</v>
      </c>
      <c r="AJ11" s="1512" t="s">
        <v>8997</v>
      </c>
      <c r="AK11" s="1511" t="s">
        <v>1299</v>
      </c>
      <c r="AL11" s="1511" t="s">
        <v>5179</v>
      </c>
      <c r="AM11" s="1511" t="s">
        <v>4068</v>
      </c>
      <c r="AN11" s="831" t="s">
        <v>8998</v>
      </c>
      <c r="AO11" s="1511" t="s">
        <v>8883</v>
      </c>
      <c r="AP11" s="1511" t="s">
        <v>8999</v>
      </c>
      <c r="AQ11" s="1511" t="s">
        <v>9000</v>
      </c>
      <c r="AR11" s="1511" t="s">
        <v>4623</v>
      </c>
      <c r="AS11" s="1511" t="s">
        <v>9001</v>
      </c>
      <c r="AT11" s="1545" t="s">
        <v>9002</v>
      </c>
      <c r="AU11" s="1539" t="s">
        <v>9003</v>
      </c>
      <c r="AV11" s="1413" t="str">
        <f t="shared" si="1"/>
        <v>2:59</v>
      </c>
      <c r="AW11" s="1546"/>
    </row>
    <row r="12">
      <c r="A12" s="1506" t="s">
        <v>6571</v>
      </c>
      <c r="B12" s="1547" t="s">
        <v>8773</v>
      </c>
      <c r="C12" s="1495">
        <v>0.04958333333333333</v>
      </c>
      <c r="D12" s="792" t="s">
        <v>9004</v>
      </c>
      <c r="E12" s="1526" t="s">
        <v>6526</v>
      </c>
      <c r="F12" s="1526" t="s">
        <v>9005</v>
      </c>
      <c r="G12" s="1526" t="s">
        <v>9006</v>
      </c>
      <c r="H12" s="1530" t="s">
        <v>9007</v>
      </c>
      <c r="I12" s="1530" t="s">
        <v>5757</v>
      </c>
      <c r="J12" s="1530" t="s">
        <v>151</v>
      </c>
      <c r="K12" s="1530" t="s">
        <v>7632</v>
      </c>
      <c r="L12" s="1526">
        <v>56.42</v>
      </c>
      <c r="M12" s="1526" t="s">
        <v>5213</v>
      </c>
      <c r="N12" s="1526" t="s">
        <v>9008</v>
      </c>
      <c r="O12" s="1530" t="s">
        <v>9009</v>
      </c>
      <c r="P12" s="1530" t="s">
        <v>282</v>
      </c>
      <c r="Q12" s="1530" t="s">
        <v>9010</v>
      </c>
      <c r="R12" s="1526" t="s">
        <v>9011</v>
      </c>
      <c r="S12" s="1530" t="s">
        <v>9012</v>
      </c>
      <c r="T12" s="1530" t="s">
        <v>5022</v>
      </c>
      <c r="U12" s="1530" t="s">
        <v>9013</v>
      </c>
      <c r="V12" s="1526">
        <v>59.45</v>
      </c>
      <c r="W12" s="1530" t="s">
        <v>9014</v>
      </c>
      <c r="X12" s="1530" t="s">
        <v>9015</v>
      </c>
      <c r="Y12" s="1530" t="s">
        <v>5132</v>
      </c>
      <c r="Z12" s="1526" t="s">
        <v>4176</v>
      </c>
      <c r="AA12" s="1526" t="s">
        <v>9016</v>
      </c>
      <c r="AB12" s="1526" t="s">
        <v>4591</v>
      </c>
      <c r="AC12" s="1530" t="s">
        <v>4885</v>
      </c>
      <c r="AD12" s="1530" t="s">
        <v>9017</v>
      </c>
      <c r="AE12" s="1526">
        <v>47.89</v>
      </c>
      <c r="AF12" s="1526" t="s">
        <v>9018</v>
      </c>
      <c r="AG12" s="1513" t="s">
        <v>8789</v>
      </c>
      <c r="AH12" s="1526">
        <v>57.71</v>
      </c>
      <c r="AI12" s="1530" t="s">
        <v>2228</v>
      </c>
      <c r="AJ12" s="1526" t="s">
        <v>9019</v>
      </c>
      <c r="AK12" s="1530" t="s">
        <v>7496</v>
      </c>
      <c r="AL12" s="1526">
        <v>56.69</v>
      </c>
      <c r="AM12" s="1530" t="s">
        <v>9020</v>
      </c>
      <c r="AN12" s="1530" t="s">
        <v>4137</v>
      </c>
      <c r="AO12" s="1530" t="s">
        <v>2932</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957</v>
      </c>
      <c r="F13" s="1509" t="s">
        <v>9028</v>
      </c>
      <c r="G13" s="1509" t="s">
        <v>9029</v>
      </c>
      <c r="H13" s="792" t="s">
        <v>9030</v>
      </c>
      <c r="I13" s="1509" t="s">
        <v>9031</v>
      </c>
      <c r="J13" s="1509" t="s">
        <v>9032</v>
      </c>
      <c r="K13" s="1509" t="s">
        <v>6490</v>
      </c>
      <c r="L13" s="1509" t="s">
        <v>4498</v>
      </c>
      <c r="M13" s="1509" t="s">
        <v>8576</v>
      </c>
      <c r="N13" s="1509" t="s">
        <v>2224</v>
      </c>
      <c r="O13" s="1509" t="s">
        <v>3326</v>
      </c>
      <c r="P13" s="1509" t="s">
        <v>9031</v>
      </c>
      <c r="Q13" s="1509" t="s">
        <v>9033</v>
      </c>
      <c r="R13" s="1509" t="s">
        <v>1228</v>
      </c>
      <c r="S13" s="1550" t="s">
        <v>9034</v>
      </c>
      <c r="T13" s="1509" t="s">
        <v>4900</v>
      </c>
      <c r="U13" s="1509" t="s">
        <v>9035</v>
      </c>
      <c r="V13" s="1509" t="s">
        <v>9036</v>
      </c>
      <c r="W13" s="1509" t="s">
        <v>9037</v>
      </c>
      <c r="X13" s="1509" t="s">
        <v>1051</v>
      </c>
      <c r="Y13" s="1509" t="s">
        <v>4385</v>
      </c>
      <c r="Z13" s="1509" t="s">
        <v>9038</v>
      </c>
      <c r="AA13" s="1509" t="s">
        <v>9039</v>
      </c>
      <c r="AB13" s="1509" t="s">
        <v>1840</v>
      </c>
      <c r="AC13" s="1509" t="s">
        <v>761</v>
      </c>
      <c r="AD13" s="1509" t="s">
        <v>9040</v>
      </c>
      <c r="AE13" s="1509" t="s">
        <v>6580</v>
      </c>
      <c r="AF13" s="1501" t="s">
        <v>9041</v>
      </c>
      <c r="AG13" s="1509" t="s">
        <v>9042</v>
      </c>
      <c r="AH13" s="1509" t="s">
        <v>4812</v>
      </c>
      <c r="AI13" s="1509" t="s">
        <v>3013</v>
      </c>
      <c r="AJ13" s="1509" t="s">
        <v>9043</v>
      </c>
      <c r="AK13" s="1509" t="s">
        <v>4184</v>
      </c>
      <c r="AL13" s="1509" t="s">
        <v>9044</v>
      </c>
      <c r="AM13" s="1509" t="s">
        <v>9045</v>
      </c>
      <c r="AN13" s="792" t="s">
        <v>8872</v>
      </c>
      <c r="AO13" s="1509" t="s">
        <v>9046</v>
      </c>
      <c r="AP13" s="1509" t="s">
        <v>9047</v>
      </c>
      <c r="AQ13" s="1501" t="s">
        <v>9048</v>
      </c>
      <c r="AR13" s="1509" t="s">
        <v>1844</v>
      </c>
      <c r="AS13" s="1509" t="s">
        <v>1575</v>
      </c>
      <c r="AT13" s="1509" t="s">
        <v>9049</v>
      </c>
      <c r="AU13" s="1509" t="s">
        <v>9050</v>
      </c>
      <c r="AV13" s="1413" t="str">
        <f t="shared" si="1"/>
        <v>2:47</v>
      </c>
      <c r="AW13" s="1505" t="s">
        <v>9051</v>
      </c>
    </row>
    <row r="14" ht="15.75" customHeight="1">
      <c r="A14" s="1549" t="s">
        <v>2151</v>
      </c>
      <c r="B14" s="1551" t="s">
        <v>8800</v>
      </c>
      <c r="C14" s="1552">
        <v>0.04967592592592593</v>
      </c>
      <c r="D14" s="1553" t="s">
        <v>9052</v>
      </c>
      <c r="E14" s="792" t="s">
        <v>3289</v>
      </c>
      <c r="F14" s="792" t="s">
        <v>9053</v>
      </c>
      <c r="G14" s="1553" t="s">
        <v>9054</v>
      </c>
      <c r="H14" s="1554" t="s">
        <v>8804</v>
      </c>
      <c r="I14" s="792" t="s">
        <v>9055</v>
      </c>
      <c r="J14" s="792" t="s">
        <v>9056</v>
      </c>
      <c r="K14" s="1555" t="s">
        <v>8806</v>
      </c>
      <c r="L14" s="1556" t="s">
        <v>4694</v>
      </c>
      <c r="M14" s="792" t="s">
        <v>6548</v>
      </c>
      <c r="N14" s="1557" t="s">
        <v>5239</v>
      </c>
      <c r="O14" s="792" t="s">
        <v>7613</v>
      </c>
      <c r="P14" s="1557" t="s">
        <v>5479</v>
      </c>
      <c r="Q14" s="792" t="s">
        <v>9057</v>
      </c>
      <c r="R14" s="1555" t="s">
        <v>8809</v>
      </c>
      <c r="S14" s="1558" t="s">
        <v>9058</v>
      </c>
      <c r="T14" s="1559" t="s">
        <v>3982</v>
      </c>
      <c r="U14" s="1560" t="s">
        <v>9059</v>
      </c>
      <c r="V14" s="1561" t="s">
        <v>9060</v>
      </c>
      <c r="W14" s="1562" t="s">
        <v>4142</v>
      </c>
      <c r="X14" s="1556" t="s">
        <v>5985</v>
      </c>
      <c r="Y14" s="1555" t="s">
        <v>8812</v>
      </c>
      <c r="Z14" s="1562" t="s">
        <v>1339</v>
      </c>
      <c r="AA14" s="1563" t="s">
        <v>5741</v>
      </c>
      <c r="AB14" s="1555" t="s">
        <v>7478</v>
      </c>
      <c r="AC14" s="1564" t="s">
        <v>8813</v>
      </c>
      <c r="AD14" s="792" t="s">
        <v>9061</v>
      </c>
      <c r="AE14" s="1565" t="s">
        <v>6854</v>
      </c>
      <c r="AF14" s="1285" t="s">
        <v>9062</v>
      </c>
      <c r="AG14" s="1562" t="s">
        <v>4603</v>
      </c>
      <c r="AH14" s="1566" t="s">
        <v>8816</v>
      </c>
      <c r="AI14" s="1566" t="s">
        <v>8817</v>
      </c>
      <c r="AJ14" s="792" t="s">
        <v>9063</v>
      </c>
      <c r="AK14" s="1556" t="s">
        <v>3368</v>
      </c>
      <c r="AL14" s="1556" t="s">
        <v>9064</v>
      </c>
      <c r="AM14" s="1555" t="s">
        <v>888</v>
      </c>
      <c r="AN14" s="1567" t="s">
        <v>4716</v>
      </c>
      <c r="AO14" s="1555" t="s">
        <v>7955</v>
      </c>
      <c r="AP14" s="1568" t="s">
        <v>8821</v>
      </c>
      <c r="AQ14" s="1569" t="s">
        <v>8822</v>
      </c>
      <c r="AR14" s="1569" t="s">
        <v>4066</v>
      </c>
      <c r="AS14" s="1570" t="s">
        <v>5227</v>
      </c>
      <c r="AT14" s="1555" t="s">
        <v>8823</v>
      </c>
      <c r="AU14" s="1539" t="s">
        <v>9065</v>
      </c>
      <c r="AV14" s="1413" t="str">
        <f t="shared" si="1"/>
        <v>4:01</v>
      </c>
      <c r="AW14" s="1540" t="s">
        <v>9066</v>
      </c>
    </row>
    <row r="15" ht="15.75" customHeight="1">
      <c r="A15" s="1571" t="s">
        <v>2673</v>
      </c>
      <c r="B15" s="1494" t="s">
        <v>8773</v>
      </c>
      <c r="C15" s="1572">
        <v>0.04971064814814815</v>
      </c>
      <c r="D15" s="1336" t="s">
        <v>9067</v>
      </c>
      <c r="E15" s="1573" t="s">
        <v>514</v>
      </c>
      <c r="F15" s="1573" t="s">
        <v>9068</v>
      </c>
      <c r="G15" s="1573" t="s">
        <v>9069</v>
      </c>
      <c r="H15" s="1501" t="s">
        <v>9070</v>
      </c>
      <c r="I15" s="1181" t="s">
        <v>5742</v>
      </c>
      <c r="J15" s="1557" t="s">
        <v>2542</v>
      </c>
      <c r="K15" s="1557" t="s">
        <v>4340</v>
      </c>
      <c r="L15" s="1557" t="s">
        <v>4694</v>
      </c>
      <c r="M15" s="1574" t="s">
        <v>6258</v>
      </c>
      <c r="N15" s="1557" t="s">
        <v>2657</v>
      </c>
      <c r="O15" s="1557" t="s">
        <v>9071</v>
      </c>
      <c r="P15" s="1557" t="s">
        <v>9072</v>
      </c>
      <c r="Q15" s="1501" t="s">
        <v>9073</v>
      </c>
      <c r="R15" s="1560" t="s">
        <v>9074</v>
      </c>
      <c r="S15" s="1501" t="s">
        <v>1832</v>
      </c>
      <c r="T15" s="1560" t="s">
        <v>9075</v>
      </c>
      <c r="U15" s="1501" t="s">
        <v>9076</v>
      </c>
      <c r="V15" s="1560" t="s">
        <v>3479</v>
      </c>
      <c r="W15" s="1575" t="s">
        <v>9077</v>
      </c>
      <c r="X15" s="1575" t="s">
        <v>4097</v>
      </c>
      <c r="Y15" s="1575" t="s">
        <v>7225</v>
      </c>
      <c r="Z15" s="1575" t="s">
        <v>9078</v>
      </c>
      <c r="AA15" s="1575" t="s">
        <v>6149</v>
      </c>
      <c r="AB15" s="1575" t="s">
        <v>4425</v>
      </c>
      <c r="AC15" s="1575" t="s">
        <v>1146</v>
      </c>
      <c r="AD15" s="1573" t="s">
        <v>9079</v>
      </c>
      <c r="AE15" s="1573" t="s">
        <v>5377</v>
      </c>
      <c r="AF15" s="1576" t="s">
        <v>9080</v>
      </c>
      <c r="AG15" s="1576" t="s">
        <v>8036</v>
      </c>
      <c r="AH15" s="1576" t="s">
        <v>5387</v>
      </c>
      <c r="AI15" s="1576" t="s">
        <v>9081</v>
      </c>
      <c r="AJ15" s="1576" t="s">
        <v>9082</v>
      </c>
      <c r="AK15" s="1576" t="s">
        <v>9083</v>
      </c>
      <c r="AL15" s="1576" t="s">
        <v>3572</v>
      </c>
      <c r="AM15" s="1577" t="s">
        <v>9084</v>
      </c>
      <c r="AN15" s="1578" t="s">
        <v>4694</v>
      </c>
      <c r="AO15" s="1578" t="s">
        <v>9085</v>
      </c>
      <c r="AP15" s="1577" t="s">
        <v>9086</v>
      </c>
      <c r="AQ15" s="1577" t="s">
        <v>9087</v>
      </c>
      <c r="AR15" s="1578" t="s">
        <v>9088</v>
      </c>
      <c r="AS15" s="1577" t="s">
        <v>275</v>
      </c>
      <c r="AT15" s="1514" t="s">
        <v>9089</v>
      </c>
      <c r="AU15" s="1539" t="s">
        <v>9090</v>
      </c>
      <c r="AV15" s="1413" t="str">
        <f t="shared" si="1"/>
        <v>2:35</v>
      </c>
      <c r="AW15" s="1579" t="s">
        <v>9091</v>
      </c>
    </row>
    <row r="16">
      <c r="A16" s="1549" t="s">
        <v>2021</v>
      </c>
      <c r="B16" s="1547" t="s">
        <v>8773</v>
      </c>
      <c r="C16" s="1580">
        <v>0.04976851851851852</v>
      </c>
      <c r="D16" s="1530" t="s">
        <v>9092</v>
      </c>
      <c r="E16" s="1530" t="s">
        <v>9093</v>
      </c>
      <c r="F16" s="1530" t="s">
        <v>9094</v>
      </c>
      <c r="G16" s="1533" t="s">
        <v>9095</v>
      </c>
      <c r="H16" s="1530" t="s">
        <v>9096</v>
      </c>
      <c r="I16" s="1530" t="s">
        <v>3746</v>
      </c>
      <c r="J16" s="1530" t="s">
        <v>9097</v>
      </c>
      <c r="K16" s="1535" t="s">
        <v>8779</v>
      </c>
      <c r="L16" s="1530" t="s">
        <v>9098</v>
      </c>
      <c r="M16" s="1530" t="s">
        <v>9099</v>
      </c>
      <c r="N16" s="1530" t="s">
        <v>689</v>
      </c>
      <c r="O16" s="1530" t="s">
        <v>9100</v>
      </c>
      <c r="P16" s="1530" t="s">
        <v>6561</v>
      </c>
      <c r="Q16" s="1530" t="s">
        <v>9101</v>
      </c>
      <c r="R16" s="1530" t="s">
        <v>7585</v>
      </c>
      <c r="S16" s="1530" t="s">
        <v>9102</v>
      </c>
      <c r="T16" s="1530" t="s">
        <v>5861</v>
      </c>
      <c r="U16" s="1530" t="s">
        <v>9103</v>
      </c>
      <c r="V16" s="1530" t="s">
        <v>9104</v>
      </c>
      <c r="W16" s="1530" t="s">
        <v>9105</v>
      </c>
      <c r="X16" s="1530" t="s">
        <v>9106</v>
      </c>
      <c r="Y16" s="1530" t="s">
        <v>8924</v>
      </c>
      <c r="Z16" s="1530" t="s">
        <v>9107</v>
      </c>
      <c r="AA16" s="1530" t="s">
        <v>9108</v>
      </c>
      <c r="AB16" s="1530" t="s">
        <v>9109</v>
      </c>
      <c r="AC16" s="1530" t="s">
        <v>598</v>
      </c>
      <c r="AD16" s="1530" t="s">
        <v>3228</v>
      </c>
      <c r="AE16" s="1530" t="s">
        <v>5529</v>
      </c>
      <c r="AF16" s="1530" t="s">
        <v>9110</v>
      </c>
      <c r="AG16" s="1530" t="s">
        <v>311</v>
      </c>
      <c r="AH16" s="1530" t="s">
        <v>9111</v>
      </c>
      <c r="AI16" s="1530" t="s">
        <v>9016</v>
      </c>
      <c r="AJ16" s="1530" t="s">
        <v>9112</v>
      </c>
      <c r="AK16" s="1530" t="s">
        <v>9113</v>
      </c>
      <c r="AL16" s="1530" t="s">
        <v>345</v>
      </c>
      <c r="AM16" s="1530" t="s">
        <v>2226</v>
      </c>
      <c r="AN16" s="1530" t="s">
        <v>235</v>
      </c>
      <c r="AO16" s="1530" t="s">
        <v>9114</v>
      </c>
      <c r="AP16" s="1530" t="s">
        <v>9115</v>
      </c>
      <c r="AQ16" s="1581" t="s">
        <v>9116</v>
      </c>
      <c r="AR16" s="1530" t="s">
        <v>9117</v>
      </c>
      <c r="AS16" s="1530" t="s">
        <v>840</v>
      </c>
      <c r="AT16" s="1530" t="s">
        <v>2407</v>
      </c>
      <c r="AU16" s="1509" t="s">
        <v>9118</v>
      </c>
      <c r="AV16" s="1413" t="str">
        <f t="shared" si="1"/>
        <v>2:14</v>
      </c>
      <c r="AW16" s="1582"/>
    </row>
    <row r="17" ht="15.75" customHeight="1">
      <c r="A17" s="1493" t="s">
        <v>6371</v>
      </c>
      <c r="B17" s="1583" t="s">
        <v>8773</v>
      </c>
      <c r="C17" s="1495">
        <v>0.04982638888888889</v>
      </c>
      <c r="D17" s="1336" t="s">
        <v>9119</v>
      </c>
      <c r="E17" s="1336" t="s">
        <v>4836</v>
      </c>
      <c r="F17" s="1336" t="s">
        <v>9120</v>
      </c>
      <c r="G17" s="1336" t="s">
        <v>9121</v>
      </c>
      <c r="H17" s="1336" t="s">
        <v>9122</v>
      </c>
      <c r="I17" s="1336" t="s">
        <v>5661</v>
      </c>
      <c r="J17" s="1336" t="s">
        <v>9123</v>
      </c>
      <c r="K17" s="792" t="s">
        <v>9124</v>
      </c>
      <c r="L17" s="1336" t="s">
        <v>9125</v>
      </c>
      <c r="M17" s="1336" t="s">
        <v>9126</v>
      </c>
      <c r="N17" s="1336" t="s">
        <v>2097</v>
      </c>
      <c r="O17" s="1336" t="s">
        <v>9127</v>
      </c>
      <c r="P17" s="792" t="s">
        <v>4473</v>
      </c>
      <c r="Q17" s="1336" t="s">
        <v>9128</v>
      </c>
      <c r="R17" s="1336" t="s">
        <v>1871</v>
      </c>
      <c r="S17" s="1336" t="s">
        <v>3429</v>
      </c>
      <c r="T17" s="1336" t="s">
        <v>9129</v>
      </c>
      <c r="U17" s="1336" t="s">
        <v>9130</v>
      </c>
      <c r="V17" s="1336" t="s">
        <v>6838</v>
      </c>
      <c r="W17" s="1336" t="s">
        <v>5467</v>
      </c>
      <c r="X17" s="1336" t="s">
        <v>8789</v>
      </c>
      <c r="Y17" s="1336" t="s">
        <v>8870</v>
      </c>
      <c r="Z17" s="1336" t="s">
        <v>6970</v>
      </c>
      <c r="AA17" s="1584" t="s">
        <v>9131</v>
      </c>
      <c r="AB17" s="1336" t="s">
        <v>5897</v>
      </c>
      <c r="AC17" s="1336" t="s">
        <v>1029</v>
      </c>
      <c r="AD17" s="1336" t="s">
        <v>7668</v>
      </c>
      <c r="AE17" s="1336" t="s">
        <v>4960</v>
      </c>
      <c r="AF17" s="1336" t="s">
        <v>9132</v>
      </c>
      <c r="AG17" s="1336" t="s">
        <v>1532</v>
      </c>
      <c r="AH17" s="792" t="s">
        <v>9133</v>
      </c>
      <c r="AI17" s="1336" t="s">
        <v>8456</v>
      </c>
      <c r="AJ17" s="1336" t="s">
        <v>9134</v>
      </c>
      <c r="AK17" s="1336" t="s">
        <v>9135</v>
      </c>
      <c r="AL17" s="1336" t="s">
        <v>4417</v>
      </c>
      <c r="AM17" s="1336" t="s">
        <v>3486</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2086</v>
      </c>
      <c r="B18" s="1494" t="s">
        <v>8773</v>
      </c>
      <c r="C18" s="1495">
        <v>0.049895833333333334</v>
      </c>
      <c r="D18" s="792" t="s">
        <v>9143</v>
      </c>
      <c r="E18" s="1586" t="s">
        <v>957</v>
      </c>
      <c r="F18" s="1573" t="s">
        <v>9144</v>
      </c>
      <c r="G18" s="1586" t="s">
        <v>9145</v>
      </c>
      <c r="H18" s="1078" t="s">
        <v>9146</v>
      </c>
      <c r="I18" s="1181" t="s">
        <v>5531</v>
      </c>
      <c r="J18" s="1557" t="s">
        <v>9147</v>
      </c>
      <c r="K18" s="1587" t="s">
        <v>9148</v>
      </c>
      <c r="L18" s="1557" t="s">
        <v>8892</v>
      </c>
      <c r="M18" s="1557" t="s">
        <v>5058</v>
      </c>
      <c r="N18" s="1557" t="s">
        <v>9149</v>
      </c>
      <c r="O18" s="1587" t="s">
        <v>9150</v>
      </c>
      <c r="P18" s="792" t="s">
        <v>1071</v>
      </c>
      <c r="Q18" s="1560" t="s">
        <v>3539</v>
      </c>
      <c r="R18" s="1588" t="s">
        <v>6966</v>
      </c>
      <c r="S18" s="1588" t="s">
        <v>9151</v>
      </c>
      <c r="T18" s="1588" t="s">
        <v>9152</v>
      </c>
      <c r="U18" s="1588" t="s">
        <v>1829</v>
      </c>
      <c r="V18" s="1560" t="s">
        <v>4452</v>
      </c>
      <c r="W18" s="1575" t="s">
        <v>9153</v>
      </c>
      <c r="X18" s="1589" t="s">
        <v>9154</v>
      </c>
      <c r="Y18" s="1575" t="s">
        <v>9155</v>
      </c>
      <c r="Z18" s="1575" t="s">
        <v>9156</v>
      </c>
      <c r="AA18" s="1575" t="s">
        <v>3313</v>
      </c>
      <c r="AB18" s="1589" t="s">
        <v>8006</v>
      </c>
      <c r="AC18" s="1589" t="s">
        <v>1221</v>
      </c>
      <c r="AD18" s="1586" t="s">
        <v>9157</v>
      </c>
      <c r="AE18" s="1586" t="s">
        <v>9158</v>
      </c>
      <c r="AF18" s="1590" t="s">
        <v>9159</v>
      </c>
      <c r="AG18" s="1576" t="s">
        <v>9160</v>
      </c>
      <c r="AH18" s="1576" t="s">
        <v>9161</v>
      </c>
      <c r="AI18" s="1576" t="s">
        <v>9162</v>
      </c>
      <c r="AJ18" s="1590" t="s">
        <v>9163</v>
      </c>
      <c r="AK18" s="1590" t="s">
        <v>963</v>
      </c>
      <c r="AL18" s="1576" t="s">
        <v>9164</v>
      </c>
      <c r="AM18" s="1578" t="s">
        <v>9165</v>
      </c>
      <c r="AN18" s="1577" t="s">
        <v>3156</v>
      </c>
      <c r="AO18" s="1578" t="s">
        <v>7618</v>
      </c>
      <c r="AP18" s="1577" t="s">
        <v>5648</v>
      </c>
      <c r="AQ18" s="1578" t="s">
        <v>9166</v>
      </c>
      <c r="AR18" s="1577" t="s">
        <v>1162</v>
      </c>
      <c r="AS18" s="1577" t="s">
        <v>3908</v>
      </c>
      <c r="AT18" s="1587" t="s">
        <v>6546</v>
      </c>
      <c r="AU18" s="1591" t="s">
        <v>9167</v>
      </c>
      <c r="AV18" s="1413" t="str">
        <f t="shared" si="1"/>
        <v>2:22</v>
      </c>
      <c r="AW18" s="1546" t="s">
        <v>9168</v>
      </c>
    </row>
    <row r="19">
      <c r="A19" s="1549" t="s">
        <v>1554</v>
      </c>
      <c r="B19" s="1537" t="s">
        <v>8773</v>
      </c>
      <c r="C19" s="1495">
        <v>0.04991898148148148</v>
      </c>
      <c r="D19" s="1592" t="s">
        <v>9169</v>
      </c>
      <c r="E19" s="1593" t="s">
        <v>9170</v>
      </c>
      <c r="F19" s="1593" t="s">
        <v>9171</v>
      </c>
      <c r="G19" s="1593" t="s">
        <v>9172</v>
      </c>
      <c r="H19" s="1593" t="s">
        <v>9173</v>
      </c>
      <c r="I19" s="1593">
        <v>48.07</v>
      </c>
      <c r="J19" s="1593" t="s">
        <v>9174</v>
      </c>
      <c r="K19" s="1593" t="s">
        <v>1703</v>
      </c>
      <c r="L19" s="1593">
        <v>56.32</v>
      </c>
      <c r="M19" s="1593" t="s">
        <v>176</v>
      </c>
      <c r="N19" s="1593" t="s">
        <v>9175</v>
      </c>
      <c r="O19" s="1593" t="s">
        <v>9176</v>
      </c>
      <c r="P19" s="1593">
        <v>47.77</v>
      </c>
      <c r="Q19" s="1593" t="s">
        <v>9177</v>
      </c>
      <c r="R19" s="1593" t="s">
        <v>7522</v>
      </c>
      <c r="S19" s="1593" t="s">
        <v>9178</v>
      </c>
      <c r="T19" s="1593" t="s">
        <v>4582</v>
      </c>
      <c r="U19" s="1593" t="s">
        <v>9179</v>
      </c>
      <c r="V19" s="1593">
        <v>59.79</v>
      </c>
      <c r="W19" s="1593" t="s">
        <v>9180</v>
      </c>
      <c r="X19" s="1593" t="s">
        <v>2064</v>
      </c>
      <c r="Y19" s="1593">
        <v>47.0</v>
      </c>
      <c r="Z19" s="1593" t="s">
        <v>9181</v>
      </c>
      <c r="AA19" s="1593" t="s">
        <v>9182</v>
      </c>
      <c r="AB19" s="1593" t="s">
        <v>7478</v>
      </c>
      <c r="AC19" s="1593">
        <v>47.56</v>
      </c>
      <c r="AD19" s="1593" t="s">
        <v>8814</v>
      </c>
      <c r="AE19" s="1593">
        <v>47.95</v>
      </c>
      <c r="AF19" s="1593" t="s">
        <v>9183</v>
      </c>
      <c r="AG19" s="1593" t="s">
        <v>9184</v>
      </c>
      <c r="AH19" s="1593">
        <v>57.67</v>
      </c>
      <c r="AI19" s="1593" t="s">
        <v>1051</v>
      </c>
      <c r="AJ19" s="1593" t="s">
        <v>9185</v>
      </c>
      <c r="AK19" s="1593" t="s">
        <v>8030</v>
      </c>
      <c r="AL19" s="1593">
        <v>56.37</v>
      </c>
      <c r="AM19" s="1593" t="s">
        <v>9186</v>
      </c>
      <c r="AN19" s="1593">
        <v>55.92</v>
      </c>
      <c r="AO19" s="1593" t="s">
        <v>4503</v>
      </c>
      <c r="AP19" s="1593" t="s">
        <v>8682</v>
      </c>
      <c r="AQ19" s="1593" t="s">
        <v>9187</v>
      </c>
      <c r="AR19" s="1593" t="s">
        <v>6656</v>
      </c>
      <c r="AS19" s="1593">
        <v>46.83</v>
      </c>
      <c r="AT19" s="1594" t="s">
        <v>9188</v>
      </c>
      <c r="AU19" s="1530" t="s">
        <v>9189</v>
      </c>
      <c r="AV19" s="1413" t="str">
        <f t="shared" si="1"/>
        <v>1:53</v>
      </c>
      <c r="AW19" s="1540" t="s">
        <v>9190</v>
      </c>
    </row>
    <row r="20">
      <c r="A20" s="1549" t="s">
        <v>2104</v>
      </c>
      <c r="B20" s="1537" t="s">
        <v>8773</v>
      </c>
      <c r="C20" s="1595">
        <v>0.049930555555555554</v>
      </c>
      <c r="D20" s="1596" t="s">
        <v>9191</v>
      </c>
      <c r="E20" s="1530" t="s">
        <v>9192</v>
      </c>
      <c r="F20" s="1530" t="s">
        <v>4333</v>
      </c>
      <c r="G20" s="1530" t="s">
        <v>9193</v>
      </c>
      <c r="H20" s="1530" t="s">
        <v>9194</v>
      </c>
      <c r="I20" s="1530" t="s">
        <v>5757</v>
      </c>
      <c r="J20" s="1530" t="s">
        <v>6399</v>
      </c>
      <c r="K20" s="1530" t="s">
        <v>9195</v>
      </c>
      <c r="L20" s="1530" t="s">
        <v>3572</v>
      </c>
      <c r="M20" s="1530" t="s">
        <v>1090</v>
      </c>
      <c r="N20" s="1530" t="s">
        <v>9196</v>
      </c>
      <c r="O20" s="1530" t="s">
        <v>800</v>
      </c>
      <c r="P20" s="1526">
        <v>47.54</v>
      </c>
      <c r="Q20" s="1597" t="s">
        <v>5764</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2891</v>
      </c>
      <c r="AJ20" s="1526" t="s">
        <v>9207</v>
      </c>
      <c r="AK20" s="1501" t="s">
        <v>9208</v>
      </c>
      <c r="AL20" s="1597">
        <v>55.92</v>
      </c>
      <c r="AM20" s="1597" t="s">
        <v>2960</v>
      </c>
      <c r="AN20" s="1501" t="s">
        <v>5746</v>
      </c>
      <c r="AO20" s="1597" t="s">
        <v>6954</v>
      </c>
      <c r="AP20" s="1597" t="s">
        <v>9209</v>
      </c>
      <c r="AQ20" s="1597" t="s">
        <v>7640</v>
      </c>
      <c r="AR20" s="1597" t="s">
        <v>6493</v>
      </c>
      <c r="AS20" s="1598">
        <v>42.83</v>
      </c>
      <c r="AT20" s="1526" t="s">
        <v>8257</v>
      </c>
      <c r="AU20" s="1539" t="s">
        <v>9210</v>
      </c>
      <c r="AV20" s="1413" t="str">
        <f t="shared" si="1"/>
        <v>4:29</v>
      </c>
      <c r="AW20" s="1540" t="s">
        <v>9211</v>
      </c>
    </row>
    <row r="21" ht="15.75" customHeight="1">
      <c r="A21" s="1549" t="s">
        <v>2264</v>
      </c>
      <c r="B21" s="1494" t="s">
        <v>8773</v>
      </c>
      <c r="C21" s="1495">
        <v>0.0499537037037037</v>
      </c>
      <c r="D21" s="1509" t="s">
        <v>9212</v>
      </c>
      <c r="E21" s="1509" t="s">
        <v>2845</v>
      </c>
      <c r="F21" s="1509" t="s">
        <v>9213</v>
      </c>
      <c r="G21" s="1501" t="s">
        <v>9214</v>
      </c>
      <c r="H21" s="1509" t="s">
        <v>9215</v>
      </c>
      <c r="I21" s="1599" t="s">
        <v>9158</v>
      </c>
      <c r="J21" s="1509" t="s">
        <v>1420</v>
      </c>
      <c r="K21" s="1509" t="s">
        <v>5196</v>
      </c>
      <c r="L21" s="1509" t="s">
        <v>9216</v>
      </c>
      <c r="M21" s="1509" t="s">
        <v>9217</v>
      </c>
      <c r="N21" s="1509" t="s">
        <v>9218</v>
      </c>
      <c r="O21" s="1509" t="s">
        <v>9219</v>
      </c>
      <c r="P21" s="1509" t="s">
        <v>6852</v>
      </c>
      <c r="Q21" s="1509" t="s">
        <v>4617</v>
      </c>
      <c r="R21" s="1560" t="s">
        <v>9220</v>
      </c>
      <c r="S21" s="1509" t="s">
        <v>4059</v>
      </c>
      <c r="T21" s="1509" t="s">
        <v>8967</v>
      </c>
      <c r="U21" s="1509" t="s">
        <v>9221</v>
      </c>
      <c r="V21" s="1509" t="s">
        <v>9222</v>
      </c>
      <c r="W21" s="1509" t="s">
        <v>9223</v>
      </c>
      <c r="X21" s="1509" t="s">
        <v>8007</v>
      </c>
      <c r="Y21" s="1509" t="s">
        <v>4345</v>
      </c>
      <c r="Z21" s="1509" t="s">
        <v>9224</v>
      </c>
      <c r="AA21" s="1509" t="s">
        <v>8007</v>
      </c>
      <c r="AB21" s="1509" t="s">
        <v>9225</v>
      </c>
      <c r="AC21" s="1509" t="s">
        <v>5610</v>
      </c>
      <c r="AD21" s="1509" t="s">
        <v>8047</v>
      </c>
      <c r="AE21" s="1509" t="s">
        <v>5937</v>
      </c>
      <c r="AF21" s="1509" t="s">
        <v>9226</v>
      </c>
      <c r="AG21" s="1509" t="s">
        <v>5063</v>
      </c>
      <c r="AH21" s="1509" t="s">
        <v>5215</v>
      </c>
      <c r="AI21" s="1509" t="s">
        <v>9227</v>
      </c>
      <c r="AJ21" s="1500" t="s">
        <v>8790</v>
      </c>
      <c r="AK21" s="1509" t="s">
        <v>2525</v>
      </c>
      <c r="AL21" s="1509" t="s">
        <v>9228</v>
      </c>
      <c r="AM21" s="1509" t="s">
        <v>8946</v>
      </c>
      <c r="AN21" s="1509" t="s">
        <v>559</v>
      </c>
      <c r="AO21" s="1509" t="s">
        <v>9229</v>
      </c>
      <c r="AP21" s="1509" t="s">
        <v>9230</v>
      </c>
      <c r="AQ21" s="1509" t="s">
        <v>4822</v>
      </c>
      <c r="AR21" s="1509" t="s">
        <v>6657</v>
      </c>
      <c r="AS21" s="1509" t="s">
        <v>2544</v>
      </c>
      <c r="AT21" s="1509" t="s">
        <v>3115</v>
      </c>
      <c r="AU21" s="1509" t="s">
        <v>9231</v>
      </c>
      <c r="AV21" s="1413" t="str">
        <f t="shared" si="1"/>
        <v>3:21</v>
      </c>
      <c r="AW21" s="1585" t="s">
        <v>9232</v>
      </c>
    </row>
    <row r="22" ht="15.75" customHeight="1">
      <c r="A22" s="1493" t="s">
        <v>9233</v>
      </c>
      <c r="B22" s="1494" t="s">
        <v>8773</v>
      </c>
      <c r="C22" s="1495">
        <v>0.049965277777777775</v>
      </c>
      <c r="D22" s="792" t="s">
        <v>9234</v>
      </c>
      <c r="E22" s="1509" t="s">
        <v>4367</v>
      </c>
      <c r="F22" s="1509" t="s">
        <v>9235</v>
      </c>
      <c r="G22" s="1509" t="s">
        <v>9236</v>
      </c>
      <c r="H22" s="1413" t="s">
        <v>2288</v>
      </c>
      <c r="I22" s="1509" t="s">
        <v>1388</v>
      </c>
      <c r="J22" s="1509" t="s">
        <v>383</v>
      </c>
      <c r="K22" s="1509" t="s">
        <v>9237</v>
      </c>
      <c r="L22" s="1509" t="s">
        <v>5423</v>
      </c>
      <c r="M22" s="1509" t="s">
        <v>6576</v>
      </c>
      <c r="N22" s="1509" t="s">
        <v>9238</v>
      </c>
      <c r="O22" s="1509" t="s">
        <v>2606</v>
      </c>
      <c r="P22" s="1413" t="s">
        <v>5242</v>
      </c>
      <c r="Q22" s="1509" t="s">
        <v>9239</v>
      </c>
      <c r="R22" s="1509" t="s">
        <v>3291</v>
      </c>
      <c r="S22" s="1509" t="s">
        <v>7914</v>
      </c>
      <c r="T22" s="1509" t="s">
        <v>8566</v>
      </c>
      <c r="U22" s="1509" t="s">
        <v>9240</v>
      </c>
      <c r="V22" s="1509" t="s">
        <v>5035</v>
      </c>
      <c r="W22" s="1509" t="s">
        <v>9241</v>
      </c>
      <c r="X22" s="1413" t="s">
        <v>6960</v>
      </c>
      <c r="Y22" s="1413" t="s">
        <v>5512</v>
      </c>
      <c r="Z22" s="1509" t="s">
        <v>8899</v>
      </c>
      <c r="AA22" s="1509" t="s">
        <v>2329</v>
      </c>
      <c r="AB22" s="1509" t="s">
        <v>9242</v>
      </c>
      <c r="AC22" s="1509" t="s">
        <v>786</v>
      </c>
      <c r="AD22" s="1509" t="s">
        <v>5253</v>
      </c>
      <c r="AE22" s="1509" t="s">
        <v>9243</v>
      </c>
      <c r="AF22" s="1509" t="s">
        <v>946</v>
      </c>
      <c r="AG22" s="1509" t="s">
        <v>9244</v>
      </c>
      <c r="AH22" s="1509" t="s">
        <v>6139</v>
      </c>
      <c r="AI22" s="1509" t="s">
        <v>691</v>
      </c>
      <c r="AJ22" s="1413" t="s">
        <v>9245</v>
      </c>
      <c r="AK22" s="1576" t="s">
        <v>6967</v>
      </c>
      <c r="AL22" s="1509" t="s">
        <v>4609</v>
      </c>
      <c r="AM22" s="1509" t="s">
        <v>3705</v>
      </c>
      <c r="AN22" s="1413" t="s">
        <v>6271</v>
      </c>
      <c r="AO22" s="1413" t="s">
        <v>6657</v>
      </c>
      <c r="AP22" s="1413" t="s">
        <v>9246</v>
      </c>
      <c r="AQ22" s="1413" t="s">
        <v>8882</v>
      </c>
      <c r="AR22" s="1413" t="s">
        <v>493</v>
      </c>
      <c r="AS22" s="1413" t="s">
        <v>5852</v>
      </c>
      <c r="AT22" s="1413" t="s">
        <v>9132</v>
      </c>
      <c r="AU22" s="1509" t="s">
        <v>9247</v>
      </c>
      <c r="AV22" s="1413" t="str">
        <f t="shared" si="1"/>
        <v>3:46</v>
      </c>
      <c r="AW22" s="1582" t="s">
        <v>8334</v>
      </c>
    </row>
    <row r="23" ht="15.75" customHeight="1">
      <c r="A23" s="1600" t="s">
        <v>6329</v>
      </c>
      <c r="B23" s="1494" t="s">
        <v>8773</v>
      </c>
      <c r="C23" s="1495">
        <v>0.05</v>
      </c>
      <c r="D23" s="792" t="s">
        <v>9248</v>
      </c>
      <c r="E23" s="1509" t="s">
        <v>8576</v>
      </c>
      <c r="F23" s="1509" t="s">
        <v>9213</v>
      </c>
      <c r="G23" s="1413" t="s">
        <v>9249</v>
      </c>
      <c r="H23" s="1509" t="s">
        <v>9250</v>
      </c>
      <c r="I23" s="1413" t="s">
        <v>1848</v>
      </c>
      <c r="J23" s="1509" t="s">
        <v>2833</v>
      </c>
      <c r="K23" s="1509" t="s">
        <v>9251</v>
      </c>
      <c r="L23" s="1509" t="s">
        <v>3311</v>
      </c>
      <c r="M23" s="1509" t="s">
        <v>9252</v>
      </c>
      <c r="N23" s="1509" t="s">
        <v>9253</v>
      </c>
      <c r="O23" s="1509" t="s">
        <v>9200</v>
      </c>
      <c r="P23" s="1413" t="s">
        <v>3976</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4979</v>
      </c>
      <c r="AD23" s="1509" t="s">
        <v>9261</v>
      </c>
      <c r="AE23" s="1413" t="s">
        <v>5500</v>
      </c>
      <c r="AF23" s="1601" t="s">
        <v>8788</v>
      </c>
      <c r="AG23" s="1509" t="s">
        <v>609</v>
      </c>
      <c r="AH23" s="1509" t="s">
        <v>7125</v>
      </c>
      <c r="AI23" s="1509" t="s">
        <v>311</v>
      </c>
      <c r="AJ23" s="1413" t="s">
        <v>9262</v>
      </c>
      <c r="AK23" s="1509" t="s">
        <v>9263</v>
      </c>
      <c r="AL23" s="1413" t="s">
        <v>3259</v>
      </c>
      <c r="AM23" s="1509" t="s">
        <v>1990</v>
      </c>
      <c r="AN23" s="1413" t="s">
        <v>2624</v>
      </c>
      <c r="AO23" s="1509" t="s">
        <v>3513</v>
      </c>
      <c r="AP23" s="1509" t="s">
        <v>9264</v>
      </c>
      <c r="AQ23" s="1413" t="s">
        <v>9265</v>
      </c>
      <c r="AR23" s="1509" t="s">
        <v>1670</v>
      </c>
      <c r="AS23" s="1413" t="s">
        <v>9139</v>
      </c>
      <c r="AT23" s="1509" t="s">
        <v>9266</v>
      </c>
      <c r="AU23" s="1509" t="s">
        <v>9267</v>
      </c>
      <c r="AV23" s="1413" t="str">
        <f t="shared" si="1"/>
        <v>1:53</v>
      </c>
      <c r="AW23" s="1582"/>
    </row>
    <row r="24" ht="15.75" customHeight="1">
      <c r="A24" s="1549" t="s">
        <v>2640</v>
      </c>
      <c r="B24" s="1537" t="s">
        <v>8800</v>
      </c>
      <c r="C24" s="1495">
        <v>0.05008101851851852</v>
      </c>
      <c r="D24" s="792" t="s">
        <v>9268</v>
      </c>
      <c r="E24" s="792" t="s">
        <v>9269</v>
      </c>
      <c r="F24" s="792" t="s">
        <v>9179</v>
      </c>
      <c r="G24" s="792" t="s">
        <v>9270</v>
      </c>
      <c r="H24" s="792" t="s">
        <v>9271</v>
      </c>
      <c r="I24" s="792" t="s">
        <v>9272</v>
      </c>
      <c r="J24" s="1555" t="s">
        <v>1352</v>
      </c>
      <c r="K24" s="792" t="s">
        <v>1093</v>
      </c>
      <c r="L24" s="792" t="s">
        <v>9273</v>
      </c>
      <c r="M24" s="1557" t="s">
        <v>9126</v>
      </c>
      <c r="N24" s="1555" t="s">
        <v>2495</v>
      </c>
      <c r="O24" s="792" t="s">
        <v>9274</v>
      </c>
      <c r="P24" s="1555" t="s">
        <v>5500</v>
      </c>
      <c r="Q24" s="1555" t="s">
        <v>5840</v>
      </c>
      <c r="R24" s="792" t="s">
        <v>7452</v>
      </c>
      <c r="S24" s="1555" t="s">
        <v>337</v>
      </c>
      <c r="T24" s="1555" t="s">
        <v>8810</v>
      </c>
      <c r="U24" s="792" t="s">
        <v>9275</v>
      </c>
      <c r="V24" s="1555" t="s">
        <v>8811</v>
      </c>
      <c r="W24" s="792" t="s">
        <v>7421</v>
      </c>
      <c r="X24" s="792" t="s">
        <v>5861</v>
      </c>
      <c r="Y24" s="792" t="s">
        <v>5132</v>
      </c>
      <c r="Z24" s="792" t="s">
        <v>1131</v>
      </c>
      <c r="AA24" s="792" t="s">
        <v>9276</v>
      </c>
      <c r="AB24" s="792" t="s">
        <v>2513</v>
      </c>
      <c r="AC24" s="792" t="s">
        <v>1833</v>
      </c>
      <c r="AD24" s="792" t="s">
        <v>6284</v>
      </c>
      <c r="AE24" s="792" t="s">
        <v>3305</v>
      </c>
      <c r="AF24" s="792" t="s">
        <v>8818</v>
      </c>
      <c r="AG24" s="792" t="s">
        <v>9277</v>
      </c>
      <c r="AH24" s="792" t="s">
        <v>5018</v>
      </c>
      <c r="AI24" s="792" t="s">
        <v>3414</v>
      </c>
      <c r="AJ24" s="792" t="s">
        <v>9278</v>
      </c>
      <c r="AK24" s="792" t="s">
        <v>9279</v>
      </c>
      <c r="AL24" s="792" t="s">
        <v>9280</v>
      </c>
      <c r="AM24" s="792" t="s">
        <v>9281</v>
      </c>
      <c r="AN24" s="792" t="s">
        <v>4408</v>
      </c>
      <c r="AO24" s="792" t="s">
        <v>7572</v>
      </c>
      <c r="AP24" s="792" t="s">
        <v>9282</v>
      </c>
      <c r="AQ24" s="792" t="s">
        <v>9283</v>
      </c>
      <c r="AR24" s="792" t="s">
        <v>9284</v>
      </c>
      <c r="AS24" s="792" t="s">
        <v>4661</v>
      </c>
      <c r="AT24" s="792" t="s">
        <v>2743</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5345</v>
      </c>
      <c r="J25" s="1526" t="s">
        <v>9289</v>
      </c>
      <c r="K25" s="1526" t="s">
        <v>9290</v>
      </c>
      <c r="L25" s="792" t="s">
        <v>5127</v>
      </c>
      <c r="M25" s="1555" t="s">
        <v>8807</v>
      </c>
      <c r="N25" s="1526" t="s">
        <v>9291</v>
      </c>
      <c r="O25" s="1526" t="s">
        <v>9292</v>
      </c>
      <c r="P25" s="1526" t="s">
        <v>5912</v>
      </c>
      <c r="Q25" s="1526" t="s">
        <v>2708</v>
      </c>
      <c r="R25" s="1526" t="s">
        <v>971</v>
      </c>
      <c r="S25" s="1526" t="s">
        <v>9293</v>
      </c>
      <c r="T25" s="1526" t="s">
        <v>1393</v>
      </c>
      <c r="U25" s="1526" t="s">
        <v>9294</v>
      </c>
      <c r="V25" s="1526" t="s">
        <v>9295</v>
      </c>
      <c r="W25" s="1526" t="s">
        <v>9296</v>
      </c>
      <c r="X25" s="1526" t="s">
        <v>1302</v>
      </c>
      <c r="Y25" s="1526" t="s">
        <v>1094</v>
      </c>
      <c r="Z25" s="1526" t="s">
        <v>9202</v>
      </c>
      <c r="AA25" s="1526" t="s">
        <v>9297</v>
      </c>
      <c r="AB25" s="1526" t="s">
        <v>9298</v>
      </c>
      <c r="AC25" s="1526" t="s">
        <v>4793</v>
      </c>
      <c r="AD25" s="1526" t="s">
        <v>9299</v>
      </c>
      <c r="AE25" s="1526" t="s">
        <v>9300</v>
      </c>
      <c r="AF25" s="1526" t="s">
        <v>5768</v>
      </c>
      <c r="AG25" s="1526" t="s">
        <v>9301</v>
      </c>
      <c r="AH25" s="1526" t="s">
        <v>4276</v>
      </c>
      <c r="AI25" s="1509" t="s">
        <v>4154</v>
      </c>
      <c r="AJ25" s="1526" t="s">
        <v>9302</v>
      </c>
      <c r="AK25" s="1526" t="s">
        <v>9303</v>
      </c>
      <c r="AL25" s="1526" t="s">
        <v>2508</v>
      </c>
      <c r="AM25" s="1526" t="s">
        <v>4064</v>
      </c>
      <c r="AN25" s="1526" t="s">
        <v>6050</v>
      </c>
      <c r="AO25" s="1526" t="s">
        <v>9304</v>
      </c>
      <c r="AP25" s="1526" t="s">
        <v>9305</v>
      </c>
      <c r="AQ25" s="1526" t="s">
        <v>4049</v>
      </c>
      <c r="AR25" s="1526" t="s">
        <v>2757</v>
      </c>
      <c r="AS25" s="1526" t="s">
        <v>756</v>
      </c>
      <c r="AT25" s="1526" t="s">
        <v>9306</v>
      </c>
      <c r="AU25" s="1509" t="s">
        <v>9307</v>
      </c>
      <c r="AV25" s="1413" t="str">
        <f t="shared" si="1"/>
        <v>3:20</v>
      </c>
      <c r="AW25" s="775"/>
    </row>
    <row r="26" ht="15.75" customHeight="1">
      <c r="A26" s="1506" t="s">
        <v>1416</v>
      </c>
      <c r="B26" s="1494" t="s">
        <v>8773</v>
      </c>
      <c r="C26" s="1495">
        <v>0.05025462962962963</v>
      </c>
      <c r="D26" s="792" t="s">
        <v>9308</v>
      </c>
      <c r="E26" s="1573" t="s">
        <v>9309</v>
      </c>
      <c r="F26" s="1586" t="s">
        <v>9310</v>
      </c>
      <c r="G26" s="1501" t="s">
        <v>9311</v>
      </c>
      <c r="H26" s="1181" t="s">
        <v>9312</v>
      </c>
      <c r="I26" s="1181" t="s">
        <v>1046</v>
      </c>
      <c r="J26" s="1557" t="s">
        <v>8940</v>
      </c>
      <c r="K26" s="1587" t="s">
        <v>7254</v>
      </c>
      <c r="L26" s="1587" t="s">
        <v>5175</v>
      </c>
      <c r="M26" s="1604" t="str">
        <f>HYPERLINK("https://youtu.be/teAIifUZjFw","1:14.18")</f>
        <v>1:14.18</v>
      </c>
      <c r="N26" s="1587" t="s">
        <v>3767</v>
      </c>
      <c r="O26" s="1587" t="s">
        <v>9313</v>
      </c>
      <c r="P26" s="1587" t="s">
        <v>2095</v>
      </c>
      <c r="Q26" s="1588" t="s">
        <v>9314</v>
      </c>
      <c r="R26" s="1560" t="s">
        <v>9315</v>
      </c>
      <c r="S26" s="1560" t="s">
        <v>5458</v>
      </c>
      <c r="T26" s="1605" t="str">
        <f>HYPERLINK("https://youtu.be/AiXricVH5ss","1:24.99")</f>
        <v>1:24.99</v>
      </c>
      <c r="U26" s="1606" t="str">
        <f>HYPERLINK("https://www.twitch.tv/videos/450151935","2:00.31")</f>
        <v>2:00.31</v>
      </c>
      <c r="V26" s="1560" t="s">
        <v>9060</v>
      </c>
      <c r="W26" s="1607" t="str">
        <f>HYPERLINK("https://youtu.be/eafNhBoXVWA","1:46.09")</f>
        <v>1:46.09</v>
      </c>
      <c r="X26" s="1589" t="s">
        <v>4470</v>
      </c>
      <c r="Y26" s="1589" t="s">
        <v>9031</v>
      </c>
      <c r="Z26" s="1589" t="s">
        <v>9316</v>
      </c>
      <c r="AA26" s="1575" t="s">
        <v>8994</v>
      </c>
      <c r="AB26" s="1589" t="s">
        <v>7256</v>
      </c>
      <c r="AC26" s="1589" t="s">
        <v>7879</v>
      </c>
      <c r="AD26" s="1608" t="str">
        <f>HYPERLINK("https://youtu.be/8FEcTKESSh0","1:49.80")</f>
        <v>1:49.80</v>
      </c>
      <c r="AE26" s="1573" t="s">
        <v>6580</v>
      </c>
      <c r="AF26" s="1590" t="s">
        <v>9317</v>
      </c>
      <c r="AG26" s="1590" t="s">
        <v>9318</v>
      </c>
      <c r="AH26" s="1590" t="s">
        <v>9319</v>
      </c>
      <c r="AI26" s="1590" t="s">
        <v>4065</v>
      </c>
      <c r="AJ26" s="1590" t="s">
        <v>9320</v>
      </c>
      <c r="AK26" s="1576" t="s">
        <v>9198</v>
      </c>
      <c r="AL26" s="1590" t="s">
        <v>9321</v>
      </c>
      <c r="AM26" s="1578" t="s">
        <v>9165</v>
      </c>
      <c r="AN26" s="1578" t="s">
        <v>8567</v>
      </c>
      <c r="AO26" s="1578" t="s">
        <v>9284</v>
      </c>
      <c r="AP26" s="1577" t="s">
        <v>9322</v>
      </c>
      <c r="AQ26" s="1577" t="s">
        <v>9323</v>
      </c>
      <c r="AR26" s="1578" t="s">
        <v>9324</v>
      </c>
      <c r="AS26" s="1577" t="s">
        <v>5560</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265</v>
      </c>
      <c r="J27" s="792" t="s">
        <v>6153</v>
      </c>
      <c r="K27" s="1509" t="s">
        <v>9251</v>
      </c>
      <c r="L27" s="1509" t="s">
        <v>3572</v>
      </c>
      <c r="M27" s="792" t="s">
        <v>2690</v>
      </c>
      <c r="N27" s="1509" t="s">
        <v>9331</v>
      </c>
      <c r="O27" s="1509" t="s">
        <v>9332</v>
      </c>
      <c r="P27" s="792" t="s">
        <v>9333</v>
      </c>
      <c r="Q27" s="1509" t="s">
        <v>9334</v>
      </c>
      <c r="R27" s="792" t="s">
        <v>9335</v>
      </c>
      <c r="S27" s="1509" t="s">
        <v>9336</v>
      </c>
      <c r="T27" s="792" t="s">
        <v>9337</v>
      </c>
      <c r="U27" s="1509" t="s">
        <v>1031</v>
      </c>
      <c r="V27" s="792" t="s">
        <v>5035</v>
      </c>
      <c r="W27" s="792" t="s">
        <v>7423</v>
      </c>
      <c r="X27" s="792" t="s">
        <v>6960</v>
      </c>
      <c r="Y27" s="792" t="s">
        <v>884</v>
      </c>
      <c r="Z27" s="792" t="s">
        <v>9338</v>
      </c>
      <c r="AA27" s="1509" t="s">
        <v>9339</v>
      </c>
      <c r="AB27" s="792" t="s">
        <v>7878</v>
      </c>
      <c r="AC27" s="1509" t="s">
        <v>9272</v>
      </c>
      <c r="AD27" s="792" t="s">
        <v>6310</v>
      </c>
      <c r="AE27" s="1509" t="s">
        <v>8903</v>
      </c>
      <c r="AF27" s="1509" t="s">
        <v>9340</v>
      </c>
      <c r="AG27" s="792" t="s">
        <v>2052</v>
      </c>
      <c r="AH27" s="792" t="s">
        <v>2631</v>
      </c>
      <c r="AI27" s="1509" t="s">
        <v>9341</v>
      </c>
      <c r="AJ27" s="792" t="s">
        <v>9342</v>
      </c>
      <c r="AK27" s="792" t="s">
        <v>8877</v>
      </c>
      <c r="AL27" s="792" t="s">
        <v>4609</v>
      </c>
      <c r="AM27" s="792" t="s">
        <v>9343</v>
      </c>
      <c r="AN27" s="792" t="s">
        <v>4609</v>
      </c>
      <c r="AO27" s="792" t="s">
        <v>1845</v>
      </c>
      <c r="AP27" s="1509" t="s">
        <v>9344</v>
      </c>
      <c r="AQ27" s="792" t="s">
        <v>2227</v>
      </c>
      <c r="AR27" s="1509" t="s">
        <v>8680</v>
      </c>
      <c r="AS27" s="792" t="s">
        <v>1904</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1841</v>
      </c>
      <c r="K28" s="1557" t="s">
        <v>6070</v>
      </c>
      <c r="L28" s="1557" t="s">
        <v>3543</v>
      </c>
      <c r="M28" s="1557" t="s">
        <v>8893</v>
      </c>
      <c r="N28" s="1557" t="s">
        <v>7770</v>
      </c>
      <c r="O28" s="1557" t="s">
        <v>4142</v>
      </c>
      <c r="P28" s="1557" t="s">
        <v>4750</v>
      </c>
      <c r="Q28" s="1560" t="s">
        <v>9353</v>
      </c>
      <c r="R28" s="1560" t="s">
        <v>9354</v>
      </c>
      <c r="S28" s="1560" t="s">
        <v>551</v>
      </c>
      <c r="T28" s="1560" t="s">
        <v>9355</v>
      </c>
      <c r="U28" s="1560" t="s">
        <v>9356</v>
      </c>
      <c r="V28" s="1560" t="s">
        <v>9357</v>
      </c>
      <c r="W28" s="1575" t="s">
        <v>9358</v>
      </c>
      <c r="X28" s="1575" t="s">
        <v>4470</v>
      </c>
      <c r="Y28" s="1575" t="s">
        <v>1550</v>
      </c>
      <c r="Z28" s="1575" t="s">
        <v>2400</v>
      </c>
      <c r="AA28" s="1575" t="s">
        <v>9359</v>
      </c>
      <c r="AB28" s="1575" t="s">
        <v>3796</v>
      </c>
      <c r="AC28" s="1575" t="s">
        <v>9360</v>
      </c>
      <c r="AD28" s="1573" t="s">
        <v>9361</v>
      </c>
      <c r="AE28" s="1573" t="s">
        <v>5937</v>
      </c>
      <c r="AF28" s="1576" t="s">
        <v>9362</v>
      </c>
      <c r="AG28" s="1576" t="s">
        <v>8076</v>
      </c>
      <c r="AH28" s="1576" t="s">
        <v>9363</v>
      </c>
      <c r="AI28" s="1576" t="s">
        <v>5147</v>
      </c>
      <c r="AJ28" s="1576" t="s">
        <v>9364</v>
      </c>
      <c r="AK28" s="1576" t="s">
        <v>9365</v>
      </c>
      <c r="AL28" s="1576" t="s">
        <v>9366</v>
      </c>
      <c r="AM28" s="1578" t="s">
        <v>9081</v>
      </c>
      <c r="AN28" s="1578" t="s">
        <v>9367</v>
      </c>
      <c r="AO28" s="1578" t="s">
        <v>3207</v>
      </c>
      <c r="AP28" s="1578" t="s">
        <v>9368</v>
      </c>
      <c r="AQ28" s="1578" t="s">
        <v>9369</v>
      </c>
      <c r="AR28" s="1578" t="s">
        <v>3011</v>
      </c>
      <c r="AS28" s="1578" t="s">
        <v>304</v>
      </c>
      <c r="AT28" s="1557" t="s">
        <v>9370</v>
      </c>
      <c r="AU28" s="1539" t="s">
        <v>9371</v>
      </c>
      <c r="AV28" s="1413" t="str">
        <f t="shared" si="1"/>
        <v>2:59</v>
      </c>
      <c r="AW28" s="1540" t="s">
        <v>9372</v>
      </c>
    </row>
    <row r="29">
      <c r="A29" s="1610" t="s">
        <v>2901</v>
      </c>
      <c r="B29" s="1537" t="s">
        <v>8800</v>
      </c>
      <c r="C29" s="1611">
        <v>0.050373842592592595</v>
      </c>
      <c r="D29" s="792" t="s">
        <v>9373</v>
      </c>
      <c r="E29" s="1573" t="s">
        <v>7759</v>
      </c>
      <c r="F29" s="1573" t="s">
        <v>1148</v>
      </c>
      <c r="G29" s="1573" t="s">
        <v>9374</v>
      </c>
      <c r="H29" s="792" t="s">
        <v>1657</v>
      </c>
      <c r="I29" s="1116" t="s">
        <v>1351</v>
      </c>
      <c r="J29" s="1557" t="s">
        <v>9375</v>
      </c>
      <c r="K29" s="1557" t="s">
        <v>9376</v>
      </c>
      <c r="L29" s="1557" t="s">
        <v>9377</v>
      </c>
      <c r="M29" s="1557" t="s">
        <v>9378</v>
      </c>
      <c r="N29" s="1557" t="s">
        <v>3643</v>
      </c>
      <c r="O29" s="1557" t="s">
        <v>9274</v>
      </c>
      <c r="P29" s="1557" t="s">
        <v>1862</v>
      </c>
      <c r="Q29" s="1560" t="s">
        <v>6257</v>
      </c>
      <c r="R29" s="1560" t="s">
        <v>2672</v>
      </c>
      <c r="S29" s="1560" t="s">
        <v>2643</v>
      </c>
      <c r="T29" s="1612" t="s">
        <v>9379</v>
      </c>
      <c r="U29" s="1612" t="s">
        <v>8008</v>
      </c>
      <c r="V29" s="1612" t="s">
        <v>7518</v>
      </c>
      <c r="W29" s="835" t="s">
        <v>9380</v>
      </c>
      <c r="X29" s="1575" t="s">
        <v>1188</v>
      </c>
      <c r="Y29" s="1575" t="s">
        <v>8302</v>
      </c>
      <c r="Z29" s="1575" t="s">
        <v>1592</v>
      </c>
      <c r="AA29" s="1509" t="s">
        <v>9381</v>
      </c>
      <c r="AB29" s="1575" t="s">
        <v>9382</v>
      </c>
      <c r="AC29" s="1575" t="s">
        <v>1833</v>
      </c>
      <c r="AD29" s="1573" t="s">
        <v>9383</v>
      </c>
      <c r="AE29" s="1573" t="s">
        <v>9384</v>
      </c>
      <c r="AF29" s="1576" t="s">
        <v>9385</v>
      </c>
      <c r="AG29" s="1576" t="s">
        <v>2923</v>
      </c>
      <c r="AH29" s="932" t="s">
        <v>9386</v>
      </c>
      <c r="AI29" s="1576" t="s">
        <v>509</v>
      </c>
      <c r="AJ29" s="1576" t="s">
        <v>9387</v>
      </c>
      <c r="AK29" s="1576" t="s">
        <v>9388</v>
      </c>
      <c r="AL29" s="1576" t="s">
        <v>4557</v>
      </c>
      <c r="AM29" s="1578" t="s">
        <v>9389</v>
      </c>
      <c r="AN29" s="1578" t="s">
        <v>4136</v>
      </c>
      <c r="AO29" s="1578" t="s">
        <v>9390</v>
      </c>
      <c r="AP29" s="1578" t="s">
        <v>9391</v>
      </c>
      <c r="AQ29" s="1578" t="s">
        <v>9283</v>
      </c>
      <c r="AR29" s="1578" t="s">
        <v>3011</v>
      </c>
      <c r="AS29" s="1578" t="s">
        <v>1142</v>
      </c>
      <c r="AT29" s="1557" t="s">
        <v>2663</v>
      </c>
      <c r="AU29" s="1613" t="s">
        <v>9392</v>
      </c>
      <c r="AV29" s="1614" t="str">
        <f t="shared" si="1"/>
        <v>2:15</v>
      </c>
      <c r="AW29" s="1615"/>
    </row>
    <row r="30" ht="15.75" customHeight="1">
      <c r="A30" s="1493" t="s">
        <v>9393</v>
      </c>
      <c r="B30" s="1583" t="s">
        <v>8800</v>
      </c>
      <c r="C30" s="1495">
        <v>0.05042824074074074</v>
      </c>
      <c r="D30" s="792" t="s">
        <v>9119</v>
      </c>
      <c r="E30" s="1573" t="s">
        <v>6343</v>
      </c>
      <c r="F30" s="1573" t="s">
        <v>9394</v>
      </c>
      <c r="G30" s="1586" t="s">
        <v>9395</v>
      </c>
      <c r="H30" s="1181" t="s">
        <v>9396</v>
      </c>
      <c r="I30" s="1116" t="s">
        <v>3357</v>
      </c>
      <c r="J30" s="1557" t="s">
        <v>4855</v>
      </c>
      <c r="K30" s="1557" t="s">
        <v>9290</v>
      </c>
      <c r="L30" s="1557" t="s">
        <v>2470</v>
      </c>
      <c r="M30" s="1557" t="s">
        <v>2040</v>
      </c>
      <c r="N30" s="1557" t="s">
        <v>4185</v>
      </c>
      <c r="O30" s="1557" t="s">
        <v>9397</v>
      </c>
      <c r="P30" s="1587" t="s">
        <v>761</v>
      </c>
      <c r="Q30" s="1560" t="s">
        <v>9398</v>
      </c>
      <c r="R30" s="1560" t="s">
        <v>3429</v>
      </c>
      <c r="S30" s="1560" t="s">
        <v>7838</v>
      </c>
      <c r="T30" s="1588" t="s">
        <v>9016</v>
      </c>
      <c r="U30" s="1560" t="s">
        <v>8944</v>
      </c>
      <c r="V30" s="1588" t="s">
        <v>5002</v>
      </c>
      <c r="W30" s="1589" t="s">
        <v>7605</v>
      </c>
      <c r="X30" s="1575" t="s">
        <v>2603</v>
      </c>
      <c r="Y30" s="1589" t="s">
        <v>9399</v>
      </c>
      <c r="Z30" s="1575" t="s">
        <v>9400</v>
      </c>
      <c r="AA30" s="1589" t="s">
        <v>9401</v>
      </c>
      <c r="AB30" s="792" t="s">
        <v>7681</v>
      </c>
      <c r="AC30" s="1589" t="s">
        <v>3682</v>
      </c>
      <c r="AD30" s="1565" t="s">
        <v>8814</v>
      </c>
      <c r="AE30" s="1573" t="s">
        <v>3305</v>
      </c>
      <c r="AF30" s="1576" t="s">
        <v>9402</v>
      </c>
      <c r="AG30" s="1590" t="s">
        <v>3956</v>
      </c>
      <c r="AH30" s="1590" t="s">
        <v>6135</v>
      </c>
      <c r="AI30" s="1413" t="s">
        <v>9339</v>
      </c>
      <c r="AJ30" s="1590" t="s">
        <v>9403</v>
      </c>
      <c r="AK30" s="1616" t="s">
        <v>8819</v>
      </c>
      <c r="AL30" s="1590" t="s">
        <v>3687</v>
      </c>
      <c r="AM30" s="1578" t="s">
        <v>9404</v>
      </c>
      <c r="AN30" s="1578" t="s">
        <v>5114</v>
      </c>
      <c r="AO30" s="1578" t="s">
        <v>2077</v>
      </c>
      <c r="AP30" s="1578" t="s">
        <v>9405</v>
      </c>
      <c r="AQ30" s="1577" t="s">
        <v>9406</v>
      </c>
      <c r="AR30" s="1577" t="s">
        <v>3732</v>
      </c>
      <c r="AS30" s="1577" t="s">
        <v>5212</v>
      </c>
      <c r="AT30" s="1557" t="s">
        <v>9407</v>
      </c>
      <c r="AU30" s="1539" t="s">
        <v>9408</v>
      </c>
      <c r="AV30" s="1413" t="str">
        <f t="shared" si="1"/>
        <v>2:55</v>
      </c>
      <c r="AW30" s="1615"/>
    </row>
    <row r="31" ht="15.75" customHeight="1">
      <c r="A31" s="1493" t="s">
        <v>4338</v>
      </c>
      <c r="B31" s="1494" t="s">
        <v>8773</v>
      </c>
      <c r="C31" s="1617">
        <v>0.05043981481481481</v>
      </c>
      <c r="D31" s="792" t="s">
        <v>9409</v>
      </c>
      <c r="E31" s="1413" t="s">
        <v>7577</v>
      </c>
      <c r="F31" s="1413" t="s">
        <v>1577</v>
      </c>
      <c r="G31" s="1413" t="s">
        <v>9410</v>
      </c>
      <c r="H31" s="1413" t="s">
        <v>9007</v>
      </c>
      <c r="I31" s="1413" t="s">
        <v>4714</v>
      </c>
      <c r="J31" s="1413" t="s">
        <v>4480</v>
      </c>
      <c r="K31" s="1413" t="s">
        <v>9237</v>
      </c>
      <c r="L31" s="1413" t="s">
        <v>4000</v>
      </c>
      <c r="M31" s="1413" t="s">
        <v>9411</v>
      </c>
      <c r="N31" s="1413" t="s">
        <v>8810</v>
      </c>
      <c r="O31" s="1413" t="s">
        <v>9412</v>
      </c>
      <c r="P31" s="1413" t="s">
        <v>5377</v>
      </c>
      <c r="Q31" s="1413" t="s">
        <v>9413</v>
      </c>
      <c r="R31" s="1413" t="s">
        <v>9414</v>
      </c>
      <c r="S31" s="1413" t="s">
        <v>9415</v>
      </c>
      <c r="T31" s="1413" t="s">
        <v>9416</v>
      </c>
      <c r="U31" s="1413" t="s">
        <v>9417</v>
      </c>
      <c r="V31" s="1413" t="s">
        <v>2284</v>
      </c>
      <c r="W31" s="1413" t="s">
        <v>9418</v>
      </c>
      <c r="X31" s="1413" t="s">
        <v>9419</v>
      </c>
      <c r="Y31" s="1413" t="s">
        <v>9258</v>
      </c>
      <c r="Z31" s="1413" t="s">
        <v>1131</v>
      </c>
      <c r="AA31" s="1413" t="s">
        <v>3414</v>
      </c>
      <c r="AB31" s="1413" t="s">
        <v>4855</v>
      </c>
      <c r="AC31" s="1413" t="s">
        <v>7879</v>
      </c>
      <c r="AD31" s="1413" t="s">
        <v>6284</v>
      </c>
      <c r="AE31" s="1413" t="s">
        <v>5529</v>
      </c>
      <c r="AF31" s="1413" t="s">
        <v>9420</v>
      </c>
      <c r="AG31" s="1413" t="s">
        <v>5927</v>
      </c>
      <c r="AH31" s="1413" t="s">
        <v>4093</v>
      </c>
      <c r="AI31" s="1413" t="s">
        <v>5147</v>
      </c>
      <c r="AJ31" s="1413" t="s">
        <v>9421</v>
      </c>
      <c r="AK31" s="1413" t="s">
        <v>9422</v>
      </c>
      <c r="AL31" s="1413" t="s">
        <v>6007</v>
      </c>
      <c r="AM31" s="1413" t="s">
        <v>1233</v>
      </c>
      <c r="AN31" s="1413" t="s">
        <v>4188</v>
      </c>
      <c r="AO31" s="1413" t="s">
        <v>9423</v>
      </c>
      <c r="AP31" s="1528" t="str">
        <f>HYPERLINK("https://www.twitch.tv/videos/511415405","2:00.79")</f>
        <v>2:00.79</v>
      </c>
      <c r="AQ31" s="1413" t="s">
        <v>3597</v>
      </c>
      <c r="AR31" s="1413" t="s">
        <v>7572</v>
      </c>
      <c r="AS31" s="1413" t="s">
        <v>9424</v>
      </c>
      <c r="AT31" s="1413" t="s">
        <v>9425</v>
      </c>
      <c r="AU31" s="1413" t="s">
        <v>9426</v>
      </c>
      <c r="AV31" s="1413" t="str">
        <f t="shared" si="1"/>
        <v>2:36</v>
      </c>
      <c r="AW31" s="1529" t="s">
        <v>6706</v>
      </c>
    </row>
    <row r="32">
      <c r="A32" s="1549" t="s">
        <v>1198</v>
      </c>
      <c r="B32" s="1537" t="s">
        <v>8773</v>
      </c>
      <c r="C32" s="1495">
        <v>0.050486111111111114</v>
      </c>
      <c r="D32" s="1573" t="s">
        <v>9427</v>
      </c>
      <c r="E32" s="1573" t="s">
        <v>4251</v>
      </c>
      <c r="F32" s="1573" t="s">
        <v>9428</v>
      </c>
      <c r="G32" s="1573" t="s">
        <v>9429</v>
      </c>
      <c r="H32" s="792" t="s">
        <v>9430</v>
      </c>
      <c r="I32" s="1116" t="s">
        <v>929</v>
      </c>
      <c r="J32" s="1557" t="s">
        <v>5890</v>
      </c>
      <c r="K32" s="1557" t="s">
        <v>8093</v>
      </c>
      <c r="L32" s="1557" t="s">
        <v>6532</v>
      </c>
      <c r="M32" s="1557" t="s">
        <v>5026</v>
      </c>
      <c r="N32" s="1557" t="s">
        <v>9431</v>
      </c>
      <c r="O32" s="1557" t="s">
        <v>9432</v>
      </c>
      <c r="P32" s="1557" t="s">
        <v>9158</v>
      </c>
      <c r="Q32" s="1560" t="s">
        <v>171</v>
      </c>
      <c r="R32" s="1560" t="s">
        <v>4803</v>
      </c>
      <c r="S32" s="1560" t="s">
        <v>9303</v>
      </c>
      <c r="T32" s="1560" t="s">
        <v>9433</v>
      </c>
      <c r="U32" s="1560" t="s">
        <v>9434</v>
      </c>
      <c r="V32" s="1560" t="s">
        <v>9435</v>
      </c>
      <c r="W32" s="1575" t="s">
        <v>9436</v>
      </c>
      <c r="X32" s="1575" t="s">
        <v>9437</v>
      </c>
      <c r="Y32" s="1575" t="s">
        <v>7187</v>
      </c>
      <c r="Z32" s="1575" t="s">
        <v>9438</v>
      </c>
      <c r="AA32" s="1509" t="s">
        <v>9439</v>
      </c>
      <c r="AB32" s="1575" t="s">
        <v>3396</v>
      </c>
      <c r="AC32" s="1575" t="s">
        <v>1046</v>
      </c>
      <c r="AD32" s="1573" t="s">
        <v>9440</v>
      </c>
      <c r="AE32" s="1573" t="s">
        <v>2223</v>
      </c>
      <c r="AF32" s="1576" t="s">
        <v>9441</v>
      </c>
      <c r="AG32" s="1576" t="s">
        <v>530</v>
      </c>
      <c r="AH32" s="1576" t="s">
        <v>9442</v>
      </c>
      <c r="AI32" s="1576" t="s">
        <v>2667</v>
      </c>
      <c r="AJ32" s="1576" t="s">
        <v>9443</v>
      </c>
      <c r="AK32" s="1576" t="s">
        <v>7656</v>
      </c>
      <c r="AL32" s="1576" t="s">
        <v>2854</v>
      </c>
      <c r="AM32" s="1578" t="s">
        <v>9444</v>
      </c>
      <c r="AN32" s="1578" t="s">
        <v>9273</v>
      </c>
      <c r="AO32" s="1578" t="s">
        <v>9445</v>
      </c>
      <c r="AP32" s="1578" t="s">
        <v>9446</v>
      </c>
      <c r="AQ32" s="1578" t="s">
        <v>9447</v>
      </c>
      <c r="AR32" s="1578" t="s">
        <v>1159</v>
      </c>
      <c r="AS32" s="1578" t="s">
        <v>1550</v>
      </c>
      <c r="AT32" s="1557" t="s">
        <v>9448</v>
      </c>
      <c r="AU32" s="1539" t="s">
        <v>9449</v>
      </c>
      <c r="AV32" s="1413" t="str">
        <f t="shared" si="1"/>
        <v>3:47</v>
      </c>
      <c r="AW32" s="1540"/>
    </row>
    <row r="33" ht="15.75" customHeight="1">
      <c r="A33" s="1549" t="s">
        <v>1634</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6493</v>
      </c>
      <c r="K33" s="1557" t="s">
        <v>6655</v>
      </c>
      <c r="L33" s="1604" t="str">
        <f>HYPERLINK("https://www.youtube.com/watch?v=tJdjPKdAbw4","57.01")</f>
        <v>57.01</v>
      </c>
      <c r="M33" s="1587" t="s">
        <v>7485</v>
      </c>
      <c r="N33" s="1557" t="s">
        <v>2302</v>
      </c>
      <c r="O33" s="1587" t="s">
        <v>9453</v>
      </c>
      <c r="P33" s="1587" t="s">
        <v>282</v>
      </c>
      <c r="Q33" s="1588" t="s">
        <v>240</v>
      </c>
      <c r="R33" s="1588" t="s">
        <v>9454</v>
      </c>
      <c r="S33" s="1606" t="str">
        <f>HYPERLINK("https://www.youtube.com/watch?v=_3ms_ZhYFzo","1:18.01")</f>
        <v>1:18.01</v>
      </c>
      <c r="T33" s="1588" t="s">
        <v>9455</v>
      </c>
      <c r="U33" s="1606" t="str">
        <f>HYPERLINK("https://www.youtube.com/watch?v=ZOy_TI3Zw14","2:02.38")</f>
        <v>2:02.38</v>
      </c>
      <c r="V33" s="1588" t="s">
        <v>9435</v>
      </c>
      <c r="W33" s="1589" t="s">
        <v>3303</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3048</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5551</v>
      </c>
      <c r="AT33" s="1604" t="str">
        <f>HYPERLINK("https://www.youtube.com/watch?v=H67SXBLcISI","2:29.09")</f>
        <v>2:29.09</v>
      </c>
      <c r="AU33" s="1591" t="s">
        <v>9463</v>
      </c>
      <c r="AV33" s="1413" t="str">
        <f t="shared" si="1"/>
        <v>2:03</v>
      </c>
      <c r="AW33" s="1621" t="s">
        <v>9464</v>
      </c>
    </row>
    <row r="34">
      <c r="A34" s="1549" t="s">
        <v>3090</v>
      </c>
      <c r="B34" s="1537" t="s">
        <v>8800</v>
      </c>
      <c r="C34" s="1495">
        <v>0.050520833333333334</v>
      </c>
      <c r="D34" s="1573" t="s">
        <v>9465</v>
      </c>
      <c r="E34" s="1596" t="s">
        <v>4595</v>
      </c>
      <c r="F34" s="1596" t="s">
        <v>8821</v>
      </c>
      <c r="G34" s="1573" t="s">
        <v>9466</v>
      </c>
      <c r="H34" s="1596" t="s">
        <v>9467</v>
      </c>
      <c r="I34" s="1596" t="s">
        <v>3114</v>
      </c>
      <c r="J34" s="1557" t="s">
        <v>9468</v>
      </c>
      <c r="K34" s="1622" t="s">
        <v>9469</v>
      </c>
      <c r="L34" s="1557" t="s">
        <v>9470</v>
      </c>
      <c r="M34" s="1501" t="s">
        <v>5787</v>
      </c>
      <c r="N34" s="1557" t="s">
        <v>888</v>
      </c>
      <c r="O34" s="1557" t="s">
        <v>9313</v>
      </c>
      <c r="P34" s="1557" t="s">
        <v>413</v>
      </c>
      <c r="Q34" s="778" t="str">
        <f>HYPERLINK("https://www.twitch.tv/planktonsecretformula/v/1588460220?sr=a", "2:12.43")</f>
        <v>2:12.43</v>
      </c>
      <c r="R34" s="1560" t="s">
        <v>9414</v>
      </c>
      <c r="S34" s="1560" t="s">
        <v>9471</v>
      </c>
      <c r="T34" s="1623" t="s">
        <v>9472</v>
      </c>
      <c r="U34" s="1596" t="s">
        <v>9473</v>
      </c>
      <c r="V34" s="1596" t="s">
        <v>9474</v>
      </c>
      <c r="W34" s="1584" t="s">
        <v>9475</v>
      </c>
      <c r="X34" s="1575" t="s">
        <v>859</v>
      </c>
      <c r="Y34" s="1575" t="s">
        <v>6852</v>
      </c>
      <c r="Z34" s="1575" t="s">
        <v>8941</v>
      </c>
      <c r="AA34" s="1509" t="s">
        <v>9476</v>
      </c>
      <c r="AB34" s="1575" t="s">
        <v>4138</v>
      </c>
      <c r="AC34" s="1575" t="s">
        <v>943</v>
      </c>
      <c r="AD34" s="1573" t="s">
        <v>3915</v>
      </c>
      <c r="AE34" s="1573" t="s">
        <v>5912</v>
      </c>
      <c r="AF34" s="1576" t="s">
        <v>9477</v>
      </c>
      <c r="AG34" s="1596" t="s">
        <v>4631</v>
      </c>
      <c r="AH34" s="1576" t="s">
        <v>9478</v>
      </c>
      <c r="AI34" s="1576" t="s">
        <v>6955</v>
      </c>
      <c r="AJ34" s="1576" t="s">
        <v>9479</v>
      </c>
      <c r="AK34" s="1576" t="s">
        <v>9480</v>
      </c>
      <c r="AL34" s="1576" t="s">
        <v>9481</v>
      </c>
      <c r="AM34" s="1578" t="s">
        <v>9016</v>
      </c>
      <c r="AN34" s="1578" t="s">
        <v>9161</v>
      </c>
      <c r="AO34" s="1578" t="s">
        <v>3011</v>
      </c>
      <c r="AP34" s="1578" t="s">
        <v>9482</v>
      </c>
      <c r="AQ34" s="778" t="str">
        <f>HYPERLINK("https://www.twitch.tv/planktonsecretformula/v/1678454360?sr=a&amp;t=0s", "1:37.46")</f>
        <v>1:37.46</v>
      </c>
      <c r="AR34" s="1578" t="s">
        <v>9483</v>
      </c>
      <c r="AS34" s="1578" t="s">
        <v>719</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3201</v>
      </c>
      <c r="N35" s="1557" t="s">
        <v>9497</v>
      </c>
      <c r="O35" s="1557" t="s">
        <v>9397</v>
      </c>
      <c r="P35" s="1557" t="s">
        <v>4885</v>
      </c>
      <c r="Q35" s="1560" t="s">
        <v>9498</v>
      </c>
      <c r="R35" s="1560" t="s">
        <v>2672</v>
      </c>
      <c r="S35" s="1560" t="s">
        <v>9499</v>
      </c>
      <c r="T35" s="1560" t="s">
        <v>9389</v>
      </c>
      <c r="U35" s="1560" t="s">
        <v>9500</v>
      </c>
      <c r="V35" s="1560" t="s">
        <v>9060</v>
      </c>
      <c r="W35" s="1575" t="s">
        <v>9501</v>
      </c>
      <c r="X35" s="1575" t="s">
        <v>9502</v>
      </c>
      <c r="Y35" s="1575" t="s">
        <v>9503</v>
      </c>
      <c r="Z35" s="1575" t="s">
        <v>1384</v>
      </c>
      <c r="AA35" s="1575" t="s">
        <v>9504</v>
      </c>
      <c r="AB35" s="1575" t="s">
        <v>6654</v>
      </c>
      <c r="AC35" s="1589" t="s">
        <v>2173</v>
      </c>
      <c r="AD35" s="1573" t="s">
        <v>9505</v>
      </c>
      <c r="AE35" s="1573" t="s">
        <v>9158</v>
      </c>
      <c r="AF35" s="1576" t="s">
        <v>9506</v>
      </c>
      <c r="AG35" s="1576" t="s">
        <v>9507</v>
      </c>
      <c r="AH35" s="1576" t="s">
        <v>5611</v>
      </c>
      <c r="AI35" s="1576" t="s">
        <v>9508</v>
      </c>
      <c r="AJ35" s="1576" t="s">
        <v>9509</v>
      </c>
      <c r="AK35" s="1576" t="s">
        <v>4470</v>
      </c>
      <c r="AL35" s="1576" t="s">
        <v>5716</v>
      </c>
      <c r="AM35" s="1578" t="s">
        <v>2064</v>
      </c>
      <c r="AN35" s="1578" t="s">
        <v>4616</v>
      </c>
      <c r="AO35" s="1578" t="s">
        <v>9510</v>
      </c>
      <c r="AP35" s="1578" t="s">
        <v>9511</v>
      </c>
      <c r="AQ35" s="1578" t="s">
        <v>9512</v>
      </c>
      <c r="AR35" s="1578" t="s">
        <v>9175</v>
      </c>
      <c r="AS35" s="1578" t="s">
        <v>884</v>
      </c>
      <c r="AT35" s="1557" t="s">
        <v>9513</v>
      </c>
      <c r="AU35" s="1539" t="s">
        <v>9514</v>
      </c>
      <c r="AV35" s="1413" t="str">
        <f t="shared" si="1"/>
        <v>2:07</v>
      </c>
      <c r="AW35" s="1615"/>
    </row>
    <row r="36">
      <c r="A36" s="1549" t="s">
        <v>646</v>
      </c>
      <c r="B36" s="1537" t="s">
        <v>8773</v>
      </c>
      <c r="C36" s="1495">
        <v>0.050555555555555555</v>
      </c>
      <c r="D36" s="792" t="s">
        <v>9515</v>
      </c>
      <c r="E36" s="792" t="s">
        <v>9516</v>
      </c>
      <c r="F36" s="792" t="s">
        <v>9517</v>
      </c>
      <c r="G36" s="792" t="s">
        <v>9518</v>
      </c>
      <c r="H36" s="792" t="s">
        <v>9519</v>
      </c>
      <c r="I36" s="792" t="s">
        <v>2551</v>
      </c>
      <c r="J36" s="792" t="s">
        <v>1303</v>
      </c>
      <c r="K36" s="792" t="s">
        <v>9520</v>
      </c>
      <c r="L36" s="792" t="s">
        <v>4245</v>
      </c>
      <c r="M36" s="792" t="s">
        <v>4165</v>
      </c>
      <c r="N36" s="792" t="s">
        <v>9521</v>
      </c>
      <c r="O36" s="792" t="s">
        <v>9522</v>
      </c>
      <c r="P36" s="792" t="s">
        <v>9384</v>
      </c>
      <c r="Q36" s="792" t="s">
        <v>9523</v>
      </c>
      <c r="R36" s="792" t="s">
        <v>2078</v>
      </c>
      <c r="S36" s="792" t="s">
        <v>9524</v>
      </c>
      <c r="T36" s="792" t="s">
        <v>9365</v>
      </c>
      <c r="U36" s="792" t="s">
        <v>9525</v>
      </c>
      <c r="V36" s="792" t="s">
        <v>9526</v>
      </c>
      <c r="W36" s="792" t="s">
        <v>4723</v>
      </c>
      <c r="X36" s="792" t="s">
        <v>9527</v>
      </c>
      <c r="Y36" s="792" t="s">
        <v>5132</v>
      </c>
      <c r="Z36" s="792" t="s">
        <v>9528</v>
      </c>
      <c r="AA36" s="792" t="s">
        <v>9529</v>
      </c>
      <c r="AB36" s="792" t="s">
        <v>9530</v>
      </c>
      <c r="AC36" s="792" t="s">
        <v>7879</v>
      </c>
      <c r="AD36" s="792" t="s">
        <v>9531</v>
      </c>
      <c r="AE36" s="792" t="s">
        <v>8992</v>
      </c>
      <c r="AF36" s="792" t="s">
        <v>9532</v>
      </c>
      <c r="AG36" s="792" t="s">
        <v>5128</v>
      </c>
      <c r="AH36" s="792" t="s">
        <v>4440</v>
      </c>
      <c r="AI36" s="792" t="s">
        <v>9533</v>
      </c>
      <c r="AJ36" s="792" t="s">
        <v>9534</v>
      </c>
      <c r="AK36" s="792" t="s">
        <v>1761</v>
      </c>
      <c r="AL36" s="792" t="s">
        <v>9535</v>
      </c>
      <c r="AM36" s="792" t="s">
        <v>4034</v>
      </c>
      <c r="AN36" s="792" t="s">
        <v>4071</v>
      </c>
      <c r="AO36" s="792" t="s">
        <v>6347</v>
      </c>
      <c r="AP36" s="792" t="s">
        <v>9536</v>
      </c>
      <c r="AQ36" s="792" t="s">
        <v>9537</v>
      </c>
      <c r="AR36" s="792" t="s">
        <v>9085</v>
      </c>
      <c r="AS36" s="792" t="s">
        <v>840</v>
      </c>
      <c r="AT36" s="792" t="s">
        <v>9538</v>
      </c>
      <c r="AU36" s="1539" t="s">
        <v>9426</v>
      </c>
      <c r="AV36" s="1413" t="str">
        <f t="shared" si="1"/>
        <v>2:26</v>
      </c>
      <c r="AW36" s="1540" t="s">
        <v>9539</v>
      </c>
    </row>
    <row r="37" ht="15.75" customHeight="1">
      <c r="A37" s="1493" t="s">
        <v>741</v>
      </c>
      <c r="B37" s="1583" t="s">
        <v>8800</v>
      </c>
      <c r="C37" s="1495">
        <v>0.05056712962962963</v>
      </c>
      <c r="D37" s="1555" t="s">
        <v>8801</v>
      </c>
      <c r="E37" s="1586" t="s">
        <v>9309</v>
      </c>
      <c r="F37" s="1603" t="s">
        <v>8802</v>
      </c>
      <c r="G37" s="1509" t="s">
        <v>9540</v>
      </c>
      <c r="H37" s="1509" t="s">
        <v>9541</v>
      </c>
      <c r="I37" s="1603" t="s">
        <v>8805</v>
      </c>
      <c r="J37" s="1509" t="s">
        <v>1105</v>
      </c>
      <c r="K37" s="1509" t="s">
        <v>4900</v>
      </c>
      <c r="L37" s="1509" t="s">
        <v>2290</v>
      </c>
      <c r="M37" s="1509" t="s">
        <v>2243</v>
      </c>
      <c r="N37" s="1509" t="s">
        <v>9263</v>
      </c>
      <c r="O37" s="1509" t="s">
        <v>9542</v>
      </c>
      <c r="P37" s="1509" t="s">
        <v>3976</v>
      </c>
      <c r="Q37" s="1509" t="s">
        <v>9543</v>
      </c>
      <c r="R37" s="1509" t="s">
        <v>3111</v>
      </c>
      <c r="S37" s="1509" t="s">
        <v>8908</v>
      </c>
      <c r="T37" s="1509" t="s">
        <v>2357</v>
      </c>
      <c r="U37" s="1509" t="s">
        <v>9028</v>
      </c>
      <c r="V37" s="1509" t="s">
        <v>2848</v>
      </c>
      <c r="W37" s="1509" t="s">
        <v>9544</v>
      </c>
      <c r="X37" s="1509" t="s">
        <v>9545</v>
      </c>
      <c r="Y37" s="1509" t="s">
        <v>864</v>
      </c>
      <c r="Z37" s="1509" t="s">
        <v>9181</v>
      </c>
      <c r="AA37" s="1509" t="s">
        <v>7656</v>
      </c>
      <c r="AB37" s="1509" t="s">
        <v>6148</v>
      </c>
      <c r="AC37" s="1413" t="s">
        <v>538</v>
      </c>
      <c r="AD37" s="1509" t="s">
        <v>9546</v>
      </c>
      <c r="AE37" s="1509" t="s">
        <v>9300</v>
      </c>
      <c r="AF37" s="1509" t="s">
        <v>9547</v>
      </c>
      <c r="AG37" s="1509" t="s">
        <v>9365</v>
      </c>
      <c r="AH37" s="1509" t="s">
        <v>2956</v>
      </c>
      <c r="AI37" s="1509" t="s">
        <v>9548</v>
      </c>
      <c r="AJ37" s="1509" t="s">
        <v>3218</v>
      </c>
      <c r="AK37" s="1509" t="s">
        <v>5277</v>
      </c>
      <c r="AL37" s="1509" t="s">
        <v>4188</v>
      </c>
      <c r="AM37" s="1509" t="s">
        <v>3313</v>
      </c>
      <c r="AN37" s="1509" t="s">
        <v>345</v>
      </c>
      <c r="AO37" s="1509" t="s">
        <v>9549</v>
      </c>
      <c r="AP37" s="1509" t="s">
        <v>9550</v>
      </c>
      <c r="AQ37" s="1509" t="s">
        <v>7589</v>
      </c>
      <c r="AR37" s="1509" t="s">
        <v>2657</v>
      </c>
      <c r="AS37" s="1509" t="s">
        <v>4085</v>
      </c>
      <c r="AT37" s="1509" t="s">
        <v>5576</v>
      </c>
      <c r="AU37" s="1509" t="s">
        <v>9210</v>
      </c>
      <c r="AV37" s="1413" t="str">
        <f t="shared" si="1"/>
        <v>3:34</v>
      </c>
      <c r="AW37" s="1548" t="s">
        <v>9551</v>
      </c>
    </row>
    <row r="38" ht="15.75" customHeight="1">
      <c r="A38" s="1549" t="s">
        <v>646</v>
      </c>
      <c r="B38" s="1583" t="s">
        <v>8800</v>
      </c>
      <c r="C38" s="1617">
        <v>0.05056712962962963</v>
      </c>
      <c r="D38" s="792" t="s">
        <v>9552</v>
      </c>
      <c r="E38" s="1413" t="s">
        <v>9553</v>
      </c>
      <c r="F38" s="1413" t="s">
        <v>9240</v>
      </c>
      <c r="G38" s="1413" t="s">
        <v>9554</v>
      </c>
      <c r="H38" s="1413" t="s">
        <v>4443</v>
      </c>
      <c r="I38" s="1413" t="s">
        <v>1183</v>
      </c>
      <c r="J38" s="1509" t="s">
        <v>3500</v>
      </c>
      <c r="K38" s="1509" t="s">
        <v>3500</v>
      </c>
      <c r="L38" s="1413" t="s">
        <v>9555</v>
      </c>
      <c r="M38" s="1413" t="s">
        <v>9556</v>
      </c>
      <c r="N38" s="1413" t="s">
        <v>9186</v>
      </c>
      <c r="O38" s="1603" t="s">
        <v>8808</v>
      </c>
      <c r="P38" s="1413" t="s">
        <v>7221</v>
      </c>
      <c r="Q38" s="1413" t="s">
        <v>787</v>
      </c>
      <c r="R38" s="1509" t="s">
        <v>3500</v>
      </c>
      <c r="S38" s="1413" t="s">
        <v>9557</v>
      </c>
      <c r="T38" s="1413" t="s">
        <v>156</v>
      </c>
      <c r="U38" s="1413" t="s">
        <v>9558</v>
      </c>
      <c r="V38" s="1413" t="s">
        <v>9559</v>
      </c>
      <c r="W38" s="1413" t="s">
        <v>9560</v>
      </c>
      <c r="X38" s="1413" t="s">
        <v>9359</v>
      </c>
      <c r="Y38" s="1413" t="s">
        <v>9360</v>
      </c>
      <c r="Z38" s="1413" t="s">
        <v>151</v>
      </c>
      <c r="AA38" s="1413" t="s">
        <v>9561</v>
      </c>
      <c r="AB38" s="1413" t="s">
        <v>9046</v>
      </c>
      <c r="AC38" s="1413" t="s">
        <v>4473</v>
      </c>
      <c r="AD38" s="1413" t="s">
        <v>2321</v>
      </c>
      <c r="AE38" s="1413" t="s">
        <v>9503</v>
      </c>
      <c r="AF38" s="1413" t="s">
        <v>9562</v>
      </c>
      <c r="AG38" s="1413" t="s">
        <v>9563</v>
      </c>
      <c r="AH38" s="1413" t="s">
        <v>4460</v>
      </c>
      <c r="AI38" s="1413" t="s">
        <v>3793</v>
      </c>
      <c r="AJ38" s="1413" t="s">
        <v>9564</v>
      </c>
      <c r="AK38" s="1413" t="s">
        <v>1162</v>
      </c>
      <c r="AL38" s="1413" t="s">
        <v>9363</v>
      </c>
      <c r="AM38" s="1413" t="s">
        <v>875</v>
      </c>
      <c r="AN38" s="1509" t="s">
        <v>9377</v>
      </c>
      <c r="AO38" s="1509" t="s">
        <v>3500</v>
      </c>
      <c r="AP38" s="1413" t="s">
        <v>5398</v>
      </c>
      <c r="AQ38" s="1413" t="s">
        <v>254</v>
      </c>
      <c r="AR38" s="1413" t="s">
        <v>9565</v>
      </c>
      <c r="AS38" s="1413" t="s">
        <v>9566</v>
      </c>
      <c r="AT38" s="1413" t="s">
        <v>9567</v>
      </c>
      <c r="AU38" s="1509" t="s">
        <v>9568</v>
      </c>
      <c r="AV38" s="1413" t="str">
        <f t="shared" si="1"/>
        <v>3:07</v>
      </c>
      <c r="AW38" s="1582" t="s">
        <v>9569</v>
      </c>
    </row>
    <row r="39" ht="15.75" customHeight="1">
      <c r="A39" s="1493" t="s">
        <v>4241</v>
      </c>
      <c r="B39" s="1494" t="s">
        <v>8773</v>
      </c>
      <c r="C39" s="1617">
        <v>0.05060185185185185</v>
      </c>
      <c r="D39" s="792" t="s">
        <v>9570</v>
      </c>
      <c r="E39" s="1586" t="s">
        <v>3289</v>
      </c>
      <c r="F39" s="1586" t="s">
        <v>6088</v>
      </c>
      <c r="G39" s="1586" t="s">
        <v>9571</v>
      </c>
      <c r="H39" s="1181" t="s">
        <v>9572</v>
      </c>
      <c r="I39" s="1181" t="s">
        <v>4777</v>
      </c>
      <c r="J39" s="1587" t="s">
        <v>9008</v>
      </c>
      <c r="K39" s="1587" t="s">
        <v>8093</v>
      </c>
      <c r="L39" s="1587" t="s">
        <v>5530</v>
      </c>
      <c r="M39" s="1587" t="s">
        <v>9573</v>
      </c>
      <c r="N39" s="1587" t="s">
        <v>5316</v>
      </c>
      <c r="O39" s="1587" t="s">
        <v>9574</v>
      </c>
      <c r="P39" s="1587" t="s">
        <v>5937</v>
      </c>
      <c r="Q39" s="1588" t="s">
        <v>9575</v>
      </c>
      <c r="R39" s="1588" t="s">
        <v>5476</v>
      </c>
      <c r="S39" s="1588" t="s">
        <v>6654</v>
      </c>
      <c r="T39" s="1588" t="s">
        <v>9576</v>
      </c>
      <c r="U39" s="1588" t="s">
        <v>6221</v>
      </c>
      <c r="V39" s="1588" t="s">
        <v>3878</v>
      </c>
      <c r="W39" s="1589" t="s">
        <v>9577</v>
      </c>
      <c r="X39" s="1589" t="s">
        <v>8079</v>
      </c>
      <c r="Y39" s="1589" t="s">
        <v>5089</v>
      </c>
      <c r="Z39" s="1589" t="s">
        <v>1841</v>
      </c>
      <c r="AA39" s="1589" t="s">
        <v>9578</v>
      </c>
      <c r="AB39" s="1589" t="s">
        <v>9046</v>
      </c>
      <c r="AC39" s="1589" t="s">
        <v>5531</v>
      </c>
      <c r="AD39" s="1586" t="s">
        <v>6556</v>
      </c>
      <c r="AE39" s="1586" t="s">
        <v>6852</v>
      </c>
      <c r="AF39" s="1590" t="s">
        <v>9579</v>
      </c>
      <c r="AG39" s="1590" t="s">
        <v>9507</v>
      </c>
      <c r="AH39" s="1590" t="s">
        <v>7307</v>
      </c>
      <c r="AI39" s="1590" t="s">
        <v>5526</v>
      </c>
      <c r="AJ39" s="1590" t="s">
        <v>9580</v>
      </c>
      <c r="AK39" s="1590" t="s">
        <v>9581</v>
      </c>
      <c r="AL39" s="1590" t="s">
        <v>9582</v>
      </c>
      <c r="AM39" s="1577" t="s">
        <v>9583</v>
      </c>
      <c r="AN39" s="1577" t="s">
        <v>9584</v>
      </c>
      <c r="AO39" s="1577" t="s">
        <v>9585</v>
      </c>
      <c r="AP39" s="1577" t="s">
        <v>9586</v>
      </c>
      <c r="AQ39" s="1577" t="s">
        <v>9447</v>
      </c>
      <c r="AR39" s="1577" t="s">
        <v>9587</v>
      </c>
      <c r="AS39" s="1577" t="s">
        <v>4385</v>
      </c>
      <c r="AT39" s="1587" t="s">
        <v>9588</v>
      </c>
      <c r="AU39" s="1591" t="s">
        <v>9589</v>
      </c>
      <c r="AV39" s="1413" t="str">
        <f t="shared" si="1"/>
        <v>1:56</v>
      </c>
      <c r="AW39" s="1615"/>
    </row>
    <row r="40" ht="15.75" customHeight="1">
      <c r="A40" s="1506" t="s">
        <v>901</v>
      </c>
      <c r="B40" s="1494" t="s">
        <v>8773</v>
      </c>
      <c r="C40" s="1495">
        <v>0.05061342592592592</v>
      </c>
      <c r="D40" s="792" t="s">
        <v>9590</v>
      </c>
      <c r="E40" s="1509" t="s">
        <v>8983</v>
      </c>
      <c r="F40" s="1509" t="s">
        <v>5436</v>
      </c>
      <c r="G40" s="1413" t="s">
        <v>9591</v>
      </c>
      <c r="H40" s="1509" t="s">
        <v>9592</v>
      </c>
      <c r="I40" s="1509" t="s">
        <v>389</v>
      </c>
      <c r="J40" s="1509" t="s">
        <v>6957</v>
      </c>
      <c r="K40" s="1413" t="s">
        <v>9237</v>
      </c>
      <c r="L40" s="1509" t="s">
        <v>9593</v>
      </c>
      <c r="M40" s="1509" t="s">
        <v>9594</v>
      </c>
      <c r="N40" s="1509" t="s">
        <v>4392</v>
      </c>
      <c r="O40" s="1509" t="s">
        <v>9595</v>
      </c>
      <c r="P40" s="1509" t="s">
        <v>1589</v>
      </c>
      <c r="Q40" s="1499" t="s">
        <v>9596</v>
      </c>
      <c r="R40" s="1509" t="s">
        <v>9597</v>
      </c>
      <c r="S40" s="1413" t="s">
        <v>9598</v>
      </c>
      <c r="T40" s="1509" t="s">
        <v>9343</v>
      </c>
      <c r="U40" s="1509" t="s">
        <v>7397</v>
      </c>
      <c r="V40" s="1509" t="s">
        <v>2475</v>
      </c>
      <c r="W40" s="1527" t="str">
        <f>HYPERLINK("https://www.youtube.com/watch?v=nn1ub1z3NYM","1:45.96")</f>
        <v>1:45.96</v>
      </c>
      <c r="X40" s="1509" t="s">
        <v>5714</v>
      </c>
      <c r="Y40" s="1413" t="s">
        <v>5512</v>
      </c>
      <c r="Z40" s="1509" t="s">
        <v>1503</v>
      </c>
      <c r="AA40" s="1509" t="s">
        <v>9599</v>
      </c>
      <c r="AB40" s="1509" t="s">
        <v>9600</v>
      </c>
      <c r="AC40" s="1509" t="s">
        <v>1046</v>
      </c>
      <c r="AD40" s="1509" t="s">
        <v>9601</v>
      </c>
      <c r="AE40" s="1499" t="s">
        <v>4614</v>
      </c>
      <c r="AF40" s="1413" t="s">
        <v>9602</v>
      </c>
      <c r="AG40" s="1509" t="s">
        <v>2076</v>
      </c>
      <c r="AH40" s="1509" t="s">
        <v>3048</v>
      </c>
      <c r="AI40" s="1509" t="s">
        <v>9603</v>
      </c>
      <c r="AJ40" s="1413" t="s">
        <v>8343</v>
      </c>
      <c r="AK40" s="1509" t="s">
        <v>9604</v>
      </c>
      <c r="AL40" s="1413" t="s">
        <v>4346</v>
      </c>
      <c r="AM40" s="1413" t="s">
        <v>9605</v>
      </c>
      <c r="AN40" s="1413" t="s">
        <v>2508</v>
      </c>
      <c r="AO40" s="1509" t="s">
        <v>3598</v>
      </c>
      <c r="AP40" s="1509" t="s">
        <v>9606</v>
      </c>
      <c r="AQ40" s="1509" t="s">
        <v>9607</v>
      </c>
      <c r="AR40" s="1509" t="s">
        <v>1303</v>
      </c>
      <c r="AS40" s="1509" t="s">
        <v>4746</v>
      </c>
      <c r="AT40" s="1509" t="s">
        <v>9608</v>
      </c>
      <c r="AU40" s="1509" t="s">
        <v>9609</v>
      </c>
      <c r="AV40" s="1413" t="str">
        <f t="shared" si="1"/>
        <v>2:25</v>
      </c>
      <c r="AW40" s="1548"/>
    </row>
    <row r="41">
      <c r="A41" s="1506" t="s">
        <v>9610</v>
      </c>
      <c r="B41" s="1547" t="s">
        <v>8773</v>
      </c>
      <c r="C41" s="1495">
        <v>0.050625</v>
      </c>
      <c r="D41" s="1624" t="s">
        <v>9611</v>
      </c>
      <c r="E41" s="1509" t="s">
        <v>4700</v>
      </c>
      <c r="F41" s="1509" t="s">
        <v>9612</v>
      </c>
      <c r="G41" s="1509" t="s">
        <v>9613</v>
      </c>
      <c r="H41" s="1509" t="s">
        <v>1657</v>
      </c>
      <c r="I41" s="1509" t="s">
        <v>1833</v>
      </c>
      <c r="J41" s="1509" t="s">
        <v>9614</v>
      </c>
      <c r="K41" s="1509" t="s">
        <v>3619</v>
      </c>
      <c r="L41" s="1509" t="s">
        <v>9615</v>
      </c>
      <c r="M41" s="1509" t="s">
        <v>9616</v>
      </c>
      <c r="N41" s="1509" t="s">
        <v>9617</v>
      </c>
      <c r="O41" s="1509" t="s">
        <v>9618</v>
      </c>
      <c r="P41" s="1509" t="s">
        <v>9503</v>
      </c>
      <c r="Q41" s="1509" t="s">
        <v>4635</v>
      </c>
      <c r="R41" s="1509" t="s">
        <v>3973</v>
      </c>
      <c r="S41" s="1509" t="s">
        <v>2643</v>
      </c>
      <c r="T41" s="1509" t="s">
        <v>2357</v>
      </c>
      <c r="U41" s="1509" t="s">
        <v>9619</v>
      </c>
      <c r="V41" s="1509" t="s">
        <v>2214</v>
      </c>
      <c r="W41" s="1509" t="s">
        <v>7787</v>
      </c>
      <c r="X41" s="1509" t="s">
        <v>9620</v>
      </c>
      <c r="Y41" s="1509" t="s">
        <v>9621</v>
      </c>
      <c r="Z41" s="1509" t="s">
        <v>9622</v>
      </c>
      <c r="AA41" s="1509" t="s">
        <v>9623</v>
      </c>
      <c r="AB41" s="1509"/>
      <c r="AC41" s="1509" t="s">
        <v>9624</v>
      </c>
      <c r="AD41" s="1509" t="s">
        <v>9625</v>
      </c>
      <c r="AE41" s="1509" t="s">
        <v>4960</v>
      </c>
      <c r="AF41" s="1509" t="s">
        <v>9626</v>
      </c>
      <c r="AG41" s="1509" t="s">
        <v>9627</v>
      </c>
      <c r="AH41" s="1509" t="s">
        <v>9628</v>
      </c>
      <c r="AI41" s="1509" t="s">
        <v>728</v>
      </c>
      <c r="AJ41" s="1509" t="s">
        <v>9629</v>
      </c>
      <c r="AK41" s="1509" t="s">
        <v>8784</v>
      </c>
      <c r="AL41" s="1509" t="s">
        <v>9630</v>
      </c>
      <c r="AM41" s="1509" t="s">
        <v>9631</v>
      </c>
      <c r="AN41" s="1509" t="s">
        <v>8850</v>
      </c>
      <c r="AO41" s="1509" t="s">
        <v>9632</v>
      </c>
      <c r="AP41" s="1509" t="s">
        <v>9633</v>
      </c>
      <c r="AQ41" s="1509" t="s">
        <v>9634</v>
      </c>
      <c r="AR41" s="1509" t="s">
        <v>6659</v>
      </c>
      <c r="AS41" s="1509" t="s">
        <v>5848</v>
      </c>
      <c r="AT41" s="1509" t="s">
        <v>8446</v>
      </c>
      <c r="AU41" s="1509" t="s">
        <v>9635</v>
      </c>
      <c r="AV41" s="1413" t="str">
        <f t="shared" si="1"/>
        <v>2:05</v>
      </c>
      <c r="AW41" s="1582"/>
    </row>
    <row r="42">
      <c r="A42" s="1506" t="s">
        <v>9636</v>
      </c>
      <c r="B42" s="1537" t="s">
        <v>8773</v>
      </c>
      <c r="C42" s="1495">
        <v>0.0506712962962963</v>
      </c>
      <c r="D42" s="1624" t="s">
        <v>9637</v>
      </c>
      <c r="E42" s="1573" t="s">
        <v>3289</v>
      </c>
      <c r="F42" s="1573" t="s">
        <v>9130</v>
      </c>
      <c r="G42" s="1573" t="s">
        <v>9638</v>
      </c>
      <c r="H42" s="1116" t="s">
        <v>9639</v>
      </c>
      <c r="I42" s="1116" t="s">
        <v>9640</v>
      </c>
      <c r="J42" s="1557" t="s">
        <v>9641</v>
      </c>
      <c r="K42" s="1557" t="s">
        <v>7262</v>
      </c>
      <c r="L42" s="1557" t="s">
        <v>4308</v>
      </c>
      <c r="M42" s="1557" t="s">
        <v>7263</v>
      </c>
      <c r="N42" s="1557" t="s">
        <v>9642</v>
      </c>
      <c r="O42" s="1557" t="s">
        <v>2247</v>
      </c>
      <c r="P42" s="1557" t="s">
        <v>7224</v>
      </c>
      <c r="Q42" s="1560" t="s">
        <v>7997</v>
      </c>
      <c r="R42" s="1560" t="s">
        <v>9643</v>
      </c>
      <c r="S42" s="1560" t="s">
        <v>9644</v>
      </c>
      <c r="T42" s="1560" t="s">
        <v>9645</v>
      </c>
      <c r="U42" s="1560" t="s">
        <v>9646</v>
      </c>
      <c r="V42" s="1560" t="s">
        <v>9647</v>
      </c>
      <c r="W42" s="1575" t="s">
        <v>9648</v>
      </c>
      <c r="X42" s="1575" t="s">
        <v>9649</v>
      </c>
      <c r="Y42" s="1575" t="s">
        <v>6275</v>
      </c>
      <c r="Z42" s="1575" t="s">
        <v>9650</v>
      </c>
      <c r="AA42" s="1509" t="s">
        <v>1766</v>
      </c>
      <c r="AB42" s="1575" t="s">
        <v>9375</v>
      </c>
      <c r="AC42" s="1575" t="s">
        <v>7879</v>
      </c>
      <c r="AD42" s="1573" t="s">
        <v>9651</v>
      </c>
      <c r="AE42" s="1573" t="s">
        <v>538</v>
      </c>
      <c r="AF42" s="1576" t="s">
        <v>9652</v>
      </c>
      <c r="AG42" s="1576" t="s">
        <v>3956</v>
      </c>
      <c r="AH42" s="1576" t="s">
        <v>5215</v>
      </c>
      <c r="AI42" s="1576" t="s">
        <v>9653</v>
      </c>
      <c r="AJ42" s="1576" t="s">
        <v>9654</v>
      </c>
      <c r="AK42" s="1576" t="s">
        <v>402</v>
      </c>
      <c r="AL42" s="1576" t="s">
        <v>2615</v>
      </c>
      <c r="AM42" s="1578" t="s">
        <v>9131</v>
      </c>
      <c r="AN42" s="1578" t="s">
        <v>9366</v>
      </c>
      <c r="AO42" s="1578" t="s">
        <v>9304</v>
      </c>
      <c r="AP42" s="1578" t="s">
        <v>9655</v>
      </c>
      <c r="AQ42" s="1578" t="s">
        <v>9656</v>
      </c>
      <c r="AR42" s="1578" t="s">
        <v>4909</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3193</v>
      </c>
      <c r="F43" s="1586" t="s">
        <v>8974</v>
      </c>
      <c r="G43" s="1586" t="s">
        <v>9661</v>
      </c>
      <c r="H43" s="1181" t="s">
        <v>9662</v>
      </c>
      <c r="I43" s="1181" t="s">
        <v>389</v>
      </c>
      <c r="J43" s="1587" t="s">
        <v>2073</v>
      </c>
      <c r="K43" s="1587" t="s">
        <v>3445</v>
      </c>
      <c r="L43" s="1587" t="s">
        <v>5445</v>
      </c>
      <c r="M43" s="1587" t="s">
        <v>9663</v>
      </c>
      <c r="N43" s="1587" t="s">
        <v>9389</v>
      </c>
      <c r="O43" s="1587" t="s">
        <v>9664</v>
      </c>
      <c r="P43" s="1587" t="s">
        <v>5491</v>
      </c>
      <c r="Q43" s="1588" t="s">
        <v>9665</v>
      </c>
      <c r="R43" s="1588" t="s">
        <v>732</v>
      </c>
      <c r="S43" s="1588" t="s">
        <v>9632</v>
      </c>
      <c r="T43" s="1588" t="s">
        <v>9502</v>
      </c>
      <c r="U43" s="1588" t="s">
        <v>9666</v>
      </c>
      <c r="V43" s="1588" t="s">
        <v>2475</v>
      </c>
      <c r="W43" s="1589" t="s">
        <v>9667</v>
      </c>
      <c r="X43" s="1589" t="s">
        <v>6149</v>
      </c>
      <c r="Y43" s="1589" t="s">
        <v>8131</v>
      </c>
      <c r="Z43" s="1589" t="s">
        <v>8861</v>
      </c>
      <c r="AA43" s="1589" t="s">
        <v>9668</v>
      </c>
      <c r="AB43" s="1589" t="s">
        <v>2634</v>
      </c>
      <c r="AC43" s="1589" t="s">
        <v>3107</v>
      </c>
      <c r="AD43" s="1586" t="s">
        <v>9669</v>
      </c>
      <c r="AE43" s="1586" t="s">
        <v>6277</v>
      </c>
      <c r="AF43" s="1590" t="s">
        <v>8926</v>
      </c>
      <c r="AG43" s="1590" t="s">
        <v>9670</v>
      </c>
      <c r="AH43" s="1590" t="s">
        <v>2256</v>
      </c>
      <c r="AI43" s="1590" t="s">
        <v>9671</v>
      </c>
      <c r="AJ43" s="1590" t="s">
        <v>9672</v>
      </c>
      <c r="AK43" s="1590" t="s">
        <v>9673</v>
      </c>
      <c r="AL43" s="1590" t="s">
        <v>5414</v>
      </c>
      <c r="AM43" s="1577" t="s">
        <v>9527</v>
      </c>
      <c r="AN43" s="1577" t="s">
        <v>5414</v>
      </c>
      <c r="AO43" s="1577" t="s">
        <v>2302</v>
      </c>
      <c r="AP43" s="1577" t="s">
        <v>9674</v>
      </c>
      <c r="AQ43" s="1577" t="s">
        <v>9675</v>
      </c>
      <c r="AR43" s="1577" t="s">
        <v>4683</v>
      </c>
      <c r="AS43" s="1577" t="s">
        <v>4388</v>
      </c>
      <c r="AT43" s="1587" t="s">
        <v>9676</v>
      </c>
      <c r="AU43" s="1591" t="s">
        <v>9677</v>
      </c>
      <c r="AV43" s="1413" t="str">
        <f t="shared" si="1"/>
        <v>2:54</v>
      </c>
      <c r="AW43" s="1615"/>
    </row>
    <row r="44">
      <c r="A44" s="1549" t="s">
        <v>2789</v>
      </c>
      <c r="B44" s="1547" t="s">
        <v>8773</v>
      </c>
      <c r="C44" s="1495">
        <v>0.050826388888888886</v>
      </c>
      <c r="D44" s="1509" t="s">
        <v>9678</v>
      </c>
      <c r="E44" s="1509" t="s">
        <v>7620</v>
      </c>
      <c r="F44" s="1573" t="s">
        <v>9679</v>
      </c>
      <c r="G44" s="1509" t="s">
        <v>9680</v>
      </c>
      <c r="H44" s="1509" t="s">
        <v>6542</v>
      </c>
      <c r="I44" s="1509" t="s">
        <v>1293</v>
      </c>
      <c r="J44" s="1509" t="s">
        <v>9681</v>
      </c>
      <c r="K44" s="1509" t="s">
        <v>3930</v>
      </c>
      <c r="L44" s="1509" t="s">
        <v>5925</v>
      </c>
      <c r="M44" s="1509" t="s">
        <v>9682</v>
      </c>
      <c r="N44" s="1509" t="s">
        <v>7513</v>
      </c>
      <c r="O44" s="1509" t="s">
        <v>9683</v>
      </c>
      <c r="P44" s="1509" t="s">
        <v>9243</v>
      </c>
      <c r="Q44" s="1509" t="s">
        <v>9684</v>
      </c>
      <c r="R44" s="1509" t="s">
        <v>9685</v>
      </c>
      <c r="S44" s="1509" t="s">
        <v>9686</v>
      </c>
      <c r="T44" s="1509" t="s">
        <v>1794</v>
      </c>
      <c r="U44" s="1509" t="s">
        <v>9687</v>
      </c>
      <c r="V44" s="1509" t="s">
        <v>7309</v>
      </c>
      <c r="W44" s="1509" t="s">
        <v>5475</v>
      </c>
      <c r="X44" s="1509" t="s">
        <v>9688</v>
      </c>
      <c r="Y44" s="1509" t="s">
        <v>7215</v>
      </c>
      <c r="Z44" s="1509" t="s">
        <v>9689</v>
      </c>
      <c r="AA44" s="1575" t="s">
        <v>9690</v>
      </c>
      <c r="AB44" s="1509" t="s">
        <v>1841</v>
      </c>
      <c r="AC44" s="1509" t="s">
        <v>7879</v>
      </c>
      <c r="AD44" s="1509" t="s">
        <v>9691</v>
      </c>
      <c r="AE44" s="1509" t="s">
        <v>4960</v>
      </c>
      <c r="AF44" s="1509" t="s">
        <v>9692</v>
      </c>
      <c r="AG44" s="1509" t="s">
        <v>1177</v>
      </c>
      <c r="AH44" s="1509" t="s">
        <v>4017</v>
      </c>
      <c r="AI44" s="1509" t="s">
        <v>9693</v>
      </c>
      <c r="AJ44" s="1509" t="s">
        <v>9694</v>
      </c>
      <c r="AK44" s="1509" t="s">
        <v>9604</v>
      </c>
      <c r="AL44" s="1509" t="s">
        <v>4351</v>
      </c>
      <c r="AM44" s="1509" t="s">
        <v>9604</v>
      </c>
      <c r="AN44" s="1509" t="s">
        <v>8850</v>
      </c>
      <c r="AO44" s="1509" t="s">
        <v>7572</v>
      </c>
      <c r="AP44" s="1509" t="s">
        <v>9695</v>
      </c>
      <c r="AQ44" s="1509" t="s">
        <v>9696</v>
      </c>
      <c r="AR44" s="1509" t="s">
        <v>5153</v>
      </c>
      <c r="AS44" s="1509" t="s">
        <v>6117</v>
      </c>
      <c r="AT44" s="1509" t="s">
        <v>9697</v>
      </c>
      <c r="AU44" s="1509" t="s">
        <v>9698</v>
      </c>
      <c r="AV44" s="1413" t="str">
        <f t="shared" si="1"/>
        <v>2:25</v>
      </c>
      <c r="AW44" s="1582"/>
    </row>
    <row r="45" ht="15.75" customHeight="1">
      <c r="A45" s="1549" t="s">
        <v>4636</v>
      </c>
      <c r="B45" s="1494" t="s">
        <v>8773</v>
      </c>
      <c r="C45" s="1617">
        <v>0.050868055555555555</v>
      </c>
      <c r="D45" s="792" t="s">
        <v>9699</v>
      </c>
      <c r="E45" s="1413" t="s">
        <v>7830</v>
      </c>
      <c r="F45" s="1413" t="s">
        <v>9700</v>
      </c>
      <c r="G45" s="1413" t="s">
        <v>9701</v>
      </c>
      <c r="H45" s="1413" t="s">
        <v>9541</v>
      </c>
      <c r="I45" s="1413" t="s">
        <v>1293</v>
      </c>
      <c r="J45" s="1413" t="s">
        <v>4909</v>
      </c>
      <c r="K45" s="1413" t="s">
        <v>9251</v>
      </c>
      <c r="L45" s="1413" t="s">
        <v>9133</v>
      </c>
      <c r="M45" s="1413" t="s">
        <v>5375</v>
      </c>
      <c r="N45" s="1413" t="s">
        <v>8301</v>
      </c>
      <c r="O45" s="1413" t="s">
        <v>9702</v>
      </c>
      <c r="P45" s="1413" t="s">
        <v>4275</v>
      </c>
      <c r="Q45" s="1413" t="s">
        <v>9703</v>
      </c>
      <c r="R45" s="1413" t="s">
        <v>7530</v>
      </c>
      <c r="S45" s="1413" t="s">
        <v>9088</v>
      </c>
      <c r="T45" s="1413" t="s">
        <v>4603</v>
      </c>
      <c r="U45" s="1413" t="s">
        <v>9704</v>
      </c>
      <c r="V45" s="1413" t="s">
        <v>9295</v>
      </c>
      <c r="W45" s="1413" t="s">
        <v>9705</v>
      </c>
      <c r="X45" s="1413" t="s">
        <v>9301</v>
      </c>
      <c r="Y45" s="1413" t="s">
        <v>3626</v>
      </c>
      <c r="Z45" s="1413" t="s">
        <v>9706</v>
      </c>
      <c r="AA45" s="1413" t="s">
        <v>9707</v>
      </c>
      <c r="AB45" s="1413" t="s">
        <v>195</v>
      </c>
      <c r="AC45" s="1413" t="s">
        <v>3010</v>
      </c>
      <c r="AD45" s="1413" t="s">
        <v>9708</v>
      </c>
      <c r="AE45" s="1413" t="s">
        <v>620</v>
      </c>
      <c r="AF45" s="1413" t="s">
        <v>9709</v>
      </c>
      <c r="AG45" s="1413" t="s">
        <v>6015</v>
      </c>
      <c r="AH45" s="1413" t="s">
        <v>9710</v>
      </c>
      <c r="AI45" s="1413" t="s">
        <v>7677</v>
      </c>
      <c r="AJ45" s="1413" t="s">
        <v>9711</v>
      </c>
      <c r="AK45" s="1413" t="s">
        <v>5403</v>
      </c>
      <c r="AL45" s="1413" t="s">
        <v>9712</v>
      </c>
      <c r="AM45" s="1413" t="s">
        <v>9713</v>
      </c>
      <c r="AN45" s="1413" t="s">
        <v>3333</v>
      </c>
      <c r="AO45" s="1413" t="s">
        <v>9237</v>
      </c>
      <c r="AP45" s="1413" t="s">
        <v>9714</v>
      </c>
      <c r="AQ45" s="1413" t="s">
        <v>9715</v>
      </c>
      <c r="AR45" s="1413" t="s">
        <v>9124</v>
      </c>
      <c r="AS45" s="1413" t="s">
        <v>5117</v>
      </c>
      <c r="AT45" s="1413" t="s">
        <v>9716</v>
      </c>
      <c r="AU45" s="1413" t="s">
        <v>9717</v>
      </c>
      <c r="AV45" s="1413" t="str">
        <f t="shared" si="1"/>
        <v>2:44</v>
      </c>
      <c r="AW45" s="1529"/>
    </row>
    <row r="46" ht="15.75" customHeight="1">
      <c r="A46" s="1549" t="s">
        <v>1809</v>
      </c>
      <c r="B46" s="1625" t="s">
        <v>8826</v>
      </c>
      <c r="C46" s="1626">
        <v>0.05092592592592592</v>
      </c>
      <c r="D46" s="1627" t="s">
        <v>8827</v>
      </c>
      <c r="E46" s="1628" t="s">
        <v>8828</v>
      </c>
      <c r="F46" s="1627" t="s">
        <v>8829</v>
      </c>
      <c r="G46" s="1509" t="s">
        <v>9718</v>
      </c>
      <c r="H46" s="1627" t="s">
        <v>8831</v>
      </c>
      <c r="I46" s="1413" t="s">
        <v>1411</v>
      </c>
      <c r="J46" s="1586" t="s">
        <v>9719</v>
      </c>
      <c r="K46" s="1413" t="s">
        <v>9389</v>
      </c>
      <c r="L46" s="1586" t="s">
        <v>2327</v>
      </c>
      <c r="M46" s="1413" t="s">
        <v>2672</v>
      </c>
      <c r="N46" s="1627" t="s">
        <v>8792</v>
      </c>
      <c r="O46" s="1413" t="s">
        <v>9720</v>
      </c>
      <c r="P46" s="1586" t="s">
        <v>638</v>
      </c>
      <c r="Q46" s="1628" t="s">
        <v>8836</v>
      </c>
      <c r="R46" s="1627" t="s">
        <v>8837</v>
      </c>
      <c r="S46" s="1413" t="s">
        <v>1162</v>
      </c>
      <c r="T46" s="1586" t="s">
        <v>7917</v>
      </c>
      <c r="U46" s="1628" t="s">
        <v>8839</v>
      </c>
      <c r="V46" s="1627" t="s">
        <v>4270</v>
      </c>
      <c r="W46" s="1413" t="s">
        <v>9721</v>
      </c>
      <c r="X46" s="1627" t="s">
        <v>8841</v>
      </c>
      <c r="Y46" s="1413" t="s">
        <v>5645</v>
      </c>
      <c r="Z46" s="1573" t="s">
        <v>9722</v>
      </c>
      <c r="AA46" s="1413" t="s">
        <v>2304</v>
      </c>
      <c r="AB46" s="1586" t="s">
        <v>9723</v>
      </c>
      <c r="AC46" s="1509" t="s">
        <v>9724</v>
      </c>
      <c r="AD46" s="1586" t="s">
        <v>9725</v>
      </c>
      <c r="AE46" s="1509" t="s">
        <v>9726</v>
      </c>
      <c r="AF46" s="1586" t="s">
        <v>9727</v>
      </c>
      <c r="AG46" s="1413" t="s">
        <v>7131</v>
      </c>
      <c r="AH46" s="1573" t="s">
        <v>9615</v>
      </c>
      <c r="AI46" s="1628" t="s">
        <v>8846</v>
      </c>
      <c r="AJ46" s="1586" t="s">
        <v>9728</v>
      </c>
      <c r="AK46" s="1413" t="s">
        <v>5897</v>
      </c>
      <c r="AL46" s="1627" t="s">
        <v>8848</v>
      </c>
      <c r="AM46" s="1413" t="s">
        <v>9203</v>
      </c>
      <c r="AN46" s="1586" t="s">
        <v>3873</v>
      </c>
      <c r="AO46" s="1509" t="s">
        <v>4861</v>
      </c>
      <c r="AP46" s="1573" t="s">
        <v>9729</v>
      </c>
      <c r="AQ46" s="1509" t="s">
        <v>9730</v>
      </c>
      <c r="AR46" s="1573" t="s">
        <v>9731</v>
      </c>
      <c r="AS46" s="1413" t="s">
        <v>975</v>
      </c>
      <c r="AT46" s="1627" t="s">
        <v>8854</v>
      </c>
      <c r="AU46" s="1628" t="s">
        <v>8855</v>
      </c>
      <c r="AV46" s="1413" t="str">
        <f t="shared" si="1"/>
        <v>2:24</v>
      </c>
      <c r="AW46" s="1548"/>
    </row>
    <row r="47">
      <c r="A47" s="1549" t="s">
        <v>2571</v>
      </c>
      <c r="B47" s="1551" t="s">
        <v>8800</v>
      </c>
      <c r="C47" s="1495">
        <v>0.05092592592592592</v>
      </c>
      <c r="D47" s="792" t="s">
        <v>9732</v>
      </c>
      <c r="E47" s="1573" t="s">
        <v>9733</v>
      </c>
      <c r="F47" s="1573" t="s">
        <v>9734</v>
      </c>
      <c r="G47" s="1573" t="s">
        <v>9735</v>
      </c>
      <c r="H47" s="1116" t="s">
        <v>9736</v>
      </c>
      <c r="I47" s="1116" t="s">
        <v>2954</v>
      </c>
      <c r="J47" s="1557" t="s">
        <v>8943</v>
      </c>
      <c r="K47" s="1557" t="s">
        <v>3584</v>
      </c>
      <c r="L47" s="1557" t="s">
        <v>5779</v>
      </c>
      <c r="M47" s="1557" t="s">
        <v>3125</v>
      </c>
      <c r="N47" s="1557" t="s">
        <v>875</v>
      </c>
      <c r="O47" s="1557" t="s">
        <v>9737</v>
      </c>
      <c r="P47" s="1557" t="s">
        <v>774</v>
      </c>
      <c r="Q47" s="1560" t="s">
        <v>7906</v>
      </c>
      <c r="R47" s="1560" t="s">
        <v>7598</v>
      </c>
      <c r="S47" s="1560" t="s">
        <v>6655</v>
      </c>
      <c r="T47" s="1560" t="s">
        <v>9738</v>
      </c>
      <c r="U47" s="1629" t="s">
        <v>8065</v>
      </c>
      <c r="V47" s="1560" t="s">
        <v>9739</v>
      </c>
      <c r="W47" s="1575" t="s">
        <v>6876</v>
      </c>
      <c r="X47" s="1575" t="s">
        <v>9740</v>
      </c>
      <c r="Y47" s="1575" t="s">
        <v>9741</v>
      </c>
      <c r="Z47" s="1575" t="s">
        <v>7838</v>
      </c>
      <c r="AA47" s="1575" t="s">
        <v>1868</v>
      </c>
      <c r="AB47" s="1575" t="s">
        <v>9742</v>
      </c>
      <c r="AC47" s="1575" t="s">
        <v>2444</v>
      </c>
      <c r="AD47" s="1573" t="s">
        <v>9743</v>
      </c>
      <c r="AE47" s="1573" t="s">
        <v>5221</v>
      </c>
      <c r="AF47" s="1576" t="s">
        <v>9744</v>
      </c>
      <c r="AG47" s="1576" t="s">
        <v>5275</v>
      </c>
      <c r="AH47" s="1576" t="s">
        <v>4460</v>
      </c>
      <c r="AI47" s="1576" t="s">
        <v>9745</v>
      </c>
      <c r="AJ47" s="1566" t="s">
        <v>8818</v>
      </c>
      <c r="AK47" s="1576" t="s">
        <v>195</v>
      </c>
      <c r="AL47" s="1576" t="s">
        <v>5898</v>
      </c>
      <c r="AM47" s="1578" t="s">
        <v>4065</v>
      </c>
      <c r="AN47" s="1578" t="s">
        <v>3723</v>
      </c>
      <c r="AO47" s="1578" t="s">
        <v>2398</v>
      </c>
      <c r="AP47" s="1578" t="s">
        <v>9746</v>
      </c>
      <c r="AQ47" s="1578" t="s">
        <v>4291</v>
      </c>
      <c r="AR47" s="1578" t="s">
        <v>7896</v>
      </c>
      <c r="AS47" s="1578" t="s">
        <v>6561</v>
      </c>
      <c r="AT47" s="1557" t="s">
        <v>9747</v>
      </c>
      <c r="AU47" s="740" t="s">
        <v>9748</v>
      </c>
      <c r="AV47" s="1413" t="str">
        <f t="shared" si="1"/>
        <v>4:25</v>
      </c>
      <c r="AW47" s="1546"/>
    </row>
    <row r="48" ht="15.75" customHeight="1">
      <c r="A48" s="1493" t="s">
        <v>4490</v>
      </c>
      <c r="B48" s="1583" t="s">
        <v>8800</v>
      </c>
      <c r="C48" s="1495">
        <v>0.05100810185185185</v>
      </c>
      <c r="D48" s="792" t="s">
        <v>9749</v>
      </c>
      <c r="E48" s="1573" t="s">
        <v>9750</v>
      </c>
      <c r="F48" s="1573" t="s">
        <v>9751</v>
      </c>
      <c r="G48" s="1586" t="s">
        <v>9752</v>
      </c>
      <c r="H48" s="1116" t="s">
        <v>9753</v>
      </c>
      <c r="I48" s="1116" t="s">
        <v>1411</v>
      </c>
      <c r="J48" s="1557" t="s">
        <v>5153</v>
      </c>
      <c r="K48" s="1557" t="s">
        <v>9497</v>
      </c>
      <c r="L48" s="1557" t="s">
        <v>4404</v>
      </c>
      <c r="M48" s="1557" t="s">
        <v>1454</v>
      </c>
      <c r="N48" s="1557" t="s">
        <v>9754</v>
      </c>
      <c r="O48" s="1557" t="s">
        <v>8988</v>
      </c>
      <c r="P48" s="1557" t="s">
        <v>9755</v>
      </c>
      <c r="Q48" s="1560" t="s">
        <v>9756</v>
      </c>
      <c r="R48" s="1560" t="s">
        <v>3429</v>
      </c>
      <c r="S48" s="1560" t="s">
        <v>7256</v>
      </c>
      <c r="T48" s="1560" t="s">
        <v>9757</v>
      </c>
      <c r="U48" s="1560" t="s">
        <v>9758</v>
      </c>
      <c r="V48" s="1588" t="s">
        <v>1364</v>
      </c>
      <c r="W48" s="1575" t="s">
        <v>9759</v>
      </c>
      <c r="X48" s="1575" t="s">
        <v>9548</v>
      </c>
      <c r="Y48" s="1575" t="s">
        <v>3976</v>
      </c>
      <c r="Z48" s="1575" t="s">
        <v>7786</v>
      </c>
      <c r="AA48" s="1575" t="s">
        <v>1024</v>
      </c>
      <c r="AB48" s="1575" t="s">
        <v>3903</v>
      </c>
      <c r="AC48" s="1589" t="s">
        <v>6818</v>
      </c>
      <c r="AD48" s="1573" t="s">
        <v>9760</v>
      </c>
      <c r="AE48" s="1586" t="s">
        <v>4948</v>
      </c>
      <c r="AF48" s="1576" t="s">
        <v>9761</v>
      </c>
      <c r="AG48" s="1576" t="s">
        <v>9762</v>
      </c>
      <c r="AH48" s="1576" t="s">
        <v>9763</v>
      </c>
      <c r="AI48" s="1576" t="s">
        <v>9184</v>
      </c>
      <c r="AJ48" s="1576" t="s">
        <v>9764</v>
      </c>
      <c r="AK48" s="1576" t="s">
        <v>9765</v>
      </c>
      <c r="AL48" s="1576" t="s">
        <v>4522</v>
      </c>
      <c r="AM48" s="1578" t="s">
        <v>9766</v>
      </c>
      <c r="AN48" s="1578" t="s">
        <v>3404</v>
      </c>
      <c r="AO48" s="1578" t="s">
        <v>9767</v>
      </c>
      <c r="AP48" s="1578" t="s">
        <v>9768</v>
      </c>
      <c r="AQ48" s="1578" t="s">
        <v>4291</v>
      </c>
      <c r="AR48" s="1578" t="s">
        <v>9769</v>
      </c>
      <c r="AS48" s="1578" t="s">
        <v>4544</v>
      </c>
      <c r="AT48" s="1557" t="s">
        <v>9770</v>
      </c>
      <c r="AU48" s="1539" t="s">
        <v>9771</v>
      </c>
      <c r="AV48" s="1413" t="str">
        <f t="shared" si="1"/>
        <v>3:17</v>
      </c>
      <c r="AW48" s="1540" t="s">
        <v>9772</v>
      </c>
    </row>
    <row r="49" ht="15.75" customHeight="1">
      <c r="A49" s="1549" t="s">
        <v>983</v>
      </c>
      <c r="B49" s="1537" t="s">
        <v>8800</v>
      </c>
      <c r="C49" s="1495">
        <v>0.05112268518518519</v>
      </c>
      <c r="D49" s="1573" t="s">
        <v>9773</v>
      </c>
      <c r="E49" s="1573" t="s">
        <v>4648</v>
      </c>
      <c r="F49" s="1573" t="s">
        <v>9774</v>
      </c>
      <c r="G49" s="1573" t="s">
        <v>9775</v>
      </c>
      <c r="H49" s="792" t="s">
        <v>9776</v>
      </c>
      <c r="I49" s="1116" t="s">
        <v>5345</v>
      </c>
      <c r="J49" s="1557" t="s">
        <v>4068</v>
      </c>
      <c r="K49" s="1557" t="s">
        <v>9777</v>
      </c>
      <c r="L49" s="1501" t="s">
        <v>3641</v>
      </c>
      <c r="M49" s="1557" t="s">
        <v>4444</v>
      </c>
      <c r="N49" s="1557" t="s">
        <v>9527</v>
      </c>
      <c r="O49" s="1557" t="s">
        <v>9778</v>
      </c>
      <c r="P49" s="1557" t="s">
        <v>1527</v>
      </c>
      <c r="Q49" s="1560" t="s">
        <v>9779</v>
      </c>
      <c r="R49" s="1630" t="s">
        <v>6125</v>
      </c>
      <c r="S49" s="1560" t="s">
        <v>417</v>
      </c>
      <c r="T49" s="1560" t="s">
        <v>9780</v>
      </c>
      <c r="U49" s="1560" t="s">
        <v>9781</v>
      </c>
      <c r="V49" s="1560" t="s">
        <v>9782</v>
      </c>
      <c r="W49" s="1575" t="s">
        <v>9783</v>
      </c>
      <c r="X49" s="1575" t="s">
        <v>9784</v>
      </c>
      <c r="Y49" s="1631" t="s">
        <v>975</v>
      </c>
      <c r="Z49" s="1575" t="s">
        <v>9785</v>
      </c>
      <c r="AA49" s="1509" t="s">
        <v>9786</v>
      </c>
      <c r="AB49" s="1575" t="s">
        <v>2810</v>
      </c>
      <c r="AC49" s="1575" t="s">
        <v>5054</v>
      </c>
      <c r="AD49" s="1573" t="s">
        <v>9787</v>
      </c>
      <c r="AE49" s="1573" t="s">
        <v>5594</v>
      </c>
      <c r="AF49" s="1576" t="s">
        <v>9006</v>
      </c>
      <c r="AG49" s="1576" t="s">
        <v>276</v>
      </c>
      <c r="AH49" s="1576" t="s">
        <v>466</v>
      </c>
      <c r="AI49" s="1576" t="s">
        <v>9788</v>
      </c>
      <c r="AJ49" s="1576" t="s">
        <v>9789</v>
      </c>
      <c r="AK49" s="1576" t="s">
        <v>4141</v>
      </c>
      <c r="AL49" s="1576" t="s">
        <v>9790</v>
      </c>
      <c r="AM49" s="1578" t="s">
        <v>9791</v>
      </c>
      <c r="AN49" s="1569" t="s">
        <v>3209</v>
      </c>
      <c r="AO49" s="1578" t="s">
        <v>7262</v>
      </c>
      <c r="AP49" s="1578" t="s">
        <v>9792</v>
      </c>
      <c r="AQ49" s="1578" t="s">
        <v>9793</v>
      </c>
      <c r="AR49" s="1578" t="s">
        <v>9794</v>
      </c>
      <c r="AS49" s="1578" t="s">
        <v>8731</v>
      </c>
      <c r="AT49" s="1557" t="s">
        <v>9795</v>
      </c>
      <c r="AU49" s="1539" t="s">
        <v>9796</v>
      </c>
      <c r="AV49" s="1413" t="str">
        <f t="shared" si="1"/>
        <v>4:57</v>
      </c>
      <c r="AW49" s="1615"/>
    </row>
    <row r="50">
      <c r="A50" s="1549" t="s">
        <v>2371</v>
      </c>
      <c r="B50" s="1547" t="s">
        <v>8800</v>
      </c>
      <c r="C50" s="1495">
        <v>0.05112268518518519</v>
      </c>
      <c r="D50" s="1509" t="s">
        <v>9797</v>
      </c>
      <c r="E50" s="1509" t="s">
        <v>4509</v>
      </c>
      <c r="F50" s="1509" t="s">
        <v>6128</v>
      </c>
      <c r="G50" s="1603" t="s">
        <v>8803</v>
      </c>
      <c r="H50" s="792" t="s">
        <v>9798</v>
      </c>
      <c r="I50" s="1509" t="s">
        <v>767</v>
      </c>
      <c r="J50" s="1509" t="s">
        <v>6658</v>
      </c>
      <c r="K50" s="1509" t="s">
        <v>2496</v>
      </c>
      <c r="L50" s="1509" t="s">
        <v>1364</v>
      </c>
      <c r="M50" s="1509" t="s">
        <v>9799</v>
      </c>
      <c r="N50" s="1509" t="s">
        <v>9281</v>
      </c>
      <c r="O50" s="1509" t="s">
        <v>9800</v>
      </c>
      <c r="P50" s="1509" t="s">
        <v>3626</v>
      </c>
      <c r="Q50" s="1509" t="s">
        <v>9801</v>
      </c>
      <c r="R50" s="1509" t="s">
        <v>9802</v>
      </c>
      <c r="S50" s="1509" t="s">
        <v>3770</v>
      </c>
      <c r="T50" s="1509" t="s">
        <v>8079</v>
      </c>
      <c r="U50" s="1560" t="s">
        <v>9209</v>
      </c>
      <c r="V50" s="1509" t="s">
        <v>9803</v>
      </c>
      <c r="W50" s="1509" t="s">
        <v>9804</v>
      </c>
      <c r="X50" s="1509" t="s">
        <v>1487</v>
      </c>
      <c r="Y50" s="1509" t="s">
        <v>7221</v>
      </c>
      <c r="Z50" s="1509" t="s">
        <v>9032</v>
      </c>
      <c r="AA50" s="1575" t="s">
        <v>615</v>
      </c>
      <c r="AB50" s="1509" t="s">
        <v>9805</v>
      </c>
      <c r="AC50" s="1509" t="s">
        <v>5221</v>
      </c>
      <c r="AD50" s="1509" t="s">
        <v>9806</v>
      </c>
      <c r="AE50" s="1509" t="s">
        <v>3626</v>
      </c>
      <c r="AF50" s="1509" t="s">
        <v>9807</v>
      </c>
      <c r="AG50" s="1509" t="s">
        <v>9808</v>
      </c>
      <c r="AH50" s="1509" t="s">
        <v>2520</v>
      </c>
      <c r="AI50" s="1509" t="s">
        <v>6161</v>
      </c>
      <c r="AJ50" s="1509" t="s">
        <v>9809</v>
      </c>
      <c r="AK50" s="1509" t="s">
        <v>9304</v>
      </c>
      <c r="AL50" s="1509" t="s">
        <v>9810</v>
      </c>
      <c r="AM50" s="1509" t="s">
        <v>2667</v>
      </c>
      <c r="AN50" s="1509" t="s">
        <v>9811</v>
      </c>
      <c r="AO50" s="1509" t="s">
        <v>8940</v>
      </c>
      <c r="AP50" s="1509" t="s">
        <v>9812</v>
      </c>
      <c r="AQ50" s="1509" t="s">
        <v>9813</v>
      </c>
      <c r="AR50" s="1509" t="s">
        <v>2255</v>
      </c>
      <c r="AS50" s="1509" t="s">
        <v>7215</v>
      </c>
      <c r="AT50" s="1509" t="s">
        <v>9814</v>
      </c>
      <c r="AU50" s="1509" t="s">
        <v>9815</v>
      </c>
      <c r="AV50" s="1413" t="str">
        <f t="shared" si="1"/>
        <v>3:15</v>
      </c>
      <c r="AW50" s="750"/>
    </row>
    <row r="51">
      <c r="A51" s="1549" t="s">
        <v>2726</v>
      </c>
      <c r="B51" s="1547" t="s">
        <v>8773</v>
      </c>
      <c r="C51" s="1495">
        <v>0.051145833333333335</v>
      </c>
      <c r="D51" s="792" t="s">
        <v>9816</v>
      </c>
      <c r="E51" s="1599" t="s">
        <v>4127</v>
      </c>
      <c r="F51" s="1599" t="s">
        <v>1771</v>
      </c>
      <c r="G51" s="1599" t="s">
        <v>9817</v>
      </c>
      <c r="H51" s="792" t="s">
        <v>9818</v>
      </c>
      <c r="I51" s="1599" t="s">
        <v>9724</v>
      </c>
      <c r="J51" s="1599" t="s">
        <v>9819</v>
      </c>
      <c r="K51" s="1599" t="s">
        <v>9819</v>
      </c>
      <c r="L51" s="1599" t="s">
        <v>4131</v>
      </c>
      <c r="M51" s="1599" t="s">
        <v>3488</v>
      </c>
      <c r="N51" s="1599" t="s">
        <v>9820</v>
      </c>
      <c r="O51" s="1599" t="s">
        <v>9821</v>
      </c>
      <c r="P51" s="1599" t="s">
        <v>6854</v>
      </c>
      <c r="Q51" s="1599" t="s">
        <v>9822</v>
      </c>
      <c r="R51" s="1599" t="s">
        <v>9823</v>
      </c>
      <c r="S51" s="1497" t="s">
        <v>7459</v>
      </c>
      <c r="T51" s="1599" t="s">
        <v>9824</v>
      </c>
      <c r="U51" s="1599" t="s">
        <v>231</v>
      </c>
      <c r="V51" s="1599" t="s">
        <v>9825</v>
      </c>
      <c r="W51" s="1599" t="s">
        <v>9826</v>
      </c>
      <c r="X51" s="1599" t="s">
        <v>9827</v>
      </c>
      <c r="Y51" s="1599" t="s">
        <v>598</v>
      </c>
      <c r="Z51" s="1599" t="s">
        <v>9828</v>
      </c>
      <c r="AA51" s="1599" t="s">
        <v>9561</v>
      </c>
      <c r="AB51" s="1599" t="s">
        <v>5890</v>
      </c>
      <c r="AC51" s="1599" t="s">
        <v>1235</v>
      </c>
      <c r="AD51" s="1599" t="s">
        <v>9829</v>
      </c>
      <c r="AE51" s="1599" t="s">
        <v>9243</v>
      </c>
      <c r="AF51" s="1599" t="s">
        <v>9830</v>
      </c>
      <c r="AG51" s="1599" t="s">
        <v>9831</v>
      </c>
      <c r="AH51" s="1599" t="s">
        <v>3751</v>
      </c>
      <c r="AI51" s="1599" t="s">
        <v>9832</v>
      </c>
      <c r="AJ51" s="1599" t="s">
        <v>9833</v>
      </c>
      <c r="AK51" s="1599" t="s">
        <v>9834</v>
      </c>
      <c r="AL51" s="1599" t="s">
        <v>4969</v>
      </c>
      <c r="AM51" s="1599" t="s">
        <v>3609</v>
      </c>
      <c r="AN51" s="1599" t="s">
        <v>5556</v>
      </c>
      <c r="AO51" s="1599" t="s">
        <v>5153</v>
      </c>
      <c r="AP51" s="1599" t="s">
        <v>9835</v>
      </c>
      <c r="AQ51" s="1599" t="s">
        <v>3360</v>
      </c>
      <c r="AR51" s="1599" t="s">
        <v>9376</v>
      </c>
      <c r="AS51" s="1599" t="s">
        <v>1399</v>
      </c>
      <c r="AT51" s="1599" t="s">
        <v>700</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164</v>
      </c>
      <c r="G52" s="1509" t="s">
        <v>9841</v>
      </c>
      <c r="H52" s="1509" t="s">
        <v>9842</v>
      </c>
      <c r="I52" s="1509" t="s">
        <v>162</v>
      </c>
      <c r="J52" s="1509" t="s">
        <v>888</v>
      </c>
      <c r="K52" s="1509" t="s">
        <v>7770</v>
      </c>
      <c r="L52" s="1509" t="s">
        <v>8995</v>
      </c>
      <c r="M52" s="1509" t="s">
        <v>5939</v>
      </c>
      <c r="N52" s="1509" t="s">
        <v>9843</v>
      </c>
      <c r="O52" s="1509" t="s">
        <v>9844</v>
      </c>
      <c r="P52" s="1509" t="s">
        <v>5511</v>
      </c>
      <c r="Q52" s="1509" t="s">
        <v>7501</v>
      </c>
      <c r="R52" s="1509" t="s">
        <v>9845</v>
      </c>
      <c r="S52" s="1509" t="s">
        <v>8680</v>
      </c>
      <c r="T52" s="1413" t="s">
        <v>4186</v>
      </c>
      <c r="U52" s="1413" t="s">
        <v>9846</v>
      </c>
      <c r="V52" s="1509" t="s">
        <v>1898</v>
      </c>
      <c r="W52" s="1509" t="s">
        <v>9847</v>
      </c>
      <c r="X52" s="1509" t="s">
        <v>9848</v>
      </c>
      <c r="Y52" s="1509" t="s">
        <v>9243</v>
      </c>
      <c r="Z52" s="1509" t="s">
        <v>9849</v>
      </c>
      <c r="AA52" s="1509" t="s">
        <v>9850</v>
      </c>
      <c r="AB52" s="1509" t="s">
        <v>9851</v>
      </c>
      <c r="AC52" s="1509" t="s">
        <v>850</v>
      </c>
      <c r="AD52" s="1509" t="s">
        <v>9760</v>
      </c>
      <c r="AE52" s="1509" t="s">
        <v>3206</v>
      </c>
      <c r="AF52" s="1413" t="s">
        <v>9852</v>
      </c>
      <c r="AG52" s="1509" t="s">
        <v>388</v>
      </c>
      <c r="AH52" s="1509" t="s">
        <v>9853</v>
      </c>
      <c r="AI52" s="1509" t="s">
        <v>9854</v>
      </c>
      <c r="AJ52" s="1509" t="s">
        <v>9855</v>
      </c>
      <c r="AK52" s="1509" t="s">
        <v>9856</v>
      </c>
      <c r="AL52" s="1509" t="s">
        <v>4919</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3739</v>
      </c>
      <c r="B53" s="1625" t="s">
        <v>8773</v>
      </c>
      <c r="C53" s="1634">
        <v>0.05123738425925926</v>
      </c>
      <c r="D53" s="1573" t="s">
        <v>9863</v>
      </c>
      <c r="E53" s="1573" t="s">
        <v>3864</v>
      </c>
      <c r="F53" s="1573" t="s">
        <v>9864</v>
      </c>
      <c r="G53" s="1573" t="s">
        <v>9262</v>
      </c>
      <c r="H53" s="1116" t="s">
        <v>9865</v>
      </c>
      <c r="I53" s="1116" t="s">
        <v>2551</v>
      </c>
      <c r="J53" s="1557" t="s">
        <v>9497</v>
      </c>
      <c r="K53" s="1557" t="s">
        <v>7249</v>
      </c>
      <c r="L53" s="1557" t="s">
        <v>9866</v>
      </c>
      <c r="M53" s="1557" t="s">
        <v>9220</v>
      </c>
      <c r="N53" s="1635" t="s">
        <v>1161</v>
      </c>
      <c r="O53" s="1557" t="s">
        <v>3481</v>
      </c>
      <c r="P53" s="1557" t="s">
        <v>8925</v>
      </c>
      <c r="Q53" s="1560" t="s">
        <v>9867</v>
      </c>
      <c r="R53" s="1560" t="s">
        <v>9454</v>
      </c>
      <c r="S53" s="1560" t="s">
        <v>9868</v>
      </c>
      <c r="T53" s="1560" t="s">
        <v>9869</v>
      </c>
      <c r="U53" s="1560" t="s">
        <v>9870</v>
      </c>
      <c r="V53" s="1560" t="s">
        <v>4213</v>
      </c>
      <c r="W53" s="1575" t="s">
        <v>9871</v>
      </c>
      <c r="X53" s="1575" t="s">
        <v>9872</v>
      </c>
      <c r="Y53" s="1575" t="s">
        <v>9873</v>
      </c>
      <c r="Z53" s="1575" t="s">
        <v>1352</v>
      </c>
      <c r="AA53" s="1575" t="s">
        <v>9184</v>
      </c>
      <c r="AB53" s="1575" t="s">
        <v>9598</v>
      </c>
      <c r="AC53" s="1575" t="s">
        <v>485</v>
      </c>
      <c r="AD53" s="1573" t="s">
        <v>9874</v>
      </c>
      <c r="AE53" s="1573" t="s">
        <v>6580</v>
      </c>
      <c r="AF53" s="1576" t="s">
        <v>9875</v>
      </c>
      <c r="AG53" s="1576" t="s">
        <v>9876</v>
      </c>
      <c r="AH53" s="1576" t="s">
        <v>9877</v>
      </c>
      <c r="AI53" s="1576" t="s">
        <v>314</v>
      </c>
      <c r="AJ53" s="1576" t="s">
        <v>9878</v>
      </c>
      <c r="AK53" s="1545" t="s">
        <v>9341</v>
      </c>
      <c r="AL53" s="1576" t="s">
        <v>9273</v>
      </c>
      <c r="AM53" s="1578" t="s">
        <v>9879</v>
      </c>
      <c r="AN53" s="1578" t="s">
        <v>572</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1634</v>
      </c>
      <c r="B54" s="1637" t="s">
        <v>8826</v>
      </c>
      <c r="C54" s="1617">
        <v>0.051319444444444445</v>
      </c>
      <c r="D54" s="792" t="s">
        <v>9888</v>
      </c>
      <c r="E54" s="1413" t="s">
        <v>9889</v>
      </c>
      <c r="F54" s="1413" t="s">
        <v>9890</v>
      </c>
      <c r="G54" s="1413" t="s">
        <v>9891</v>
      </c>
      <c r="H54" s="1413" t="s">
        <v>5068</v>
      </c>
      <c r="I54" s="1413" t="s">
        <v>6579</v>
      </c>
      <c r="J54" s="1413" t="s">
        <v>9892</v>
      </c>
      <c r="K54" s="1413" t="s">
        <v>8946</v>
      </c>
      <c r="L54" s="1413" t="s">
        <v>4018</v>
      </c>
      <c r="M54" s="1413" t="s">
        <v>9643</v>
      </c>
      <c r="N54" s="1413" t="s">
        <v>9437</v>
      </c>
      <c r="O54" s="1413" t="s">
        <v>9893</v>
      </c>
      <c r="P54" s="1638" t="s">
        <v>8835</v>
      </c>
      <c r="Q54" s="1413" t="s">
        <v>9894</v>
      </c>
      <c r="R54" s="1413" t="s">
        <v>5928</v>
      </c>
      <c r="S54" s="1413" t="s">
        <v>1159</v>
      </c>
      <c r="T54" s="1413" t="s">
        <v>9895</v>
      </c>
      <c r="U54" s="1413" t="s">
        <v>1006</v>
      </c>
      <c r="V54" s="1413" t="s">
        <v>454</v>
      </c>
      <c r="W54" s="1413" t="s">
        <v>9896</v>
      </c>
      <c r="X54" s="1413" t="s">
        <v>311</v>
      </c>
      <c r="Y54" s="1413" t="s">
        <v>9897</v>
      </c>
      <c r="Z54" s="1413" t="s">
        <v>7574</v>
      </c>
      <c r="AA54" s="1413" t="s">
        <v>9671</v>
      </c>
      <c r="AB54" s="1413" t="s">
        <v>4503</v>
      </c>
      <c r="AC54" s="1413" t="s">
        <v>6118</v>
      </c>
      <c r="AD54" s="1413" t="s">
        <v>9898</v>
      </c>
      <c r="AE54" s="1638" t="s">
        <v>5594</v>
      </c>
      <c r="AF54" s="1638" t="s">
        <v>2706</v>
      </c>
      <c r="AG54" s="1413" t="s">
        <v>4585</v>
      </c>
      <c r="AH54" s="1413" t="s">
        <v>9899</v>
      </c>
      <c r="AI54" s="1413" t="s">
        <v>9900</v>
      </c>
      <c r="AJ54" s="1413" t="s">
        <v>9901</v>
      </c>
      <c r="AK54" s="1413" t="s">
        <v>6070</v>
      </c>
      <c r="AL54" s="1413" t="s">
        <v>6297</v>
      </c>
      <c r="AM54" s="1638" t="s">
        <v>8849</v>
      </c>
      <c r="AN54" s="1509" t="s">
        <v>2470</v>
      </c>
      <c r="AO54" s="1413" t="s">
        <v>4945</v>
      </c>
      <c r="AP54" s="1413" t="s">
        <v>9902</v>
      </c>
      <c r="AQ54" s="1413" t="s">
        <v>9903</v>
      </c>
      <c r="AR54" s="1413" t="s">
        <v>7254</v>
      </c>
      <c r="AS54" s="1413" t="s">
        <v>4433</v>
      </c>
      <c r="AT54" s="1413" t="s">
        <v>9904</v>
      </c>
      <c r="AU54" s="1413" t="s">
        <v>9905</v>
      </c>
      <c r="AV54" s="1413" t="str">
        <f t="shared" si="1"/>
        <v>3:15</v>
      </c>
      <c r="AW54" s="1582" t="s">
        <v>9906</v>
      </c>
    </row>
    <row r="55">
      <c r="A55" s="1549" t="s">
        <v>1879</v>
      </c>
      <c r="B55" s="1537" t="s">
        <v>8773</v>
      </c>
      <c r="C55" s="1495">
        <v>0.05133101851851852</v>
      </c>
      <c r="D55" s="1624" t="s">
        <v>9907</v>
      </c>
      <c r="E55" s="1573" t="s">
        <v>9908</v>
      </c>
      <c r="F55" s="1573" t="s">
        <v>9909</v>
      </c>
      <c r="G55" s="1573" t="s">
        <v>9910</v>
      </c>
      <c r="H55" s="1116" t="s">
        <v>9911</v>
      </c>
      <c r="I55" s="1116" t="s">
        <v>3107</v>
      </c>
      <c r="J55" s="1557" t="s">
        <v>1866</v>
      </c>
      <c r="K55" s="1557" t="s">
        <v>9912</v>
      </c>
      <c r="L55" s="1557" t="s">
        <v>4174</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5479</v>
      </c>
      <c r="Z55" s="1575" t="s">
        <v>1503</v>
      </c>
      <c r="AA55" s="1575" t="s">
        <v>9919</v>
      </c>
      <c r="AB55" s="1575" t="s">
        <v>6364</v>
      </c>
      <c r="AC55" s="1575" t="s">
        <v>265</v>
      </c>
      <c r="AD55" s="1573" t="s">
        <v>9250</v>
      </c>
      <c r="AE55" s="1573" t="s">
        <v>5479</v>
      </c>
      <c r="AF55" s="1576" t="s">
        <v>9920</v>
      </c>
      <c r="AG55" s="1576" t="s">
        <v>5859</v>
      </c>
      <c r="AH55" s="1576" t="s">
        <v>4054</v>
      </c>
      <c r="AI55" s="1576" t="s">
        <v>9921</v>
      </c>
      <c r="AJ55" s="1576" t="s">
        <v>9922</v>
      </c>
      <c r="AK55" s="1576" t="s">
        <v>9848</v>
      </c>
      <c r="AL55" s="1576" t="s">
        <v>4057</v>
      </c>
      <c r="AM55" s="1578" t="s">
        <v>9277</v>
      </c>
      <c r="AN55" s="1578" t="s">
        <v>4063</v>
      </c>
      <c r="AO55" s="1578" t="s">
        <v>9923</v>
      </c>
      <c r="AP55" s="1578" t="s">
        <v>9924</v>
      </c>
      <c r="AQ55" s="1578" t="s">
        <v>9512</v>
      </c>
      <c r="AR55" s="1578" t="s">
        <v>9925</v>
      </c>
      <c r="AS55" s="1578" t="s">
        <v>9926</v>
      </c>
      <c r="AT55" s="1557" t="s">
        <v>9927</v>
      </c>
      <c r="AU55" s="1539" t="s">
        <v>9928</v>
      </c>
      <c r="AV55" s="1413" t="str">
        <f t="shared" si="1"/>
        <v>1:34</v>
      </c>
      <c r="AW55" s="1615"/>
    </row>
    <row r="56">
      <c r="A56" s="1549" t="s">
        <v>2986</v>
      </c>
      <c r="B56" s="1537" t="s">
        <v>8773</v>
      </c>
      <c r="C56" s="1495">
        <v>0.05134259259259259</v>
      </c>
      <c r="D56" s="1573" t="s">
        <v>9929</v>
      </c>
      <c r="E56" s="1573" t="s">
        <v>6576</v>
      </c>
      <c r="F56" s="1573" t="s">
        <v>9930</v>
      </c>
      <c r="G56" s="1573" t="s">
        <v>9931</v>
      </c>
      <c r="H56" s="1573" t="s">
        <v>9932</v>
      </c>
      <c r="I56" s="1573" t="s">
        <v>1293</v>
      </c>
      <c r="J56" s="1557" t="s">
        <v>5022</v>
      </c>
      <c r="K56" s="1557" t="s">
        <v>7496</v>
      </c>
      <c r="L56" s="1557" t="s">
        <v>4866</v>
      </c>
      <c r="M56" s="1557" t="s">
        <v>3633</v>
      </c>
      <c r="N56" s="1557" t="s">
        <v>2009</v>
      </c>
      <c r="O56" s="1557" t="s">
        <v>9933</v>
      </c>
      <c r="P56" s="1557" t="s">
        <v>4542</v>
      </c>
      <c r="Q56" s="1560" t="s">
        <v>9934</v>
      </c>
      <c r="R56" s="1560" t="s">
        <v>2590</v>
      </c>
      <c r="S56" s="1560" t="s">
        <v>9935</v>
      </c>
      <c r="T56" s="1560" t="s">
        <v>9936</v>
      </c>
      <c r="U56" s="1560" t="s">
        <v>9781</v>
      </c>
      <c r="V56" s="1560" t="s">
        <v>9937</v>
      </c>
      <c r="W56" s="1575" t="s">
        <v>9938</v>
      </c>
      <c r="X56" s="1575" t="s">
        <v>8846</v>
      </c>
      <c r="Y56" s="1575" t="s">
        <v>9384</v>
      </c>
      <c r="Z56" s="1575" t="s">
        <v>3031</v>
      </c>
      <c r="AA56" s="1509" t="s">
        <v>593</v>
      </c>
      <c r="AB56" s="1575" t="s">
        <v>9114</v>
      </c>
      <c r="AC56" s="1575" t="s">
        <v>9399</v>
      </c>
      <c r="AD56" s="1573" t="s">
        <v>9939</v>
      </c>
      <c r="AE56" s="1573" t="s">
        <v>9940</v>
      </c>
      <c r="AF56" s="1576" t="s">
        <v>9941</v>
      </c>
      <c r="AG56" s="1576" t="s">
        <v>9942</v>
      </c>
      <c r="AH56" s="1576" t="s">
        <v>1905</v>
      </c>
      <c r="AI56" s="1576" t="s">
        <v>421</v>
      </c>
      <c r="AJ56" s="1576" t="s">
        <v>9943</v>
      </c>
      <c r="AK56" s="1576" t="s">
        <v>9944</v>
      </c>
      <c r="AL56" s="1576" t="s">
        <v>5684</v>
      </c>
      <c r="AM56" s="1578" t="s">
        <v>9945</v>
      </c>
      <c r="AN56" s="1578" t="s">
        <v>6532</v>
      </c>
      <c r="AO56" s="1578" t="s">
        <v>9946</v>
      </c>
      <c r="AP56" s="1578" t="s">
        <v>9947</v>
      </c>
      <c r="AQ56" s="1578" t="s">
        <v>9512</v>
      </c>
      <c r="AR56" s="1578" t="s">
        <v>9948</v>
      </c>
      <c r="AS56" s="1578" t="s">
        <v>1904</v>
      </c>
      <c r="AT56" s="1557" t="s">
        <v>9949</v>
      </c>
      <c r="AU56" s="1539" t="s">
        <v>9815</v>
      </c>
      <c r="AV56" s="1413" t="str">
        <f t="shared" si="1"/>
        <v>2:56</v>
      </c>
      <c r="AW56" s="1540" t="s">
        <v>9950</v>
      </c>
    </row>
    <row r="57" ht="15.75" customHeight="1">
      <c r="A57" s="1506" t="s">
        <v>1416</v>
      </c>
      <c r="B57" s="1637" t="s">
        <v>8826</v>
      </c>
      <c r="C57" s="1617">
        <v>0.05134259259259259</v>
      </c>
      <c r="D57" s="792" t="s">
        <v>9951</v>
      </c>
      <c r="E57" s="1586" t="s">
        <v>5995</v>
      </c>
      <c r="F57" s="1586" t="s">
        <v>9930</v>
      </c>
      <c r="G57" s="1586" t="s">
        <v>9952</v>
      </c>
      <c r="H57" s="1181" t="s">
        <v>9953</v>
      </c>
      <c r="I57" s="1639" t="s">
        <v>351</v>
      </c>
      <c r="J57" s="1587" t="s">
        <v>9954</v>
      </c>
      <c r="K57" s="1587" t="s">
        <v>4034</v>
      </c>
      <c r="L57" s="1640" t="s">
        <v>3798</v>
      </c>
      <c r="M57" s="1587" t="s">
        <v>5641</v>
      </c>
      <c r="N57" s="1587" t="s">
        <v>9955</v>
      </c>
      <c r="O57" s="1640" t="s">
        <v>8834</v>
      </c>
      <c r="P57" s="1587" t="s">
        <v>389</v>
      </c>
      <c r="Q57" s="1588" t="s">
        <v>9956</v>
      </c>
      <c r="R57" s="1588" t="s">
        <v>1625</v>
      </c>
      <c r="S57" s="1588" t="s">
        <v>9957</v>
      </c>
      <c r="T57" s="1641" t="s">
        <v>8838</v>
      </c>
      <c r="U57" s="1588" t="s">
        <v>9958</v>
      </c>
      <c r="V57" s="1588" t="s">
        <v>4056</v>
      </c>
      <c r="W57" s="1642" t="s">
        <v>8840</v>
      </c>
      <c r="X57" s="1589" t="s">
        <v>4359</v>
      </c>
      <c r="Y57" s="1589" t="s">
        <v>6579</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887</v>
      </c>
      <c r="AL57" s="1590" t="s">
        <v>1567</v>
      </c>
      <c r="AM57" s="1577" t="s">
        <v>9808</v>
      </c>
      <c r="AN57" s="1578" t="s">
        <v>4675</v>
      </c>
      <c r="AO57" s="1577" t="s">
        <v>9966</v>
      </c>
      <c r="AP57" s="1577" t="s">
        <v>9967</v>
      </c>
      <c r="AQ57" s="1577" t="s">
        <v>9968</v>
      </c>
      <c r="AR57" s="1577" t="s">
        <v>9969</v>
      </c>
      <c r="AS57" s="1577" t="s">
        <v>4614</v>
      </c>
      <c r="AT57" s="1587" t="s">
        <v>9970</v>
      </c>
      <c r="AU57" s="1591" t="s">
        <v>9971</v>
      </c>
      <c r="AV57" s="1413" t="str">
        <f t="shared" si="1"/>
        <v>1:58</v>
      </c>
      <c r="AW57" s="1615"/>
    </row>
    <row r="58" ht="15.75" customHeight="1">
      <c r="A58" s="1493" t="s">
        <v>3369</v>
      </c>
      <c r="B58" s="1494" t="s">
        <v>8773</v>
      </c>
      <c r="C58" s="1617">
        <v>0.05134259259259259</v>
      </c>
      <c r="D58" s="792" t="s">
        <v>9972</v>
      </c>
      <c r="E58" s="1413" t="s">
        <v>9973</v>
      </c>
      <c r="F58" s="1413" t="s">
        <v>9974</v>
      </c>
      <c r="G58" s="1413" t="s">
        <v>7892</v>
      </c>
      <c r="H58" s="1413" t="s">
        <v>9028</v>
      </c>
      <c r="I58" s="1413" t="s">
        <v>6300</v>
      </c>
      <c r="J58" s="1413" t="s">
        <v>9975</v>
      </c>
      <c r="K58" s="1413" t="s">
        <v>3930</v>
      </c>
      <c r="L58" s="1413" t="s">
        <v>9976</v>
      </c>
      <c r="M58" s="1413" t="s">
        <v>9977</v>
      </c>
      <c r="N58" s="1413" t="s">
        <v>2891</v>
      </c>
      <c r="O58" s="1413" t="s">
        <v>9978</v>
      </c>
      <c r="P58" s="1413" t="s">
        <v>1084</v>
      </c>
      <c r="Q58" s="1413" t="s">
        <v>2461</v>
      </c>
      <c r="R58" s="1413" t="s">
        <v>9685</v>
      </c>
      <c r="S58" s="1413" t="s">
        <v>9557</v>
      </c>
      <c r="T58" s="1413" t="s">
        <v>9979</v>
      </c>
      <c r="U58" s="1413" t="s">
        <v>9980</v>
      </c>
      <c r="V58" s="1413" t="s">
        <v>8811</v>
      </c>
      <c r="W58" s="1413" t="s">
        <v>9981</v>
      </c>
      <c r="X58" s="1413" t="s">
        <v>9982</v>
      </c>
      <c r="Y58" s="1413" t="s">
        <v>389</v>
      </c>
      <c r="Z58" s="1413" t="s">
        <v>7256</v>
      </c>
      <c r="AA58" s="1413" t="s">
        <v>9507</v>
      </c>
      <c r="AB58" s="1413" t="s">
        <v>8883</v>
      </c>
      <c r="AC58" s="1413" t="s">
        <v>850</v>
      </c>
      <c r="AD58" s="1413" t="s">
        <v>9983</v>
      </c>
      <c r="AE58" s="1413" t="s">
        <v>389</v>
      </c>
      <c r="AF58" s="1413" t="s">
        <v>9984</v>
      </c>
      <c r="AG58" s="1413" t="s">
        <v>9985</v>
      </c>
      <c r="AH58" s="1413" t="s">
        <v>5207</v>
      </c>
      <c r="AI58" s="1413" t="s">
        <v>9986</v>
      </c>
      <c r="AJ58" s="1413" t="s">
        <v>9922</v>
      </c>
      <c r="AK58" s="1413" t="s">
        <v>7595</v>
      </c>
      <c r="AL58" s="1413" t="s">
        <v>3307</v>
      </c>
      <c r="AM58" s="1413" t="s">
        <v>4139</v>
      </c>
      <c r="AN58" s="1413" t="s">
        <v>5811</v>
      </c>
      <c r="AO58" s="1413" t="s">
        <v>6490</v>
      </c>
      <c r="AP58" s="1413" t="s">
        <v>9987</v>
      </c>
      <c r="AQ58" s="1413" t="s">
        <v>9988</v>
      </c>
      <c r="AR58" s="1413" t="s">
        <v>9989</v>
      </c>
      <c r="AS58" s="1577" t="s">
        <v>4421</v>
      </c>
      <c r="AT58" s="1413" t="s">
        <v>9990</v>
      </c>
      <c r="AU58" s="1413" t="s">
        <v>9210</v>
      </c>
      <c r="AV58" s="1413" t="str">
        <f t="shared" si="1"/>
        <v>2:27</v>
      </c>
      <c r="AW58" s="1582"/>
    </row>
    <row r="59" ht="15.75" customHeight="1">
      <c r="A59" s="1549" t="s">
        <v>1347</v>
      </c>
      <c r="B59" s="1547" t="s">
        <v>8826</v>
      </c>
      <c r="C59" s="1495">
        <v>0.05140046296296296</v>
      </c>
      <c r="D59" s="1509" t="s">
        <v>9991</v>
      </c>
      <c r="E59" s="1509" t="s">
        <v>1658</v>
      </c>
      <c r="F59" s="1509" t="s">
        <v>9992</v>
      </c>
      <c r="G59" s="1628" t="s">
        <v>8830</v>
      </c>
      <c r="H59" s="792" t="s">
        <v>9993</v>
      </c>
      <c r="I59" s="1509" t="s">
        <v>1758</v>
      </c>
      <c r="J59" s="1628" t="s">
        <v>8832</v>
      </c>
      <c r="K59" s="1509" t="s">
        <v>7791</v>
      </c>
      <c r="L59" s="1509" t="s">
        <v>9994</v>
      </c>
      <c r="M59" s="1628" t="s">
        <v>8833</v>
      </c>
      <c r="N59" s="1509" t="s">
        <v>9995</v>
      </c>
      <c r="O59" s="1509" t="s">
        <v>9996</v>
      </c>
      <c r="P59" s="1509" t="s">
        <v>1046</v>
      </c>
      <c r="Q59" s="1509" t="s">
        <v>9779</v>
      </c>
      <c r="R59" s="1509" t="s">
        <v>9997</v>
      </c>
      <c r="S59" s="1509" t="s">
        <v>8895</v>
      </c>
      <c r="T59" s="1509" t="s">
        <v>3208</v>
      </c>
      <c r="U59" s="1509" t="s">
        <v>9700</v>
      </c>
      <c r="V59" s="1509" t="s">
        <v>5952</v>
      </c>
      <c r="W59" s="1509" t="s">
        <v>9998</v>
      </c>
      <c r="X59" s="1509" t="s">
        <v>630</v>
      </c>
      <c r="Y59" s="1509" t="s">
        <v>9999</v>
      </c>
      <c r="Z59" s="1509" t="s">
        <v>10000</v>
      </c>
      <c r="AA59" s="1644" t="s">
        <v>8843</v>
      </c>
      <c r="AB59" s="1509" t="s">
        <v>6044</v>
      </c>
      <c r="AC59" s="1509" t="s">
        <v>10001</v>
      </c>
      <c r="AD59" s="1509" t="s">
        <v>9194</v>
      </c>
      <c r="AE59" s="1509" t="s">
        <v>2596</v>
      </c>
      <c r="AF59" s="1509" t="s">
        <v>10002</v>
      </c>
      <c r="AG59" s="1628" t="s">
        <v>4598</v>
      </c>
      <c r="AH59" s="1628" t="s">
        <v>5229</v>
      </c>
      <c r="AI59" s="1509" t="s">
        <v>10003</v>
      </c>
      <c r="AJ59" s="1509" t="s">
        <v>10004</v>
      </c>
      <c r="AK59" s="1509" t="s">
        <v>6967</v>
      </c>
      <c r="AL59" s="1509" t="s">
        <v>4017</v>
      </c>
      <c r="AM59" s="1509" t="s">
        <v>10005</v>
      </c>
      <c r="AN59" s="1509" t="s">
        <v>3809</v>
      </c>
      <c r="AO59" s="1628" t="s">
        <v>8851</v>
      </c>
      <c r="AP59" s="1645" t="s">
        <v>8852</v>
      </c>
      <c r="AQ59" s="1509" t="s">
        <v>3234</v>
      </c>
      <c r="AR59" s="1509" t="s">
        <v>1621</v>
      </c>
      <c r="AS59" s="1509" t="s">
        <v>4750</v>
      </c>
      <c r="AT59" s="1509" t="s">
        <v>10006</v>
      </c>
      <c r="AU59" s="1509" t="s">
        <v>9210</v>
      </c>
      <c r="AV59" s="1413" t="str">
        <f t="shared" si="1"/>
        <v>2:22</v>
      </c>
      <c r="AW59" s="1548" t="s">
        <v>10007</v>
      </c>
    </row>
    <row r="60" ht="15.75" customHeight="1">
      <c r="A60" s="1549" t="s">
        <v>4040</v>
      </c>
      <c r="B60" s="1537" t="s">
        <v>8773</v>
      </c>
      <c r="C60" s="1495">
        <v>0.05153935185185185</v>
      </c>
      <c r="D60" s="1599" t="s">
        <v>10008</v>
      </c>
      <c r="E60" s="1599" t="s">
        <v>6882</v>
      </c>
      <c r="F60" s="1599" t="s">
        <v>10009</v>
      </c>
      <c r="G60" s="1599" t="s">
        <v>4953</v>
      </c>
      <c r="H60" s="792" t="s">
        <v>10010</v>
      </c>
      <c r="I60" s="1599" t="s">
        <v>1293</v>
      </c>
      <c r="J60" s="1599" t="s">
        <v>10011</v>
      </c>
      <c r="K60" s="1599" t="s">
        <v>3668</v>
      </c>
      <c r="L60" s="1599" t="s">
        <v>4213</v>
      </c>
      <c r="M60" s="1599" t="s">
        <v>7414</v>
      </c>
      <c r="N60" s="1599" t="s">
        <v>10012</v>
      </c>
      <c r="O60" s="1599" t="s">
        <v>3791</v>
      </c>
      <c r="P60" s="1599" t="s">
        <v>7221</v>
      </c>
      <c r="Q60" s="1599" t="s">
        <v>10013</v>
      </c>
      <c r="R60" s="1599" t="s">
        <v>3429</v>
      </c>
      <c r="S60" s="1646" t="s">
        <v>9641</v>
      </c>
      <c r="T60" s="1599" t="s">
        <v>9458</v>
      </c>
      <c r="U60" s="1599" t="s">
        <v>10014</v>
      </c>
      <c r="V60" s="1599" t="s">
        <v>1791</v>
      </c>
      <c r="W60" s="1599" t="s">
        <v>10015</v>
      </c>
      <c r="X60" s="1599" t="s">
        <v>1675</v>
      </c>
      <c r="Y60" s="1599" t="s">
        <v>3682</v>
      </c>
      <c r="Z60" s="1599" t="s">
        <v>7565</v>
      </c>
      <c r="AA60" s="1599" t="s">
        <v>965</v>
      </c>
      <c r="AB60" s="1599" t="s">
        <v>10016</v>
      </c>
      <c r="AC60" s="1599" t="s">
        <v>10001</v>
      </c>
      <c r="AD60" s="1599" t="s">
        <v>10017</v>
      </c>
      <c r="AE60" s="1599" t="s">
        <v>4960</v>
      </c>
      <c r="AF60" s="1501" t="s">
        <v>10018</v>
      </c>
      <c r="AG60" s="1599" t="s">
        <v>10019</v>
      </c>
      <c r="AH60" s="1599" t="s">
        <v>10020</v>
      </c>
      <c r="AI60" s="1599" t="s">
        <v>10021</v>
      </c>
      <c r="AJ60" s="1599" t="s">
        <v>10022</v>
      </c>
      <c r="AK60" s="1599" t="s">
        <v>5128</v>
      </c>
      <c r="AL60" s="1599" t="s">
        <v>9810</v>
      </c>
      <c r="AM60" s="1599" t="s">
        <v>10003</v>
      </c>
      <c r="AN60" s="1599" t="s">
        <v>2585</v>
      </c>
      <c r="AO60" s="1599" t="s">
        <v>5756</v>
      </c>
      <c r="AP60" s="1646" t="s">
        <v>9746</v>
      </c>
      <c r="AQ60" s="1599" t="s">
        <v>10023</v>
      </c>
      <c r="AR60" s="1599" t="s">
        <v>5022</v>
      </c>
      <c r="AS60" s="1599" t="s">
        <v>9424</v>
      </c>
      <c r="AT60" s="1599" t="s">
        <v>10024</v>
      </c>
      <c r="AU60" s="1599" t="s">
        <v>10025</v>
      </c>
      <c r="AV60" s="1413" t="str">
        <f t="shared" si="1"/>
        <v>2:41</v>
      </c>
      <c r="AW60" s="1647" t="s">
        <v>10026</v>
      </c>
    </row>
    <row r="61" ht="15.75" customHeight="1">
      <c r="A61" s="1493" t="s">
        <v>1959</v>
      </c>
      <c r="B61" s="1494" t="s">
        <v>8773</v>
      </c>
      <c r="C61" s="1495">
        <v>0.05157407407407407</v>
      </c>
      <c r="D61" s="792" t="s">
        <v>10027</v>
      </c>
      <c r="E61" s="1573" t="s">
        <v>10028</v>
      </c>
      <c r="F61" s="1573" t="s">
        <v>10029</v>
      </c>
      <c r="G61" s="1586" t="s">
        <v>9518</v>
      </c>
      <c r="H61" s="1181" t="s">
        <v>10030</v>
      </c>
      <c r="I61" s="1181" t="s">
        <v>2098</v>
      </c>
      <c r="J61" s="1587" t="s">
        <v>5449</v>
      </c>
      <c r="K61" s="1587" t="s">
        <v>3445</v>
      </c>
      <c r="L61" s="1587" t="s">
        <v>10031</v>
      </c>
      <c r="M61" s="1587" t="s">
        <v>9682</v>
      </c>
      <c r="N61" s="1587" t="s">
        <v>1231</v>
      </c>
      <c r="O61" s="1587" t="s">
        <v>9998</v>
      </c>
      <c r="P61" s="1587" t="s">
        <v>10032</v>
      </c>
      <c r="Q61" s="1588" t="s">
        <v>10033</v>
      </c>
      <c r="R61" s="1588" t="s">
        <v>10034</v>
      </c>
      <c r="S61" s="1588" t="s">
        <v>10035</v>
      </c>
      <c r="T61" s="1588" t="s">
        <v>7569</v>
      </c>
      <c r="U61" s="1588" t="s">
        <v>2764</v>
      </c>
      <c r="V61" s="1588" t="s">
        <v>5097</v>
      </c>
      <c r="W61" s="1589" t="s">
        <v>10036</v>
      </c>
      <c r="X61" s="1589" t="s">
        <v>10037</v>
      </c>
      <c r="Y61" s="1589" t="s">
        <v>9897</v>
      </c>
      <c r="Z61" s="1589" t="s">
        <v>8844</v>
      </c>
      <c r="AA61" s="1589" t="s">
        <v>6161</v>
      </c>
      <c r="AB61" s="1589" t="s">
        <v>5890</v>
      </c>
      <c r="AC61" s="1589" t="s">
        <v>6443</v>
      </c>
      <c r="AD61" s="1573" t="s">
        <v>10038</v>
      </c>
      <c r="AE61" s="1586" t="s">
        <v>5500</v>
      </c>
      <c r="AF61" s="1590" t="s">
        <v>10039</v>
      </c>
      <c r="AG61" s="1590" t="s">
        <v>10040</v>
      </c>
      <c r="AH61" s="1590" t="s">
        <v>10041</v>
      </c>
      <c r="AI61" s="1590" t="s">
        <v>1037</v>
      </c>
      <c r="AJ61" s="1590" t="s">
        <v>10042</v>
      </c>
      <c r="AK61" s="1576" t="s">
        <v>630</v>
      </c>
      <c r="AL61" s="1576" t="s">
        <v>10043</v>
      </c>
      <c r="AM61" s="1577" t="s">
        <v>3722</v>
      </c>
      <c r="AN61" s="1577" t="s">
        <v>10044</v>
      </c>
      <c r="AO61" s="1577" t="s">
        <v>10045</v>
      </c>
      <c r="AP61" s="1577" t="s">
        <v>10046</v>
      </c>
      <c r="AQ61" s="1577" t="s">
        <v>10047</v>
      </c>
      <c r="AR61" s="1578" t="s">
        <v>8093</v>
      </c>
      <c r="AS61" s="1577" t="s">
        <v>4421</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4452</v>
      </c>
      <c r="M62" s="1557" t="s">
        <v>10057</v>
      </c>
      <c r="N62" s="1557" t="s">
        <v>9455</v>
      </c>
      <c r="O62" s="1557" t="s">
        <v>10058</v>
      </c>
      <c r="P62" s="1557" t="s">
        <v>2173</v>
      </c>
      <c r="Q62" s="1560" t="s">
        <v>10059</v>
      </c>
      <c r="R62" s="1560" t="s">
        <v>5928</v>
      </c>
      <c r="S62" s="1560" t="s">
        <v>5604</v>
      </c>
      <c r="T62" s="1560" t="s">
        <v>6281</v>
      </c>
      <c r="U62" s="1560" t="s">
        <v>10060</v>
      </c>
      <c r="V62" s="1560" t="s">
        <v>10061</v>
      </c>
      <c r="W62" s="1575" t="s">
        <v>10062</v>
      </c>
      <c r="X62" s="1575" t="s">
        <v>630</v>
      </c>
      <c r="Y62" s="1575" t="s">
        <v>5087</v>
      </c>
      <c r="Z62" s="1575" t="s">
        <v>10063</v>
      </c>
      <c r="AA62" s="1509" t="s">
        <v>10064</v>
      </c>
      <c r="AB62" s="1575" t="s">
        <v>9375</v>
      </c>
      <c r="AC62" s="1575" t="s">
        <v>4714</v>
      </c>
      <c r="AD62" s="1573" t="s">
        <v>10065</v>
      </c>
      <c r="AE62" s="1573" t="s">
        <v>9333</v>
      </c>
      <c r="AF62" s="1648" t="s">
        <v>10066</v>
      </c>
      <c r="AG62" s="1576" t="s">
        <v>6849</v>
      </c>
      <c r="AH62" s="1576" t="s">
        <v>10041</v>
      </c>
      <c r="AI62" s="1576" t="s">
        <v>4112</v>
      </c>
      <c r="AJ62" s="1576" t="s">
        <v>10067</v>
      </c>
      <c r="AK62" s="1576" t="s">
        <v>1524</v>
      </c>
      <c r="AL62" s="1576" t="s">
        <v>3509</v>
      </c>
      <c r="AM62" s="1578" t="s">
        <v>6161</v>
      </c>
      <c r="AN62" s="1578" t="s">
        <v>5684</v>
      </c>
      <c r="AO62" s="1578" t="s">
        <v>6657</v>
      </c>
      <c r="AP62" s="1578" t="s">
        <v>10068</v>
      </c>
      <c r="AQ62" s="1578" t="s">
        <v>3453</v>
      </c>
      <c r="AR62" s="1578" t="s">
        <v>9617</v>
      </c>
      <c r="AS62" s="1578" t="s">
        <v>4085</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61" t="s">
        <v>10074</v>
      </c>
      <c r="F63" s="361" t="s">
        <v>8852</v>
      </c>
      <c r="G63" s="361" t="s">
        <v>10075</v>
      </c>
      <c r="H63" s="361" t="s">
        <v>10076</v>
      </c>
      <c r="I63" s="361" t="s">
        <v>10001</v>
      </c>
      <c r="J63" s="361" t="s">
        <v>3446</v>
      </c>
      <c r="K63" s="361" t="s">
        <v>10077</v>
      </c>
      <c r="L63" s="361" t="s">
        <v>5274</v>
      </c>
      <c r="M63" s="361" t="s">
        <v>713</v>
      </c>
      <c r="N63" s="361" t="s">
        <v>10078</v>
      </c>
      <c r="O63" s="361" t="s">
        <v>4723</v>
      </c>
      <c r="P63" s="361" t="s">
        <v>8805</v>
      </c>
      <c r="Q63" s="361" t="s">
        <v>2779</v>
      </c>
      <c r="R63" s="361" t="s">
        <v>10079</v>
      </c>
      <c r="S63" s="361" t="s">
        <v>9859</v>
      </c>
      <c r="T63" s="361" t="s">
        <v>9277</v>
      </c>
      <c r="U63" s="361" t="s">
        <v>10080</v>
      </c>
      <c r="V63" s="361" t="s">
        <v>10081</v>
      </c>
      <c r="W63" s="361" t="s">
        <v>10082</v>
      </c>
      <c r="X63" s="361" t="s">
        <v>10003</v>
      </c>
      <c r="Y63" s="361" t="s">
        <v>4714</v>
      </c>
      <c r="Z63" s="361" t="s">
        <v>7460</v>
      </c>
      <c r="AA63" s="361" t="s">
        <v>5927</v>
      </c>
      <c r="AB63" s="361" t="s">
        <v>10083</v>
      </c>
      <c r="AC63" s="361" t="s">
        <v>389</v>
      </c>
      <c r="AD63" s="361" t="s">
        <v>6102</v>
      </c>
      <c r="AE63" s="361" t="s">
        <v>3107</v>
      </c>
      <c r="AF63" s="361" t="s">
        <v>9752</v>
      </c>
      <c r="AG63" s="361" t="s">
        <v>10084</v>
      </c>
      <c r="AH63" s="361" t="s">
        <v>5416</v>
      </c>
      <c r="AI63" s="361" t="s">
        <v>3573</v>
      </c>
      <c r="AJ63" s="361" t="s">
        <v>10085</v>
      </c>
      <c r="AK63" s="361" t="s">
        <v>9919</v>
      </c>
      <c r="AL63" s="361" t="s">
        <v>5200</v>
      </c>
      <c r="AM63" s="361" t="s">
        <v>10086</v>
      </c>
      <c r="AN63" s="361" t="s">
        <v>8623</v>
      </c>
      <c r="AO63" s="361" t="s">
        <v>5140</v>
      </c>
      <c r="AP63" s="361" t="s">
        <v>10087</v>
      </c>
      <c r="AQ63" s="361" t="s">
        <v>3688</v>
      </c>
      <c r="AR63" s="361" t="s">
        <v>9439</v>
      </c>
      <c r="AS63" s="361" t="s">
        <v>4701</v>
      </c>
      <c r="AT63" s="361" t="s">
        <v>10088</v>
      </c>
      <c r="AU63" s="1649" t="str">
        <f>HYPERLINK("https://splits.io/pc9","1:16:48")</f>
        <v>1:16:48</v>
      </c>
      <c r="AV63" s="1413" t="str">
        <f t="shared" si="1"/>
        <v>2:27</v>
      </c>
      <c r="AW63" s="1650" t="s">
        <v>10089</v>
      </c>
    </row>
    <row r="64" ht="15.75" customHeight="1">
      <c r="A64" s="1493" t="s">
        <v>5887</v>
      </c>
      <c r="B64" s="1494" t="s">
        <v>8773</v>
      </c>
      <c r="C64" s="1617">
        <v>0.051631944444444446</v>
      </c>
      <c r="D64" s="792" t="s">
        <v>10090</v>
      </c>
      <c r="E64" s="361" t="s">
        <v>6882</v>
      </c>
      <c r="F64" s="361" t="s">
        <v>10091</v>
      </c>
      <c r="G64" s="361" t="s">
        <v>5349</v>
      </c>
      <c r="H64" s="361" t="s">
        <v>9662</v>
      </c>
      <c r="I64" s="361" t="s">
        <v>4714</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9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413" t="str">
        <f t="shared" si="1"/>
        <v>3:33</v>
      </c>
      <c r="AW64" s="1650"/>
    </row>
    <row r="65" ht="15.75" customHeight="1">
      <c r="A65" s="1493" t="s">
        <v>4218</v>
      </c>
      <c r="B65" s="1494" t="s">
        <v>8773</v>
      </c>
      <c r="C65" s="1617">
        <v>0.05164351851851852</v>
      </c>
      <c r="D65" s="792" t="s">
        <v>10109</v>
      </c>
      <c r="E65" s="361" t="s">
        <v>8983</v>
      </c>
      <c r="F65" s="361" t="s">
        <v>10110</v>
      </c>
      <c r="G65" s="361" t="s">
        <v>8830</v>
      </c>
      <c r="H65" s="361" t="s">
        <v>10111</v>
      </c>
      <c r="I65" s="361" t="s">
        <v>1293</v>
      </c>
      <c r="J65" s="361" t="s">
        <v>806</v>
      </c>
      <c r="K65" s="361" t="s">
        <v>7438</v>
      </c>
      <c r="L65" s="361" t="s">
        <v>3723</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3619</v>
      </c>
      <c r="AS65" s="361" t="s">
        <v>10126</v>
      </c>
      <c r="AT65" s="361" t="s">
        <v>9920</v>
      </c>
      <c r="AU65" s="361" t="s">
        <v>10127</v>
      </c>
      <c r="AV65" s="1413" t="str">
        <f t="shared" si="1"/>
        <v>3:13</v>
      </c>
      <c r="AW65" s="1650" t="s">
        <v>10128</v>
      </c>
    </row>
    <row r="66" ht="15.75" customHeight="1">
      <c r="A66" s="1506" t="s">
        <v>901</v>
      </c>
      <c r="B66" s="1637" t="s">
        <v>8826</v>
      </c>
      <c r="C66" s="1617">
        <v>0.05167824074074074</v>
      </c>
      <c r="D66" s="792"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5968</v>
      </c>
      <c r="X66" s="361" t="s">
        <v>10138</v>
      </c>
      <c r="Y66" s="361" t="s">
        <v>943</v>
      </c>
      <c r="Z66" s="361" t="s">
        <v>3903</v>
      </c>
      <c r="AA66" s="361" t="s">
        <v>1622</v>
      </c>
      <c r="AB66" s="361" t="s">
        <v>10139</v>
      </c>
      <c r="AC66" s="361" t="s">
        <v>9055</v>
      </c>
      <c r="AD66" s="1599" t="s">
        <v>10140</v>
      </c>
      <c r="AE66" s="361" t="s">
        <v>1862</v>
      </c>
      <c r="AF66" s="361" t="s">
        <v>9602</v>
      </c>
      <c r="AG66" s="361" t="s">
        <v>6964</v>
      </c>
      <c r="AH66" s="361" t="s">
        <v>4452</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413" t="str">
        <f t="shared" si="1"/>
        <v>2:51</v>
      </c>
      <c r="AW66" s="1651"/>
    </row>
    <row r="67" ht="15.75" customHeight="1">
      <c r="A67" s="1549" t="s">
        <v>4636</v>
      </c>
      <c r="B67" s="1583" t="s">
        <v>8800</v>
      </c>
      <c r="C67" s="1617">
        <v>0.05170138888888889</v>
      </c>
      <c r="D67" s="792" t="s">
        <v>10150</v>
      </c>
      <c r="E67" s="361" t="s">
        <v>4256</v>
      </c>
      <c r="F67" s="361" t="s">
        <v>9704</v>
      </c>
      <c r="G67" s="361" t="s">
        <v>9613</v>
      </c>
      <c r="H67" s="361" t="s">
        <v>10151</v>
      </c>
      <c r="I67" s="361" t="s">
        <v>10152</v>
      </c>
      <c r="J67" s="361" t="s">
        <v>9719</v>
      </c>
      <c r="K67" s="361" t="s">
        <v>9075</v>
      </c>
      <c r="L67" s="361" t="s">
        <v>4088</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3722</v>
      </c>
      <c r="Y67" s="361" t="s">
        <v>2444</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3320</v>
      </c>
      <c r="AQ67" s="361" t="s">
        <v>10163</v>
      </c>
      <c r="AR67" s="361" t="s">
        <v>10164</v>
      </c>
      <c r="AS67" s="361" t="s">
        <v>6561</v>
      </c>
      <c r="AT67" s="361" t="s">
        <v>10165</v>
      </c>
      <c r="AU67" s="361" t="s">
        <v>10166</v>
      </c>
      <c r="AV67" s="1413" t="str">
        <f t="shared" si="1"/>
        <v>2:37</v>
      </c>
      <c r="AW67" s="1651" t="s">
        <v>10167</v>
      </c>
    </row>
    <row r="68" ht="15.75" customHeight="1">
      <c r="A68" s="1549" t="s">
        <v>5102</v>
      </c>
      <c r="B68" s="1547" t="s">
        <v>8800</v>
      </c>
      <c r="C68" s="1495">
        <v>0.05171296296296296</v>
      </c>
      <c r="D68" s="1624" t="s">
        <v>10168</v>
      </c>
      <c r="E68" s="1599" t="s">
        <v>10169</v>
      </c>
      <c r="F68" s="1599" t="s">
        <v>1469</v>
      </c>
      <c r="G68" s="1599" t="s">
        <v>10170</v>
      </c>
      <c r="H68" s="1599" t="s">
        <v>8896</v>
      </c>
      <c r="I68" s="1599" t="s">
        <v>10171</v>
      </c>
      <c r="J68" s="1599" t="s">
        <v>888</v>
      </c>
      <c r="K68" s="1599" t="s">
        <v>4900</v>
      </c>
      <c r="L68" s="1599" t="s">
        <v>1888</v>
      </c>
      <c r="M68" s="1652" t="s">
        <v>10172</v>
      </c>
      <c r="N68" s="1599" t="s">
        <v>10173</v>
      </c>
      <c r="O68" s="1599" t="s">
        <v>1784</v>
      </c>
      <c r="P68" s="1599" t="s">
        <v>5087</v>
      </c>
      <c r="Q68" s="1599" t="s">
        <v>2927</v>
      </c>
      <c r="R68" s="1599" t="s">
        <v>10174</v>
      </c>
      <c r="S68" s="1599" t="s">
        <v>8880</v>
      </c>
      <c r="T68" s="1599" t="s">
        <v>10175</v>
      </c>
      <c r="U68" s="1599" t="s">
        <v>9974</v>
      </c>
      <c r="V68" s="1652" t="s">
        <v>10176</v>
      </c>
      <c r="W68" s="1652" t="s">
        <v>10177</v>
      </c>
      <c r="X68" s="1599" t="s">
        <v>9850</v>
      </c>
      <c r="Y68" s="792" t="s">
        <v>2551</v>
      </c>
      <c r="Z68" s="1599" t="s">
        <v>1522</v>
      </c>
      <c r="AA68" s="1599" t="s">
        <v>201</v>
      </c>
      <c r="AB68" s="1652" t="s">
        <v>10178</v>
      </c>
      <c r="AC68" s="1599" t="s">
        <v>1848</v>
      </c>
      <c r="AD68" s="1599" t="s">
        <v>10179</v>
      </c>
      <c r="AE68" s="1599" t="s">
        <v>3843</v>
      </c>
      <c r="AF68" s="1599" t="s">
        <v>10180</v>
      </c>
      <c r="AG68" s="1599" t="s">
        <v>529</v>
      </c>
      <c r="AH68" s="1599" t="s">
        <v>10181</v>
      </c>
      <c r="AI68" s="1599" t="s">
        <v>5442</v>
      </c>
      <c r="AJ68" s="1599" t="s">
        <v>10182</v>
      </c>
      <c r="AK68" s="1599" t="s">
        <v>10183</v>
      </c>
      <c r="AL68" s="1599" t="s">
        <v>1661</v>
      </c>
      <c r="AM68" s="1599" t="s">
        <v>10012</v>
      </c>
      <c r="AN68" s="1599" t="s">
        <v>10184</v>
      </c>
      <c r="AO68" s="1599" t="s">
        <v>2866</v>
      </c>
      <c r="AP68" s="1599" t="s">
        <v>2007</v>
      </c>
      <c r="AQ68" s="1599" t="s">
        <v>759</v>
      </c>
      <c r="AR68" s="1599" t="s">
        <v>9794</v>
      </c>
      <c r="AS68" s="1599" t="s">
        <v>7225</v>
      </c>
      <c r="AT68" s="1599" t="s">
        <v>10185</v>
      </c>
      <c r="AU68" s="1599" t="s">
        <v>10186</v>
      </c>
      <c r="AV68" s="1413" t="str">
        <f t="shared" si="1"/>
        <v>4:14</v>
      </c>
      <c r="AW68" s="1647" t="s">
        <v>10187</v>
      </c>
    </row>
    <row r="69" ht="15.75" customHeight="1">
      <c r="A69" s="1549" t="s">
        <v>2189</v>
      </c>
      <c r="B69" s="1633" t="s">
        <v>8800</v>
      </c>
      <c r="C69" s="1495">
        <v>0.05173611111111111</v>
      </c>
      <c r="D69" s="792" t="s">
        <v>10188</v>
      </c>
      <c r="E69" s="1599" t="s">
        <v>10189</v>
      </c>
      <c r="F69" s="1599" t="s">
        <v>10190</v>
      </c>
      <c r="G69" s="1599" t="s">
        <v>10191</v>
      </c>
      <c r="H69" s="1599" t="s">
        <v>7696</v>
      </c>
      <c r="I69" s="1599" t="s">
        <v>498</v>
      </c>
      <c r="J69" s="1599" t="s">
        <v>9198</v>
      </c>
      <c r="K69" s="1599" t="s">
        <v>8785</v>
      </c>
      <c r="L69" s="1599" t="s">
        <v>7305</v>
      </c>
      <c r="M69" s="1599" t="s">
        <v>3636</v>
      </c>
      <c r="N69" s="1599" t="s">
        <v>10192</v>
      </c>
      <c r="O69" s="1599" t="s">
        <v>10193</v>
      </c>
      <c r="P69" s="1599" t="s">
        <v>3746</v>
      </c>
      <c r="Q69" s="1599" t="s">
        <v>10194</v>
      </c>
      <c r="R69" s="1599" t="s">
        <v>10135</v>
      </c>
      <c r="S69" s="1599" t="s">
        <v>5549</v>
      </c>
      <c r="T69" s="1599" t="s">
        <v>10195</v>
      </c>
      <c r="U69" s="1599" t="s">
        <v>10196</v>
      </c>
      <c r="V69" s="1599" t="s">
        <v>361</v>
      </c>
      <c r="W69" s="1599" t="s">
        <v>5612</v>
      </c>
      <c r="X69" s="1599" t="s">
        <v>10040</v>
      </c>
      <c r="Y69" s="1599" t="s">
        <v>1165</v>
      </c>
      <c r="Z69" s="1599" t="s">
        <v>10197</v>
      </c>
      <c r="AA69" s="1599" t="s">
        <v>5927</v>
      </c>
      <c r="AB69" s="1599" t="s">
        <v>6656</v>
      </c>
      <c r="AC69" s="1599" t="s">
        <v>162</v>
      </c>
      <c r="AD69" s="1599" t="s">
        <v>10065</v>
      </c>
      <c r="AE69" s="1599" t="s">
        <v>9493</v>
      </c>
      <c r="AF69" s="1599" t="s">
        <v>9506</v>
      </c>
      <c r="AG69" s="1599" t="s">
        <v>10198</v>
      </c>
      <c r="AH69" s="1599" t="s">
        <v>10199</v>
      </c>
      <c r="AI69" s="1599" t="s">
        <v>10200</v>
      </c>
      <c r="AJ69" s="1599" t="s">
        <v>6133</v>
      </c>
      <c r="AK69" s="1599" t="s">
        <v>7618</v>
      </c>
      <c r="AL69" s="1599" t="s">
        <v>10201</v>
      </c>
      <c r="AM69" s="1599" t="s">
        <v>2975</v>
      </c>
      <c r="AN69" s="1599" t="s">
        <v>5182</v>
      </c>
      <c r="AO69" s="1599" t="s">
        <v>9966</v>
      </c>
      <c r="AP69" s="1599" t="s">
        <v>10202</v>
      </c>
      <c r="AQ69" s="1599" t="s">
        <v>10203</v>
      </c>
      <c r="AR69" s="1599" t="s">
        <v>198</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6299</v>
      </c>
      <c r="L70" s="1512">
        <v>59.57</v>
      </c>
      <c r="M70" s="1512" t="s">
        <v>10214</v>
      </c>
      <c r="N70" s="1512" t="s">
        <v>10215</v>
      </c>
      <c r="O70" s="1511" t="s">
        <v>7605</v>
      </c>
      <c r="P70" s="1511" t="s">
        <v>10216</v>
      </c>
      <c r="Q70" s="1511" t="s">
        <v>10217</v>
      </c>
      <c r="R70" s="1512" t="s">
        <v>10218</v>
      </c>
      <c r="S70" s="1512" t="s">
        <v>9859</v>
      </c>
      <c r="T70" s="1512" t="s">
        <v>10219</v>
      </c>
      <c r="U70" s="1512" t="s">
        <v>10220</v>
      </c>
      <c r="V70" s="1512" t="s">
        <v>4304</v>
      </c>
      <c r="W70" s="1512" t="s">
        <v>10221</v>
      </c>
      <c r="X70" s="1512" t="s">
        <v>10222</v>
      </c>
      <c r="Y70" s="1511" t="s">
        <v>9724</v>
      </c>
      <c r="Z70" s="1653" t="s">
        <v>8842</v>
      </c>
      <c r="AA70" s="1512" t="s">
        <v>968</v>
      </c>
      <c r="AB70" s="1511" t="s">
        <v>4340</v>
      </c>
      <c r="AC70" s="1512">
        <v>49.53</v>
      </c>
      <c r="AD70" s="1512" t="s">
        <v>1937</v>
      </c>
      <c r="AE70" s="1511" t="s">
        <v>10223</v>
      </c>
      <c r="AF70" s="1512" t="s">
        <v>8971</v>
      </c>
      <c r="AG70" s="1512" t="s">
        <v>10224</v>
      </c>
      <c r="AH70" s="1512">
        <v>59.93</v>
      </c>
      <c r="AI70" s="1512" t="s">
        <v>10225</v>
      </c>
      <c r="AJ70" s="1512" t="s">
        <v>10226</v>
      </c>
      <c r="AK70" s="1512" t="s">
        <v>5957</v>
      </c>
      <c r="AL70" s="1512">
        <v>59.13</v>
      </c>
      <c r="AM70" s="1512" t="s">
        <v>10164</v>
      </c>
      <c r="AN70" s="1512">
        <v>57.86</v>
      </c>
      <c r="AO70" s="1512" t="s">
        <v>7916</v>
      </c>
      <c r="AP70" s="1512" t="s">
        <v>4914</v>
      </c>
      <c r="AQ70" s="1512" t="s">
        <v>9730</v>
      </c>
      <c r="AR70" s="1512" t="s">
        <v>6228</v>
      </c>
      <c r="AS70" s="1512">
        <v>47.67</v>
      </c>
      <c r="AT70" s="1599" t="s">
        <v>10227</v>
      </c>
      <c r="AU70" s="1599" t="s">
        <v>10228</v>
      </c>
      <c r="AV70" s="1413" t="str">
        <f t="shared" si="1"/>
        <v>2:57</v>
      </c>
      <c r="AW70" s="1632" t="s">
        <v>10229</v>
      </c>
    </row>
    <row r="71">
      <c r="A71" s="1235" t="s">
        <v>1257</v>
      </c>
      <c r="B71" s="1547" t="s">
        <v>8800</v>
      </c>
      <c r="C71" s="1654">
        <v>0.05181712962962963</v>
      </c>
      <c r="D71" s="1501" t="s">
        <v>10230</v>
      </c>
      <c r="E71" s="1501" t="s">
        <v>6731</v>
      </c>
      <c r="F71" s="1501" t="s">
        <v>10231</v>
      </c>
      <c r="G71" s="1501" t="s">
        <v>10232</v>
      </c>
      <c r="H71" s="1501" t="s">
        <v>10233</v>
      </c>
      <c r="I71" s="1501" t="s">
        <v>5044</v>
      </c>
      <c r="J71" s="1501" t="s">
        <v>9182</v>
      </c>
      <c r="K71" s="1501" t="s">
        <v>8810</v>
      </c>
      <c r="L71" s="1501" t="s">
        <v>10199</v>
      </c>
      <c r="M71" s="1501" t="s">
        <v>1455</v>
      </c>
      <c r="N71" s="1501" t="s">
        <v>9693</v>
      </c>
      <c r="O71" s="1501" t="s">
        <v>7668</v>
      </c>
      <c r="P71" s="1501" t="s">
        <v>9272</v>
      </c>
      <c r="Q71" s="1501" t="s">
        <v>10234</v>
      </c>
      <c r="R71" s="1501" t="s">
        <v>2928</v>
      </c>
      <c r="S71" s="1501" t="s">
        <v>3643</v>
      </c>
      <c r="T71" s="1501" t="s">
        <v>10235</v>
      </c>
      <c r="U71" s="1501" t="s">
        <v>10236</v>
      </c>
      <c r="V71" s="1501" t="s">
        <v>10154</v>
      </c>
      <c r="W71" s="1501" t="s">
        <v>8902</v>
      </c>
      <c r="X71" s="1501" t="s">
        <v>9784</v>
      </c>
      <c r="Y71" s="1501" t="s">
        <v>10237</v>
      </c>
      <c r="Z71" s="1501" t="s">
        <v>6385</v>
      </c>
      <c r="AA71" s="1501" t="s">
        <v>958</v>
      </c>
      <c r="AB71" s="1501" t="s">
        <v>10238</v>
      </c>
      <c r="AC71" s="1501" t="s">
        <v>2098</v>
      </c>
      <c r="AD71" s="1501" t="s">
        <v>10239</v>
      </c>
      <c r="AE71" s="1501" t="s">
        <v>2173</v>
      </c>
      <c r="AF71" s="1501" t="s">
        <v>9920</v>
      </c>
      <c r="AG71" s="1501" t="s">
        <v>402</v>
      </c>
      <c r="AH71" s="1501" t="s">
        <v>10240</v>
      </c>
      <c r="AI71" s="1501" t="s">
        <v>248</v>
      </c>
      <c r="AJ71" s="1501" t="s">
        <v>10241</v>
      </c>
      <c r="AK71" s="1501" t="s">
        <v>9510</v>
      </c>
      <c r="AL71" s="1501" t="s">
        <v>4728</v>
      </c>
      <c r="AM71" s="1501" t="s">
        <v>10242</v>
      </c>
      <c r="AN71" s="1501" t="s">
        <v>9555</v>
      </c>
      <c r="AO71" s="1501" t="s">
        <v>10243</v>
      </c>
      <c r="AP71" s="1501" t="s">
        <v>10244</v>
      </c>
      <c r="AQ71" s="1501" t="s">
        <v>10245</v>
      </c>
      <c r="AR71" s="1501" t="s">
        <v>10246</v>
      </c>
      <c r="AS71" s="1501" t="s">
        <v>354</v>
      </c>
      <c r="AT71" s="1501" t="s">
        <v>10247</v>
      </c>
      <c r="AU71" s="1509" t="s">
        <v>10248</v>
      </c>
      <c r="AV71" s="1413" t="str">
        <f t="shared" si="1"/>
        <v>3:49</v>
      </c>
      <c r="AW71" s="1655" t="s">
        <v>10249</v>
      </c>
    </row>
    <row r="72" ht="15.75" customHeight="1">
      <c r="A72" s="1493" t="s">
        <v>3126</v>
      </c>
      <c r="B72" s="1583" t="s">
        <v>8800</v>
      </c>
      <c r="C72" s="1617">
        <v>0.051863425925925924</v>
      </c>
      <c r="D72" s="792"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3357</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413" t="str">
        <f t="shared" si="1"/>
        <v>2:06</v>
      </c>
      <c r="AW72" s="1647" t="s">
        <v>10271</v>
      </c>
    </row>
    <row r="73" ht="15.75" customHeight="1">
      <c r="A73" s="1493" t="s">
        <v>1127</v>
      </c>
      <c r="B73" s="1494" t="s">
        <v>8773</v>
      </c>
      <c r="C73" s="1617">
        <v>0.051875</v>
      </c>
      <c r="D73" s="792" t="s">
        <v>10272</v>
      </c>
      <c r="E73" s="361" t="s">
        <v>3202</v>
      </c>
      <c r="F73" s="361" t="s">
        <v>10273</v>
      </c>
      <c r="G73" s="361" t="s">
        <v>10274</v>
      </c>
      <c r="H73" s="361" t="s">
        <v>10275</v>
      </c>
      <c r="I73" s="361" t="s">
        <v>10276</v>
      </c>
      <c r="J73" s="361" t="s">
        <v>2525</v>
      </c>
      <c r="K73" s="361" t="s">
        <v>10277</v>
      </c>
      <c r="L73" s="361" t="s">
        <v>9036</v>
      </c>
      <c r="M73" s="361" t="s">
        <v>7808</v>
      </c>
      <c r="N73" s="361" t="s">
        <v>9277</v>
      </c>
      <c r="O73" s="361" t="s">
        <v>4466</v>
      </c>
      <c r="P73" s="361" t="s">
        <v>1527</v>
      </c>
      <c r="Q73" s="361" t="s">
        <v>10278</v>
      </c>
      <c r="R73" s="361" t="s">
        <v>2078</v>
      </c>
      <c r="S73" s="361" t="s">
        <v>4431</v>
      </c>
      <c r="T73" s="361" t="s">
        <v>10279</v>
      </c>
      <c r="U73" s="361" t="s">
        <v>10080</v>
      </c>
      <c r="V73" s="361" t="s">
        <v>6557</v>
      </c>
      <c r="W73" s="361" t="s">
        <v>4466</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99" t="s">
        <v>9883</v>
      </c>
      <c r="AP73" s="361" t="s">
        <v>10287</v>
      </c>
      <c r="AQ73" s="361" t="s">
        <v>10288</v>
      </c>
      <c r="AR73" s="361" t="s">
        <v>9545</v>
      </c>
      <c r="AS73" s="361" t="s">
        <v>4746</v>
      </c>
      <c r="AT73" s="361" t="s">
        <v>10289</v>
      </c>
      <c r="AU73" s="1599" t="s">
        <v>10290</v>
      </c>
      <c r="AV73" s="1413" t="str">
        <f t="shared" si="1"/>
        <v>0:37</v>
      </c>
      <c r="AW73" s="1651" t="s">
        <v>10291</v>
      </c>
    </row>
    <row r="74">
      <c r="A74" s="1549" t="s">
        <v>8103</v>
      </c>
      <c r="B74" s="1547" t="s">
        <v>8773</v>
      </c>
      <c r="C74" s="1495">
        <v>0.05188657407407407</v>
      </c>
      <c r="D74" s="1599" t="s">
        <v>10292</v>
      </c>
      <c r="E74" s="792" t="s">
        <v>176</v>
      </c>
      <c r="F74" s="792" t="s">
        <v>10293</v>
      </c>
      <c r="G74" s="792" t="s">
        <v>10294</v>
      </c>
      <c r="H74" s="792" t="s">
        <v>10295</v>
      </c>
      <c r="I74" s="792" t="s">
        <v>680</v>
      </c>
      <c r="J74" s="792" t="s">
        <v>4141</v>
      </c>
      <c r="K74" s="792" t="s">
        <v>9520</v>
      </c>
      <c r="L74" s="792" t="s">
        <v>2847</v>
      </c>
      <c r="M74" s="792" t="s">
        <v>10296</v>
      </c>
      <c r="N74" s="792" t="s">
        <v>4065</v>
      </c>
      <c r="O74" s="792" t="s">
        <v>10297</v>
      </c>
      <c r="P74" s="792" t="s">
        <v>5186</v>
      </c>
      <c r="Q74" s="792" t="s">
        <v>10298</v>
      </c>
      <c r="R74" s="792" t="s">
        <v>5532</v>
      </c>
      <c r="S74" s="792" t="s">
        <v>10299</v>
      </c>
      <c r="T74" s="792" t="s">
        <v>8846</v>
      </c>
      <c r="U74" s="792" t="s">
        <v>10300</v>
      </c>
      <c r="V74" s="792" t="s">
        <v>5258</v>
      </c>
      <c r="W74" s="792" t="s">
        <v>10301</v>
      </c>
      <c r="X74" s="792" t="s">
        <v>10302</v>
      </c>
      <c r="Y74" s="792" t="s">
        <v>10303</v>
      </c>
      <c r="Z74" s="792" t="s">
        <v>9530</v>
      </c>
      <c r="AA74" s="792" t="s">
        <v>5147</v>
      </c>
      <c r="AB74" s="792" t="s">
        <v>689</v>
      </c>
      <c r="AC74" s="792" t="s">
        <v>10304</v>
      </c>
      <c r="AD74" s="792" t="s">
        <v>2745</v>
      </c>
      <c r="AE74" s="792" t="s">
        <v>5912</v>
      </c>
      <c r="AF74" s="792" t="s">
        <v>10305</v>
      </c>
      <c r="AG74" s="792" t="s">
        <v>2411</v>
      </c>
      <c r="AH74" s="792" t="s">
        <v>2847</v>
      </c>
      <c r="AI74" s="792" t="s">
        <v>200</v>
      </c>
      <c r="AJ74" s="792" t="s">
        <v>10306</v>
      </c>
      <c r="AK74" s="792" t="s">
        <v>9537</v>
      </c>
      <c r="AL74" s="792" t="s">
        <v>9994</v>
      </c>
      <c r="AM74" s="792" t="s">
        <v>9508</v>
      </c>
      <c r="AN74" s="792" t="s">
        <v>3630</v>
      </c>
      <c r="AO74" s="792" t="s">
        <v>10307</v>
      </c>
      <c r="AP74" s="792" t="s">
        <v>9947</v>
      </c>
      <c r="AQ74" s="792" t="s">
        <v>10288</v>
      </c>
      <c r="AR74" s="792" t="s">
        <v>10308</v>
      </c>
      <c r="AS74" s="792" t="s">
        <v>6561</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2381</v>
      </c>
      <c r="J75" s="1599" t="s">
        <v>4240</v>
      </c>
      <c r="K75" s="1599" t="s">
        <v>9460</v>
      </c>
      <c r="L75" s="1599"/>
      <c r="M75" s="1599" t="s">
        <v>7444</v>
      </c>
      <c r="N75" s="1599" t="s">
        <v>4683</v>
      </c>
      <c r="O75" s="1599" t="s">
        <v>8840</v>
      </c>
      <c r="P75" s="1599" t="s">
        <v>9940</v>
      </c>
      <c r="Q75" s="1599" t="s">
        <v>10315</v>
      </c>
      <c r="R75" s="1599" t="s">
        <v>10316</v>
      </c>
      <c r="S75" s="1599" t="s">
        <v>9114</v>
      </c>
      <c r="T75" s="1599" t="s">
        <v>9476</v>
      </c>
      <c r="U75" s="1599" t="s">
        <v>2269</v>
      </c>
      <c r="V75" s="1599" t="s">
        <v>9295</v>
      </c>
      <c r="W75" s="1599" t="s">
        <v>5962</v>
      </c>
      <c r="X75" s="1599" t="s">
        <v>630</v>
      </c>
      <c r="Y75" s="1599" t="s">
        <v>9258</v>
      </c>
      <c r="Z75" s="1599" t="s">
        <v>8861</v>
      </c>
      <c r="AA75" s="1599" t="s">
        <v>7928</v>
      </c>
      <c r="AB75" s="1599" t="s">
        <v>9948</v>
      </c>
      <c r="AC75" s="1599" t="s">
        <v>3010</v>
      </c>
      <c r="AD75" s="1599" t="s">
        <v>10317</v>
      </c>
      <c r="AE75" s="1599" t="s">
        <v>10318</v>
      </c>
      <c r="AF75" s="1599" t="s">
        <v>10319</v>
      </c>
      <c r="AG75" s="1599" t="s">
        <v>10084</v>
      </c>
      <c r="AH75" s="1599" t="s">
        <v>10320</v>
      </c>
      <c r="AI75" s="1599" t="s">
        <v>10321</v>
      </c>
      <c r="AJ75" s="1599" t="s">
        <v>10322</v>
      </c>
      <c r="AK75" s="1599" t="s">
        <v>10323</v>
      </c>
      <c r="AL75" s="1599" t="s">
        <v>3353</v>
      </c>
      <c r="AM75" s="1599" t="s">
        <v>10324</v>
      </c>
      <c r="AN75" s="1599" t="s">
        <v>3641</v>
      </c>
      <c r="AO75" s="1599" t="s">
        <v>10325</v>
      </c>
      <c r="AP75" s="1599" t="s">
        <v>10326</v>
      </c>
      <c r="AQ75" s="1599" t="s">
        <v>10327</v>
      </c>
      <c r="AR75" s="1599" t="s">
        <v>10328</v>
      </c>
      <c r="AS75" s="1599" t="s">
        <v>3786</v>
      </c>
      <c r="AT75" s="1599" t="s">
        <v>10329</v>
      </c>
      <c r="AU75" s="1599" t="s">
        <v>10330</v>
      </c>
      <c r="AV75" s="1413" t="str">
        <f t="shared" si="1"/>
        <v>4:12</v>
      </c>
      <c r="AW75" s="1651"/>
    </row>
    <row r="76" ht="15.75" customHeight="1">
      <c r="A76" s="1600" t="s">
        <v>10331</v>
      </c>
      <c r="B76" s="1494"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3333</v>
      </c>
      <c r="AM76" s="361" t="s">
        <v>9788</v>
      </c>
      <c r="AN76" s="361" t="s">
        <v>10350</v>
      </c>
      <c r="AO76" s="1599" t="s">
        <v>7682</v>
      </c>
      <c r="AP76" s="1599" t="s">
        <v>10351</v>
      </c>
      <c r="AQ76" s="361" t="s">
        <v>5379</v>
      </c>
      <c r="AR76" s="361" t="s">
        <v>9824</v>
      </c>
      <c r="AS76" s="361" t="s">
        <v>1088</v>
      </c>
      <c r="AT76" s="361"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61" t="s">
        <v>9126</v>
      </c>
      <c r="F77" s="361" t="s">
        <v>10355</v>
      </c>
      <c r="G77" s="361" t="s">
        <v>10356</v>
      </c>
      <c r="H77" s="361" t="s">
        <v>10357</v>
      </c>
      <c r="I77" s="361" t="s">
        <v>3642</v>
      </c>
      <c r="J77" s="361" t="s">
        <v>9497</v>
      </c>
      <c r="K77" s="361" t="s">
        <v>4431</v>
      </c>
      <c r="L77" s="361" t="s">
        <v>3439</v>
      </c>
      <c r="M77" s="361" t="s">
        <v>10079</v>
      </c>
      <c r="N77" s="361" t="s">
        <v>4470</v>
      </c>
      <c r="O77" s="361" t="s">
        <v>10358</v>
      </c>
      <c r="P77" s="361" t="s">
        <v>10359</v>
      </c>
      <c r="Q77" s="361" t="s">
        <v>4926</v>
      </c>
      <c r="R77" s="361" t="s">
        <v>1455</v>
      </c>
      <c r="S77" s="361" t="s">
        <v>9576</v>
      </c>
      <c r="T77" s="361" t="s">
        <v>530</v>
      </c>
      <c r="U77" s="361" t="s">
        <v>1923</v>
      </c>
      <c r="V77" s="361" t="s">
        <v>467</v>
      </c>
      <c r="W77" s="361" t="s">
        <v>5761</v>
      </c>
      <c r="X77" s="361" t="s">
        <v>9854</v>
      </c>
      <c r="Y77" s="361" t="s">
        <v>2444</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4631</v>
      </c>
      <c r="AL77" s="361" t="s">
        <v>6139</v>
      </c>
      <c r="AM77" s="361" t="s">
        <v>1460</v>
      </c>
      <c r="AN77" s="361" t="s">
        <v>8987</v>
      </c>
      <c r="AO77" s="361" t="s">
        <v>9290</v>
      </c>
      <c r="AP77" s="361" t="s">
        <v>4678</v>
      </c>
      <c r="AQ77" s="361" t="s">
        <v>10366</v>
      </c>
      <c r="AR77" s="361" t="s">
        <v>10367</v>
      </c>
      <c r="AS77" s="361" t="s">
        <v>10368</v>
      </c>
      <c r="AT77" s="361" t="s">
        <v>10369</v>
      </c>
      <c r="AU77" s="361" t="s">
        <v>10370</v>
      </c>
      <c r="AV77" s="1413" t="str">
        <f t="shared" si="1"/>
        <v>3:32</v>
      </c>
      <c r="AW77" s="1650" t="s">
        <v>10371</v>
      </c>
    </row>
    <row r="78" ht="15.75" customHeight="1">
      <c r="A78" s="1600" t="s">
        <v>10372</v>
      </c>
      <c r="B78" s="1583" t="s">
        <v>8800</v>
      </c>
      <c r="C78" s="1617">
        <v>0.05201388888888889</v>
      </c>
      <c r="D78" s="792" t="s">
        <v>10373</v>
      </c>
      <c r="E78" s="1599" t="s">
        <v>10374</v>
      </c>
      <c r="F78" s="361" t="s">
        <v>10375</v>
      </c>
      <c r="G78" s="361" t="s">
        <v>10376</v>
      </c>
      <c r="H78" s="361" t="s">
        <v>129</v>
      </c>
      <c r="I78" s="361" t="s">
        <v>10377</v>
      </c>
      <c r="J78" s="361" t="s">
        <v>10378</v>
      </c>
      <c r="K78" s="361" t="s">
        <v>4208</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5900</v>
      </c>
      <c r="AB78" s="361" t="s">
        <v>9149</v>
      </c>
      <c r="AC78" s="361" t="s">
        <v>929</v>
      </c>
      <c r="AD78" s="361" t="s">
        <v>10388</v>
      </c>
      <c r="AE78" s="361" t="s">
        <v>1165</v>
      </c>
      <c r="AF78" s="361" t="s">
        <v>10389</v>
      </c>
      <c r="AG78" s="361" t="s">
        <v>2975</v>
      </c>
      <c r="AH78" s="361" t="s">
        <v>6180</v>
      </c>
      <c r="AI78" s="361" t="s">
        <v>1573</v>
      </c>
      <c r="AJ78" s="361" t="s">
        <v>10390</v>
      </c>
      <c r="AK78" s="361" t="s">
        <v>3619</v>
      </c>
      <c r="AL78" s="361" t="s">
        <v>4018</v>
      </c>
      <c r="AM78" s="361" t="s">
        <v>842</v>
      </c>
      <c r="AN78" s="361" t="s">
        <v>10161</v>
      </c>
      <c r="AO78" s="361" t="s">
        <v>2255</v>
      </c>
      <c r="AP78" s="361" t="s">
        <v>10391</v>
      </c>
      <c r="AQ78" s="361" t="s">
        <v>1003</v>
      </c>
      <c r="AR78" s="361" t="s">
        <v>8841</v>
      </c>
      <c r="AS78" s="361" t="s">
        <v>9926</v>
      </c>
      <c r="AT78" s="361" t="s">
        <v>10392</v>
      </c>
      <c r="AU78" s="361" t="s">
        <v>10393</v>
      </c>
      <c r="AV78" s="1413" t="str">
        <f t="shared" si="1"/>
        <v>2:58</v>
      </c>
      <c r="AW78" s="1651" t="s">
        <v>10394</v>
      </c>
    </row>
    <row r="79" ht="15.75" customHeight="1">
      <c r="A79" s="1493" t="s">
        <v>6627</v>
      </c>
      <c r="B79" s="1583" t="s">
        <v>8800</v>
      </c>
      <c r="C79" s="1617">
        <v>0.05207175925925926</v>
      </c>
      <c r="D79" s="792"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2417</v>
      </c>
      <c r="W79" s="361" t="s">
        <v>8845</v>
      </c>
      <c r="X79" s="361" t="s">
        <v>10404</v>
      </c>
      <c r="Y79" s="361" t="s">
        <v>1411</v>
      </c>
      <c r="Z79" s="361" t="s">
        <v>7521</v>
      </c>
      <c r="AA79" s="361" t="s">
        <v>1486</v>
      </c>
      <c r="AB79" s="361" t="s">
        <v>10405</v>
      </c>
      <c r="AC79" s="361" t="s">
        <v>241</v>
      </c>
      <c r="AD79" s="361" t="s">
        <v>4247</v>
      </c>
      <c r="AE79" s="361" t="s">
        <v>6118</v>
      </c>
      <c r="AF79" s="361" t="s">
        <v>10406</v>
      </c>
      <c r="AG79" s="361" t="s">
        <v>9854</v>
      </c>
      <c r="AH79" s="361" t="s">
        <v>7308</v>
      </c>
      <c r="AI79" s="361" t="s">
        <v>10200</v>
      </c>
      <c r="AJ79" s="361" t="s">
        <v>10407</v>
      </c>
      <c r="AK79" s="361" t="s">
        <v>10408</v>
      </c>
      <c r="AL79" s="361" t="s">
        <v>4352</v>
      </c>
      <c r="AM79" s="361" t="s">
        <v>9964</v>
      </c>
      <c r="AN79" s="361" t="s">
        <v>4018</v>
      </c>
      <c r="AO79" s="361" t="s">
        <v>4208</v>
      </c>
      <c r="AP79" s="361" t="s">
        <v>9684</v>
      </c>
      <c r="AQ79" s="361" t="s">
        <v>10409</v>
      </c>
      <c r="AR79" s="361" t="s">
        <v>1485</v>
      </c>
      <c r="AS79" s="361" t="s">
        <v>6275</v>
      </c>
      <c r="AT79" s="361" t="s">
        <v>7892</v>
      </c>
      <c r="AU79" s="361" t="s">
        <v>10410</v>
      </c>
      <c r="AV79" s="1413" t="str">
        <f t="shared" si="1"/>
        <v>3:10</v>
      </c>
      <c r="AW79" s="1651" t="s">
        <v>10411</v>
      </c>
    </row>
    <row r="80">
      <c r="A80" s="1235" t="s">
        <v>3859</v>
      </c>
      <c r="B80" s="1637" t="s">
        <v>8826</v>
      </c>
      <c r="C80" s="1656">
        <v>0.052141203703703703</v>
      </c>
      <c r="D80" s="792" t="s">
        <v>10412</v>
      </c>
      <c r="E80" s="1573" t="s">
        <v>3002</v>
      </c>
      <c r="F80" s="1573" t="s">
        <v>10413</v>
      </c>
      <c r="G80" s="1596" t="s">
        <v>10414</v>
      </c>
      <c r="H80" s="1596" t="s">
        <v>10415</v>
      </c>
      <c r="I80" s="1596" t="s">
        <v>2429</v>
      </c>
      <c r="J80" s="1596" t="s">
        <v>7138</v>
      </c>
      <c r="K80" s="1657" t="s">
        <v>6306</v>
      </c>
      <c r="L80" s="1658" t="s">
        <v>7305</v>
      </c>
      <c r="M80" s="1596" t="s">
        <v>5726</v>
      </c>
      <c r="N80" s="1596" t="s">
        <v>5859</v>
      </c>
      <c r="O80" s="1596" t="s">
        <v>5535</v>
      </c>
      <c r="P80" s="1596" t="s">
        <v>1848</v>
      </c>
      <c r="Q80" s="1596" t="s">
        <v>10416</v>
      </c>
      <c r="R80" s="1596" t="s">
        <v>10417</v>
      </c>
      <c r="S80" s="1659" t="s">
        <v>2267</v>
      </c>
      <c r="T80" s="1596" t="s">
        <v>9106</v>
      </c>
      <c r="U80" s="1596" t="s">
        <v>3539</v>
      </c>
      <c r="V80" s="1596" t="s">
        <v>10418</v>
      </c>
      <c r="W80" s="1596" t="s">
        <v>10419</v>
      </c>
      <c r="X80" s="1596" t="s">
        <v>4455</v>
      </c>
      <c r="Y80" s="1596" t="s">
        <v>3682</v>
      </c>
      <c r="Z80" s="1596" t="s">
        <v>4177</v>
      </c>
      <c r="AA80" s="1596" t="s">
        <v>402</v>
      </c>
      <c r="AB80" s="1596" t="s">
        <v>627</v>
      </c>
      <c r="AC80" s="1596" t="s">
        <v>6118</v>
      </c>
      <c r="AD80" s="1501" t="s">
        <v>9215</v>
      </c>
      <c r="AE80" s="1596" t="s">
        <v>481</v>
      </c>
      <c r="AF80" s="1596" t="s">
        <v>10420</v>
      </c>
      <c r="AG80" s="1596" t="s">
        <v>10421</v>
      </c>
      <c r="AH80" s="1596" t="s">
        <v>4572</v>
      </c>
      <c r="AI80" s="1596" t="s">
        <v>10422</v>
      </c>
      <c r="AJ80" s="1596" t="s">
        <v>10423</v>
      </c>
      <c r="AK80" s="1596" t="s">
        <v>10424</v>
      </c>
      <c r="AL80" s="1596" t="s">
        <v>5107</v>
      </c>
      <c r="AM80" s="1596" t="s">
        <v>10086</v>
      </c>
      <c r="AN80" s="1596" t="s">
        <v>4308</v>
      </c>
      <c r="AO80" s="1596" t="s">
        <v>9198</v>
      </c>
      <c r="AP80" s="1596" t="s">
        <v>10425</v>
      </c>
      <c r="AQ80" s="1657" t="s">
        <v>8853</v>
      </c>
      <c r="AR80" s="1596" t="s">
        <v>10426</v>
      </c>
      <c r="AS80" s="1660" t="s">
        <v>756</v>
      </c>
      <c r="AT80" s="1596" t="s">
        <v>10427</v>
      </c>
      <c r="AU80" s="1539" t="s">
        <v>10428</v>
      </c>
      <c r="AV80" s="1413" t="str">
        <f t="shared" si="1"/>
        <v>4:08</v>
      </c>
      <c r="AW80" s="1613" t="s">
        <v>10429</v>
      </c>
    </row>
    <row r="81">
      <c r="A81" s="1549" t="s">
        <v>3927</v>
      </c>
      <c r="B81" s="1537" t="s">
        <v>8773</v>
      </c>
      <c r="C81" s="1495">
        <v>0.0522337962962963</v>
      </c>
      <c r="D81" s="1624" t="s">
        <v>10430</v>
      </c>
      <c r="E81" s="1599" t="s">
        <v>10431</v>
      </c>
      <c r="F81" s="1599" t="s">
        <v>10432</v>
      </c>
      <c r="G81" s="1599" t="s">
        <v>10433</v>
      </c>
      <c r="H81" s="1599" t="s">
        <v>10434</v>
      </c>
      <c r="I81" s="1599" t="s">
        <v>143</v>
      </c>
      <c r="J81" s="1599" t="s">
        <v>8456</v>
      </c>
      <c r="K81" s="1599" t="s">
        <v>4431</v>
      </c>
      <c r="L81" s="1599" t="s">
        <v>6317</v>
      </c>
      <c r="M81" s="1599" t="s">
        <v>10435</v>
      </c>
      <c r="N81" s="1599" t="s">
        <v>9832</v>
      </c>
      <c r="O81" s="1599" t="s">
        <v>10436</v>
      </c>
      <c r="P81" s="1599" t="s">
        <v>5186</v>
      </c>
      <c r="Q81" s="1599" t="s">
        <v>10437</v>
      </c>
      <c r="R81" s="1599" t="s">
        <v>6304</v>
      </c>
      <c r="S81" s="1599" t="s">
        <v>609</v>
      </c>
      <c r="T81" s="1599" t="s">
        <v>10242</v>
      </c>
      <c r="U81" s="1599" t="s">
        <v>9239</v>
      </c>
      <c r="V81" s="1599" t="s">
        <v>10438</v>
      </c>
      <c r="W81" s="1599" t="s">
        <v>10439</v>
      </c>
      <c r="X81" s="1599" t="s">
        <v>10440</v>
      </c>
      <c r="Y81" s="1599" t="s">
        <v>761</v>
      </c>
      <c r="Z81" s="1599" t="s">
        <v>10441</v>
      </c>
      <c r="AA81" s="792" t="s">
        <v>10442</v>
      </c>
      <c r="AB81" s="1599" t="s">
        <v>7249</v>
      </c>
      <c r="AC81" s="1599" t="s">
        <v>10223</v>
      </c>
      <c r="AD81" s="1599" t="s">
        <v>7719</v>
      </c>
      <c r="AE81" s="1599" t="s">
        <v>4948</v>
      </c>
      <c r="AF81" s="1285" t="s">
        <v>10443</v>
      </c>
      <c r="AG81" s="1599" t="s">
        <v>10444</v>
      </c>
      <c r="AH81" s="1599" t="s">
        <v>5062</v>
      </c>
      <c r="AI81" s="1599" t="s">
        <v>6843</v>
      </c>
      <c r="AJ81" s="1599" t="s">
        <v>10445</v>
      </c>
      <c r="AK81" s="1599" t="s">
        <v>10446</v>
      </c>
      <c r="AL81" s="1599" t="s">
        <v>10162</v>
      </c>
      <c r="AM81" s="1599" t="s">
        <v>9834</v>
      </c>
      <c r="AN81" s="1599" t="s">
        <v>1078</v>
      </c>
      <c r="AO81" s="1599" t="s">
        <v>6476</v>
      </c>
      <c r="AP81" s="1599" t="s">
        <v>5614</v>
      </c>
      <c r="AQ81" s="1599" t="s">
        <v>10447</v>
      </c>
      <c r="AR81" s="1599" t="s">
        <v>692</v>
      </c>
      <c r="AS81" s="1285" t="s">
        <v>2793</v>
      </c>
      <c r="AT81" s="1599" t="s">
        <v>10448</v>
      </c>
      <c r="AU81" s="1599" t="s">
        <v>10449</v>
      </c>
      <c r="AV81" s="1413" t="str">
        <f t="shared" si="1"/>
        <v>4:32</v>
      </c>
      <c r="AW81" s="1647" t="s">
        <v>10450</v>
      </c>
    </row>
    <row r="82">
      <c r="A82" s="1549" t="s">
        <v>5194</v>
      </c>
      <c r="B82" s="1547" t="s">
        <v>8800</v>
      </c>
      <c r="C82" s="1495">
        <v>0.05232638888888889</v>
      </c>
      <c r="D82" s="1624" t="s">
        <v>10451</v>
      </c>
      <c r="E82" s="1599" t="s">
        <v>1232</v>
      </c>
      <c r="F82" s="1599" t="s">
        <v>10452</v>
      </c>
      <c r="G82" s="1599" t="s">
        <v>10453</v>
      </c>
      <c r="H82" s="1599" t="s">
        <v>10454</v>
      </c>
      <c r="I82" s="1599" t="s">
        <v>1351</v>
      </c>
      <c r="J82" s="1599" t="s">
        <v>8030</v>
      </c>
      <c r="K82" s="1599" t="s">
        <v>10056</v>
      </c>
      <c r="L82" s="1599" t="s">
        <v>10455</v>
      </c>
      <c r="M82" s="1599" t="s">
        <v>7747</v>
      </c>
      <c r="N82" s="1599" t="s">
        <v>10456</v>
      </c>
      <c r="O82" s="1599" t="s">
        <v>10457</v>
      </c>
      <c r="P82" s="1599" t="s">
        <v>522</v>
      </c>
      <c r="Q82" s="1599" t="s">
        <v>9894</v>
      </c>
      <c r="R82" s="1599" t="s">
        <v>5271</v>
      </c>
      <c r="S82" s="1599" t="s">
        <v>9693</v>
      </c>
      <c r="T82" s="1599" t="s">
        <v>10458</v>
      </c>
      <c r="U82" s="1599" t="s">
        <v>10459</v>
      </c>
      <c r="V82" s="1599" t="s">
        <v>10460</v>
      </c>
      <c r="W82" s="1599" t="s">
        <v>6393</v>
      </c>
      <c r="X82" s="1599" t="s">
        <v>314</v>
      </c>
      <c r="Y82" s="1599" t="s">
        <v>6671</v>
      </c>
      <c r="Z82" s="1599" t="s">
        <v>782</v>
      </c>
      <c r="AA82" s="361" t="s">
        <v>9693</v>
      </c>
      <c r="AB82" s="1599" t="s">
        <v>10461</v>
      </c>
      <c r="AC82" s="1599" t="s">
        <v>6300</v>
      </c>
      <c r="AD82" s="1599" t="s">
        <v>10462</v>
      </c>
      <c r="AE82" s="1599" t="s">
        <v>226</v>
      </c>
      <c r="AF82" s="1599" t="s">
        <v>8369</v>
      </c>
      <c r="AG82" s="1599" t="s">
        <v>4070</v>
      </c>
      <c r="AH82" s="1599" t="s">
        <v>1888</v>
      </c>
      <c r="AI82" s="1599" t="s">
        <v>420</v>
      </c>
      <c r="AJ82" s="1599" t="s">
        <v>10463</v>
      </c>
      <c r="AK82" s="1599" t="s">
        <v>10464</v>
      </c>
      <c r="AL82" s="1599" t="s">
        <v>10201</v>
      </c>
      <c r="AM82" s="1599" t="s">
        <v>2975</v>
      </c>
      <c r="AN82" s="1599" t="s">
        <v>6031</v>
      </c>
      <c r="AO82" s="1599" t="s">
        <v>3716</v>
      </c>
      <c r="AP82" s="1599" t="s">
        <v>10465</v>
      </c>
      <c r="AQ82" s="1599" t="s">
        <v>7746</v>
      </c>
      <c r="AR82" s="1599" t="s">
        <v>6299</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61" t="s">
        <v>1658</v>
      </c>
      <c r="F83" s="361" t="s">
        <v>8020</v>
      </c>
      <c r="G83" s="361" t="s">
        <v>10182</v>
      </c>
      <c r="H83" s="361" t="s">
        <v>10471</v>
      </c>
      <c r="I83" s="361" t="s">
        <v>10472</v>
      </c>
      <c r="J83" s="361" t="s">
        <v>10473</v>
      </c>
      <c r="K83" s="361" t="s">
        <v>10474</v>
      </c>
      <c r="L83" s="361" t="s">
        <v>4460</v>
      </c>
      <c r="M83" s="361" t="s">
        <v>3291</v>
      </c>
      <c r="N83" s="361" t="s">
        <v>4852</v>
      </c>
      <c r="O83" s="361" t="s">
        <v>10475</v>
      </c>
      <c r="P83" s="361" t="s">
        <v>10476</v>
      </c>
      <c r="Q83" s="361" t="s">
        <v>4222</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3360</v>
      </c>
      <c r="AJ83" s="361" t="s">
        <v>10484</v>
      </c>
      <c r="AK83" s="361" t="s">
        <v>7250</v>
      </c>
      <c r="AL83" s="361" t="s">
        <v>10485</v>
      </c>
      <c r="AM83" s="361" t="s">
        <v>1190</v>
      </c>
      <c r="AN83" s="361" t="s">
        <v>3003</v>
      </c>
      <c r="AO83" s="361" t="s">
        <v>10486</v>
      </c>
      <c r="AP83" s="361" t="s">
        <v>3651</v>
      </c>
      <c r="AQ83" s="361" t="s">
        <v>10487</v>
      </c>
      <c r="AR83" s="361" t="s">
        <v>5691</v>
      </c>
      <c r="AS83" s="361" t="s">
        <v>9424</v>
      </c>
      <c r="AT83" s="361" t="s">
        <v>9509</v>
      </c>
      <c r="AU83" s="361" t="s">
        <v>10488</v>
      </c>
      <c r="AV83" s="1413" t="str">
        <f t="shared" si="1"/>
        <v>3:40</v>
      </c>
      <c r="AW83" s="1650" t="s">
        <v>10489</v>
      </c>
    </row>
    <row r="84" ht="15.75" customHeight="1">
      <c r="A84" s="1600" t="s">
        <v>10490</v>
      </c>
      <c r="B84" s="1494" t="s">
        <v>8773</v>
      </c>
      <c r="C84" s="1617">
        <v>0.05263888888888889</v>
      </c>
      <c r="D84" s="792" t="s">
        <v>10491</v>
      </c>
      <c r="E84" s="361" t="s">
        <v>6731</v>
      </c>
      <c r="F84" s="361" t="s">
        <v>10492</v>
      </c>
      <c r="G84" s="361" t="s">
        <v>10493</v>
      </c>
      <c r="H84" s="361" t="s">
        <v>10494</v>
      </c>
      <c r="I84" s="361" t="s">
        <v>10495</v>
      </c>
      <c r="J84" s="361" t="s">
        <v>9379</v>
      </c>
      <c r="K84" s="361" t="s">
        <v>4141</v>
      </c>
      <c r="L84" s="361" t="s">
        <v>4213</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99" t="s">
        <v>6472</v>
      </c>
      <c r="AB84" s="361" t="s">
        <v>9423</v>
      </c>
      <c r="AC84" s="361" t="s">
        <v>10237</v>
      </c>
      <c r="AD84" s="361" t="s">
        <v>3040</v>
      </c>
      <c r="AE84" s="361" t="s">
        <v>4777</v>
      </c>
      <c r="AF84" s="361" t="s">
        <v>10502</v>
      </c>
      <c r="AG84" s="361" t="s">
        <v>2855</v>
      </c>
      <c r="AH84" s="361" t="s">
        <v>6838</v>
      </c>
      <c r="AI84" s="361" t="s">
        <v>10503</v>
      </c>
      <c r="AJ84" s="361" t="s">
        <v>10504</v>
      </c>
      <c r="AK84" s="361" t="s">
        <v>9850</v>
      </c>
      <c r="AL84" s="361" t="s">
        <v>10505</v>
      </c>
      <c r="AM84" s="361" t="s">
        <v>10506</v>
      </c>
      <c r="AN84" s="361" t="s">
        <v>4017</v>
      </c>
      <c r="AO84" s="361" t="s">
        <v>9198</v>
      </c>
      <c r="AP84" s="361" t="s">
        <v>10507</v>
      </c>
      <c r="AQ84" s="361" t="s">
        <v>10508</v>
      </c>
      <c r="AR84" s="361" t="s">
        <v>1383</v>
      </c>
      <c r="AS84" s="361" t="s">
        <v>1088</v>
      </c>
      <c r="AT84" s="361" t="s">
        <v>10509</v>
      </c>
      <c r="AU84" s="361" t="s">
        <v>10510</v>
      </c>
      <c r="AV84" s="1413" t="str">
        <f t="shared" si="1"/>
        <v>4:28</v>
      </c>
      <c r="AW84" s="1650" t="s">
        <v>10511</v>
      </c>
    </row>
    <row r="85">
      <c r="A85" s="1549" t="s">
        <v>3615</v>
      </c>
      <c r="B85" s="1625" t="s">
        <v>8826</v>
      </c>
      <c r="C85" s="1495">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3497</v>
      </c>
      <c r="R85" s="792" t="s">
        <v>10518</v>
      </c>
      <c r="S85" s="792" t="s">
        <v>6116</v>
      </c>
      <c r="T85" s="792" t="s">
        <v>10519</v>
      </c>
      <c r="U85" s="792" t="s">
        <v>10520</v>
      </c>
      <c r="V85" s="792" t="s">
        <v>10521</v>
      </c>
      <c r="W85" s="792" t="s">
        <v>10522</v>
      </c>
      <c r="X85" s="792" t="s">
        <v>2710</v>
      </c>
      <c r="Y85" s="792" t="s">
        <v>2806</v>
      </c>
      <c r="Z85" s="792" t="s">
        <v>6399</v>
      </c>
      <c r="AA85" s="1599" t="s">
        <v>10523</v>
      </c>
      <c r="AB85" s="792" t="s">
        <v>10524</v>
      </c>
      <c r="AC85" s="792" t="s">
        <v>6670</v>
      </c>
      <c r="AD85" s="1661" t="s">
        <v>8845</v>
      </c>
      <c r="AE85" s="792" t="s">
        <v>336</v>
      </c>
      <c r="AF85" s="792" t="s">
        <v>10525</v>
      </c>
      <c r="AG85" s="792" t="s">
        <v>7670</v>
      </c>
      <c r="AH85" s="792" t="s">
        <v>3819</v>
      </c>
      <c r="AI85" s="792" t="s">
        <v>10526</v>
      </c>
      <c r="AJ85" s="792" t="s">
        <v>10527</v>
      </c>
      <c r="AK85" s="792" t="s">
        <v>10528</v>
      </c>
      <c r="AL85" s="792" t="s">
        <v>4597</v>
      </c>
      <c r="AM85" s="792" t="s">
        <v>5760</v>
      </c>
      <c r="AN85" s="1661" t="s">
        <v>8850</v>
      </c>
      <c r="AO85" s="792" t="s">
        <v>10529</v>
      </c>
      <c r="AP85" s="792" t="s">
        <v>10530</v>
      </c>
      <c r="AQ85" s="792" t="s">
        <v>10531</v>
      </c>
      <c r="AR85" s="792" t="s">
        <v>6070</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176</v>
      </c>
      <c r="F86" s="1599" t="s">
        <v>7695</v>
      </c>
      <c r="G86" s="1599" t="s">
        <v>10536</v>
      </c>
      <c r="H86" s="1599" t="s">
        <v>10537</v>
      </c>
      <c r="I86" s="1599" t="s">
        <v>5607</v>
      </c>
      <c r="J86" s="792" t="s">
        <v>10538</v>
      </c>
      <c r="K86" s="1599" t="s">
        <v>10539</v>
      </c>
      <c r="L86" s="1599" t="s">
        <v>3819</v>
      </c>
      <c r="M86" s="1599" t="s">
        <v>7652</v>
      </c>
      <c r="N86" s="1599" t="s">
        <v>10540</v>
      </c>
      <c r="O86" s="1599" t="s">
        <v>10541</v>
      </c>
      <c r="P86" s="1599" t="s">
        <v>9897</v>
      </c>
      <c r="Q86" s="1599" t="s">
        <v>10542</v>
      </c>
      <c r="R86" s="1599" t="s">
        <v>5624</v>
      </c>
      <c r="S86" s="1599" t="s">
        <v>7688</v>
      </c>
      <c r="T86" s="1599" t="s">
        <v>10543</v>
      </c>
      <c r="U86" s="1599" t="s">
        <v>10544</v>
      </c>
      <c r="V86" s="1599" t="s">
        <v>3878</v>
      </c>
      <c r="W86" s="1599" t="s">
        <v>10545</v>
      </c>
      <c r="X86" s="1599" t="s">
        <v>2411</v>
      </c>
      <c r="Y86" s="1599" t="s">
        <v>9493</v>
      </c>
      <c r="Z86" s="1599" t="s">
        <v>9008</v>
      </c>
      <c r="AA86" s="1599" t="s">
        <v>10546</v>
      </c>
      <c r="AB86" s="1599" t="s">
        <v>10113</v>
      </c>
      <c r="AC86" s="1599" t="s">
        <v>9360</v>
      </c>
      <c r="AD86" s="1599" t="s">
        <v>10547</v>
      </c>
      <c r="AE86" s="1599" t="s">
        <v>2381</v>
      </c>
      <c r="AF86" s="1599" t="s">
        <v>10548</v>
      </c>
      <c r="AG86" s="1599" t="s">
        <v>10549</v>
      </c>
      <c r="AH86" s="1599" t="s">
        <v>4213</v>
      </c>
      <c r="AI86" s="1599" t="s">
        <v>10550</v>
      </c>
      <c r="AJ86" s="1599" t="s">
        <v>10551</v>
      </c>
      <c r="AK86" s="1599" t="s">
        <v>1688</v>
      </c>
      <c r="AL86" s="1599" t="s">
        <v>2600</v>
      </c>
      <c r="AM86" s="1599" t="s">
        <v>1688</v>
      </c>
      <c r="AN86" s="1599" t="s">
        <v>2600</v>
      </c>
      <c r="AO86" s="1599" t="s">
        <v>6228</v>
      </c>
      <c r="AP86" s="1599" t="s">
        <v>10552</v>
      </c>
      <c r="AQ86" s="1599" t="s">
        <v>2206</v>
      </c>
      <c r="AR86" s="1599" t="s">
        <v>10366</v>
      </c>
      <c r="AS86" s="1599" t="s">
        <v>10553</v>
      </c>
      <c r="AT86" s="1599" t="s">
        <v>10554</v>
      </c>
      <c r="AU86" s="1599" t="s">
        <v>10555</v>
      </c>
      <c r="AV86" s="1413" t="str">
        <f t="shared" si="1"/>
        <v>5:58</v>
      </c>
      <c r="AW86" s="1647" t="s">
        <v>10556</v>
      </c>
    </row>
    <row r="87" ht="15.75" customHeight="1">
      <c r="A87" s="1493" t="s">
        <v>6103</v>
      </c>
      <c r="B87" s="1583" t="s">
        <v>8800</v>
      </c>
      <c r="C87" s="1617">
        <v>0.05275462962962963</v>
      </c>
      <c r="D87" s="792" t="s">
        <v>10557</v>
      </c>
      <c r="E87" s="361" t="s">
        <v>5995</v>
      </c>
      <c r="F87" s="361" t="s">
        <v>10558</v>
      </c>
      <c r="G87" s="361" t="s">
        <v>8971</v>
      </c>
      <c r="H87" s="361" t="s">
        <v>7482</v>
      </c>
      <c r="I87" s="361" t="s">
        <v>2283</v>
      </c>
      <c r="J87" s="361" t="s">
        <v>4154</v>
      </c>
      <c r="K87" s="361" t="s">
        <v>10256</v>
      </c>
      <c r="L87" s="361" t="s">
        <v>5319</v>
      </c>
      <c r="M87" s="361" t="s">
        <v>4140</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413" t="str">
        <f t="shared" si="1"/>
        <v>3:59</v>
      </c>
      <c r="AW87" s="1651" t="s">
        <v>10573</v>
      </c>
    </row>
    <row r="88" ht="15.75" customHeight="1">
      <c r="A88" s="1600" t="s">
        <v>10574</v>
      </c>
      <c r="B88" s="1637" t="s">
        <v>8826</v>
      </c>
      <c r="C88" s="1617">
        <v>0.05291666666666667</v>
      </c>
      <c r="D88" s="792"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4582</v>
      </c>
      <c r="T88" s="361" t="s">
        <v>9162</v>
      </c>
      <c r="U88" s="361" t="s">
        <v>5519</v>
      </c>
      <c r="V88" s="361" t="s">
        <v>1147</v>
      </c>
      <c r="W88" s="361" t="s">
        <v>1831</v>
      </c>
      <c r="X88" s="361" t="s">
        <v>3354</v>
      </c>
      <c r="Y88" s="361" t="s">
        <v>660</v>
      </c>
      <c r="Z88" s="361" t="s">
        <v>10582</v>
      </c>
      <c r="AA88" s="1599" t="s">
        <v>7923</v>
      </c>
      <c r="AB88" s="361" t="s">
        <v>3668</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4360</v>
      </c>
      <c r="AT88" s="361" t="s">
        <v>10591</v>
      </c>
      <c r="AU88" s="361" t="s">
        <v>10592</v>
      </c>
      <c r="AV88" s="1413" t="str">
        <f t="shared" si="1"/>
        <v>2:38</v>
      </c>
      <c r="AW88" s="1651"/>
    </row>
    <row r="89" ht="15.75" customHeight="1">
      <c r="A89" s="1549" t="s">
        <v>6418</v>
      </c>
      <c r="B89" s="1537" t="s">
        <v>8773</v>
      </c>
      <c r="C89" s="1495">
        <v>0.05324074074074074</v>
      </c>
      <c r="D89" s="792" t="s">
        <v>10593</v>
      </c>
      <c r="E89" s="792" t="s">
        <v>10594</v>
      </c>
      <c r="F89" s="792" t="s">
        <v>10595</v>
      </c>
      <c r="G89" s="792" t="s">
        <v>9534</v>
      </c>
      <c r="H89" s="792" t="s">
        <v>10596</v>
      </c>
      <c r="I89" s="792" t="s">
        <v>6118</v>
      </c>
      <c r="J89" s="792" t="s">
        <v>1794</v>
      </c>
      <c r="K89" s="792" t="s">
        <v>4264</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5607</v>
      </c>
      <c r="Z89" s="792" t="s">
        <v>3564</v>
      </c>
      <c r="AA89" s="1599" t="s">
        <v>10608</v>
      </c>
      <c r="AB89" s="792" t="s">
        <v>9935</v>
      </c>
      <c r="AC89" s="792" t="s">
        <v>5531</v>
      </c>
      <c r="AD89" s="792" t="s">
        <v>10609</v>
      </c>
      <c r="AE89" s="792" t="s">
        <v>9726</v>
      </c>
      <c r="AF89" s="792" t="s">
        <v>10610</v>
      </c>
      <c r="AG89" s="792" t="s">
        <v>10421</v>
      </c>
      <c r="AH89" s="792" t="s">
        <v>5763</v>
      </c>
      <c r="AI89" s="792" t="s">
        <v>10611</v>
      </c>
      <c r="AJ89" s="792" t="s">
        <v>10612</v>
      </c>
      <c r="AK89" s="1599" t="s">
        <v>10613</v>
      </c>
      <c r="AL89" s="792" t="s">
        <v>10240</v>
      </c>
      <c r="AM89" s="792" t="s">
        <v>10614</v>
      </c>
      <c r="AN89" s="792" t="s">
        <v>10081</v>
      </c>
      <c r="AO89" s="792" t="s">
        <v>4531</v>
      </c>
      <c r="AP89" s="792" t="s">
        <v>10615</v>
      </c>
      <c r="AQ89" s="792" t="s">
        <v>10616</v>
      </c>
      <c r="AR89" s="1599" t="s">
        <v>3818</v>
      </c>
      <c r="AS89" s="792" t="s">
        <v>10617</v>
      </c>
      <c r="AT89" s="792" t="s">
        <v>10618</v>
      </c>
      <c r="AU89" s="1599" t="s">
        <v>10533</v>
      </c>
      <c r="AV89" s="1413" t="str">
        <f t="shared" si="1"/>
        <v>3:53</v>
      </c>
      <c r="AW89" s="1647" t="s">
        <v>10619</v>
      </c>
    </row>
    <row r="90">
      <c r="A90" s="1549" t="s">
        <v>4790</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4467</v>
      </c>
      <c r="M90" s="1599" t="s">
        <v>10624</v>
      </c>
      <c r="N90" s="1599" t="s">
        <v>9964</v>
      </c>
      <c r="O90" s="1599" t="s">
        <v>10625</v>
      </c>
      <c r="P90" s="1599" t="s">
        <v>6300</v>
      </c>
      <c r="Q90" s="1599" t="s">
        <v>10626</v>
      </c>
      <c r="R90" s="1599" t="s">
        <v>2149</v>
      </c>
      <c r="S90" s="1599" t="s">
        <v>7958</v>
      </c>
      <c r="T90" s="1599" t="s">
        <v>7464</v>
      </c>
      <c r="U90" s="1599" t="s">
        <v>10627</v>
      </c>
      <c r="V90" s="1599" t="s">
        <v>10154</v>
      </c>
      <c r="W90" s="1599" t="s">
        <v>10628</v>
      </c>
      <c r="X90" s="1599" t="s">
        <v>7133</v>
      </c>
      <c r="Y90" s="1599" t="s">
        <v>5459</v>
      </c>
      <c r="Z90" s="1599" t="s">
        <v>9966</v>
      </c>
      <c r="AA90" s="1599" t="s">
        <v>10629</v>
      </c>
      <c r="AB90" s="1599" t="s">
        <v>3556</v>
      </c>
      <c r="AC90" s="1599" t="s">
        <v>10630</v>
      </c>
      <c r="AD90" s="1599" t="s">
        <v>10631</v>
      </c>
      <c r="AE90" s="1599" t="s">
        <v>5773</v>
      </c>
      <c r="AF90" s="1599" t="s">
        <v>10632</v>
      </c>
      <c r="AG90" s="1599" t="s">
        <v>9283</v>
      </c>
      <c r="AH90" s="1599" t="s">
        <v>10633</v>
      </c>
      <c r="AI90" s="1599" t="s">
        <v>10634</v>
      </c>
      <c r="AJ90" s="1599" t="s">
        <v>10635</v>
      </c>
      <c r="AK90" s="1599" t="s">
        <v>2228</v>
      </c>
      <c r="AL90" s="1599" t="s">
        <v>2197</v>
      </c>
      <c r="AM90" s="1599" t="s">
        <v>10636</v>
      </c>
      <c r="AN90" s="1599" t="s">
        <v>4672</v>
      </c>
      <c r="AO90" s="1599" t="s">
        <v>10637</v>
      </c>
      <c r="AP90" s="1599" t="s">
        <v>2716</v>
      </c>
      <c r="AQ90" s="1599" t="s">
        <v>10638</v>
      </c>
      <c r="AR90" s="1599" t="s">
        <v>1674</v>
      </c>
      <c r="AS90" s="1599" t="s">
        <v>975</v>
      </c>
      <c r="AT90" s="1599" t="s">
        <v>10639</v>
      </c>
      <c r="AU90" s="1599" t="s">
        <v>10640</v>
      </c>
      <c r="AV90" s="1413" t="str">
        <f t="shared" si="1"/>
        <v>4:18</v>
      </c>
      <c r="AW90" s="1651"/>
    </row>
    <row r="91" ht="15.75" customHeight="1">
      <c r="A91" s="1600" t="s">
        <v>10641</v>
      </c>
      <c r="B91" s="1637" t="s">
        <v>8826</v>
      </c>
      <c r="C91" s="1495">
        <v>0.05348379629629629</v>
      </c>
      <c r="D91" s="792" t="s">
        <v>10642</v>
      </c>
      <c r="E91" s="361" t="s">
        <v>10431</v>
      </c>
      <c r="F91" s="361" t="s">
        <v>6539</v>
      </c>
      <c r="G91" s="361" t="s">
        <v>10643</v>
      </c>
      <c r="H91" s="361" t="s">
        <v>10644</v>
      </c>
      <c r="I91" s="361" t="s">
        <v>2348</v>
      </c>
      <c r="J91" s="361" t="s">
        <v>9337</v>
      </c>
      <c r="K91" s="361" t="s">
        <v>8838</v>
      </c>
      <c r="L91" s="361" t="s">
        <v>4850</v>
      </c>
      <c r="M91" s="361" t="s">
        <v>10645</v>
      </c>
      <c r="N91" s="361" t="s">
        <v>10646</v>
      </c>
      <c r="O91" s="361" t="s">
        <v>4310</v>
      </c>
      <c r="P91" s="361" t="s">
        <v>929</v>
      </c>
      <c r="Q91" s="1599" t="s">
        <v>10647</v>
      </c>
      <c r="R91" s="361" t="s">
        <v>10218</v>
      </c>
      <c r="S91" s="361" t="s">
        <v>9563</v>
      </c>
      <c r="T91" s="361" t="s">
        <v>10404</v>
      </c>
      <c r="U91" s="361" t="s">
        <v>10648</v>
      </c>
      <c r="V91" s="361" t="s">
        <v>3219</v>
      </c>
      <c r="W91" s="361" t="s">
        <v>2782</v>
      </c>
      <c r="X91" s="361" t="s">
        <v>3139</v>
      </c>
      <c r="Y91" s="361" t="s">
        <v>1429</v>
      </c>
      <c r="Z91" s="361" t="s">
        <v>9237</v>
      </c>
      <c r="AA91" s="1599" t="s">
        <v>10649</v>
      </c>
      <c r="AB91" s="361" t="s">
        <v>9975</v>
      </c>
      <c r="AC91" s="361" t="s">
        <v>1154</v>
      </c>
      <c r="AD91" s="361" t="s">
        <v>10650</v>
      </c>
      <c r="AE91" s="361" t="s">
        <v>587</v>
      </c>
      <c r="AF91" s="159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4457</v>
      </c>
      <c r="AR91" s="361" t="s">
        <v>1383</v>
      </c>
      <c r="AS91" s="361" t="s">
        <v>9031</v>
      </c>
      <c r="AT91" s="361" t="s">
        <v>4702</v>
      </c>
      <c r="AU91" s="361" t="s">
        <v>10655</v>
      </c>
      <c r="AV91" s="1413" t="str">
        <f t="shared" si="1"/>
        <v>3:27</v>
      </c>
      <c r="AW91" s="1647" t="s">
        <v>10656</v>
      </c>
    </row>
    <row r="92">
      <c r="A92" s="1549" t="s">
        <v>5400</v>
      </c>
      <c r="B92" s="1537" t="s">
        <v>8773</v>
      </c>
      <c r="C92" s="1495">
        <v>0.05376157407407407</v>
      </c>
      <c r="D92" s="1599" t="s">
        <v>10657</v>
      </c>
      <c r="E92" s="1599" t="s">
        <v>5693</v>
      </c>
      <c r="F92" s="1599" t="s">
        <v>10658</v>
      </c>
      <c r="G92" s="1599" t="s">
        <v>10659</v>
      </c>
      <c r="H92" s="1663" t="s">
        <v>10660</v>
      </c>
      <c r="I92" s="792" t="s">
        <v>241</v>
      </c>
      <c r="J92" s="1599" t="s">
        <v>9850</v>
      </c>
      <c r="K92" s="1599" t="s">
        <v>10661</v>
      </c>
      <c r="L92" s="1599" t="s">
        <v>2514</v>
      </c>
      <c r="M92" s="1599" t="s">
        <v>1261</v>
      </c>
      <c r="N92" s="1599" t="s">
        <v>10662</v>
      </c>
      <c r="O92" s="1599" t="s">
        <v>10663</v>
      </c>
      <c r="P92" s="1599" t="s">
        <v>864</v>
      </c>
      <c r="Q92" s="1599" t="s">
        <v>4397</v>
      </c>
      <c r="R92" s="1599" t="s">
        <v>10664</v>
      </c>
      <c r="S92" s="1664" t="s">
        <v>10665</v>
      </c>
      <c r="T92" s="1664" t="s">
        <v>9401</v>
      </c>
      <c r="U92" s="1599" t="s">
        <v>10666</v>
      </c>
      <c r="V92" s="1599" t="s">
        <v>10667</v>
      </c>
      <c r="W92" s="1599" t="s">
        <v>7779</v>
      </c>
      <c r="X92" s="1599" t="s">
        <v>10668</v>
      </c>
      <c r="Y92" s="1599" t="s">
        <v>2124</v>
      </c>
      <c r="Z92" s="1599" t="s">
        <v>9975</v>
      </c>
      <c r="AA92" s="1599" t="s">
        <v>10669</v>
      </c>
      <c r="AB92" s="1599" t="s">
        <v>10670</v>
      </c>
      <c r="AC92" s="1599" t="s">
        <v>7879</v>
      </c>
      <c r="AD92" s="1599" t="s">
        <v>6061</v>
      </c>
      <c r="AE92" s="1599" t="s">
        <v>2444</v>
      </c>
      <c r="AF92" s="1599" t="s">
        <v>10671</v>
      </c>
      <c r="AG92" s="1599" t="s">
        <v>10672</v>
      </c>
      <c r="AH92" s="1599" t="s">
        <v>5002</v>
      </c>
      <c r="AI92" s="1599" t="s">
        <v>7739</v>
      </c>
      <c r="AJ92" s="1599" t="s">
        <v>10673</v>
      </c>
      <c r="AK92" s="1599" t="s">
        <v>4842</v>
      </c>
      <c r="AL92" s="1599" t="s">
        <v>10674</v>
      </c>
      <c r="AM92" s="1599" t="s">
        <v>4853</v>
      </c>
      <c r="AN92" s="1599" t="s">
        <v>10675</v>
      </c>
      <c r="AO92" s="1599" t="s">
        <v>8877</v>
      </c>
      <c r="AP92" s="1599" t="s">
        <v>10676</v>
      </c>
      <c r="AQ92" s="1599" t="s">
        <v>10677</v>
      </c>
      <c r="AR92" s="1599" t="s">
        <v>5183</v>
      </c>
      <c r="AS92" s="1599" t="s">
        <v>9001</v>
      </c>
      <c r="AT92" s="1599" t="s">
        <v>10678</v>
      </c>
      <c r="AU92" s="1599" t="s">
        <v>10679</v>
      </c>
      <c r="AV92" s="1413" t="str">
        <f t="shared" si="1"/>
        <v>4:58</v>
      </c>
      <c r="AW92" s="1665"/>
    </row>
    <row r="93" ht="15.75" customHeight="1">
      <c r="A93" s="1600" t="s">
        <v>6581</v>
      </c>
      <c r="B93" s="1637" t="s">
        <v>8826</v>
      </c>
      <c r="C93" s="1617">
        <v>0.05386574074074074</v>
      </c>
      <c r="D93" s="361" t="s">
        <v>10680</v>
      </c>
      <c r="E93" s="361" t="s">
        <v>7517</v>
      </c>
      <c r="F93" s="361" t="s">
        <v>10681</v>
      </c>
      <c r="G93" s="361" t="s">
        <v>4272</v>
      </c>
      <c r="H93" s="361" t="s">
        <v>10682</v>
      </c>
      <c r="I93" s="361" t="s">
        <v>10623</v>
      </c>
      <c r="J93" s="361" t="s">
        <v>10683</v>
      </c>
      <c r="K93" s="361" t="s">
        <v>10684</v>
      </c>
      <c r="L93" s="361" t="s">
        <v>1436</v>
      </c>
      <c r="M93" s="361" t="s">
        <v>4552</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3644</v>
      </c>
      <c r="AJ93" s="361" t="s">
        <v>10698</v>
      </c>
      <c r="AK93" s="361" t="s">
        <v>10699</v>
      </c>
      <c r="AL93" s="361" t="s">
        <v>4525</v>
      </c>
      <c r="AM93" s="361" t="s">
        <v>9944</v>
      </c>
      <c r="AN93" s="361" t="s">
        <v>9474</v>
      </c>
      <c r="AO93" s="1599" t="s">
        <v>9645</v>
      </c>
      <c r="AP93" s="361" t="s">
        <v>10700</v>
      </c>
      <c r="AQ93" s="361" t="s">
        <v>10701</v>
      </c>
      <c r="AR93" s="361" t="s">
        <v>10702</v>
      </c>
      <c r="AS93" s="361" t="s">
        <v>9243</v>
      </c>
      <c r="AT93" s="361" t="s">
        <v>10703</v>
      </c>
      <c r="AU93" s="361" t="s">
        <v>10640</v>
      </c>
      <c r="AV93" s="1413" t="str">
        <f t="shared" si="1"/>
        <v>3:30</v>
      </c>
      <c r="AW93" s="1651"/>
    </row>
    <row r="94">
      <c r="A94" s="1549" t="s">
        <v>5299</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1672</v>
      </c>
      <c r="N94" s="1599" t="s">
        <v>6481</v>
      </c>
      <c r="O94" s="1599" t="s">
        <v>10711</v>
      </c>
      <c r="P94" s="1599" t="s">
        <v>6579</v>
      </c>
      <c r="Q94" s="1599" t="s">
        <v>10712</v>
      </c>
      <c r="R94" s="1599" t="s">
        <v>8899</v>
      </c>
      <c r="S94" s="1599" t="s">
        <v>10713</v>
      </c>
      <c r="T94" s="1599" t="s">
        <v>10629</v>
      </c>
      <c r="U94" s="1599" t="s">
        <v>10714</v>
      </c>
      <c r="V94" s="1599" t="s">
        <v>843</v>
      </c>
      <c r="W94" s="1599" t="s">
        <v>6570</v>
      </c>
      <c r="X94" s="1599" t="s">
        <v>10715</v>
      </c>
      <c r="Y94" s="1599" t="s">
        <v>1767</v>
      </c>
      <c r="Z94" s="1599" t="s">
        <v>9995</v>
      </c>
      <c r="AA94" s="1599" t="s">
        <v>2387</v>
      </c>
      <c r="AB94" s="1599" t="s">
        <v>7625</v>
      </c>
      <c r="AC94" s="1599" t="s">
        <v>10716</v>
      </c>
      <c r="AD94" s="1599" t="s">
        <v>10717</v>
      </c>
      <c r="AE94" s="1599" t="s">
        <v>1541</v>
      </c>
      <c r="AF94" s="1599" t="s">
        <v>10718</v>
      </c>
      <c r="AG94" s="1599" t="s">
        <v>10719</v>
      </c>
      <c r="AH94" s="1599" t="s">
        <v>10720</v>
      </c>
      <c r="AI94" s="1599" t="s">
        <v>5837</v>
      </c>
      <c r="AJ94" s="1599" t="s">
        <v>10721</v>
      </c>
      <c r="AK94" s="1599" t="s">
        <v>248</v>
      </c>
      <c r="AL94" s="1599" t="s">
        <v>7305</v>
      </c>
      <c r="AM94" s="1599" t="s">
        <v>4277</v>
      </c>
      <c r="AN94" s="1599" t="s">
        <v>10722</v>
      </c>
      <c r="AO94" s="1599" t="s">
        <v>1794</v>
      </c>
      <c r="AP94" s="1599" t="s">
        <v>886</v>
      </c>
      <c r="AQ94" s="1599" t="s">
        <v>10723</v>
      </c>
      <c r="AR94" s="1599" t="s">
        <v>10724</v>
      </c>
      <c r="AS94" s="1599" t="s">
        <v>2223</v>
      </c>
      <c r="AT94" s="1599" t="s">
        <v>10725</v>
      </c>
      <c r="AU94" s="1599" t="s">
        <v>10726</v>
      </c>
      <c r="AV94" s="1413" t="str">
        <f t="shared" si="1"/>
        <v>3:40</v>
      </c>
      <c r="AW94" s="1647" t="s">
        <v>10727</v>
      </c>
    </row>
    <row r="95">
      <c r="A95" s="1549" t="s">
        <v>5236</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2252</v>
      </c>
      <c r="N95" s="1526" t="s">
        <v>10734</v>
      </c>
      <c r="O95" s="1526" t="s">
        <v>10735</v>
      </c>
      <c r="P95" s="1526">
        <v>49.15</v>
      </c>
      <c r="Q95" s="1526" t="s">
        <v>10736</v>
      </c>
      <c r="R95" s="1526" t="s">
        <v>3392</v>
      </c>
      <c r="S95" s="1526" t="s">
        <v>10737</v>
      </c>
      <c r="T95" s="1526" t="s">
        <v>5063</v>
      </c>
      <c r="U95" s="1526" t="s">
        <v>3252</v>
      </c>
      <c r="V95" s="1526" t="s">
        <v>10738</v>
      </c>
      <c r="W95" s="1526" t="s">
        <v>10739</v>
      </c>
      <c r="X95" s="1526" t="s">
        <v>10740</v>
      </c>
      <c r="Y95" s="1526">
        <v>51.87</v>
      </c>
      <c r="Z95" s="1526" t="s">
        <v>6299</v>
      </c>
      <c r="AA95" s="1526" t="s">
        <v>6550</v>
      </c>
      <c r="AB95" s="1526" t="s">
        <v>6527</v>
      </c>
      <c r="AC95" s="1526">
        <v>49.75</v>
      </c>
      <c r="AD95" s="1526" t="s">
        <v>10741</v>
      </c>
      <c r="AE95" s="1526">
        <v>50.16</v>
      </c>
      <c r="AF95" s="1526" t="s">
        <v>10742</v>
      </c>
      <c r="AG95" s="1526" t="s">
        <v>10743</v>
      </c>
      <c r="AH95" s="1526" t="s">
        <v>6390</v>
      </c>
      <c r="AI95" s="1526" t="s">
        <v>7503</v>
      </c>
      <c r="AJ95" s="1526" t="s">
        <v>10744</v>
      </c>
      <c r="AK95" s="1526" t="s">
        <v>10662</v>
      </c>
      <c r="AL95" s="1526">
        <v>59.29</v>
      </c>
      <c r="AM95" s="1526" t="s">
        <v>4457</v>
      </c>
      <c r="AN95" s="1526" t="s">
        <v>625</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5488</v>
      </c>
      <c r="B96" s="1547" t="s">
        <v>8773</v>
      </c>
      <c r="C96" s="1495">
        <v>0.05559027777777778</v>
      </c>
      <c r="D96" s="1624" t="s">
        <v>10751</v>
      </c>
      <c r="E96" s="1599" t="s">
        <v>10752</v>
      </c>
      <c r="F96" s="1599" t="s">
        <v>10753</v>
      </c>
      <c r="G96" s="1599" t="s">
        <v>10754</v>
      </c>
      <c r="H96" s="1599" t="s">
        <v>5914</v>
      </c>
      <c r="I96" s="1599" t="s">
        <v>1846</v>
      </c>
      <c r="J96" s="1599" t="s">
        <v>10755</v>
      </c>
      <c r="K96" s="1599" t="s">
        <v>6303</v>
      </c>
      <c r="L96" s="1599" t="s">
        <v>8602</v>
      </c>
      <c r="M96" s="1599" t="s">
        <v>7521</v>
      </c>
      <c r="N96" s="1599" t="s">
        <v>10756</v>
      </c>
      <c r="O96" s="1599" t="s">
        <v>10757</v>
      </c>
      <c r="P96" s="1599" t="s">
        <v>191</v>
      </c>
      <c r="Q96" s="1599" t="s">
        <v>1757</v>
      </c>
      <c r="R96" s="1599" t="s">
        <v>10758</v>
      </c>
      <c r="S96" s="1599" t="s">
        <v>5216</v>
      </c>
      <c r="T96" s="1599" t="s">
        <v>10759</v>
      </c>
      <c r="U96" s="1599" t="s">
        <v>10760</v>
      </c>
      <c r="V96" s="1599" t="s">
        <v>6577</v>
      </c>
      <c r="W96" s="1599" t="s">
        <v>9541</v>
      </c>
      <c r="X96" s="1599" t="s">
        <v>5004</v>
      </c>
      <c r="Y96" s="1599" t="s">
        <v>101</v>
      </c>
      <c r="Z96" s="1599" t="s">
        <v>10761</v>
      </c>
      <c r="AA96" s="1599" t="s">
        <v>10526</v>
      </c>
      <c r="AB96" s="1599" t="s">
        <v>3445</v>
      </c>
      <c r="AC96" s="1599" t="s">
        <v>4714</v>
      </c>
      <c r="AD96" s="1599" t="s">
        <v>6128</v>
      </c>
      <c r="AE96" s="1599" t="s">
        <v>861</v>
      </c>
      <c r="AF96" s="1599" t="s">
        <v>10762</v>
      </c>
      <c r="AG96" s="1599" t="s">
        <v>10763</v>
      </c>
      <c r="AH96" s="1599" t="s">
        <v>4083</v>
      </c>
      <c r="AI96" s="1599" t="s">
        <v>10764</v>
      </c>
      <c r="AJ96" s="1599" t="s">
        <v>10765</v>
      </c>
      <c r="AK96" s="1599" t="s">
        <v>4546</v>
      </c>
      <c r="AL96" s="1599" t="s">
        <v>128</v>
      </c>
      <c r="AM96" s="1599" t="s">
        <v>10766</v>
      </c>
      <c r="AN96" s="1599" t="s">
        <v>10767</v>
      </c>
      <c r="AO96" s="1599" t="s">
        <v>1037</v>
      </c>
      <c r="AP96" s="1599" t="s">
        <v>10768</v>
      </c>
      <c r="AQ96" s="1599" t="s">
        <v>10769</v>
      </c>
      <c r="AR96" s="1599" t="s">
        <v>10770</v>
      </c>
      <c r="AS96" s="1599" t="s">
        <v>831</v>
      </c>
      <c r="AT96" s="1599" t="s">
        <v>10771</v>
      </c>
      <c r="AU96" s="1599" t="s">
        <v>10772</v>
      </c>
      <c r="AV96" s="1413" t="str">
        <f t="shared" si="1"/>
        <v>5:05</v>
      </c>
      <c r="AW96" s="1647" t="s">
        <v>10773</v>
      </c>
    </row>
    <row r="97">
      <c r="A97" s="1549" t="s">
        <v>4941</v>
      </c>
      <c r="B97" s="1547" t="s">
        <v>8800</v>
      </c>
      <c r="C97" s="1580">
        <v>0.05565972222222222</v>
      </c>
      <c r="D97" s="1599" t="s">
        <v>10774</v>
      </c>
      <c r="E97" s="1599" t="s">
        <v>3201</v>
      </c>
      <c r="F97" s="1599" t="s">
        <v>10775</v>
      </c>
      <c r="G97" s="1599" t="s">
        <v>10776</v>
      </c>
      <c r="H97" s="792" t="s">
        <v>9305</v>
      </c>
      <c r="I97" s="1599" t="s">
        <v>3442</v>
      </c>
      <c r="J97" s="1599" t="s">
        <v>9548</v>
      </c>
      <c r="K97" s="1599" t="s">
        <v>806</v>
      </c>
      <c r="L97" s="1599" t="s">
        <v>10777</v>
      </c>
      <c r="M97" s="1599" t="s">
        <v>10778</v>
      </c>
      <c r="N97" s="1599" t="s">
        <v>6410</v>
      </c>
      <c r="O97" s="1599" t="s">
        <v>10779</v>
      </c>
      <c r="P97" s="1599" t="s">
        <v>10223</v>
      </c>
      <c r="Q97" s="1599" t="s">
        <v>10780</v>
      </c>
      <c r="R97" s="1599" t="s">
        <v>9997</v>
      </c>
      <c r="S97" s="1599" t="s">
        <v>420</v>
      </c>
      <c r="T97" s="1599" t="s">
        <v>10781</v>
      </c>
      <c r="U97" s="1599" t="s">
        <v>10782</v>
      </c>
      <c r="V97" s="1599" t="s">
        <v>10783</v>
      </c>
      <c r="W97" s="1599" t="s">
        <v>10784</v>
      </c>
      <c r="X97" s="1599" t="s">
        <v>10785</v>
      </c>
      <c r="Y97" s="1599" t="s">
        <v>2444</v>
      </c>
      <c r="Z97" s="1599" t="s">
        <v>5366</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3751</v>
      </c>
      <c r="AM97" s="1599" t="s">
        <v>4853</v>
      </c>
      <c r="AN97" s="1599" t="s">
        <v>10793</v>
      </c>
      <c r="AO97" s="1599" t="s">
        <v>1990</v>
      </c>
      <c r="AP97" s="1599" t="s">
        <v>10794</v>
      </c>
      <c r="AQ97" s="1599" t="s">
        <v>10795</v>
      </c>
      <c r="AR97" s="1599" t="s">
        <v>10796</v>
      </c>
      <c r="AS97" s="1599" t="s">
        <v>2171</v>
      </c>
      <c r="AT97" s="1599" t="s">
        <v>10797</v>
      </c>
      <c r="AU97" s="1599" t="s">
        <v>10798</v>
      </c>
      <c r="AV97" s="1413" t="str">
        <f t="shared" si="1"/>
        <v>8:24</v>
      </c>
      <c r="AW97" s="1647" t="s">
        <v>9862</v>
      </c>
    </row>
    <row r="98">
      <c r="A98" s="1235" t="s">
        <v>5803</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4758</v>
      </c>
      <c r="M98" s="775" t="s">
        <v>7863</v>
      </c>
      <c r="N98" s="775" t="s">
        <v>10054</v>
      </c>
      <c r="O98" s="775" t="s">
        <v>10805</v>
      </c>
      <c r="P98" s="775" t="s">
        <v>8925</v>
      </c>
      <c r="Q98" s="775" t="s">
        <v>10806</v>
      </c>
      <c r="R98" s="775" t="s">
        <v>3973</v>
      </c>
      <c r="S98" s="775" t="s">
        <v>5371</v>
      </c>
      <c r="T98" s="775" t="s">
        <v>1740</v>
      </c>
      <c r="U98" s="775" t="s">
        <v>9069</v>
      </c>
      <c r="V98" s="775" t="s">
        <v>2767</v>
      </c>
      <c r="W98" s="775" t="s">
        <v>10807</v>
      </c>
      <c r="X98" s="775" t="s">
        <v>10808</v>
      </c>
      <c r="Y98" s="775" t="s">
        <v>10809</v>
      </c>
      <c r="Z98" s="775" t="s">
        <v>10810</v>
      </c>
      <c r="AA98" s="835"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61" t="s">
        <v>10825</v>
      </c>
      <c r="F99" s="1599" t="s">
        <v>10826</v>
      </c>
      <c r="G99" s="1599" t="s">
        <v>10827</v>
      </c>
      <c r="H99" s="361" t="s">
        <v>10828</v>
      </c>
      <c r="I99" s="361" t="s">
        <v>1026</v>
      </c>
      <c r="J99" s="361" t="s">
        <v>10829</v>
      </c>
      <c r="K99" s="361" t="s">
        <v>3705</v>
      </c>
      <c r="L99" s="361" t="s">
        <v>10830</v>
      </c>
      <c r="M99" s="361" t="s">
        <v>6957</v>
      </c>
      <c r="N99" s="361" t="s">
        <v>10831</v>
      </c>
      <c r="O99" s="361" t="s">
        <v>10832</v>
      </c>
      <c r="P99" s="361" t="s">
        <v>3805</v>
      </c>
      <c r="Q99" s="361" t="s">
        <v>10833</v>
      </c>
      <c r="R99" s="361" t="s">
        <v>10834</v>
      </c>
      <c r="S99" s="361" t="s">
        <v>10835</v>
      </c>
      <c r="T99" s="361" t="s">
        <v>1765</v>
      </c>
      <c r="U99" s="361" t="s">
        <v>10836</v>
      </c>
      <c r="V99" s="361" t="s">
        <v>10837</v>
      </c>
      <c r="W99" s="361" t="s">
        <v>10838</v>
      </c>
      <c r="X99" s="361" t="s">
        <v>10839</v>
      </c>
      <c r="Y99" s="361" t="s">
        <v>2972</v>
      </c>
      <c r="Z99" s="361" t="s">
        <v>10840</v>
      </c>
      <c r="AA99" s="1599" t="s">
        <v>10841</v>
      </c>
      <c r="AB99" s="361" t="s">
        <v>9337</v>
      </c>
      <c r="AC99" s="361" t="s">
        <v>3494</v>
      </c>
      <c r="AD99" s="361" t="s">
        <v>5328</v>
      </c>
      <c r="AE99" s="361" t="s">
        <v>2607</v>
      </c>
      <c r="AF99" s="361" t="s">
        <v>10842</v>
      </c>
      <c r="AG99" s="361" t="s">
        <v>5795</v>
      </c>
      <c r="AH99" s="361" t="s">
        <v>10843</v>
      </c>
      <c r="AI99" s="361" t="s">
        <v>4874</v>
      </c>
      <c r="AJ99" s="361" t="s">
        <v>10844</v>
      </c>
      <c r="AK99" s="361" t="s">
        <v>10845</v>
      </c>
      <c r="AL99" s="361" t="s">
        <v>3988</v>
      </c>
      <c r="AM99" s="361" t="s">
        <v>4882</v>
      </c>
      <c r="AN99" s="361" t="s">
        <v>10846</v>
      </c>
      <c r="AO99" s="361" t="s">
        <v>10224</v>
      </c>
      <c r="AP99" s="361" t="s">
        <v>10847</v>
      </c>
      <c r="AQ99" s="361" t="s">
        <v>7481</v>
      </c>
      <c r="AR99" s="361" t="s">
        <v>10848</v>
      </c>
      <c r="AS99" s="361" t="s">
        <v>620</v>
      </c>
      <c r="AT99" s="361" t="s">
        <v>10849</v>
      </c>
      <c r="AU99" s="361" t="s">
        <v>10850</v>
      </c>
      <c r="AV99" s="1413" t="str">
        <f t="shared" si="1"/>
        <v>2:11</v>
      </c>
      <c r="AW99" s="1651" t="s">
        <v>10851</v>
      </c>
    </row>
    <row r="100">
      <c r="A100" s="1610" t="s">
        <v>6498</v>
      </c>
      <c r="B100" s="1669" t="s">
        <v>10799</v>
      </c>
      <c r="C100" s="1670">
        <v>0.0609375</v>
      </c>
      <c r="D100" s="1671" t="s">
        <v>10852</v>
      </c>
      <c r="E100" s="1672" t="s">
        <v>3576</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5432</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4478</v>
      </c>
      <c r="AP100" s="1679" t="s">
        <v>10873</v>
      </c>
      <c r="AQ100" s="1679" t="s">
        <v>6407</v>
      </c>
      <c r="AR100" s="1679" t="s">
        <v>10874</v>
      </c>
      <c r="AS100" s="1679" t="s">
        <v>9559</v>
      </c>
      <c r="AT100" s="1674" t="s">
        <v>10875</v>
      </c>
      <c r="AU100" s="1680" t="s">
        <v>10876</v>
      </c>
      <c r="AV100" s="1413" t="str">
        <f t="shared" si="1"/>
        <v>7:58</v>
      </c>
      <c r="AW100" s="1540" t="s">
        <v>10877</v>
      </c>
    </row>
    <row r="101" ht="15.75" customHeight="1">
      <c r="A101" s="1549" t="s">
        <v>6375</v>
      </c>
      <c r="B101" s="1583" t="s">
        <v>8800</v>
      </c>
      <c r="C101" s="1495">
        <v>0.06635416666666667</v>
      </c>
      <c r="D101" s="792" t="s">
        <v>10878</v>
      </c>
      <c r="E101" s="792" t="s">
        <v>8635</v>
      </c>
      <c r="F101" s="792" t="s">
        <v>10879</v>
      </c>
      <c r="G101" s="792" t="s">
        <v>10880</v>
      </c>
      <c r="H101" s="792" t="s">
        <v>10881</v>
      </c>
      <c r="I101" s="792" t="s">
        <v>3503</v>
      </c>
      <c r="J101" s="792" t="s">
        <v>10882</v>
      </c>
      <c r="K101" s="792" t="s">
        <v>3957</v>
      </c>
      <c r="L101" s="792" t="s">
        <v>7522</v>
      </c>
      <c r="M101" s="792" t="s">
        <v>938</v>
      </c>
      <c r="N101" s="792" t="s">
        <v>10883</v>
      </c>
      <c r="O101" s="792" t="s">
        <v>10884</v>
      </c>
      <c r="P101" s="792" t="s">
        <v>10885</v>
      </c>
      <c r="Q101" s="792" t="s">
        <v>10886</v>
      </c>
      <c r="R101" s="792" t="s">
        <v>4562</v>
      </c>
      <c r="S101" s="792" t="s">
        <v>10887</v>
      </c>
      <c r="T101" s="792" t="s">
        <v>6570</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4071</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4643</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8735</v>
      </c>
      <c r="C1" s="1426" t="s">
        <v>8736</v>
      </c>
      <c r="D1" s="1689" t="s">
        <v>10908</v>
      </c>
      <c r="E1" s="1690" t="s">
        <v>6872</v>
      </c>
      <c r="F1" s="1691" t="s">
        <v>7183</v>
      </c>
      <c r="G1" s="1692" t="s">
        <v>38</v>
      </c>
      <c r="H1" s="1693" t="s">
        <v>36</v>
      </c>
      <c r="I1" s="1689" t="s">
        <v>10909</v>
      </c>
      <c r="J1" s="1694" t="s">
        <v>39</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1059</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1809</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437</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6571</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828</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3666</v>
      </c>
      <c r="M11" s="1735">
        <v>0.051076388888888886</v>
      </c>
      <c r="N11" s="1736" t="str">
        <f t="shared" si="1"/>
        <v>0:52</v>
      </c>
      <c r="O11" s="1579" t="s">
        <v>10985</v>
      </c>
    </row>
    <row r="12">
      <c r="A12" s="1610" t="s">
        <v>2021</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1554</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3452</v>
      </c>
      <c r="M13" s="1735">
        <v>0.05122685185185185</v>
      </c>
      <c r="N13" s="1736" t="str">
        <f t="shared" si="1"/>
        <v>0:53</v>
      </c>
      <c r="O13" s="1579" t="s">
        <v>11003</v>
      </c>
    </row>
    <row r="14" ht="15.75" customHeight="1">
      <c r="A14" s="1686" t="s">
        <v>2086</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6546</v>
      </c>
      <c r="M14" s="1735">
        <v>0.05153935185185185</v>
      </c>
      <c r="N14" s="1736" t="str">
        <f t="shared" si="1"/>
        <v>1:20</v>
      </c>
      <c r="O14" s="1579" t="s">
        <v>10946</v>
      </c>
    </row>
    <row r="15" ht="15.75" customHeight="1">
      <c r="A15" s="1737" t="s">
        <v>332</v>
      </c>
      <c r="B15" s="1494" t="s">
        <v>8773</v>
      </c>
      <c r="C15" s="1738">
        <v>0.05068287037037037</v>
      </c>
      <c r="D15" s="1514" t="s">
        <v>11012</v>
      </c>
      <c r="E15" s="1750" t="s">
        <v>11013</v>
      </c>
      <c r="F15" s="1514" t="s">
        <v>11014</v>
      </c>
      <c r="G15" s="1514" t="s">
        <v>11015</v>
      </c>
      <c r="H15" s="1514" t="s">
        <v>11016</v>
      </c>
      <c r="I15" s="1514" t="s">
        <v>6491</v>
      </c>
      <c r="J15" s="1514" t="s">
        <v>11017</v>
      </c>
      <c r="K15" s="1514" t="s">
        <v>11018</v>
      </c>
      <c r="L15" s="1514" t="s">
        <v>9002</v>
      </c>
      <c r="M15" s="1735">
        <v>0.05164351851851852</v>
      </c>
      <c r="N15" s="1736" t="str">
        <f t="shared" si="1"/>
        <v>1:23</v>
      </c>
      <c r="O15" s="1579" t="s">
        <v>10946</v>
      </c>
    </row>
    <row r="16" ht="15.75" customHeight="1">
      <c r="A16" s="1610"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2673</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2264</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3115</v>
      </c>
      <c r="M18" s="1735">
        <v>0.05228009259259259</v>
      </c>
      <c r="N18" s="1736" t="str">
        <f t="shared" si="1"/>
        <v>1:38</v>
      </c>
      <c r="O18" s="1579" t="s">
        <v>11038</v>
      </c>
    </row>
    <row r="19" ht="15.75" customHeight="1">
      <c r="A19" s="1737" t="s">
        <v>1416</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1723</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6084</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901</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2789</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3090</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1347</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2571</v>
      </c>
      <c r="B30" s="1551" t="s">
        <v>8800</v>
      </c>
      <c r="C30" s="1734">
        <v>0.05215277777777778</v>
      </c>
      <c r="D30" s="1514" t="s">
        <v>11123</v>
      </c>
      <c r="E30" s="1514" t="s">
        <v>6008</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2986</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741</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3090</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4040</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2726</v>
      </c>
      <c r="B35" s="1551" t="s">
        <v>8773</v>
      </c>
      <c r="C35" s="1734">
        <v>0.0525</v>
      </c>
      <c r="D35" s="775" t="s">
        <v>11166</v>
      </c>
      <c r="E35" s="1525" t="s">
        <v>11167</v>
      </c>
      <c r="F35" s="1514" t="s">
        <v>11168</v>
      </c>
      <c r="G35" s="1514" t="s">
        <v>11169</v>
      </c>
      <c r="H35" s="1514" t="s">
        <v>11170</v>
      </c>
      <c r="I35" s="1514" t="s">
        <v>11171</v>
      </c>
      <c r="J35" s="1514" t="s">
        <v>11172</v>
      </c>
      <c r="K35" s="1514" t="s">
        <v>11173</v>
      </c>
      <c r="L35" s="1514" t="s">
        <v>700</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3739</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3465</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983</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4941</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6498</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8735</v>
      </c>
      <c r="C1" s="1794" t="s">
        <v>10908</v>
      </c>
      <c r="D1" s="1795" t="s">
        <v>6872</v>
      </c>
      <c r="E1" s="1796" t="s">
        <v>7183</v>
      </c>
      <c r="F1" s="1797" t="s">
        <v>38</v>
      </c>
      <c r="G1" s="1798" t="s">
        <v>36</v>
      </c>
      <c r="H1" s="1794" t="s">
        <v>10909</v>
      </c>
      <c r="I1" s="1799" t="s">
        <v>39</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1059</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6571</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2539</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437</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1554</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828</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2086</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332</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2673</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1634</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1416</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2264</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901</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1723</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2151</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741</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1347</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2986</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3090</v>
      </c>
      <c r="B28" s="1746" t="s">
        <v>8800</v>
      </c>
      <c r="C28" s="1830" t="s">
        <v>11409</v>
      </c>
      <c r="D28" s="1514"/>
      <c r="E28" s="1514" t="s">
        <v>11410</v>
      </c>
      <c r="F28" s="1514" t="s">
        <v>11411</v>
      </c>
      <c r="G28" s="1101"/>
      <c r="H28" s="1810"/>
      <c r="I28" s="1816"/>
      <c r="J28" s="1817"/>
      <c r="K28" s="1514" t="s">
        <v>9905</v>
      </c>
      <c r="L28" s="1579"/>
    </row>
    <row r="29" ht="15.75" customHeight="1">
      <c r="A29" s="1610" t="s">
        <v>2726</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2571</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5236</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4941</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5803</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6498</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4338</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4040</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4338</v>
      </c>
      <c r="D13" s="1866" t="s">
        <v>11486</v>
      </c>
      <c r="E13" s="1865" t="s">
        <v>11470</v>
      </c>
      <c r="F13" s="1867">
        <v>44250.0</v>
      </c>
    </row>
    <row r="14" ht="15.75" customHeight="1">
      <c r="A14" s="1863" t="s">
        <v>11487</v>
      </c>
      <c r="B14" s="1868" t="s">
        <v>11472</v>
      </c>
      <c r="C14" s="1865" t="s">
        <v>4241</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5299</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5236</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4338</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6371</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4790</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6292</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5299</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6355</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5299</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4122</v>
      </c>
      <c r="D127" s="1888">
        <v>0.06892361111111112</v>
      </c>
      <c r="E127" s="1865" t="s">
        <v>11480</v>
      </c>
      <c r="F127" s="1867">
        <v>44652.0</v>
      </c>
    </row>
    <row r="128">
      <c r="A128" s="1887"/>
      <c r="B128" s="1869" t="s">
        <v>11475</v>
      </c>
      <c r="C128" s="1874" t="s">
        <v>5400</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4241</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