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<sst xmlns="http://schemas.openxmlformats.org/spreadsheetml/2006/main" count="27913" uniqueCount="11553">
  <si>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</si>
  <si>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</si>
  <si>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</si>
  <si>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</si>
  <si>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</si>
  <si>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</si>
  <si>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</si>
  <si>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</si>
  <si>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</si>
  <si>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</si>
  <si>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</si>
  <si>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</si>
  <si>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</si>
  <si>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</si>
  <si>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</si>
  <si>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</si>
  <si>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</si>
  <si>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</si>
  <si>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</si>
  <si>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</si>
  <si>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</si>
  <si>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</si>
  <si>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</si>
  <si>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</si>
  <si>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</si>
  <si>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</si>
  <si>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</si>
  <si>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</si>
  <si>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</si>
  <si>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</si>
  <si>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</si>
  <si>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</si>
  <si>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</si>
  <si>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</si>
  <si>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</si>
  <si>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</si>
  <si>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</si>
  <si>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</si>
  <si>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</si>
  <si>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</si>
  <si>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</si>
  <si>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</si>
  <si>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</si>
  <si>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</si>
  <si>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</si>
  <si>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</si>
  <si>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</si>
  <si>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</si>
  <si>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</si>
  <si>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</si>
  <si>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</si>
  <si>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</si>
  <si>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</si>
  <si>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</si>
  <si>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</si>
  <si>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</si>
  <si>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</si>
  <si>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</si>
  <si>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</si>
  <si>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</si>
  <si>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</si>
  <si>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</si>
  <si>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</si>
  <si>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</si>
  <si>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</si>
  <si>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</si>
  <si>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</si>
  <si>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</si>
  <si>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</si>
  <si>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</si>
  <si>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</si>
  <si>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</si>
  <si>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</si>
  <si>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</si>
  <si>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</si>
  <si>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</si>
  <si>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</si>
  <si>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</si>
  <si>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</si>
  <si>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</si>
  <si>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</si>
  <si>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</si>
  <si>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</si>
  <si>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</si>
  <si>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</si>
  <si>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</si>
  <si>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</si>
  <si>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</si>
  <si>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</si>
  <si>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</si>
  <si>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</si>
  <si>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</si>
  <si>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</si>
  <si>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</si>
  <si>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</si>
  <si>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</si>
  <si>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</si>
  <si>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</si>
  <si>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</si>
  <si>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</si>
  <si>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</si>
  <si>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</si>
  <si>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</si>
  <si>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</si>
  <si>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</si>
  <si>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</si>
  <si>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</si>
  <si>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</si>
  <si>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</si>
  <si>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</si>
  <si>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</si>
  <si>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</si>
  <si>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</si>
  <si>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</si>
  <si>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</si>
  <si>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</si>
  <si>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</si>
  <si>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</si>
  <si>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</si>
  <si>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</si>
  <si>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</si>
  <si>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</si>
  <si>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</si>
  <si>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</si>
  <si>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</si>
  <si>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</si>
  <si>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</si>
  <si>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</si>
  <si>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</si>
  <si>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</si>
  <si>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</si>
  <si>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</si>
  <si>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</si>
  <si>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</si>
  <si>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</si>
  <si>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</si>
  <si>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</si>
  <si>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</si>
  <si>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</si>
  <si>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</si>
  <si>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</si>
  <si>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</si>
  <si>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</si>
  <si>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</si>
  <si>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</si>
  <si>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</si>
  <si>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</si>
  <si>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</si>
  <si>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</si>
  <si>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</si>
  <si>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</si>
  <si>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</si>
  <si>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</si>
  <si>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</si>
  <si>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</si>
  <si>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</si>
  <si>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</si>
  <si>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</si>
  <si>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</si>
  <si>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</si>
  <si>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</si>
  <si>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</si>
  <si>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</si>
  <si>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</si>
  <si>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</si>
  <si>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</si>
  <si>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</si>
  <si>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</si>
  <si>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</si>
  <si>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</si>
  <si>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</si>
  <si>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</si>
  <si>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</si>
  <si>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</si>
  <si>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</si>
  <si>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</si>
  <si>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</si>
  <si>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</si>
  <si>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</si>
  <si>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</si>
  <si>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</si>
  <si>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</si>
  <si>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</si>
  <si>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</si>
  <si>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</si>
  <si>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</si>
  <si>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</si>
  <si>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</si>
  <si>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</si>
  <si>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</si>
  <si>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</si>
  <si>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</si>
  <si>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</si>
  <si>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</si>
  <si>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</si>
  <si>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</si>
  <si>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</si>
  <si>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</si>
  <si>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</si>
  <si>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</si>
  <si>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</si>
  <si>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</si>
  <si>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</si>
  <si>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</si>
  <si>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</si>
  <si>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</si>
  <si>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</si>
  <si>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</si>
  <si>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</si>
  <si>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</si>
  <si>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</si>
  <si>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</si>
  <si>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</si>
  <si>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</si>
  <si>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</si>
  <si>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</si>
  <si>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</si>
  <si>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</si>
  <si>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</si>
  <si>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</si>
  <si>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</si>
  <si>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</si>
  <si>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</si>
  <si>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</si>
  <si>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</si>
  <si>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</si>
  <si>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</si>
  <si>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</si>
  <si>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</si>
  <si>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</si>
  <si>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</si>
  <si>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</si>
  <si>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</si>
  <si>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</si>
  <si>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</si>
  <si>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</si>
  <si>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</si>
  <si>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</si>
  <si>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</si>
  <si>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</si>
  <si>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</si>
  <si>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</si>
  <si>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</si>
  <si>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</si>
  <si>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</si>
  <si>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</si>
  <si>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</si>
  <si>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</si>
  <si>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</si>
  <si>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</si>
  <si>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</si>
  <si>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</si>
  <si>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</si>
  <si>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</si>
  <si>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</si>
  <si>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</si>
  <si>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</si>
  <si>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</si>
  <si>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</si>
  <si>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</si>
  <si>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</si>
  <si>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</si>
  <si>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</si>
  <si>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</si>
  <si>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</si>
  <si>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</si>
  <si>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</si>
  <si>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</si>
  <si>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</si>
  <si>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</si>
  <si>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</si>
  <si>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</si>
  <si>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</si>
  <si>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</si>
  <si>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</si>
  <si>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</si>
  <si>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</si>
  <si>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</si>
  <si>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</si>
  <si>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</si>
  <si>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</si>
  <si>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</si>
  <si>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</si>
  <si>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</si>
  <si>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</si>
  <si>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</si>
  <si>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</si>
  <si>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</si>
  <si>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</si>
  <si>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</si>
  <si>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</si>
  <si>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</si>
  <si>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</si>
  <si>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</si>
  <si>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</si>
  <si>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</si>
  <si>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</si>
  <si>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</si>
  <si>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</si>
  <si>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</si>
  <si>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</si>
  <si>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</si>
  <si>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</si>
  <si>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</si>
  <si>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</si>
  <si>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</si>
  <si>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</si>
  <si>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</si>
  <si>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</si>
  <si>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</si>
  <si>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</si>
  <si>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</si>
  <si>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</si>
  <si>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</si>
  <si>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</si>
  <si>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</si>
  <si>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</si>
  <si>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</si>
  <si>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</si>
  <si>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</si>
  <si>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</si>
  <si>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</si>
  <si>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</si>
  <si>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</si>
  <si>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</si>
  <si>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</si>
  <si>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</si>
  <si>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</si>
  <si>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</si>
  <si>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</si>
  <si>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</si>
  <si>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</si>
  <si>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</si>
  <si>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</si>
  <si>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</si>
  <si>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</si>
  <si>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</si>
  <si>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</si>
  <si>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</si>
  <si>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</si>
  <si>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</si>
  <si>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</si>
  <si>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</si>
  <si>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</si>
  <si>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</si>
  <si>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</si>
  <si>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</si>
  <si>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</si>
  <si>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</si>
  <si>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</si>
  <si>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</si>
  <si>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</si>
  <si>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</si>
  <si>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</si>
  <si>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</si>
  <si>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</si>
  <si>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</si>
  <si>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</si>
  <si>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</si>
  <si>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</si>
  <si>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</si>
  <si>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</si>
  <si>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</si>
  <si>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</si>
  <si>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</si>
  <si>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</si>
  <si>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</si>
  <si>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</si>
  <si>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</si>
  <si>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</si>
  <si>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</si>
  <si>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</si>
  <si>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</si>
  <si>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</si>
  <si>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</si>
  <si>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</si>
  <si>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</si>
  <si>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</si>
  <si>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</si>
  <si>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</si>
  <si>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</si>
  <si>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</si>
  <si>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</si>
  <si>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</si>
  <si>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</si>
  <si>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</si>
  <si>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</si>
  <si>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</si>
  <si>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</si>
  <si>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</si>
  <si>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</si>
  <si>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</si>
  <si>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</si>
  <si>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</si>
  <si>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</si>
  <si>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</si>
  <si>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</si>
  <si>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</si>
  <si>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</si>
  <si>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</si>
  <si>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</si>
  <si>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</si>
  <si>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</si>
  <si>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</si>
  <si>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</si>
  <si>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</si>
  <si>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</si>
  <si>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</si>
  <si>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</si>
  <si>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</si>
  <si>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</si>
  <si>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</si>
  <si>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</si>
  <si>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</si>
  <si>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</si>
  <si>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</si>
  <si>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</si>
  <si>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</si>
  <si>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</si>
  <si>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</si>
  <si>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</si>
  <si>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</si>
  <si>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</si>
  <si>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</si>
  <si>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</si>
  <si>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</si>
  <si>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</si>
  <si>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</si>
  <si>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</si>
  <si>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</si>
  <si>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</si>
  <si>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</si>
  <si>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</si>
  <si>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</si>
  <si>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</si>
  <si>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</si>
  <si>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</si>
  <si>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</si>
  <si>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</si>
  <si>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</si>
  <si>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</si>
  <si>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</si>
  <si>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</si>
  <si>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</si>
  <si>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</si>
  <si>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</si>
  <si>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</si>
  <si>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</si>
  <si>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</si>
  <si>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</si>
  <si>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</si>
  <si>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</si>
  <si>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</si>
  <si>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</si>
  <si>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</si>
  <si>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</si>
  <si>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</si>
  <si>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</si>
  <si>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</si>
  <si>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</si>
  <si>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</si>
  <si>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</si>
  <si>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</si>
  <si>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</si>
  <si>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</si>
  <si>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</si>
  <si>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</si>
  <si>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</si>
  <si>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</si>
  <si>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</si>
  <si>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</si>
  <si>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</si>
  <si>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</si>
  <si>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</si>
  <si>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</si>
  <si>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</si>
  <si>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</si>
  <si>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</si>
  <si>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</si>
  <si>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</si>
  <si>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</si>
  <si>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</si>
  <si>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</si>
  <si>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</si>
  <si>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</si>
  <si>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</si>
  <si>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</si>
  <si>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</si>
  <si>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</si>
  <si>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</si>
  <si>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</si>
  <si>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</si>
  <si>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</si>
  <si>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</si>
  <si>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</si>
  <si>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</si>
  <si>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</si>
  <si>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</si>
  <si>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</si>
  <si>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</si>
  <si>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</si>
  <si>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</si>
  <si>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</si>
  <si>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</si>
  <si>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</si>
  <si>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</si>
  <si>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</si>
  <si>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</si>
  <si>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</si>
  <si>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</si>
  <si>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</si>
  <si>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</si>
  <si>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</si>
  <si>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</si>
  <si>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</si>
  <si>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</si>
  <si>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</si>
  <si>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</si>
  <si>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</si>
  <si>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</si>
  <si>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</si>
  <si>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</si>
  <si>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</si>
  <si>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</si>
  <si>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</si>
  <si>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</si>
  <si>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</si>
  <si>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</si>
  <si>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</si>
  <si>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</si>
  <si>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</si>
  <si>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</si>
  <si>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</si>
  <si>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</si>
  <si>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</si>
  <si>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</si>
  <si>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</si>
  <si>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</si>
  <si>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</si>
  <si>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</si>
  <si>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</si>
  <si>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</si>
  <si>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</si>
  <si>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</si>
  <si>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</si>
  <si>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</si>
  <si>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</si>
  <si>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</si>
  <si>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</si>
  <si>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</si>
  <si>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</si>
  <si>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</si>
  <si>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</si>
  <si>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</si>
  <si>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</si>
  <si>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</si>
  <si>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</si>
  <si>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</si>
  <si>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</si>
  <si>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</si>
  <si>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</si>
  <si>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</si>
  <si>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</si>
  <si>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</si>
  <si>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</si>
  <si>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</si>
  <si>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</si>
  <si>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</si>
  <si>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</si>
  <si>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</si>
  <si>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</si>
  <si>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</si>
  <si>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</si>
  <si>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</si>
  <si>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</si>
  <si>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</si>
  <si>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</si>
  <si>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</si>
  <si>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</si>
  <si>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</si>
  <si>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</si>
  <si>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</si>
  <si>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</si>
  <si>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</si>
  <si>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</si>
  <si>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</si>
  <si>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</si>
  <si>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</si>
  <si>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</si>
  <si>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</si>
  <si>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</si>
  <si>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</si>
  <si>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</si>
  <si>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</si>
  <si>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</si>
  <si>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</si>
  <si>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</si>
  <si>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</si>
  <si>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</si>
  <si>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</si>
  <si>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</si>
  <si>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</si>
  <si>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</si>
  <si>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</si>
  <si>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</si>
  <si>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</si>
  <si>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</si>
  <si>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</si>
  <si>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</si>
  <si>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</si>
  <si>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</si>
  <si>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</si>
  <si>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</si>
  <si>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</si>
  <si>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</si>
  <si>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</si>
  <si>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</si>
  <si>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</si>
  <si>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</si>
  <si>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</si>
  <si>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</si>
  <si>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</si>
  <si>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</si>
  <si>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</si>
  <si>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</si>
  <si>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</si>
  <si>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</si>
  <si>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</si>
  <si>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</si>
  <si>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</si>
  <si>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</si>
  <si>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</si>
  <si>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</si>
  <si>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</si>
  <si>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</si>
  <si>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</si>
  <si>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</si>
  <si>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</si>
  <si>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</si>
  <si>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</si>
  <si>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</si>
  <si>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</si>
  <si>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</si>
  <si>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</si>
  <si>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</si>
  <si>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</si>
  <si>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</si>
  <si>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</si>
  <si>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</si>
  <si>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</si>
  <si>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</si>
  <si>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</si>
  <si>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</si>
  <si>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</si>
  <si>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</si>
  <si>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</si>
  <si>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</si>
  <si>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</si>
  <si>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</si>
  <si>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</si>
  <si>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</si>
  <si>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</si>
  <si>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</si>
  <si>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</si>
  <si>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</si>
  <si>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</si>
  <si>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</si>
  <si>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</si>
  <si>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</si>
  <si>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</si>
  <si>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</si>
  <si>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</si>
  <si>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</si>
  <si>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</si>
  <si>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</si>
  <si>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</si>
  <si>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</si>
  <si>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</si>
  <si>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</si>
  <si>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</si>
  <si>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</si>
  <si>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</si>
  <si>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</si>
  <si>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</si>
  <si>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</si>
  <si>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</si>
  <si>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</si>
  <si>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</si>
  <si>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</si>
  <si>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</si>
  <si>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</si>
  <si>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</si>
  <si>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</si>
  <si>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</si>
  <si>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</si>
  <si>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</si>
  <si>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</si>
  <si>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</si>
  <si>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</si>
  <si>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</si>
  <si>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</si>
  <si>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</si>
  <si>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</si>
  <si>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</si>
  <si>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</si>
  <si>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</si>
  <si>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</si>
  <si>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</si>
  <si>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</si>
  <si>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</si>
  <si>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</si>
  <si>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</si>
  <si>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</si>
  <si>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</si>
  <si>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</si>
  <si>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</si>
  <si>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</si>
  <si>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</si>
  <si>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</si>
  <si>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</si>
  <si>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</si>
  <si>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</si>
  <si>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</si>
  <si>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</si>
  <si>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</si>
  <si>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</si>
  <si>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</si>
  <si>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</si>
  <si>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</si>
  <si>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</si>
  <si>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</si>
  <si>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</si>
  <si>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</si>
  <si>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</si>
  <si>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</si>
  <si>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</si>
  <si>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</si>
  <si>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</si>
  <si>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</si>
  <si>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</si>
  <si>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</si>
  <si>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</si>
  <si>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</si>
  <si>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</si>
  <si>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</si>
  <si>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</si>
  <si>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</si>
  <si>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</si>
  <si>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</si>
  <si>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</si>
  <si>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</si>
  <si>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</si>
  <si>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</si>
  <si>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</si>
  <si>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</si>
  <si>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</si>
  <si>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</si>
  <si>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</si>
  <si>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</si>
  <si>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</si>
  <si>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</si>
  <si>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</si>
  <si>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</si>
  <si>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</si>
  <si>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</si>
  <si>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</si>
  <si>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</si>
  <si>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</si>
  <si>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</si>
  <si>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</si>
  <si>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</si>
  <si>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</si>
  <si>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</si>
  <si>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</si>
  <si>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</si>
  <si>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</si>
  <si>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</si>
  <si>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</si>
  <si>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</si>
  <si>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</si>
  <si>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</si>
  <si>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</si>
  <si>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</si>
  <si>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</si>
  <si>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</si>
  <si>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</si>
  <si>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</si>
  <si>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</si>
  <si>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</si>
  <si>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</si>
  <si>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</si>
  <si>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</si>
  <si>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</si>
  <si>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</si>
  <si>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</si>
  <si>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</si>
  <si>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</si>
  <si>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</si>
  <si>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</si>
  <si>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</si>
  <si>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</si>
  <si>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</si>
  <si>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</si>
  <si>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</si>
  <si>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</si>
  <si>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</si>
  <si>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</si>
  <si>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</si>
  <si>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</si>
  <si>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</si>
  <si>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</si>
  <si>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</si>
  <si>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</si>
  <si>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</si>
  <si>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</si>
  <si>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</si>
  <si>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</si>
  <si>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</si>
  <si>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</si>
  <si>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</si>
  <si>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</si>
  <si>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</si>
  <si>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</si>
  <si>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</si>
  <si>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</si>
  <si>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</si>
  <si>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</si>
  <si>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</si>
  <si>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</si>
  <si>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</si>
  <si>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</si>
  <si>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</si>
  <si>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</si>
  <si>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</si>
  <si>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</si>
  <si>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</si>
  <si>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</si>
  <si>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</si>
  <si>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</si>
  <si>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</si>
  <si>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</si>
  <si>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</si>
  <si>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</si>
  <si>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</si>
  <si>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</si>
  <si>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</si>
  <si>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</si>
  <si>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</si>
  <si>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</si>
  <si>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</si>
  <si>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</si>
  <si>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</si>
  <si>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</si>
  <si>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</si>
  <si>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</si>
  <si>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</si>
  <si>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</si>
  <si>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</si>
  <si>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</si>
  <si>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</si>
  <si>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</si>
  <si>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</si>
  <si>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</si>
  <si>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</si>
  <si>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</si>
  <si>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</si>
  <si>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</si>
  <si>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</si>
  <si>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</si>
  <si>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</si>
  <si>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</si>
  <si>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</si>
  <si>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</si>
  <si>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</si>
  <si>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</si>
  <si>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</si>
  <si>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</si>
  <si>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</si>
  <si>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</si>
  <si>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</si>
  <si>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</si>
  <si>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</si>
  <si>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</si>
  <si>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</si>
  <si>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</si>
  <si>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</si>
  <si>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</si>
  <si>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</si>
  <si>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</si>
  <si>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</si>
  <si>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</si>
  <si>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</si>
  <si>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</si>
  <si>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</si>
  <si>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</si>
  <si>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</si>
  <si>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</si>
  <si>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</si>
  <si>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</si>
  <si>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</si>
  <si>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</si>
  <si>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</si>
  <si>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</si>
  <si>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</si>
  <si>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</si>
  <si>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</si>
  <si>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</si>
  <si>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</si>
  <si>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</si>
  <si>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</si>
  <si>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</si>
  <si>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</si>
  <si>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</si>
  <si>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</si>
  <si>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</si>
  <si>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</si>
  <si>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</si>
  <si>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</si>
  <si>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</si>
  <si>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</si>
  <si>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</si>
  <si>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</si>
  <si>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</si>
  <si>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</si>
  <si>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</si>
  <si>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</si>
  <si>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</si>
  <si>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</si>
  <si>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</si>
  <si>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</si>
  <si>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</si>
  <si>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</si>
  <si>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</si>
  <si>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</si>
  <si>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</si>
  <si>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</si>
  <si>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</si>
  <si>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</si>
  <si>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</si>
  <si>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</si>
  <si>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</si>
  <si>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</si>
  <si>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</si>
  <si>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</si>
  <si>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</si>
  <si>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</si>
  <si>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</si>
  <si>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</si>
  <si>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</si>
  <si>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</si>
  <si>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</si>
  <si>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</si>
  <si>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</si>
  <si>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</si>
  <si>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</si>
  <si>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</si>
  <si>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</si>
  <si>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</si>
  <si>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</si>
  <si>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</si>
  <si>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</si>
  <si>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</si>
  <si>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</si>
  <si>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</si>
  <si>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</si>
  <si>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</si>
  <si>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</si>
  <si>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</si>
  <si>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</si>
  <si>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</si>
  <si>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</si>
  <si>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</si>
  <si>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</si>
  <si>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</si>
  <si>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</si>
  <si>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</si>
  <si>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</si>
  <si>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</si>
  <si>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</si>
  <si>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</si>
  <si>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</si>
  <si>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</si>
  <si>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</si>
  <si>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</si>
  <si>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</si>
  <si>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</si>
  <si>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</si>
  <si>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</si>
  <si>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</si>
  <si>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</si>
  <si>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</si>
  <si>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</si>
  <si>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</si>
  <si>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</si>
  <si>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</si>
  <si>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</si>
  <si>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</si>
  <si>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</si>
  <si>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</si>
  <si>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</si>
  <si>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</si>
  <si>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</si>
  <si>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</si>
  <si>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</si>
  <si>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</si>
  <si>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</si>
  <si>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</si>
  <si>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</si>
  <si>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</si>
  <si>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</si>
  <si>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</si>
  <si>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</si>
  <si>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</si>
  <si>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</si>
  <si>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</si>
  <si>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</si>
  <si>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</si>
  <si>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</si>
  <si>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</si>
  <si>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</si>
  <si>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</si>
  <si>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</si>
  <si>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</si>
  <si>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</si>
  <si>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</si>
  <si>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</si>
  <si>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</si>
  <si>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</si>
  <si>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</si>
  <si>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</si>
  <si>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</si>
  <si>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</si>
  <si>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</si>
  <si>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</si>
  <si>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</si>
  <si>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</si>
  <si>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</si>
  <si>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</si>
  <si>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</si>
  <si>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</si>
  <si>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</si>
  <si>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</si>
  <si>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</si>
  <si>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</si>
  <si>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</si>
  <si>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</si>
  <si>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</si>
  <si>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</si>
  <si>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</si>
  <si>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</si>
  <si>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</si>
  <si>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</si>
  <si>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</si>
  <si>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</si>
  <si>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</si>
  <si>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</si>
  <si>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</si>
  <si>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</si>
  <si>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</si>
  <si>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</si>
  <si>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</si>
  <si>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</si>
  <si>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</si>
  <si>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</si>
  <si>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</si>
  <si>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</si>
  <si>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</si>
  <si>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</si>
  <si>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</si>
  <si>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</si>
  <si>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</si>
  <si>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</si>
  <si>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</si>
  <si>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</si>
  <si>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</si>
  <si>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</si>
  <si>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</si>
  <si>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</si>
  <si>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</si>
  <si>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</si>
  <si>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</si>
  <si>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</si>
  <si>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</si>
  <si>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</si>
  <si>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</si>
  <si>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</si>
  <si>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</si>
  <si>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</si>
  <si>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</si>
  <si>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</si>
  <si>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</si>
  <si>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</si>
  <si>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</si>
  <si>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</si>
  <si>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</si>
  <si>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</si>
  <si>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</si>
  <si>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</si>
  <si>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</si>
  <si>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</si>
  <si>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</si>
  <si>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</si>
  <si>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</si>
  <si>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</si>
  <si>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</si>
  <si>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</si>
  <si>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</si>
  <si>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</si>
  <si>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</si>
  <si>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</si>
  <si>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</si>
  <si>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</si>
  <si>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</si>
  <si>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</si>
  <si>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</si>
  <si>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</si>
  <si>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</si>
  <si>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</si>
  <si>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</si>
  <si>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</si>
  <si>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</si>
  <si>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</si>
  <si>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</si>
  <si>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</si>
  <si>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</si>
  <si>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</si>
  <si>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</si>
  <si>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</si>
  <si>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</si>
  <si>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</si>
  <si>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</si>
  <si>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</si>
  <si>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</si>
  <si>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</si>
  <si>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</si>
  <si>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</si>
  <si>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</si>
  <si>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</si>
  <si>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</si>
  <si>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</si>
  <si>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</si>
  <si>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</si>
  <si>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</si>
  <si>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</si>
  <si>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</si>
  <si>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</si>
  <si>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</si>
  <si>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</si>
  <si>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</si>
  <si>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</si>
  <si>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</si>
  <si>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</si>
  <si>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</si>
  <si>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</si>
  <si>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</si>
  <si>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</si>
  <si>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</si>
  <si>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</si>
  <si>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</si>
  <si>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</si>
  <si>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</si>
  <si>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</si>
  <si>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</si>
  <si>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</si>
  <si>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</si>
  <si>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</si>
  <si>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</si>
  <si>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</si>
  <si>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</si>
  <si>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</si>
  <si>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</si>
  <si>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</si>
  <si>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</si>
  <si>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</si>
  <si>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</si>
  <si>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</si>
  <si>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</si>
  <si>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</si>
  <si>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</si>
  <si>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</si>
  <si>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</si>
  <si>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</si>
  <si>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</si>
  <si>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</si>
  <si>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</si>
  <si>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</si>
  <si>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</si>
  <si>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</si>
  <si>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</si>
  <si>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</si>
  <si>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</si>
  <si>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</si>
  <si>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</si>
  <si>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</si>
  <si>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</si>
  <si>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</si>
  <si>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</si>
  <si>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</si>
  <si>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</si>
  <si>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</si>
  <si>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</si>
  <si>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</si>
  <si>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</si>
  <si>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</si>
  <si>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</si>
  <si>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</si>
  <si>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</si>
  <si>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</si>
  <si>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</si>
  <si>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</si>
  <si>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</si>
  <si>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</si>
  <si>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</si>
  <si>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</si>
  <si>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</si>
  <si>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</si>
  <si>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</si>
  <si>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</si>
  <si>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</si>
  <si>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</si>
  <si>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</si>
  <si>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</si>
  <si>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</si>
  <si>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</si>
  <si>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</si>
  <si>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</si>
  <si>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</si>
  <si>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</si>
  <si>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</si>
  <si>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</si>
  <si>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</si>
  <si>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</si>
  <si>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</si>
  <si>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</si>
  <si>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</si>
  <si>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</si>
  <si>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</si>
  <si>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</si>
  <si>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</si>
  <si>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</si>
  <si>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</si>
  <si>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</si>
  <si>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</si>
  <si>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</si>
  <si>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</si>
  <si>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</si>
  <si>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</si>
  <si>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</si>
  <si>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</si>
  <si>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</si>
  <si>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</si>
  <si>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</si>
  <si>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</si>
  <si>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</si>
  <si>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</si>
  <si>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</si>
  <si>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</si>
  <si>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</si>
  <si>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</si>
  <si>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</si>
  <si>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</si>
  <si>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</si>
  <si>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</si>
  <si>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</si>
  <si>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</si>
  <si>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</si>
  <si>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</si>
  <si>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</si>
  <si>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</si>
  <si>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</si>
  <si>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</si>
  <si>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</si>
  <si>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</si>
  <si>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</si>
  <si>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</si>
  <si>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</si>
  <si>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</si>
  <si>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</si>
  <si>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</si>
  <si>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</si>
  <si>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</si>
  <si>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</si>
  <si>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</si>
  <si>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</si>
  <si>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</si>
  <si>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</si>
  <si>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</si>
  <si>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</si>
  <si>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</si>
  <si>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</si>
  <si>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</si>
  <si>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</si>
  <si>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</si>
  <si>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</si>
  <si>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</si>
  <si>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</si>
  <si>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</si>
  <si>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</si>
  <si>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</si>
  <si>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</si>
  <si>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</si>
  <si>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</si>
  <si>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</si>
  <si>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</si>
  <si>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</si>
  <si>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</si>
  <si>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</si>
  <si>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</si>
  <si>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</si>
  <si>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</si>
  <si>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</si>
  <si>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</si>
  <si>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</si>
  <si>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</si>
  <si>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</si>
  <si>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</si>
  <si>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</si>
  <si>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</si>
  <si>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</si>
  <si>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</si>
  <si>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</si>
  <si>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</si>
  <si>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</si>
  <si>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</si>
  <si>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</si>
  <si>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</si>
  <si>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</si>
  <si>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</si>
  <si>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</si>
  <si>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</si>
  <si>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</si>
  <si>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</si>
  <si>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</si>
  <si>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</si>
  <si>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</si>
  <si>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</si>
  <si>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</si>
  <si>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</si>
  <si>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</si>
  <si>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</si>
  <si>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</si>
  <si>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</si>
  <si>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</si>
  <si>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</si>
  <si>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</si>
  <si>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</si>
  <si>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</si>
  <si>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</si>
  <si>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</si>
  <si>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</si>
  <si>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</si>
  <si>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</si>
  <si>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</si>
  <si>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</si>
  <si>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</si>
  <si>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</si>
  <si>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</si>
  <si>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</si>
  <si>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</si>
  <si>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</si>
  <si>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</si>
  <si>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</si>
  <si>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</si>
  <si>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</si>
  <si>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</si>
  <si>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</si>
  <si>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</si>
  <si>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</si>
  <si>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</si>
  <si>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</si>
  <si>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</si>
  <si>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</si>
  <si>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</si>
  <si>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</si>
  <si>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</si>
  <si>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</si>
  <si>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</si>
  <si>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</si>
  <si>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</si>
  <si>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</si>
  <si>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</si>
  <si>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</si>
  <si>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</si>
  <si>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</si>
  <si>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</si>
  <si>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</si>
  <si>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</si>
  <si>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</si>
  <si>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</si>
  <si>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</si>
  <si>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</si>
  <si>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</si>
  <si>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</si>
  <si>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</si>
  <si>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</si>
  <si>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</si>
  <si>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</si>
  <si>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</si>
  <si>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</si>
  <si>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</si>
  <si>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</si>
  <si>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</si>
  <si>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</si>
  <si>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</si>
  <si>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</si>
  <si>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</si>
  <si>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</si>
  <si>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</si>
  <si>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</si>
  <si>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</si>
  <si>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</si>
  <si>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</si>
  <si>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</si>
  <si>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</si>
  <si>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</si>
  <si>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</si>
  <si>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</si>
  <si>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</si>
  <si>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</si>
  <si>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</si>
  <si>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</si>
  <si>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</si>
  <si>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</si>
  <si>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</si>
  <si>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</si>
  <si>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</si>
  <si>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</si>
  <si>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</si>
  <si>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</si>
  <si>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</si>
  <si>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</si>
  <si>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</si>
  <si>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</si>
  <si>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</si>
  <si>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</si>
  <si>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</si>
  <si>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</si>
  <si>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</si>
  <si>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</si>
  <si>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</si>
  <si>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</si>
  <si>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</si>
  <si>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</si>
  <si>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</si>
  <si>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</si>
  <si>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</si>
  <si>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</si>
  <si>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</si>
  <si>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</si>
  <si>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</si>
  <si>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</si>
  <si>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</si>
  <si>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</si>
  <si>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</si>
  <si>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</si>
  <si>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</si>
  <si>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</si>
  <si>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</si>
  <si>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</si>
  <si>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</si>
  <si>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</si>
  <si>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</si>
  <si>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</si>
  <si>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</si>
  <si>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</si>
  <si>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</si>
  <si>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</si>
  <si>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</si>
  <si>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</si>
  <si>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</si>
  <si>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</si>
  <si>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</si>
  <si>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</si>
  <si>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</si>
  <si>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</si>
  <si>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</si>
  <si>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</si>
  <si>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</si>
  <si>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</si>
  <si>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</si>
  <si>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</si>
  <si>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</si>
  <si>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</si>
  <si>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</si>
  <si>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</si>
  <si>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</si>
  <si>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</si>
  <si>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</si>
  <si>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</si>
  <si>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</si>
  <si>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</si>
  <si>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</si>
  <si>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</si>
  <si>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</si>
  <si>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</si>
  <si>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</si>
  <si>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</si>
  <si>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</si>
  <si>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</si>
  <si>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</si>
  <si>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</si>
  <si>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</si>
  <si>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</si>
  <si>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</si>
  <si>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</si>
  <si>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</si>
  <si>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</si>
  <si>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</si>
  <si>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</si>
  <si>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</si>
  <si>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</si>
  <si>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</si>
  <si>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</si>
  <si>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</si>
  <si>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</si>
  <si>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</si>
  <si>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</si>
  <si>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</si>
  <si>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</si>
  <si>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</si>
  <si>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</si>
  <si>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</si>
  <si>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</si>
  <si>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</si>
  <si>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</si>
  <si>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</si>
  <si>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</si>
  <si>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</si>
  <si>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</si>
  <si>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</si>
  <si>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</si>
  <si>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</si>
  <si>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</si>
  <si>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</si>
  <si>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</si>
  <si>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</si>
  <si>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</si>
  <si>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</si>
  <si>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</si>
  <si>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</si>
  <si>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</si>
  <si>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</si>
  <si>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</si>
  <si>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</si>
  <si>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</si>
  <si>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</si>
  <si>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</si>
  <si>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</si>
  <si>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</si>
  <si>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</si>
  <si>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</si>
  <si>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</si>
  <si>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</si>
  <si>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</si>
  <si>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</si>
  <si>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</si>
  <si>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</si>
  <si>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</si>
  <si>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</si>
  <si>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</si>
  <si>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</si>
  <si>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</si>
  <si>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</si>
  <si>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</si>
  <si>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</si>
  <si>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</si>
  <si>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</si>
  <si>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</si>
  <si>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</si>
  <si>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</si>
  <si>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</si>
  <si>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</si>
  <si>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</si>
  <si>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</si>
  <si>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</si>
  <si>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</si>
  <si>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</si>
  <si>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</si>
  <si>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</si>
  <si>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</si>
  <si>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</si>
  <si>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</si>
  <si>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</si>
  <si>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</si>
  <si>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</si>
  <si>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</si>
  <si>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</si>
  <si>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</si>
  <si>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</si>
  <si>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</si>
  <si>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</si>
  <si>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</si>
  <si>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</si>
  <si>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</si>
  <si>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</si>
  <si>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</si>
  <si>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</si>
  <si>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</si>
  <si>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</si>
  <si>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</si>
  <si>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</si>
  <si>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</si>
  <si>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</si>
  <si>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</si>
  <si>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</si>
  <si>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</si>
  <si>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</si>
  <si>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</si>
  <si>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</si>
  <si>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</si>
  <si>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</si>
  <si>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</si>
  <si>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</si>
  <si>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</si>
  <si>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</si>
  <si>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</si>
  <si>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</si>
  <si>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</si>
  <si>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</si>
  <si>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</si>
  <si>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</si>
  <si>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</si>
  <si>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</si>
  <si>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</si>
  <si>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</si>
  <si>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</si>
  <si>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</si>
  <si>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</si>
  <si>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</si>
  <si>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</si>
  <si>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</si>
  <si>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</si>
  <si>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</si>
  <si>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</si>
  <si>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</si>
  <si>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</si>
  <si>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</si>
  <si>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</si>
  <si>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</si>
  <si>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</si>
  <si>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</si>
  <si>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</si>
  <si>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</si>
  <si>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</si>
  <si>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</si>
  <si>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</si>
  <si>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</si>
  <si>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</si>
  <si>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</si>
  <si>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</si>
  <si>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</si>
  <si>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</si>
  <si>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</si>
  <si>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</si>
  <si>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</si>
  <si>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</si>
  <si>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</si>
  <si>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</si>
  <si>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</si>
  <si>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</si>
  <si>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</si>
  <si>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</si>
  <si>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</si>
  <si>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</si>
  <si>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</si>
  <si>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</si>
  <si>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</si>
  <si>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</si>
  <si>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</si>
  <si>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</si>
  <si>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</si>
  <si>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</si>
  <si>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</si>
  <si>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</si>
  <si>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</si>
  <si>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</si>
  <si>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</si>
  <si>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</si>
  <si>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</si>
  <si>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</si>
  <si>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</si>
  <si>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</si>
  <si>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</si>
  <si>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</si>
  <si>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</si>
  <si>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</si>
  <si>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</si>
  <si>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</si>
  <si>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</si>
  <si>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</si>
  <si>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</si>
  <si>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</si>
  <si>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</si>
  <si>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</si>
  <si>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</si>
  <si>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</si>
  <si>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</si>
  <si>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</si>
  <si>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</si>
  <si>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</si>
  <si>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</si>
  <si>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</si>
  <si>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</si>
  <si>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</si>
  <si>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</si>
  <si>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</si>
  <si>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</si>
  <si>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</si>
  <si>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</si>
  <si>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</si>
  <si>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</si>
  <si>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</si>
  <si>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</si>
  <si>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</si>
  <si>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</si>
  <si>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</si>
  <si>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</si>
  <si>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</si>
  <si>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</si>
  <si>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</si>
  <si>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</si>
  <si>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</si>
  <si>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</si>
  <si>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</si>
  <si>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</si>
  <si>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</si>
  <si>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</si>
  <si>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</si>
  <si>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</si>
  <si>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</si>
  <si>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</si>
  <si>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</si>
  <si>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</si>
  <si>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</si>
  <si>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</si>
  <si>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</si>
  <si>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</si>
  <si>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</si>
  <si>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</si>
  <si>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</si>
  <si>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</si>
  <si>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</si>
  <si>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</si>
  <si>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</si>
  <si>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</si>
  <si>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</si>
  <si>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</si>
  <si>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</si>
  <si>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</si>
  <si>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</si>
  <si>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</si>
  <si>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</si>
  <si>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</si>
  <si>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</si>
  <si>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</si>
  <si>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</si>
  <si>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</si>
  <si>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</si>
  <si>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</si>
  <si>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</si>
  <si>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</si>
  <si>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</si>
  <si>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</si>
  <si>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</si>
  <si>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</si>
  <si>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</si>
  <si>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</si>
  <si>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</si>
  <si>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</si>
  <si>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</si>
  <si>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</si>
  <si>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</si>
  <si>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</si>
  <si>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</si>
  <si>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</si>
  <si>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</si>
  <si>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</si>
  <si>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</si>
  <si>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</si>
  <si>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</si>
  <si>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</si>
  <si>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</si>
  <si>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</si>
  <si>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</si>
  <si>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</si>
  <si>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</si>
  <si>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</si>
  <si>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</si>
  <si>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</si>
  <si>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</si>
  <si>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</si>
  <si>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</si>
  <si>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</si>
  <si>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</si>
  <si>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</si>
  <si>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</si>
  <si>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</si>
  <si>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</si>
  <si>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</si>
  <si>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</si>
  <si>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</si>
  <si>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</si>
  <si>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</si>
  <si>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</si>
  <si>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</si>
  <si>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</si>
  <si>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</si>
  <si>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</si>
  <si>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</si>
  <si>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</si>
  <si>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</si>
  <si>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</si>
  <si>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</si>
  <si>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</si>
  <si>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</si>
  <si>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</si>
  <si>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</si>
  <si>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</si>
  <si>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</si>
  <si>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</si>
  <si>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</si>
  <si>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</si>
  <si>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</si>
  <si>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</si>
  <si>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</si>
  <si>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</si>
  <si>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</si>
  <si>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</si>
  <si>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</si>
  <si>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</si>
  <si>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</si>
  <si>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</si>
  <si>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</si>
  <si>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</si>
  <si>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</si>
  <si>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</si>
  <si>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</si>
  <si>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</si>
  <si>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</si>
  <si>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</si>
  <si>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</si>
  <si>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</si>
  <si>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</si>
  <si>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</si>
  <si>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</si>
  <si>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</si>
  <si>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</si>
  <si>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</si>
  <si>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</si>
  <si>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</si>
  <si>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</si>
  <si>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</si>
  <si>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</si>
  <si>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</si>
  <si>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</si>
  <si>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</si>
  <si>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</si>
  <si>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</si>
  <si>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</si>
  <si>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</si>
  <si>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</si>
  <si>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</si>
  <si>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</si>
  <si>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</si>
  <si>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</si>
  <si>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</si>
  <si>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</si>
  <si>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</si>
  <si>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</si>
  <si>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</si>
  <si>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</si>
  <si>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</si>
  <si>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</si>
  <si>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</si>
  <si>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</si>
  <si>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</si>
  <si>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</si>
  <si>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</si>
  <si>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</si>
  <si>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</si>
  <si>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</si>
  <si>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</si>
  <si>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</si>
  <si>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</si>
  <si>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</si>
  <si>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</si>
  <si>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</si>
  <si>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</si>
  <si>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</si>
  <si>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</si>
  <si>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</si>
  <si>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</si>
  <si>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</si>
  <si>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</si>
  <si>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</si>
  <si>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</si>
  <si>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</si>
  <si>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</si>
  <si>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</si>
  <si>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</si>
  <si>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</si>
  <si>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</si>
  <si>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</si>
  <si>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</si>
  <si>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</si>
  <si>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</si>
  <si>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</si>
  <si>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</si>
  <si>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</si>
  <si>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</si>
  <si>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</si>
  <si>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</si>
  <si>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</si>
  <si>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</si>
  <si>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</si>
  <si>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</si>
  <si>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</si>
  <si>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</si>
  <si>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</si>
  <si>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</si>
  <si>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</si>
  <si>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</si>
  <si>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</si>
  <si>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</si>
  <si>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</si>
  <si>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</si>
  <si>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</si>
  <si>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</si>
  <si>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</si>
  <si>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</si>
  <si>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</si>
  <si>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</si>
  <si>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</si>
  <si>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</si>
  <si>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</si>
  <si>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</si>
  <si>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</si>
  <si>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</si>
  <si>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</si>
  <si>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</si>
  <si>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</si>
  <si>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</si>
  <si>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</si>
  <si>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</si>
  <si>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</si>
  <si>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</si>
  <si>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</si>
  <si>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</si>
  <si>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</si>
  <si>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</si>
  <si>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</si>
  <si>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</si>
  <si>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</si>
  <si>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</si>
  <si>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</si>
  <si>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</si>
  <si>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</si>
  <si>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</si>
  <si>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</si>
  <si>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</si>
  <si>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</si>
  <si>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</si>
  <si>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</si>
  <si>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</si>
  <si>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</si>
  <si>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</si>
  <si>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</si>
  <si>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</si>
  <si>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</si>
  <si>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</si>
  <si>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</si>
  <si>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</si>
  <si>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</si>
  <si>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</si>
  <si>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</si>
  <si>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</si>
  <si>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</si>
  <si>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</si>
  <si>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</si>
  <si>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</si>
  <si>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</si>
  <si>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</si>
  <si>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</si>
  <si>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</si>
  <si>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</si>
  <si>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</si>
  <si>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</si>
  <si>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</si>
  <si>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</si>
  <si>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</si>
  <si>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</si>
  <si>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</si>
  <si>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</si>
  <si>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</si>
  <si>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</si>
  <si>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</si>
  <si>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</si>
  <si>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</si>
  <si>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</si>
  <si>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</si>
  <si>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</si>
  <si>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</si>
  <si>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</si>
  <si>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</si>
  <si>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</si>
  <si>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</si>
  <si>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</si>
  <si>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</si>
  <si>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</si>
  <si>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</si>
  <si>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</si>
  <si>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</si>
  <si>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</si>
  <si>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</si>
  <si>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</si>
  <si>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</si>
  <si>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</si>
  <si>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</si>
  <si>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</si>
  <si>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</si>
  <si>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</si>
  <si>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</si>
  <si>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</si>
  <si>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</si>
  <si>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</si>
  <si>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</si>
  <si>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</si>
  <si>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</si>
  <si>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</si>
  <si>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</si>
  <si>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</si>
  <si>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</si>
  <si>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</si>
  <si>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</si>
  <si>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</si>
  <si>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</si>
  <si>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</si>
  <si>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</si>
  <si>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</si>
  <si>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</si>
  <si>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</si>
  <si>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</si>
  <si>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</si>
  <si>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</si>
  <si>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</si>
  <si>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</si>
  <si>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</si>
  <si>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</si>
  <si>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</si>
  <si>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</si>
  <si>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</si>
  <si>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</si>
  <si>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</si>
  <si>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</si>
  <si>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</si>
  <si>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</si>
  <si>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</si>
  <si>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</si>
  <si>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</si>
  <si>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</si>
  <si>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</si>
  <si>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</si>
  <si>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</si>
  <si>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</si>
  <si>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</si>
  <si>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</si>
  <si>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</si>
  <si>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</si>
  <si>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</si>
  <si>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</si>
  <si>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</si>
  <si>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</si>
  <si>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</si>
  <si>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</si>
  <si>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</si>
  <si>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</si>
  <si>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</si>
  <si>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</si>
  <si>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</si>
  <si>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</si>
  <si>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</si>
  <si>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</si>
  <si>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</si>
  <si>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</si>
  <si>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</si>
  <si>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</si>
  <si>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</si>
  <si>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</si>
  <si>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</si>
  <si>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</si>
  <si>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</si>
  <si>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</si>
  <si>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</si>
  <si>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</si>
  <si>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</si>
  <si>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</si>
  <si>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</si>
  <si>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</si>
  <si>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</si>
  <si>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</si>
  <si>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</si>
  <si>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</si>
  <si>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</si>
  <si>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</si>
  <si>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</si>
  <si>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</si>
  <si>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</si>
  <si>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</si>
  <si>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</si>
  <si>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</si>
  <si>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</si>
  <si>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</si>
  <si>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</si>
  <si>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</si>
  <si>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</si>
  <si>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</si>
  <si>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</si>
  <si>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</si>
  <si>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</si>
  <si>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</si>
  <si>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</si>
  <si>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</si>
  <si>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</si>
  <si>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</si>
  <si>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</si>
  <si>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</si>
  <si>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</si>
  <si>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</si>
  <si>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</si>
  <si>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</si>
  <si>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</si>
  <si>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</si>
  <si>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</si>
  <si>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</si>
  <si>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</si>
  <si>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</si>
  <si>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</si>
  <si>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</si>
  <si>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</si>
  <si>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</si>
  <si>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</si>
  <si>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</si>
  <si>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</si>
  <si>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</si>
  <si>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</si>
  <si>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</si>
  <si>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</si>
  <si>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</si>
  <si>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</si>
  <si>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</si>
  <si>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</si>
  <si>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</si>
  <si>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</si>
  <si>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</si>
  <si>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</si>
  <si>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</si>
  <si>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</si>
  <si>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</si>
  <si>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</si>
  <si>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</si>
  <si>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</si>
  <si>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</si>
  <si>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</si>
  <si>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</si>
  <si>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</si>
  <si>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</si>
  <si>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</si>
  <si>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</si>
  <si>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</si>
  <si>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</si>
  <si>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</si>
  <si>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</si>
  <si>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</si>
  <si>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</si>
  <si>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</si>
  <si>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</si>
  <si>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</si>
  <si>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</si>
  <si>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</si>
  <si>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</si>
  <si>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</si>
  <si>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</si>
  <si>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</si>
  <si>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</si>
  <si>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</si>
  <si>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</si>
  <si>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</si>
  <si>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</si>
  <si>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</si>
  <si>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</si>
  <si>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</si>
  <si>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</si>
  <si>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</si>
  <si>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</si>
  <si>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</si>
  <si>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</si>
  <si>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</si>
  <si>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</si>
  <si>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</si>
  <si>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</si>
  <si>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</si>
  <si>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</si>
  <si>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</si>
  <si>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</si>
  <si>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</si>
  <si>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</si>
  <si>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</si>
  <si>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</si>
  <si>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</si>
  <si>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</si>
  <si>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</si>
  <si>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</si>
  <si>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</si>
  <si>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</si>
  <si>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</si>
  <si>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</si>
  <si>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</si>
  <si>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</si>
  <si>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</si>
  <si>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</si>
  <si>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</si>
  <si>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</si>
  <si>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</si>
  <si>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</si>
  <si>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</si>
  <si>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</si>
  <si>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</si>
  <si>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</si>
  <si>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</si>
  <si>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</si>
  <si>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</si>
  <si>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</si>
  <si>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</si>
  <si>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</si>
  <si>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</si>
  <si>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</si>
  <si>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</si>
  <si>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</si>
  <si>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</si>
  <si>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</si>
  <si>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</si>
  <si>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</si>
  <si>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</si>
  <si>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</si>
  <si>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</si>
  <si>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</si>
  <si>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</si>
  <si>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</si>
  <si>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</si>
  <si>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</si>
  <si>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</si>
  <si>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</si>
  <si>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</si>
  <si>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</si>
  <si>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</si>
  <si>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</si>
  <si>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</si>
  <si>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</si>
  <si>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</si>
  <si>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</si>
  <si>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</si>
  <si>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</si>
  <si>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</si>
  <si>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</si>
  <si>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</si>
  <si>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</si>
  <si>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</si>
  <si>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</si>
  <si>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</si>
  <si>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</si>
  <si>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</si>
  <si>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</si>
  <si>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</si>
  <si>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</si>
  <si>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</si>
  <si>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</si>
  <si>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</si>
  <si>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</si>
  <si>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</si>
  <si>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</si>
  <si>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</si>
  <si>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</si>
  <si>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</si>
  <si>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</si>
  <si>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</si>
  <si>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</si>
  <si>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</si>
  <si>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</si>
  <si>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</si>
  <si>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</si>
  <si>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</si>
  <si>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</si>
  <si>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</si>
  <si>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</si>
  <si>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</si>
  <si>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</si>
  <si>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</si>
  <si>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</si>
  <si>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</si>
  <si>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</si>
  <si>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</si>
  <si>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</si>
  <si>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</si>
  <si>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</si>
  <si>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</si>
  <si>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</si>
  <si>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</si>
  <si>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</si>
  <si>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</si>
  <si>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</si>
  <si>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</si>
  <si>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</si>
  <si>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</si>
  <si>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</si>
  <si>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</si>
  <si>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</si>
  <si>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</si>
  <si>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</si>
  <si>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</si>
  <si>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</si>
  <si>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</si>
  <si>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</si>
  <si>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</si>
  <si>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</si>
  <si>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</si>
  <si>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</si>
  <si>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</si>
  <si>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</si>
  <si>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</si>
  <si>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</si>
  <si>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</si>
  <si>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</si>
  <si>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</si>
  <si>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</si>
  <si>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</si>
  <si>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</si>
  <si>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</si>
  <si>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</si>
  <si>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</si>
  <si>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</si>
  <si>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</si>
  <si>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</si>
  <si>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</si>
  <si>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</si>
  <si>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</si>
  <si>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</si>
  <si>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</si>
  <si>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</si>
  <si>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</si>
  <si>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</si>
  <si>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</si>
  <si>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</si>
  <si>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</si>
  <si>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</si>
  <si>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</si>
  <si>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</si>
  <si>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</si>
  <si>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</si>
  <si>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</si>
  <si>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</si>
  <si>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</si>
  <si>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</si>
  <si>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</si>
  <si>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</si>
  <si>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</si>
  <si>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</si>
  <si>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</si>
  <si>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</si>
  <si>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</si>
  <si>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</si>
  <si>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</si>
  <si>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</si>
  <si>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</si>
  <si>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</si>
  <si>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</si>
  <si>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</si>
  <si>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</si>
  <si>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</si>
  <si>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</si>
  <si>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</si>
  <si>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</si>
  <si>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</si>
  <si>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</si>
  <si>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</si>
  <si>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</si>
  <si>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</si>
  <si>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</si>
  <si>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</si>
  <si>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</si>
  <si>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</si>
  <si>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</si>
  <si>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</si>
  <si>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</si>
  <si>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</si>
  <si>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</si>
  <si>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</si>
  <si>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</si>
  <si>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</si>
  <si>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</si>
  <si>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</si>
  <si>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</si>
  <si>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</si>
  <si>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</si>
  <si>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</si>
  <si>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</si>
  <si>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</si>
  <si>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</si>
  <si>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</si>
  <si>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</si>
  <si>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</si>
  <si>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</si>
  <si>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</si>
  <si>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</si>
  <si>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</si>
  <si>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</si>
  <si>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</si>
  <si>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</si>
  <si>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</si>
  <si>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</si>
  <si>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</si>
  <si>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</si>
  <si>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</si>
  <si>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</si>
  <si>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</si>
  <si>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</si>
  <si>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</si>
  <si>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</si>
  <si>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</si>
  <si>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</si>
  <si>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</si>
  <si>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</si>
  <si>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</si>
  <si>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</si>
  <si>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</si>
  <si>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</si>
  <si>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</si>
  <si>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</si>
  <si>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</si>
  <si>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</si>
  <si>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</si>
  <si>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</si>
  <si>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</si>
  <si>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</si>
  <si>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</si>
  <si>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</si>
  <si>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</si>
  <si>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</si>
  <si>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</si>
  <si>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</si>
  <si>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</si>
  <si>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</si>
  <si>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</si>
  <si>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</si>
  <si>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</si>
  <si>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</si>
  <si>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</si>
  <si>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</si>
  <si>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</si>
  <si>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</si>
  <si>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</si>
  <si>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</si>
  <si>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</si>
  <si>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</si>
  <si>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</si>
  <si>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</si>
  <si>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</si>
  <si>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</si>
  <si>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</si>
  <si>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</si>
  <si>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</si>
  <si>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</si>
  <si>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</si>
  <si>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</si>
  <si>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</si>
  <si>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</si>
  <si>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</si>
  <si>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</si>
  <si>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</si>
  <si>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</si>
  <si>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</si>
  <si>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</si>
  <si>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</si>
  <si>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</si>
  <si>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</si>
  <si>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</si>
  <si>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</si>
  <si>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</si>
  <si>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</si>
  <si>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</si>
  <si>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</si>
  <si>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</si>
  <si>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</si>
  <si>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</si>
  <si>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</si>
  <si>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</si>
  <si>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</si>
  <si>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</si>
  <si>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</si>
  <si>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</si>
  <si>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</si>
  <si>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</si>
  <si>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</si>
  <si>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</si>
  <si>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</si>
  <si>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</si>
  <si>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</si>
  <si>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</si>
  <si>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</si>
  <si>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</si>
  <si>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</si>
  <si>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</si>
  <si>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</si>
  <si>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</si>
  <si>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</si>
  <si>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</si>
  <si>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</si>
  <si>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</si>
  <si>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</si>
  <si>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</si>
  <si>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</si>
  <si>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</si>
  <si>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</si>
  <si>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</si>
  <si>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</si>
  <si>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</si>
  <si>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</si>
  <si>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</si>
  <si>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</si>
  <si>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</si>
  <si>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</si>
  <si>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</si>
  <si>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</si>
  <si>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</si>
  <si>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</si>
  <si>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</si>
  <si>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</si>
  <si>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</si>
  <si>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</si>
  <si>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</si>
  <si>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</si>
  <si>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</si>
  <si>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</si>
  <si>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</si>
  <si>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</si>
  <si>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</si>
  <si>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</si>
  <si>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</si>
  <si>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</si>
  <si>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</si>
  <si>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</si>
  <si>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</si>
  <si>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</si>
  <si>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</si>
  <si>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</si>
  <si>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</si>
  <si>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</si>
  <si>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</si>
  <si>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</si>
  <si>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</si>
  <si>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</si>
  <si>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</si>
  <si>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</si>
  <si>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</si>
  <si>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</si>
  <si>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</si>
  <si>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</si>
  <si>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</si>
  <si>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</si>
  <si>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</si>
  <si>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</si>
  <si>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</si>
  <si>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</si>
  <si>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</si>
  <si>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</si>
  <si>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</si>
  <si>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</si>
  <si>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</si>
  <si>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</si>
  <si>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</si>
  <si>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</si>
  <si>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</si>
  <si>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</si>
  <si>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</si>
  <si>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</si>
  <si>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</si>
  <si>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</si>
  <si>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</si>
  <si>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</si>
  <si>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</si>
  <si>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</si>
  <si>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</si>
  <si>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</si>
  <si>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</si>
  <si>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</si>
  <si>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</si>
  <si>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</si>
  <si>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</si>
  <si>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</si>
  <si>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</si>
  <si>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</si>
  <si>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</si>
  <si>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</si>
  <si>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</si>
  <si>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</si>
  <si>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</si>
  <si>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</si>
  <si>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</si>
  <si>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</si>
  <si>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</si>
  <si>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</si>
  <si>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</si>
  <si>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</si>
  <si>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</si>
  <si>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</si>
  <si>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</si>
  <si>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</si>
  <si>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</si>
  <si>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</si>
  <si>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</si>
  <si>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</si>
  <si>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</si>
  <si>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</si>
  <si>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</si>
  <si>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</si>
  <si>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</si>
  <si>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</si>
  <si>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</si>
  <si>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</si>
  <si>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</si>
  <si>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</si>
  <si>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</si>
  <si>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</si>
  <si>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</si>
  <si>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</si>
  <si>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</si>
  <si>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</si>
  <si>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</si>
  <si>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</si>
  <si>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</si>
  <si>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</si>
  <si>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</si>
  <si>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</si>
  <si>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</si>
  <si>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</si>
  <si>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</si>
  <si>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</si>
  <si>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</si>
  <si>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</si>
  <si>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</si>
  <si>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</si>
  <si>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</si>
  <si>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</si>
  <si>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</si>
  <si>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</si>
  <si>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</si>
  <si>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</si>
  <si>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</si>
  <si>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</si>
  <si>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</si>
  <si>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</si>
  <si>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</si>
  <si>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</si>
  <si>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</si>
  <si>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</si>
  <si>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</si>
  <si>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</si>
  <si>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</si>
  <si>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</si>
  <si>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</si>
  <si>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</si>
  <si>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</si>
  <si>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</si>
  <si>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</si>
  <si>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</si>
  <si>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</si>
  <si>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5905</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</si>
  <si>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</si>
  <si>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</si>
  <si>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</si>
  <si>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</si>
  <si>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</si>
  <si>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</si>
  <si>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</si>
  <si>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</si>
  <si>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</si>
  <si>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</si>
  <si>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</si>
  <si>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</si>
  <si>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</si>
  <si>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</si>
  <si>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</si>
  <si>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</si>
  <si>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</si>
  <si>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</si>
  <si>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</si>
  <si>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</si>
  <si>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</si>
  <si>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</si>
  <si>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</si>
  <si>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</si>
  <si>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</si>
  <si>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</si>
  <si>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</si>
  <si>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</si>
  <si>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</si>
  <si>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</si>
  <si>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</si>
  <si>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</si>
  <si>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</si>
  <si>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</si>
  <si>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</si>
  <si>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</si>
  <si>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</si>
  <si>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</si>
  <si>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</si>
  <si>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</si>
  <si>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</si>
  <si>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</si>
  <si>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</si>
  <si>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</si>
  <si>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</si>
  <si>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</si>
  <si>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</si>
  <si>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</si>
  <si>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</si>
  <si>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</si>
  <si>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</si>
  <si>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</si>
  <si>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</si>
  <si>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</si>
  <si>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</si>
  <si>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</si>
  <si>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</si>
  <si>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</si>
  <si>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</si>
  <si>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</si>
  <si>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</si>
  <si>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</si>
  <si>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</si>
  <si>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</si>
  <si>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</si>
  <si>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</si>
  <si>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</si>
  <si>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</si>
  <si>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</si>
  <si>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</si>
  <si>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</si>
  <si>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</si>
  <si>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</si>
  <si>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</si>
  <si>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</si>
  <si>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</si>
  <si>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</si>
  <si>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</si>
  <si>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</si>
  <si>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</si>
  <si>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</si>
  <si>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</si>
  <si>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</si>
  <si>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</si>
  <si>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</si>
  <si>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</si>
  <si>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</si>
  <si>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</si>
  <si>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</si>
  <si>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</si>
  <si>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</si>
  <si>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</si>
  <si>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</si>
  <si>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</si>
  <si>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</si>
  <si>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</si>
  <si>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</si>
  <si>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</si>
  <si>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</si>
  <si>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</si>
  <si>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</si>
  <si>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</si>
  <si>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</si>
  <si>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</si>
  <si>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</si>
  <si>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</si>
  <si>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</si>
  <si>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</si>
  <si>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</si>
  <si>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</si>
  <si>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</si>
  <si>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</si>
  <si>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</si>
  <si>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</si>
  <si>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</si>
  <si>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</si>
  <si>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</si>
  <si>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</si>
  <si>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</si>
  <si>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</si>
  <si>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</si>
  <si>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</si>
  <si>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</si>
  <si>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</si>
  <si>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</si>
  <si>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</si>
  <si>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</si>
  <si>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</si>
  <si>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</si>
  <si>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</si>
  <si>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</si>
  <si>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</si>
  <si>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</si>
  <si>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</si>
  <si>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</si>
  <si>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</si>
  <si>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</si>
  <si>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</si>
  <si>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</si>
  <si>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</si>
  <si>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</si>
  <si>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</si>
  <si>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</si>
  <si>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</si>
  <si>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</si>
  <si>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</si>
  <si>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</si>
  <si>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</si>
  <si>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</si>
  <si>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</si>
  <si>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</si>
  <si>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</si>
  <si>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</si>
  <si>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</si>
  <si>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</si>
  <si>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</si>
  <si>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</si>
  <si>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</si>
  <si>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</si>
  <si>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</si>
  <si>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</si>
  <si>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</si>
  <si>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</si>
  <si>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</si>
  <si>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</si>
  <si>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</si>
  <si>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</si>
  <si>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</si>
  <si>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</si>
  <si>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</si>
  <si>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</si>
  <si>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</si>
  <si>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</si>
  <si>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</si>
  <si>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</si>
  <si>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</si>
  <si>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</si>
  <si>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</si>
  <si>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</si>
  <si>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</si>
  <si>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</si>
  <si>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</si>
  <si>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</si>
  <si>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</si>
  <si>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</si>
  <si>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</si>
  <si>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</si>
  <si>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</si>
  <si>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</si>
  <si>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</si>
  <si>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</si>
  <si>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</si>
  <si>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</si>
  <si>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</si>
  <si>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</si>
  <si>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</si>
  <si>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</si>
  <si>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</si>
  <si>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</si>
  <si>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</si>
  <si>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</si>
  <si>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</si>
  <si>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</si>
  <si>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</si>
  <si>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</si>
  <si>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</si>
  <si>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</si>
  <si>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</si>
  <si>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</si>
  <si>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</si>
  <si>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</si>
  <si>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</si>
  <si>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</si>
  <si>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</si>
  <si>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</si>
  <si>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</si>
  <si>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</si>
  <si>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</si>
  <si>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</si>
  <si>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</si>
  <si>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</si>
  <si>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</si>
  <si>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</si>
  <si>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</si>
  <si>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</si>
  <si>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</si>
  <si>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5878</t>
  </si>
  <si>
    <t>34</t>
  </si>
  <si>
    <t>36.86</t>
  </si>
  <si>
    <t>2:12.17</t>
  </si>
  <si>
    <t>1:09.44</t>
  </si>
  <si>
    <t>38.69</t>
  </si>
  <si>
    <r>
      <rPr>
        <color rgb="FF000000"/>
        <sz val="9.0"/>
        <u/>
      </rPr>
      <t>49.4</t>
    </r>
    <r>
      <rPr>
        <color rgb="FF000000"/>
        <sz val="9.0"/>
      </rPr>
      <t>5</t>
    </r>
  </si>
  <si>
    <t>16.84</t>
  </si>
  <si>
    <t>14.50</t>
  </si>
  <si>
    <t>30.23</t>
  </si>
  <si>
    <t>18.09</t>
  </si>
  <si>
    <t>50.40</t>
  </si>
  <si>
    <t>32.44</t>
  </si>
  <si>
    <t>1:18.32</t>
  </si>
  <si>
    <t>12.59</t>
  </si>
  <si>
    <t>1:30.86</t>
  </si>
  <si>
    <t>23.93</t>
  </si>
  <si>
    <t>1:59.69</t>
  </si>
  <si>
    <t>2:31.61</t>
  </si>
  <si>
    <t>32.58</t>
  </si>
  <si>
    <t>1:30.75</t>
  </si>
  <si>
    <t>15.80</t>
  </si>
  <si>
    <t>41.60</t>
  </si>
  <si>
    <t>44.69</t>
  </si>
  <si>
    <t>2:17.46</t>
  </si>
  <si>
    <t>1:15.67</t>
  </si>
  <si>
    <t>31.26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</si>
  <si>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</si>
  <si>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</si>
  <si>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</si>
  <si>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</si>
  <si>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</si>
  <si>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</si>
  <si>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</si>
  <si>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</si>
  <si>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</si>
  <si>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</si>
  <si>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</si>
  <si>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</si>
  <si>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</si>
  <si>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</si>
  <si>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</si>
  <si>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</si>
  <si>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</si>
  <si>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</si>
  <si>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</si>
  <si>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</si>
  <si>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</si>
  <si>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</si>
  <si>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</si>
  <si>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</si>
  <si>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</si>
  <si>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</si>
  <si>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</si>
  <si>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</si>
  <si>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</si>
  <si>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</si>
  <si>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</si>
  <si>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</si>
  <si>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</si>
  <si>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</si>
  <si>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</si>
  <si>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</si>
  <si>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</si>
  <si>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</si>
  <si>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</si>
  <si>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</si>
  <si>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</si>
  <si>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</si>
  <si>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</si>
  <si>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</si>
  <si>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</si>
  <si>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</si>
  <si>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</si>
  <si>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</si>
  <si>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</si>
  <si>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</si>
  <si>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</si>
  <si>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</si>
  <si>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</si>
  <si>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</si>
  <si>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</si>
  <si>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</si>
  <si>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</si>
  <si>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</si>
  <si>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</si>
  <si>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</si>
  <si>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</si>
  <si>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</si>
  <si>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</si>
  <si>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</si>
  <si>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</si>
  <si>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</si>
  <si>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</si>
  <si>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</si>
  <si>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</si>
  <si>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</si>
  <si>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</si>
  <si>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</si>
  <si>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</si>
  <si>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</si>
  <si>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</si>
  <si>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</si>
  <si>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</si>
  <si>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</si>
  <si>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</si>
  <si>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</si>
  <si>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</si>
  <si>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</si>
  <si>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</si>
  <si>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</si>
  <si>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</si>
  <si>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</si>
  <si>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</si>
  <si>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</si>
  <si>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</si>
  <si>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</si>
  <si>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</si>
  <si>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</si>
  <si>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</si>
  <si>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</si>
  <si>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</si>
  <si>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</si>
  <si>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</si>
  <si>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</si>
  <si>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</si>
  <si>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</si>
  <si>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</si>
  <si>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</si>
  <si>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</si>
  <si>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</si>
  <si>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</si>
  <si>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</si>
  <si>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</si>
  <si>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</si>
  <si>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</si>
  <si>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</si>
  <si>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</si>
  <si>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</si>
  <si>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</si>
  <si>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</si>
  <si>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</si>
  <si>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</si>
  <si>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</si>
  <si>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</si>
  <si>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</si>
  <si>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</si>
  <si>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</si>
  <si>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</si>
  <si>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</si>
  <si>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</si>
  <si>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</si>
  <si>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</si>
  <si>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</si>
  <si>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</si>
  <si>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</si>
  <si>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</si>
  <si>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</si>
  <si>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</si>
  <si>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</si>
  <si>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</si>
  <si>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</si>
  <si>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</si>
  <si>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</si>
  <si>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</si>
  <si>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</si>
  <si>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</si>
  <si>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</si>
  <si>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</si>
  <si>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</si>
  <si>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</si>
  <si>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</si>
  <si>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</si>
  <si>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</si>
  <si>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</si>
  <si>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</si>
  <si>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</si>
  <si>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</si>
  <si>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</si>
  <si>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</si>
  <si>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</si>
  <si>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</si>
  <si>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</si>
  <si>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</si>
  <si>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</si>
  <si>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</si>
  <si>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</si>
  <si>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</si>
  <si>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</si>
  <si>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</si>
  <si>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</si>
  <si>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</si>
  <si>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</si>
  <si>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</si>
  <si>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</si>
  <si>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</si>
  <si>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</si>
  <si>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</si>
  <si>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</si>
  <si>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</si>
  <si>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</si>
  <si>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</si>
  <si>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</si>
  <si>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</si>
  <si>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</si>
  <si>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</si>
  <si>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</si>
  <si>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</si>
  <si>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</si>
  <si>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</si>
  <si>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</si>
  <si>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</si>
  <si>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</si>
  <si>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</si>
  <si>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</si>
  <si>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</si>
  <si>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</si>
  <si>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</si>
  <si>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</si>
  <si>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</si>
  <si>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</si>
  <si>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</si>
  <si>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</si>
  <si>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</si>
  <si>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</si>
  <si>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</si>
  <si>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</si>
  <si>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</si>
  <si>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</si>
  <si>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</si>
  <si>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</si>
  <si>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</si>
  <si>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</si>
  <si>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</si>
  <si>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</si>
  <si>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</si>
  <si>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</si>
  <si>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</si>
  <si>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</si>
  <si>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</si>
  <si>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</si>
  <si>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</si>
  <si>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</si>
  <si>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</si>
  <si>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</si>
  <si>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</si>
  <si>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</si>
  <si>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</si>
  <si>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</si>
  <si>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</si>
  <si>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</si>
  <si>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</si>
  <si>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</si>
  <si>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</si>
  <si>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</si>
  <si>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</si>
  <si>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</si>
  <si>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</si>
  <si>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</si>
  <si>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</si>
  <si>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</si>
  <si>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</si>
  <si>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</si>
  <si>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</si>
  <si>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</si>
  <si>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</si>
  <si>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</si>
  <si>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</si>
  <si>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</si>
  <si>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</si>
  <si>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</si>
  <si>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</si>
  <si>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</si>
  <si>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</si>
  <si>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</si>
  <si>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</si>
  <si>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</si>
  <si>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</si>
  <si>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</si>
  <si>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</si>
  <si>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</si>
  <si>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</si>
  <si>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</si>
  <si>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</si>
  <si>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</si>
  <si>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</si>
  <si>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</si>
  <si>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</si>
  <si>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</si>
  <si>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</si>
  <si>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</si>
  <si>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</si>
  <si>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</si>
  <si>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</si>
  <si>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</si>
  <si>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</si>
  <si>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</si>
  <si>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</si>
  <si>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</si>
  <si>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</si>
  <si>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</si>
  <si>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</si>
  <si>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</si>
  <si>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</si>
  <si>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</si>
  <si>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</si>
  <si>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</si>
  <si>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</si>
  <si>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</si>
  <si>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</si>
  <si>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</si>
  <si>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</si>
  <si>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</si>
  <si>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</si>
  <si>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</si>
  <si>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</si>
  <si>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</si>
  <si>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</si>
  <si>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</si>
  <si>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</si>
  <si>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</si>
  <si>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</si>
  <si>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</si>
  <si>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</si>
  <si>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</si>
  <si>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</si>
  <si>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</si>
  <si>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</si>
  <si>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</si>
  <si>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</si>
  <si>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</si>
  <si>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</si>
  <si>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</si>
  <si>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</si>
  <si>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</si>
  <si>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</si>
  <si>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</si>
  <si>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</si>
  <si>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</si>
  <si>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</si>
  <si>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</si>
  <si>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</si>
  <si>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</si>
  <si>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</si>
  <si>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</si>
  <si>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</si>
  <si>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</si>
  <si>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</si>
  <si>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</si>
  <si>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</si>
  <si>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</si>
  <si>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</si>
  <si>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</si>
  <si>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</si>
  <si>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</si>
  <si>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</si>
  <si>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</si>
  <si>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</si>
  <si>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</si>
  <si>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</si>
  <si>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</si>
  <si>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</si>
  <si>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</si>
  <si>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</si>
  <si>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</si>
  <si>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</si>
  <si>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</si>
  <si>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</si>
  <si>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</si>
  <si>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</si>
  <si>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</si>
  <si>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</si>
  <si>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</si>
  <si>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</si>
  <si>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</si>
  <si>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</si>
  <si>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</si>
  <si>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</si>
  <si>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</si>
  <si>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</si>
  <si>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</si>
  <si>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</si>
  <si>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</si>
  <si>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</si>
  <si>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</si>
  <si>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</si>
  <si>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</si>
  <si>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</si>
  <si>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</si>
  <si>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</si>
  <si>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</si>
  <si>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</si>
  <si>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</si>
  <si>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</si>
  <si>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</si>
  <si>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</si>
  <si>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</si>
  <si>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</si>
  <si>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</si>
  <si>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</si>
  <si>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</si>
  <si>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</si>
  <si>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</si>
  <si>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</si>
  <si>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</si>
  <si>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</si>
  <si>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</si>
  <si>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</si>
  <si>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</si>
  <si>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</si>
  <si>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</si>
  <si>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</si>
  <si>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</si>
  <si>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</si>
  <si>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</si>
  <si>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</si>
  <si>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</si>
  <si>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</si>
  <si>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</si>
  <si>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</si>
  <si>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</si>
  <si>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</si>
  <si>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</si>
  <si>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</si>
  <si>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</si>
  <si>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</si>
  <si>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</si>
  <si>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</si>
  <si>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</si>
  <si>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</si>
  <si>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</si>
  <si>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</si>
  <si>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</si>
  <si>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</si>
  <si>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</si>
  <si>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</si>
  <si>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</si>
  <si>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</si>
  <si>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</si>
  <si>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</si>
  <si>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</si>
  <si>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</si>
  <si>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</si>
  <si>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</si>
  <si>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</si>
  <si>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</si>
  <si>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</si>
  <si>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</si>
  <si>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</si>
  <si>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</si>
  <si>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</si>
  <si>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</si>
  <si>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</si>
  <si>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</si>
  <si>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</si>
  <si>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</si>
  <si>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</si>
  <si>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</si>
  <si>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</si>
  <si>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</si>
  <si>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</si>
  <si>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</si>
  <si>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</si>
  <si>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</si>
  <si>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</si>
  <si>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</si>
  <si>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</si>
  <si>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</si>
  <si>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</si>
  <si>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</si>
  <si>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</si>
  <si>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</si>
  <si>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</si>
  <si>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</si>
  <si>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</si>
  <si>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</si>
  <si>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</si>
  <si>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</si>
  <si>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</si>
  <si>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</si>
  <si>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</si>
  <si>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</si>
  <si>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</si>
  <si>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</si>
  <si>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</si>
  <si>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</si>
  <si>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</si>
  <si>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</si>
  <si>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</si>
  <si>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</si>
  <si>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</si>
  <si>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</si>
  <si>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</si>
  <si>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</si>
  <si>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</si>
  <si>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</si>
  <si>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</si>
  <si>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</si>
  <si>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</si>
  <si>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</si>
  <si>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</si>
  <si>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</si>
  <si>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</si>
  <si>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</si>
  <si>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</si>
  <si>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</si>
  <si>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</si>
  <si>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</si>
  <si>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</si>
  <si>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</si>
  <si>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</si>
  <si>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</si>
  <si>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</si>
  <si>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</si>
  <si>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</si>
  <si>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</si>
  <si>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</si>
  <si>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</si>
  <si>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</si>
  <si>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</si>
  <si>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</si>
  <si>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</si>
  <si>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</si>
  <si>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</si>
  <si>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</si>
  <si>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</si>
  <si>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</si>
  <si>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</si>
  <si>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</si>
  <si>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</si>
  <si>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</si>
  <si>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</si>
  <si>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</si>
  <si>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</si>
  <si>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</si>
  <si>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</si>
  <si>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</si>
  <si>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</si>
  <si>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</si>
  <si>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</si>
  <si>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</si>
  <si>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</si>
  <si>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</si>
  <si>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</si>
  <si>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</si>
  <si>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</si>
  <si>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</si>
  <si>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</si>
  <si>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</si>
  <si>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</si>
  <si>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</si>
  <si>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</si>
  <si>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</si>
  <si>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</si>
  <si>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</si>
  <si>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</si>
  <si>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</si>
  <si>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</si>
  <si>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</si>
  <si>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</si>
  <si>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</si>
  <si>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</si>
  <si>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</si>
  <si>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</si>
  <si>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</si>
  <si>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</si>
  <si>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</si>
  <si>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</si>
  <si>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</si>
  <si>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</si>
  <si>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</si>
  <si>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</si>
  <si>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</si>
  <si>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</si>
  <si>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</si>
  <si>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</si>
  <si>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</si>
  <si>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</si>
  <si>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</si>
  <si>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</si>
  <si>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</si>
  <si>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</si>
  <si>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</si>
  <si>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</si>
  <si>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</si>
  <si>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</si>
  <si>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</si>
  <si>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</si>
  <si>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</si>
  <si>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</si>
  <si>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</si>
  <si>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</si>
  <si>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</si>
  <si>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</si>
  <si>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</si>
  <si>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</si>
  <si>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</si>
  <si>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</si>
  <si>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</si>
  <si>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</si>
  <si>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</si>
  <si>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</si>
  <si>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</si>
  <si>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</si>
  <si>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</si>
  <si>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</si>
  <si>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</si>
  <si>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</si>
  <si>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</si>
  <si>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</si>
  <si>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</si>
  <si>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</si>
  <si>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</si>
  <si>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</si>
  <si>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</si>
  <si>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</si>
  <si>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</si>
  <si>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</si>
  <si>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</si>
  <si>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</si>
  <si>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</si>
  <si>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</si>
  <si>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</si>
  <si>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</si>
  <si>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</si>
  <si>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</si>
  <si>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</si>
  <si>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</si>
  <si>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</si>
  <si>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</si>
  <si>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</si>
  <si>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</si>
  <si>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</si>
  <si>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</si>
  <si>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</si>
  <si>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</si>
  <si>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</si>
  <si>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</si>
  <si>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</si>
  <si>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</si>
  <si>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</si>
  <si>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</si>
  <si>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</si>
  <si>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</si>
  <si>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</si>
  <si>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</si>
  <si>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</si>
  <si>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</si>
  <si>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</si>
  <si>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</si>
  <si>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</si>
  <si>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</si>
  <si>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</si>
  <si>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</si>
  <si>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</si>
  <si>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</si>
  <si>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</si>
  <si>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</si>
  <si>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</si>
  <si>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</si>
  <si>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</si>
  <si>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</si>
  <si>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</si>
  <si>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</si>
  <si>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</si>
  <si>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</si>
  <si>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</si>
  <si>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</si>
  <si>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</si>
  <si>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</si>
  <si>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</si>
  <si>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</si>
  <si>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</si>
  <si>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</si>
  <si>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</si>
  <si>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</si>
  <si>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</si>
  <si>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</si>
  <si>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</si>
  <si>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</si>
  <si>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</si>
  <si>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</si>
  <si>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</si>
  <si>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</si>
  <si>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</si>
  <si>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</si>
  <si>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</si>
  <si>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</si>
  <si>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</si>
  <si>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</si>
  <si>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</si>
  <si>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</si>
  <si>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</si>
  <si>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</si>
  <si>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</si>
  <si>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</si>
  <si>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</si>
  <si>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</si>
  <si>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</si>
  <si>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</si>
  <si>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</si>
  <si>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</si>
  <si>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</si>
  <si>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</si>
  <si>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</si>
  <si>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</si>
  <si>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</si>
  <si>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</si>
  <si>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</si>
  <si>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</si>
  <si>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</si>
  <si>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</si>
  <si>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</si>
  <si>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</si>
  <si>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</si>
  <si>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</si>
  <si>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</si>
  <si>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</si>
  <si>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</si>
  <si>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</si>
  <si>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</si>
  <si>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</si>
  <si>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</si>
  <si>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</si>
  <si>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</si>
  <si>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</si>
  <si>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</si>
  <si>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</si>
  <si>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</si>
  <si>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</si>
  <si>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</si>
  <si>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</si>
  <si>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</si>
  <si>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</si>
  <si>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</si>
  <si>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</si>
  <si>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</si>
  <si>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</si>
  <si>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</si>
  <si>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</si>
  <si>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</si>
  <si>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</si>
  <si>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</si>
  <si>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</si>
  <si>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</si>
  <si>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</si>
  <si>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</si>
  <si>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</si>
  <si>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</si>
  <si>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</si>
  <si>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</si>
  <si>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</si>
  <si>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</si>
  <si>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</si>
  <si>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</si>
  <si>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</si>
  <si>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</si>
  <si>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</si>
  <si>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</si>
  <si>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</si>
  <si>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</si>
  <si>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</si>
  <si>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</si>
  <si>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</si>
  <si>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</si>
  <si>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</si>
  <si>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</si>
  <si>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</si>
  <si>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</si>
  <si>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</si>
  <si>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</si>
  <si>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</si>
  <si>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</si>
  <si>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</si>
  <si>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</si>
  <si>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</si>
  <si>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</si>
  <si>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</si>
  <si>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</si>
  <si>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</si>
  <si>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</si>
  <si>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</si>
  <si>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</si>
  <si>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</si>
  <si>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</si>
  <si>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</si>
  <si>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</si>
  <si>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</si>
  <si>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</si>
  <si>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</si>
  <si>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</si>
  <si>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</si>
  <si>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</si>
  <si>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</si>
  <si>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</si>
  <si>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</si>
  <si>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</si>
  <si>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</si>
  <si>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</si>
  <si>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</si>
  <si>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</si>
  <si>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</si>
  <si>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</si>
  <si>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</si>
  <si>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</si>
  <si>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</si>
  <si>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</si>
  <si>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</si>
  <si>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</si>
  <si>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</si>
  <si>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</si>
  <si>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</si>
  <si>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</si>
  <si>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</si>
  <si>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</si>
  <si>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</si>
  <si>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</si>
  <si>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</si>
  <si>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</si>
  <si>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</si>
  <si>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</si>
  <si>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</si>
  <si>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</si>
  <si>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</si>
  <si>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</si>
  <si>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</si>
  <si>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</si>
  <si>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</si>
  <si>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</si>
  <si>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</si>
  <si>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</si>
  <si>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</si>
  <si>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</si>
  <si>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</si>
  <si>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</si>
  <si>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</si>
  <si>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</si>
  <si>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</si>
  <si>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</si>
  <si>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</si>
  <si>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</si>
  <si>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</si>
  <si>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</si>
  <si>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</si>
  <si>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</si>
  <si>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</si>
  <si>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</si>
  <si>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</si>
  <si>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</si>
  <si>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</si>
  <si>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</si>
  <si>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</si>
  <si>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</si>
  <si>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</si>
  <si>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</si>
  <si>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</si>
  <si>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</si>
  <si>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</si>
  <si>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</si>
  <si>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</si>
  <si>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</si>
  <si>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</si>
  <si>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</si>
  <si>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</si>
  <si>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</si>
  <si>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</si>
  <si>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</si>
  <si>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</si>
  <si>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</si>
  <si>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</si>
  <si>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</si>
  <si>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</si>
  <si>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</si>
  <si>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</si>
  <si>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</si>
  <si>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</si>
  <si>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</si>
  <si>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</si>
  <si>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</si>
  <si>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</si>
  <si>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</si>
  <si>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</si>
  <si>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</si>
  <si>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</si>
  <si>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</si>
  <si>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</si>
  <si>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</si>
  <si>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</si>
  <si>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</si>
  <si>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</si>
  <si>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</si>
  <si>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</si>
  <si>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</si>
  <si>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</si>
  <si>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</si>
  <si>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</si>
  <si>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</si>
  <si>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</si>
  <si>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</si>
  <si>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</si>
  <si>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</si>
  <si>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</si>
  <si>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</si>
  <si>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4699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</si>
  <si>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</si>
  <si>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</si>
  <si>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</si>
  <si>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</si>
  <si>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</si>
  <si>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</si>
  <si>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</si>
  <si>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</si>
  <si>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</si>
  <si>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</si>
  <si>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</si>
  <si>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</si>
  <si>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</si>
  <si>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</si>
  <si>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</si>
  <si>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</si>
  <si>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</si>
  <si>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</si>
  <si>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</si>
  <si>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</si>
  <si>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</si>
  <si>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</si>
  <si>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</si>
  <si>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</si>
  <si>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</si>
  <si>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</si>
  <si>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</si>
  <si>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</si>
  <si>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</si>
  <si>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</si>
  <si>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</si>
  <si>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</si>
  <si>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</si>
  <si>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</si>
  <si>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</si>
  <si>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</si>
  <si>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</si>
  <si>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</si>
  <si>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</si>
  <si>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</si>
  <si>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</si>
  <si>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</si>
  <si>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</si>
  <si>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</si>
  <si>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</si>
  <si>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</si>
  <si>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</si>
  <si>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</si>
  <si>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</si>
  <si>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</si>
  <si>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</si>
  <si>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</si>
  <si>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</si>
  <si>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</si>
  <si>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</si>
  <si>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</si>
  <si>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</si>
  <si>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</si>
  <si>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</si>
  <si>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</si>
  <si>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</si>
  <si>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</si>
  <si>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</si>
  <si>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</si>
  <si>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</si>
  <si>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</si>
  <si>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</si>
  <si>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</si>
  <si>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</si>
  <si>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</si>
  <si>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</si>
  <si>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</si>
  <si>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</si>
  <si>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</si>
  <si>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</si>
  <si>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</si>
  <si>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</si>
  <si>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</si>
  <si>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</si>
  <si>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</si>
  <si>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</si>
  <si>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</si>
  <si>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</si>
  <si>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</si>
  <si>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</si>
  <si>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</si>
  <si>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</si>
  <si>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</si>
  <si>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</si>
  <si>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</si>
  <si>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</si>
  <si>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</si>
  <si>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</si>
  <si>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</si>
  <si>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</si>
  <si>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</si>
  <si>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</si>
  <si>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</si>
  <si>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</si>
  <si>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</si>
  <si>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</si>
  <si>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</si>
  <si>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</si>
  <si>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</si>
  <si>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</si>
  <si>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</si>
  <si>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</si>
  <si>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</si>
  <si>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</si>
  <si>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</si>
  <si>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</si>
  <si>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</si>
  <si>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</si>
  <si>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</si>
  <si>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</si>
  <si>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</si>
  <si>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</si>
  <si>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</si>
  <si>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</si>
  <si>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</si>
  <si>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</si>
  <si>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</si>
  <si>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</si>
  <si>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</si>
  <si>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</si>
  <si>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</si>
  <si>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</si>
  <si>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</si>
  <si>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</si>
  <si>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</si>
  <si>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</si>
  <si>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</si>
  <si>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</si>
  <si>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</si>
  <si>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</si>
  <si>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</si>
  <si>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</si>
  <si>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</si>
  <si>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</si>
  <si>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</si>
  <si>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</si>
  <si>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</si>
  <si>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</si>
  <si>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</si>
  <si>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</si>
  <si>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</si>
  <si>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</si>
  <si>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</si>
  <si>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</si>
  <si>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</si>
  <si>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</si>
  <si>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</si>
  <si>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</si>
  <si>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</si>
  <si>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</si>
  <si>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</si>
  <si>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</si>
  <si>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</si>
  <si>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</si>
  <si>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</si>
  <si>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</si>
  <si>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</si>
  <si>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</si>
  <si>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</si>
  <si>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</si>
  <si>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</si>
  <si>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</si>
  <si>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</si>
  <si>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</si>
  <si>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</si>
  <si>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</si>
  <si>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</si>
  <si>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</si>
  <si>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</si>
  <si>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</si>
  <si>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</si>
  <si>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</si>
  <si>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</si>
  <si>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</si>
  <si>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</si>
  <si>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</si>
  <si>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</si>
  <si>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</si>
  <si>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</si>
  <si>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</si>
  <si>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</si>
  <si>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</si>
  <si>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</si>
  <si>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</si>
  <si>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</si>
  <si>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</si>
  <si>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</si>
  <si>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</si>
  <si>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</si>
  <si>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</si>
  <si>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</si>
  <si>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</si>
  <si>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</si>
  <si>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</si>
  <si>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</si>
  <si>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</si>
  <si>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</si>
  <si>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</si>
  <si>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</si>
  <si>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</si>
  <si>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</si>
  <si>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</si>
  <si>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</si>
  <si>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</si>
  <si>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</si>
  <si>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</si>
  <si>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</si>
  <si>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</si>
  <si>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</si>
  <si>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</si>
  <si>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</si>
  <si>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</si>
  <si>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</si>
  <si>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</si>
  <si>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</si>
  <si>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</si>
  <si>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</si>
  <si>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</si>
  <si>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</si>
  <si>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</si>
  <si>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</si>
  <si>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</si>
  <si>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</si>
  <si>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</si>
  <si>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</si>
  <si>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</si>
  <si>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</si>
  <si>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</si>
  <si>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</si>
  <si>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</si>
  <si>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</si>
  <si>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</si>
  <si>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</si>
  <si>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</si>
  <si>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</si>
  <si>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</si>
  <si>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</si>
  <si>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</si>
  <si>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</si>
  <si>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</si>
  <si>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</si>
  <si>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</si>
  <si>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</si>
  <si>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</si>
  <si>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</si>
  <si>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</si>
  <si>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</si>
  <si>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</si>
  <si>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</si>
  <si>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</si>
  <si>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</si>
  <si>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</si>
  <si>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</si>
  <si>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</si>
  <si>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</si>
  <si>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</si>
  <si>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</si>
  <si>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</si>
  <si>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</si>
  <si>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</si>
  <si>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</si>
  <si>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</si>
  <si>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</si>
  <si>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</si>
  <si>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</si>
  <si>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</si>
  <si>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</si>
  <si>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</si>
  <si>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</si>
  <si>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</si>
  <si>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</si>
  <si>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</si>
  <si>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</si>
  <si>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</si>
  <si>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</si>
  <si>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</si>
  <si>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</si>
  <si>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</si>
  <si>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</si>
  <si>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</si>
  <si>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</si>
  <si>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</si>
  <si>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</si>
  <si>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</si>
  <si>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</si>
  <si>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</si>
  <si>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</si>
  <si>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</si>
  <si>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</si>
  <si>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</si>
  <si>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</si>
  <si>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</si>
  <si>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4235</t>
  </si>
  <si>
    <t>29</t>
  </si>
  <si>
    <t>50.97</t>
  </si>
  <si>
    <t>37.45</t>
  </si>
  <si>
    <t>2:21.86</t>
  </si>
  <si>
    <t>1:12.81</t>
  </si>
  <si>
    <t>40.29</t>
  </si>
  <si>
    <t>17.25</t>
  </si>
  <si>
    <t>43.68</t>
  </si>
  <si>
    <t>1:33.15</t>
  </si>
  <si>
    <t>40.34</t>
  </si>
  <si>
    <t>9.71</t>
  </si>
  <si>
    <t>27.46</t>
  </si>
  <si>
    <t>50.14</t>
  </si>
  <si>
    <t>1:27.86</t>
  </si>
  <si>
    <t>51.28</t>
  </si>
  <si>
    <t>54.89</t>
  </si>
  <si>
    <t>17.99</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</si>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</sst>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aGMhM9u6aE"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35lpY0B2fh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hiGJSHz1BA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modest_tomato/clip/AmazonianSincereChinchillaSSSsss-XG84eIbLtaW8n4cA?filter=clips&amp;range=all&amp;sort=tim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krSPU-0bWg"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H-hgBVDdP5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2SbVn5Coi2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www.twitch.tv/videos/216240957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ayZBt7K60e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0198941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00937332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OQId00skq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tfA20ORFXOA"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YpXg5eonyBw"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k5RDI6nw79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clips.twitch.tv/ConcernedBoxyOkapiLitty-If_2beSNl1Blwg-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940-hmnF3b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538524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RrJQMEHIAq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WiTRLXuuPT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XCkL-zmJur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2pTWUr4GnD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yY79WUdWII"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x.com/iusu_966/status/193316725960393972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7519468427501568"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eBRChBIMd2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TacitAbstemiousSquidPeanutButterJellyTime-rOXXsBM6dkX7u0o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HLT219rsv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twitter.com/tomato_modest/status/1453065418860646407"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twitter.com/tomato_modest/status/1436192421247950849"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958511766788268183"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x.com/iusu_966/status/189770173752983167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46890245917782034"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897265624499544490"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849252043333821"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75182292609011783"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7681727205343462"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R4IxK2k5dl0&amp;" TargetMode="External"/><Relationship Id="rId4041" Type="http://schemas.openxmlformats.org/officeDocument/2006/relationships/hyperlink" Target="https://www.youtube.com/watch?v=HPXO9760duU&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www.twitch.tv/videos/1249387882" TargetMode="External"/><Relationship Id="rId2303" Type="http://schemas.openxmlformats.org/officeDocument/2006/relationships/hyperlink" Target="https://youtu.be/J1J56aATSTk" TargetMode="External"/><Relationship Id="rId3633" Type="http://schemas.openxmlformats.org/officeDocument/2006/relationships/hyperlink" Target="https://youtu.be/1X1H4tLcTuE" TargetMode="External"/><Relationship Id="rId2304" Type="http://schemas.openxmlformats.org/officeDocument/2006/relationships/hyperlink" Target="https://youtu.be/PSzqdjJld2k" TargetMode="External"/><Relationship Id="rId3636" Type="http://schemas.openxmlformats.org/officeDocument/2006/relationships/hyperlink" Target="https://youtu.be/3UELneIbRvU" TargetMode="External"/><Relationship Id="rId2305" Type="http://schemas.openxmlformats.org/officeDocument/2006/relationships/hyperlink" Target="https://youtu.be/vr1swYWXvk8" TargetMode="External"/><Relationship Id="rId3635" Type="http://schemas.openxmlformats.org/officeDocument/2006/relationships/hyperlink" Target="https://youtu.be/bINNm5Aceek" TargetMode="External"/><Relationship Id="rId2306" Type="http://schemas.openxmlformats.org/officeDocument/2006/relationships/hyperlink" Target="https://youtu.be/Q6JTs1bKpa8" TargetMode="External"/><Relationship Id="rId3638" Type="http://schemas.openxmlformats.org/officeDocument/2006/relationships/hyperlink" Target="https://youtu.be/KV14OoM4Dw4" TargetMode="External"/><Relationship Id="rId2307" Type="http://schemas.openxmlformats.org/officeDocument/2006/relationships/hyperlink" Target="https://youtu.be/iHzY7gDup4c" TargetMode="External"/><Relationship Id="rId3637" Type="http://schemas.openxmlformats.org/officeDocument/2006/relationships/hyperlink" Target="https://youtu.be/d9DyDRTKOU8"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BTFIMcWwNGc" TargetMode="External"/><Relationship Id="rId3630" Type="http://schemas.openxmlformats.org/officeDocument/2006/relationships/hyperlink" Target="https://www.twitch.tv/videos/1564290677" TargetMode="External"/><Relationship Id="rId2300" Type="http://schemas.openxmlformats.org/officeDocument/2006/relationships/hyperlink" Target="https://youtu.be/TS0U7Mhv004" TargetMode="External"/><Relationship Id="rId3632" Type="http://schemas.openxmlformats.org/officeDocument/2006/relationships/hyperlink" Target="https://youtu.be/lyWm_9LlYOQ" TargetMode="External"/><Relationship Id="rId2301" Type="http://schemas.openxmlformats.org/officeDocument/2006/relationships/hyperlink" Target="https://youtu.be/kRh0isGoKvw" TargetMode="External"/><Relationship Id="rId3631" Type="http://schemas.openxmlformats.org/officeDocument/2006/relationships/hyperlink" Target="https://youtu.be/COIMShAaKdw" TargetMode="External"/><Relationship Id="rId3623" Type="http://schemas.openxmlformats.org/officeDocument/2006/relationships/hyperlink" Target="https://www.twitch.tv/videos/1221315070" TargetMode="External"/><Relationship Id="rId3622" Type="http://schemas.openxmlformats.org/officeDocument/2006/relationships/hyperlink" Target="https://youtu.be/o3BJ9s8uUxw" TargetMode="External"/><Relationship Id="rId3625" Type="http://schemas.openxmlformats.org/officeDocument/2006/relationships/hyperlink" Target="https://youtu.be/XTDyoF4Y4nU" TargetMode="External"/><Relationship Id="rId3624" Type="http://schemas.openxmlformats.org/officeDocument/2006/relationships/hyperlink" Target="https://youtu.be/WH0jcgZhuSk" TargetMode="External"/><Relationship Id="rId3627" Type="http://schemas.openxmlformats.org/officeDocument/2006/relationships/hyperlink" Target="https://www.twitch.tv/videos/1240610068" TargetMode="External"/><Relationship Id="rId3626" Type="http://schemas.openxmlformats.org/officeDocument/2006/relationships/hyperlink" Target="https://youtu.be/NL7okSeY5iY" TargetMode="External"/><Relationship Id="rId3629" Type="http://schemas.openxmlformats.org/officeDocument/2006/relationships/hyperlink" Target="https://youtu.be/2V-E1Ry_EdM" TargetMode="External"/><Relationship Id="rId3628" Type="http://schemas.openxmlformats.org/officeDocument/2006/relationships/hyperlink" Target="https://youtu.be/6mI4Vok80os" TargetMode="External"/><Relationship Id="rId3621" Type="http://schemas.openxmlformats.org/officeDocument/2006/relationships/hyperlink" Target="https://www.twitch.tv/videos/1239274480" TargetMode="External"/><Relationship Id="rId3620" Type="http://schemas.openxmlformats.org/officeDocument/2006/relationships/hyperlink" Target="https://youtu.be/HPS5N1Vmy6Q"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youtu.be/vf7LO_ZZhjw"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youtu.be/Y2cUppv-m-M" TargetMode="External"/><Relationship Id="rId2310" Type="http://schemas.openxmlformats.org/officeDocument/2006/relationships/hyperlink" Target="https://youtu.be/IzvKi65Ag5g" TargetMode="External"/><Relationship Id="rId3640" Type="http://schemas.openxmlformats.org/officeDocument/2006/relationships/hyperlink" Target="https://youtu.be/PVGqyyWrnSM" TargetMode="External"/><Relationship Id="rId2311" Type="http://schemas.openxmlformats.org/officeDocument/2006/relationships/hyperlink" Target="https://youtu.be/VEf959-p1qM" TargetMode="External"/><Relationship Id="rId3643" Type="http://schemas.openxmlformats.org/officeDocument/2006/relationships/hyperlink" Target="https://youtu.be/wutk4BplKqE" TargetMode="External"/><Relationship Id="rId2312" Type="http://schemas.openxmlformats.org/officeDocument/2006/relationships/hyperlink" Target="https://youtu.be/PU6YBKzjE_k" TargetMode="External"/><Relationship Id="rId3642" Type="http://schemas.openxmlformats.org/officeDocument/2006/relationships/hyperlink" Target="https://youtu.be/tHKISoTDxf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ZBw8HgqmYE4" TargetMode="External"/><Relationship Id="rId3611" Type="http://schemas.openxmlformats.org/officeDocument/2006/relationships/hyperlink" Target="https://www.twitch.tv/videos/1240610069" TargetMode="External"/><Relationship Id="rId3614" Type="http://schemas.openxmlformats.org/officeDocument/2006/relationships/hyperlink" Target="https://youtu.be/8lvROe5a3Fs" TargetMode="External"/><Relationship Id="rId3613" Type="http://schemas.openxmlformats.org/officeDocument/2006/relationships/hyperlink" Target="https://youtu.be/LnokC0JcIXs" TargetMode="External"/><Relationship Id="rId3616" Type="http://schemas.openxmlformats.org/officeDocument/2006/relationships/hyperlink" Target="https://youtu.be/0aDb7ovTkt8" TargetMode="External"/><Relationship Id="rId3615" Type="http://schemas.openxmlformats.org/officeDocument/2006/relationships/hyperlink" Target="https://youtu.be/yBPrzGu9iRs" TargetMode="External"/><Relationship Id="rId3618" Type="http://schemas.openxmlformats.org/officeDocument/2006/relationships/hyperlink" Target="https://youtu.be/b5xLagqBHMs" TargetMode="External"/><Relationship Id="rId3617" Type="http://schemas.openxmlformats.org/officeDocument/2006/relationships/hyperlink" Target="https://youtu.be/VRHX3pgBvAQ" TargetMode="External"/><Relationship Id="rId3619" Type="http://schemas.openxmlformats.org/officeDocument/2006/relationships/hyperlink" Target="https://youtu.be/IOuZLjDgZX0" TargetMode="External"/><Relationship Id="rId3610" Type="http://schemas.openxmlformats.org/officeDocument/2006/relationships/hyperlink" Target="https://youtu.be/6maFSYyONMI" TargetMode="External"/><Relationship Id="rId3601" Type="http://schemas.openxmlformats.org/officeDocument/2006/relationships/hyperlink" Target="https://www.twitch.tv/videos/1953099059" TargetMode="External"/><Relationship Id="rId3600" Type="http://schemas.openxmlformats.org/officeDocument/2006/relationships/hyperlink" Target="https://youtu.be/SmKBzl3ASwY" TargetMode="External"/><Relationship Id="rId3603" Type="http://schemas.openxmlformats.org/officeDocument/2006/relationships/hyperlink" Target="https://youtu.be/F-2Vza5NDCs" TargetMode="External"/><Relationship Id="rId3602" Type="http://schemas.openxmlformats.org/officeDocument/2006/relationships/hyperlink" Target="https://www.twitch.tv/videos/1953100776" TargetMode="External"/><Relationship Id="rId3605" Type="http://schemas.openxmlformats.org/officeDocument/2006/relationships/hyperlink" Target="https://youtu.be/FbhZuABeUno" TargetMode="External"/><Relationship Id="rId3604" Type="http://schemas.openxmlformats.org/officeDocument/2006/relationships/hyperlink" Target="https://youtu.be/xB7KPQD_bs8" TargetMode="External"/><Relationship Id="rId3607" Type="http://schemas.openxmlformats.org/officeDocument/2006/relationships/hyperlink" Target="https://youtu.be/fuGW3I0caT8" TargetMode="External"/><Relationship Id="rId3606" Type="http://schemas.openxmlformats.org/officeDocument/2006/relationships/hyperlink" Target="https://youtu.be/SyQIUMhk3NQ" TargetMode="External"/><Relationship Id="rId3609" Type="http://schemas.openxmlformats.org/officeDocument/2006/relationships/hyperlink" Target="https://youtu.be/GPTfLN1gvcA" TargetMode="External"/><Relationship Id="rId3608" Type="http://schemas.openxmlformats.org/officeDocument/2006/relationships/hyperlink" Target="https://youtu.be/gDXznlVPmo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youtu.be/OSNXTmoonnM"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J8p3S2OGWbY" TargetMode="External"/><Relationship Id="rId3821" Type="http://schemas.openxmlformats.org/officeDocument/2006/relationships/hyperlink" Target="https://www.youtube.com/watch?v=9pXG6qhn86I&amp;t=19s&amp;ab_channel=YungRick" TargetMode="External"/><Relationship Id="rId3820" Type="http://schemas.openxmlformats.org/officeDocument/2006/relationships/hyperlink" Target="https://youtu.be/vc2vKpA4W0o" TargetMode="External"/><Relationship Id="rId3823" Type="http://schemas.openxmlformats.org/officeDocument/2006/relationships/hyperlink" Target="https://www.youtube.com/watch?v=xILNN4X1Sug" TargetMode="External"/><Relationship Id="rId3822" Type="http://schemas.openxmlformats.org/officeDocument/2006/relationships/hyperlink" Target="https://youtu.be/gl9c1qhsTTo" TargetMode="External"/><Relationship Id="rId3825" Type="http://schemas.openxmlformats.org/officeDocument/2006/relationships/hyperlink" Target="https://www.youtube.com/watch?v=WYCGplnVh4A" TargetMode="External"/><Relationship Id="rId3824" Type="http://schemas.openxmlformats.org/officeDocument/2006/relationships/hyperlink" Target="https://youtu.be/_5EE7piEfdA" TargetMode="External"/><Relationship Id="rId3827" Type="http://schemas.openxmlformats.org/officeDocument/2006/relationships/hyperlink" Target="https://youtu.be/IA9rZ_hatPE" TargetMode="External"/><Relationship Id="rId3826" Type="http://schemas.openxmlformats.org/officeDocument/2006/relationships/hyperlink" Target="https://clips.twitch.tv/IgnorantInexpensiveWhaleAMPEnergyCherry-0_APFnMlwRxp93Up" TargetMode="External"/><Relationship Id="rId3829" Type="http://schemas.openxmlformats.org/officeDocument/2006/relationships/hyperlink" Target="https://youtu.be/3Ovu89Qc6hc" TargetMode="External"/><Relationship Id="rId3828" Type="http://schemas.openxmlformats.org/officeDocument/2006/relationships/hyperlink" Target="https://youtu.be/npPbGmcpwTg"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lks9ErI0TtM"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_a-JdF9-e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G_2PNqonhiE?t=78" TargetMode="External"/><Relationship Id="rId481" Type="http://schemas.openxmlformats.org/officeDocument/2006/relationships/hyperlink" Target="https://youtu.be/svZiPOWaCGY" TargetMode="External"/><Relationship Id="rId3011" Type="http://schemas.openxmlformats.org/officeDocument/2006/relationships/hyperlink" Target="https://youtu.be/TVtB24SbhQ8?t=27" TargetMode="External"/><Relationship Id="rId488" Type="http://schemas.openxmlformats.org/officeDocument/2006/relationships/hyperlink" Target="https://youtu.be/nc2kOVZ2ynw" TargetMode="External"/><Relationship Id="rId3014" Type="http://schemas.openxmlformats.org/officeDocument/2006/relationships/hyperlink" Target="https://youtu.be/KsCaHmAtT40?t=7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56207353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978843334"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ArborealBenevolentAlbatrossRaccAttack-tG8zkd8ZWCpLllAt" TargetMode="External"/><Relationship Id="rId3007" Type="http://schemas.openxmlformats.org/officeDocument/2006/relationships/hyperlink" Target="https://youtu.be/Qw5fWLP9z9I?t=54" TargetMode="External"/><Relationship Id="rId3006" Type="http://schemas.openxmlformats.org/officeDocument/2006/relationships/hyperlink" Target="https://youtu.be/Bc_KeNmwrGE?t=14" TargetMode="External"/><Relationship Id="rId3009" Type="http://schemas.openxmlformats.org/officeDocument/2006/relationships/hyperlink" Target="https://youtu.be/9X8uD16gIe4" TargetMode="External"/><Relationship Id="rId3008" Type="http://schemas.openxmlformats.org/officeDocument/2006/relationships/hyperlink" Target="https://clips.twitch.tv/AbnegateBashfulMosquitoCoolStoryBro-G2yAtvJJ0m-qb9Z_"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NastyImpossibleCrabAMPEnergyCherry-g2mwU33oKy1EP3f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BetterSmallPoxTheThing-WaS8ZgfSeycrHOAP" TargetMode="External"/><Relationship Id="rId477" Type="http://schemas.openxmlformats.org/officeDocument/2006/relationships/hyperlink" Target="https://youtu.be/BJdlguZNd-k" TargetMode="External"/><Relationship Id="rId3003" Type="http://schemas.openxmlformats.org/officeDocument/2006/relationships/hyperlink" Target="https://youtu.be/RkId4sqRWCM?t=11" TargetMode="External"/><Relationship Id="rId476" Type="http://schemas.openxmlformats.org/officeDocument/2006/relationships/hyperlink" Target="https://youtu.be/YtdEkYNexcY" TargetMode="External"/><Relationship Id="rId3002" Type="http://schemas.openxmlformats.org/officeDocument/2006/relationships/hyperlink" Target="https://youtu.be/q0wfTMcrG2c" TargetMode="External"/><Relationship Id="rId475" Type="http://schemas.openxmlformats.org/officeDocument/2006/relationships/hyperlink" Target="https://youtu.be/sBE9NRXFNnM" TargetMode="External"/><Relationship Id="rId3005" Type="http://schemas.openxmlformats.org/officeDocument/2006/relationships/hyperlink" Target="https://youtu.be/QXJWIGZ_-PM?t=8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RelievedConcernedYogurtDeIlluminati-zMj7smUzIz4TJdUV"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CMor1vJAChU"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n463LInD2Yg"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3VF8pRF70"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OSANZ3-euo"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1hiTwu9EL3A"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www.youtube.com/watch?v=6lJoisIyH60"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I61oVT9V2Q"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vkYXMQMUqQI"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INanq0aHtM"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49boANUIhE"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wgg2t0Fl-bU"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twitch.tv/videos/667384709"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776xWFq-Z4"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Ym6pc9vUY"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ZnQpK53Njtw"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Lpwrbxu1YXU"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8O0jAGPIf9k"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Pr0Iy0M8Ic0"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clips.twitch.tv/TangentialAltruisticEagleNomNom-0sj8M7WUlpAzrPfP"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R8P16XaaF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VKv-IpsEzR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TyQ7-3gowfM"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StdVPvFpuLM"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8xItJ0i2O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CkaxWZ7Wezw"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ZpdtVeVUsH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Ohqisa88z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8pgc62ldBt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A3Sy_9pfM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eHK33N7Slqo"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WbZfdJB_tYQ"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_knGg5IcRY"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XNk5xmg6k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pHhJIhtpLLk"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xWs_nsjiyE"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IZtnv1QUIi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yXmPcOAAQU8"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63n1YG_RNt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3YtmQbkiTVg"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www.twitch.tv/videos/1555345196"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www.youtube.com/watch?v=tpjRic7jk0M"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V1romHWcAkI" TargetMode="External"/><Relationship Id="rId3956" Type="http://schemas.openxmlformats.org/officeDocument/2006/relationships/hyperlink" Target="https://youtu.be/ebTMHKAw-uM" TargetMode="External"/><Relationship Id="rId2627" Type="http://schemas.openxmlformats.org/officeDocument/2006/relationships/hyperlink" Target="https://youtu.be/nv7vfokEAtg"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youtube.com/watch?v=bX74dFmmPF8"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banova8_/clip/FurryFragileButterBIRB-3eTXc5x4GKdfvTdB"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youtube.com/watch?v=7FuHqH6rwU4"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UCpNqfcQkI?t=19"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aL55tZD_aM"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wpHr2p9GLB4"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d3bQM4Czq-0"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cuxp4og-e9I"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1497668451"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SxyxZgz-Y4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www.twitch.tv/videos/1194562278"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16513400"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UCpNqfcQkI"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AY0L7R0zPI4?si=PQPfxgzVmn6DT1E2"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youtube.com/watch?v=QxO7HU2i6HQ"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SassyDepressedBubbleteaBudStar-0xLanv-uQFzxhaoW"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banova8_/clip/HandsomeExcitedDillBudStar-TLzF1iin6MQb_Uq6"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dBYOcecJcsY"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3KpOjhdYNjU"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92utLx6CbV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292140825"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www.twitch.tv/videos/2126277596"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jkhCLTN9YvE"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02MTZSsaoQ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6um-iIt4i0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iiCAj_mvO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CO-u3GCGLk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lEKgOnYi-pQ&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KpJrVeP5Kzk&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qe1RNDoMCn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TfTsNySlGTo&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V0XVYhIv-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2rOzPdQKm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pL9qamyXGDU&amp;feature=youtu.be&amp;ab_channel=SMSArchives" TargetMode="External"/><Relationship Id="rId2702" Type="http://schemas.openxmlformats.org/officeDocument/2006/relationships/hyperlink" Target="https://youtu.be/AyHBkIG0MSY" TargetMode="External"/><Relationship Id="rId2703" Type="http://schemas.openxmlformats.org/officeDocument/2006/relationships/hyperlink" Target="https://youtu.be/z6UWwsVT2_g" TargetMode="External"/><Relationship Id="rId2704" Type="http://schemas.openxmlformats.org/officeDocument/2006/relationships/hyperlink" Target="https://youtu.be/1bYjGQdaTQ8" TargetMode="External"/><Relationship Id="rId2705" Type="http://schemas.openxmlformats.org/officeDocument/2006/relationships/hyperlink" Target="https://clips.twitch.tv/HotBadHornetSMOrc-t1Ay2e8ytR447XE-" TargetMode="External"/><Relationship Id="rId2706" Type="http://schemas.openxmlformats.org/officeDocument/2006/relationships/hyperlink" Target="https://youtu.be/Bn7k3tpxw3w" TargetMode="External"/><Relationship Id="rId2707" Type="http://schemas.openxmlformats.org/officeDocument/2006/relationships/hyperlink" Target="https://youtu.be/GehcU0SiNIs" TargetMode="External"/><Relationship Id="rId2708" Type="http://schemas.openxmlformats.org/officeDocument/2006/relationships/hyperlink" Target="https://clips.twitch.tv/SuperZanyPieKeepo-Ebg6fn6EX7ykQnDV" TargetMode="External"/><Relationship Id="rId2709" Type="http://schemas.openxmlformats.org/officeDocument/2006/relationships/hyperlink" Target="https://clips.twitch.tv/TriangularObliviousMonitorBatChest-eqBHvfKfQfrebKfL" TargetMode="External"/><Relationship Id="rId2720" Type="http://schemas.openxmlformats.org/officeDocument/2006/relationships/hyperlink" Target="https://www.twitch.tv/videos/1615516252" TargetMode="External"/><Relationship Id="rId2721" Type="http://schemas.openxmlformats.org/officeDocument/2006/relationships/hyperlink" Target="https://youtu.be/5Oz9i6mgu6w" TargetMode="External"/><Relationship Id="rId2722" Type="http://schemas.openxmlformats.org/officeDocument/2006/relationships/hyperlink" Target="https://youtu.be/Of1sS4UiBaw" TargetMode="External"/><Relationship Id="rId2723" Type="http://schemas.openxmlformats.org/officeDocument/2006/relationships/hyperlink" Target="https://clips.twitch.tv/ProudDeafWallabyTakeNRG-tfE4zNXqRc1xKP_K" TargetMode="External"/><Relationship Id="rId2724" Type="http://schemas.openxmlformats.org/officeDocument/2006/relationships/hyperlink" Target="https://clips.twitch.tv/HappyKathishArugulaBIRB-K2GZKAGmdJYAloW9" TargetMode="External"/><Relationship Id="rId2725" Type="http://schemas.openxmlformats.org/officeDocument/2006/relationships/hyperlink" Target="https://clips.twitch.tv/AntsyTameSoybeanArsonNoSexy-vpEo3NKSJxXoNw99" TargetMode="External"/><Relationship Id="rId2726" Type="http://schemas.openxmlformats.org/officeDocument/2006/relationships/hyperlink" Target="https://clips.twitch.tv/PricklyColdThymeCorgiDerp-SUTqk3NQDKfAmSOz" TargetMode="External"/><Relationship Id="rId2727" Type="http://schemas.openxmlformats.org/officeDocument/2006/relationships/hyperlink" Target="https://clips.twitch.tv/InquisitiveCrypticClipsdadRickroll-pHeKwbvj7KGD3ZQ4" TargetMode="External"/><Relationship Id="rId2728" Type="http://schemas.openxmlformats.org/officeDocument/2006/relationships/hyperlink" Target="https://clips.twitch.tv/InspiringTrustworthyAlmondSwiftRage-48RK218yc4lPYK8e" TargetMode="External"/><Relationship Id="rId2729" Type="http://schemas.openxmlformats.org/officeDocument/2006/relationships/hyperlink" Target="https://clips.twitch.tv/WanderingWealthyTigerSSSsss-jux4zciScDnZdVbV" TargetMode="External"/><Relationship Id="rId2710" Type="http://schemas.openxmlformats.org/officeDocument/2006/relationships/hyperlink" Target="https://clips.twitch.tv/ShortUnsightlyPistachioChefFrank-IfQ-BytSOfBolo4o" TargetMode="External"/><Relationship Id="rId2711" Type="http://schemas.openxmlformats.org/officeDocument/2006/relationships/hyperlink" Target="https://clips.twitch.tv/NiceKindCoffeePrimeMe-Vz1GgZlWIpDJSyK-" TargetMode="External"/><Relationship Id="rId2712" Type="http://schemas.openxmlformats.org/officeDocument/2006/relationships/hyperlink" Target="https://youtu.be/r_t9k5DrB0c" TargetMode="External"/><Relationship Id="rId2713" Type="http://schemas.openxmlformats.org/officeDocument/2006/relationships/hyperlink" Target="https://clips.twitch.tv/CheerfulFantasticTermiteLeeroyJenkins-_NqtQfUNLcCYlSba" TargetMode="External"/><Relationship Id="rId2714" Type="http://schemas.openxmlformats.org/officeDocument/2006/relationships/hyperlink" Target="https://clips.twitch.tv/FragileSmoggyEaglePeteZarollTie-EahUmDAbRKOeXQPe" TargetMode="External"/><Relationship Id="rId2715" Type="http://schemas.openxmlformats.org/officeDocument/2006/relationships/hyperlink" Target="https://clips.twitch.tv/GeniusDignifiedFrogPhilosoraptor-QBL8guokQfmf4voo" TargetMode="External"/><Relationship Id="rId2716" Type="http://schemas.openxmlformats.org/officeDocument/2006/relationships/hyperlink" Target="https://clips.twitch.tv/PopularConfidentOilPermaSmug-fwtuyLN51a5V-UHg" TargetMode="External"/><Relationship Id="rId2717" Type="http://schemas.openxmlformats.org/officeDocument/2006/relationships/hyperlink" Target="https://clips.twitch.tv/AffluentFlirtyCasetteChefFrank-RBIiiGQ1ss5ucRk8" TargetMode="External"/><Relationship Id="rId2718" Type="http://schemas.openxmlformats.org/officeDocument/2006/relationships/hyperlink" Target="https://clips.twitch.tv/AgilePolishedSandpiperPanicVis-hpDyLscw0z6nWIpE" TargetMode="External"/><Relationship Id="rId2719" Type="http://schemas.openxmlformats.org/officeDocument/2006/relationships/hyperlink" Target="https://clips.twitch.tv/SuperSnappyNewtSSSsss-hXI7Oc-7fKR2TiKN" TargetMode="External"/><Relationship Id="rId1455" Type="http://schemas.openxmlformats.org/officeDocument/2006/relationships/hyperlink" Target="https://youtu.be/m45SeeT15mk" TargetMode="External"/><Relationship Id="rId2786" Type="http://schemas.openxmlformats.org/officeDocument/2006/relationships/hyperlink" Target="https://youtu.be/AaZj0nu2fB4" TargetMode="External"/><Relationship Id="rId1456" Type="http://schemas.openxmlformats.org/officeDocument/2006/relationships/hyperlink" Target="https://youtu.be/t9YQYIfgXoE" TargetMode="External"/><Relationship Id="rId2787" Type="http://schemas.openxmlformats.org/officeDocument/2006/relationships/hyperlink" Target="https://youtu.be/fsLuR8sk6wo" TargetMode="External"/><Relationship Id="rId1457" Type="http://schemas.openxmlformats.org/officeDocument/2006/relationships/hyperlink" Target="https://youtu.be/qOGRg7jwEbU" TargetMode="External"/><Relationship Id="rId2788" Type="http://schemas.openxmlformats.org/officeDocument/2006/relationships/hyperlink" Target="https://youtu.be/ieajwFpfUXo"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Y9vn9Y_h5B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gf2rKmibsZ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nvZHnEp3KPs" TargetMode="External"/><Relationship Id="rId1452" Type="http://schemas.openxmlformats.org/officeDocument/2006/relationships/hyperlink" Target="https://youtu.be/mybjZ1zHSGk" TargetMode="External"/><Relationship Id="rId2783" Type="http://schemas.openxmlformats.org/officeDocument/2006/relationships/hyperlink" Target="https://youtu.be/7nND3fN067c" TargetMode="External"/><Relationship Id="rId1453" Type="http://schemas.openxmlformats.org/officeDocument/2006/relationships/hyperlink" Target="https://youtu.be/FhvAtgMe0NA" TargetMode="External"/><Relationship Id="rId2784" Type="http://schemas.openxmlformats.org/officeDocument/2006/relationships/hyperlink" Target="https://youtu.be/7VV4yzQV6B8" TargetMode="External"/><Relationship Id="rId1454" Type="http://schemas.openxmlformats.org/officeDocument/2006/relationships/hyperlink" Target="https://youtu.be/jUoN6om1PxE" TargetMode="External"/><Relationship Id="rId2785" Type="http://schemas.openxmlformats.org/officeDocument/2006/relationships/hyperlink" Target="https://youtu.be/yYgJO43PiR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nN6JrMrD1Y" TargetMode="External"/><Relationship Id="rId1467" Type="http://schemas.openxmlformats.org/officeDocument/2006/relationships/hyperlink" Target="https://youtu.be/OouJvI7QFcE" TargetMode="External"/><Relationship Id="rId2798" Type="http://schemas.openxmlformats.org/officeDocument/2006/relationships/hyperlink" Target="https://youtu.be/oxoWIcEabdM"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u2ssBHrem_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18yP13y__jk" TargetMode="External"/><Relationship Id="rId1460" Type="http://schemas.openxmlformats.org/officeDocument/2006/relationships/hyperlink" Target="https://youtu.be/uphO1VmVpOw" TargetMode="External"/><Relationship Id="rId2791" Type="http://schemas.openxmlformats.org/officeDocument/2006/relationships/hyperlink" Target="https://youtu.be/KlGDPvfEacw" TargetMode="External"/><Relationship Id="rId1461" Type="http://schemas.openxmlformats.org/officeDocument/2006/relationships/hyperlink" Target="https://youtu.be/VKKPc5cQ5aU" TargetMode="External"/><Relationship Id="rId2792" Type="http://schemas.openxmlformats.org/officeDocument/2006/relationships/hyperlink" Target="https://youtu.be/XjR4DYaI_g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BKbev06F3m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clips.twitch.tv/SpineyConsiderateLadiesOneHand-DdJcYa04uXIMUw1b" TargetMode="External"/><Relationship Id="rId1464" Type="http://schemas.openxmlformats.org/officeDocument/2006/relationships/hyperlink" Target="https://youtu.be/RMKSoa356Sg" TargetMode="External"/><Relationship Id="rId2795" Type="http://schemas.openxmlformats.org/officeDocument/2006/relationships/hyperlink" Target="https://youtu.be/lKWhqixgpOI" TargetMode="External"/><Relationship Id="rId1465" Type="http://schemas.openxmlformats.org/officeDocument/2006/relationships/hyperlink" Target="https://youtu.be/fEVEtyTrceo" TargetMode="External"/><Relationship Id="rId2796" Type="http://schemas.openxmlformats.org/officeDocument/2006/relationships/hyperlink" Target="https://youtu.be/vBOwbhgREek"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WuAh884Sx0s"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ipHH6_szA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ejmykwrwK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RoXi6F89gdI"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koYfQLra6HY"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SweetExpensiveDiscKlappa-rjyO0L4ThHLZFmy-"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Mt-wdR0Ubg"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F7hcihsAc7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CaringCorrectJamPeteZarollTie-SesxGbMXkYUtp2v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urHh8oG1Jfo"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ObedientSavagePicklesDxCat-PXYV7wE6gbM1tmz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twitch.tv/videos/1693240640"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6dZGaGMo8g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7uT0yfrrF-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c82W7KatLE"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BL9pD0D864" TargetMode="External"/><Relationship Id="rId2821" Type="http://schemas.openxmlformats.org/officeDocument/2006/relationships/hyperlink" Target="https://youtu.be/O4qFXg4PBRo" TargetMode="External"/><Relationship Id="rId2822" Type="http://schemas.openxmlformats.org/officeDocument/2006/relationships/hyperlink" Target="https://www.youtube.com/watch?v=Eio6nqV0hJo" TargetMode="External"/><Relationship Id="rId2823" Type="http://schemas.openxmlformats.org/officeDocument/2006/relationships/hyperlink" Target="https://www.youtube.com/watch?v=NmG_ufd4rR4" TargetMode="External"/><Relationship Id="rId2824" Type="http://schemas.openxmlformats.org/officeDocument/2006/relationships/hyperlink" Target="https://www.youtube.com/watch?v=HbzafOWDrIs" TargetMode="External"/><Relationship Id="rId2825" Type="http://schemas.openxmlformats.org/officeDocument/2006/relationships/hyperlink" Target="https://www.youtube.com/watch?v=K0te8fzGENQ" TargetMode="External"/><Relationship Id="rId2826" Type="http://schemas.openxmlformats.org/officeDocument/2006/relationships/hyperlink" Target="https://www.youtube.com/watch?v=JgdsQmPSTi8" TargetMode="External"/><Relationship Id="rId2827" Type="http://schemas.openxmlformats.org/officeDocument/2006/relationships/hyperlink" Target="https://clips.twitch.tv/SpunkyBlatantTubersPermaSmug-k4XiZoJWp5f4FqUo" TargetMode="External"/><Relationship Id="rId2828" Type="http://schemas.openxmlformats.org/officeDocument/2006/relationships/hyperlink" Target="https://www.youtube.com/watch?v=5pdTqWazwuM" TargetMode="External"/><Relationship Id="rId2829" Type="http://schemas.openxmlformats.org/officeDocument/2006/relationships/hyperlink" Target="https://youtu.be/ajLH0jO_ZNU" TargetMode="External"/><Relationship Id="rId2810" Type="http://schemas.openxmlformats.org/officeDocument/2006/relationships/hyperlink" Target="https://youtu.be/7IzSZLsf5TI" TargetMode="External"/><Relationship Id="rId2811" Type="http://schemas.openxmlformats.org/officeDocument/2006/relationships/hyperlink" Target="https://youtu.be/ejAD7XyDiSQ" TargetMode="External"/><Relationship Id="rId2812" Type="http://schemas.openxmlformats.org/officeDocument/2006/relationships/hyperlink" Target="https://www.youtube.com/watch?v=SLXLOZVtVZY" TargetMode="External"/><Relationship Id="rId2813" Type="http://schemas.openxmlformats.org/officeDocument/2006/relationships/hyperlink" Target="https://youtu.be/6D0CmdR4vvA" TargetMode="External"/><Relationship Id="rId2814" Type="http://schemas.openxmlformats.org/officeDocument/2006/relationships/hyperlink" Target="https://youtu.be/LuRZ0G12E-k" TargetMode="External"/><Relationship Id="rId2815" Type="http://schemas.openxmlformats.org/officeDocument/2006/relationships/hyperlink" Target="https://www.youtube.com/watch?v=e7XFn4XL8Bo" TargetMode="External"/><Relationship Id="rId2816" Type="http://schemas.openxmlformats.org/officeDocument/2006/relationships/hyperlink" Target="https://clips.twitch.tv/HandsomeHotSardineKeyboardCat-d5m03tlMt9kIhJ92" TargetMode="External"/><Relationship Id="rId2817" Type="http://schemas.openxmlformats.org/officeDocument/2006/relationships/hyperlink" Target="https://www.youtube.com/watch?v=buvh--DbEL0" TargetMode="External"/><Relationship Id="rId2818" Type="http://schemas.openxmlformats.org/officeDocument/2006/relationships/hyperlink" Target="https://www.youtube.com/watch?v=fTbM8qvfhQs" TargetMode="External"/><Relationship Id="rId2819" Type="http://schemas.openxmlformats.org/officeDocument/2006/relationships/hyperlink" Target="https://www.youtube.com/watch?v=wOOJs_3BKAs" TargetMode="External"/><Relationship Id="rId1510" Type="http://schemas.openxmlformats.org/officeDocument/2006/relationships/hyperlink" Target="https://youtu.be/n9Pgok3_gLk" TargetMode="External"/><Relationship Id="rId2841" Type="http://schemas.openxmlformats.org/officeDocument/2006/relationships/hyperlink" Target="https://youtu.be/NMSMOXLoL9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X6u__Yz8sVI"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NsSBbR6Hnr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wQ_DrJWEX4g"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KpOFGRSZDbQ"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7?t=00h00m15s"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13067619"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9"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62073851119130624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ycOzTsbJQqo" TargetMode="External"/><Relationship Id="rId2830" Type="http://schemas.openxmlformats.org/officeDocument/2006/relationships/hyperlink" Target="https://youtu.be/MTzkGoZVGHA" TargetMode="External"/><Relationship Id="rId1500" Type="http://schemas.openxmlformats.org/officeDocument/2006/relationships/hyperlink" Target="https://youtu.be/W-ScCdTLP6A" TargetMode="External"/><Relationship Id="rId2831" Type="http://schemas.openxmlformats.org/officeDocument/2006/relationships/hyperlink" Target="https://youtu.be/fgyU-y5uHPQ"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bG4hb_A3akM" TargetMode="External"/><Relationship Id="rId1502" Type="http://schemas.openxmlformats.org/officeDocument/2006/relationships/hyperlink" Target="https://youtu.be/gRYcsS32LEE" TargetMode="External"/><Relationship Id="rId2833" Type="http://schemas.openxmlformats.org/officeDocument/2006/relationships/hyperlink" Target="http://youtu.be/HYHGcPg6j0w"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pfsFt_GiI"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SeCxvExFJWI" TargetMode="External"/><Relationship Id="rId1505" Type="http://schemas.openxmlformats.org/officeDocument/2006/relationships/hyperlink" Target="https://youtu.be/cTFRTeFZ_J8" TargetMode="External"/><Relationship Id="rId2836" Type="http://schemas.openxmlformats.org/officeDocument/2006/relationships/hyperlink" Target="https://youtu.be/Gyu9gUc51c0"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AsODTUrJJCM"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VPMYThog5es"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g_4oAXMnKbc"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Qj-RNDUODy0" TargetMode="External"/><Relationship Id="rId2801" Type="http://schemas.openxmlformats.org/officeDocument/2006/relationships/hyperlink" Target="https://www.youtube.com/watch?v=QgBd1JipnEU" TargetMode="External"/><Relationship Id="rId2802" Type="http://schemas.openxmlformats.org/officeDocument/2006/relationships/hyperlink" Target="https://www.youtube.com/watch?v=DOBavWk1ges" TargetMode="External"/><Relationship Id="rId2803" Type="http://schemas.openxmlformats.org/officeDocument/2006/relationships/hyperlink" Target="https://www.youtube.com/watch?v=YxifVTkwzAw" TargetMode="External"/><Relationship Id="rId2804" Type="http://schemas.openxmlformats.org/officeDocument/2006/relationships/hyperlink" Target="https://www.youtube.com/watch?v=NzfBfbabf2g" TargetMode="External"/><Relationship Id="rId2805" Type="http://schemas.openxmlformats.org/officeDocument/2006/relationships/hyperlink" Target="https://youtu.be/6MOiAslVHMw" TargetMode="External"/><Relationship Id="rId2806" Type="http://schemas.openxmlformats.org/officeDocument/2006/relationships/hyperlink" Target="https://youtu.be/wzGIZS_G-kg" TargetMode="External"/><Relationship Id="rId2807" Type="http://schemas.openxmlformats.org/officeDocument/2006/relationships/hyperlink" Target="https://youtu.be/YBDWO0cjlEo" TargetMode="External"/><Relationship Id="rId2808" Type="http://schemas.openxmlformats.org/officeDocument/2006/relationships/hyperlink" Target="https://youtu.be/b8CKxMG-vfg" TargetMode="External"/><Relationship Id="rId2809" Type="http://schemas.openxmlformats.org/officeDocument/2006/relationships/hyperlink" Target="https://youtu.be/0pX-41Nby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8lSIo8FbQl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YmB2FTJid2Q"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CooperativeConsiderateGoldfishOSsloth-DO0S9fK1Db2caNv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I5OBY9P4kfk"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m8uNFFWGXs8"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1150171639398400?s=20&amp;t=qLYbjo7WrfpUk3VFC4nJ5A"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12355205823623170?s=20&amp;t=AXb5wxjeegJAML4SiMsGI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448256394625384451?s=20"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2342730357243904?s=20&amp;t=owHOkeaQ3QOpBMLEP9ivG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fcjGRlbwJF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23658706487574535"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13071263"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471906420822589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wozEi1FdQNY"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34569660230017025"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8305474632721612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3491864829285991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030220263"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8"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0"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2"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2?t=00h00m21s"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69018343264258"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96281814622618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00021630357688324"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5159502858135552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626582749569220610?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1701099186839563?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483035495043330051?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5pEbV8f4Ey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641709160136704?s=20&amp;t=DXf-pGT_AC639nNzoJmlr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08213958393864196?s=20&amp;t=fUoqnObXxhQMpD_DZ9ralg"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6088227489589248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CBwzmfxQE4I"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36661052997660674?s=20&amp;t=-dcuuq0VImjvNMwrHMH92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9747073658527752?s=20&amp;t=sne1R5zpDkF10cvOG-ggDw"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riousBetterKleePermaSmug"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CrazyExuberantTubersCharlieBitMe-EiZ2ogbgTjA-7ug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5kwser_j2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DVYnYhBPcoY?si=OugetNnKaBrbIxK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DarlingQuaintGoblinDxCat-ht9B7uxsNRHRQQgu"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Z-qtPivsFs?si=35mHOEGqJMYeCsw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R041B_Mtd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ViscousHelplessCarabeefTebowing-S-93KT0xAo5FgTE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h6cTGdi7D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v1TvIfiZts"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nnyLongSrirachaAllenHuhu-OHfAcLfBuxqFU0Fk"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AgitatedDifficultLEDHoneyBadger-SFPycH1fKX923sXJ"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GdUZv-Dv0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6MFmMms0BA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WiseNastyDumplingsSMOrc-VM5ip6rrVmTBfuoQ"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ox9kjgDI4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qIvo6qXZbKo?si=1rgTpKD6mE4D8lJV"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Sk4iIK6PoA"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Kzb3MHlmCGc"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2fVmzCJ9Y9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Nxyvp-ivHY?si=O-C0M9FpMbanP49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rrZsnQOCJTY"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HG3hv0ssIsE?si=owrXympLAXpc-o6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trongRelievedWhaleCclamChamp-GxTqgCRS_aJvTd3l"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y9rheWl06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46p-_sgtzjE?si=UWojTwmgLec4R2C6"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DsoEyYBXa6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Albb8wVFO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ttractiveBrainyArtichokeCorgiDerp-9zIn8sEeMNqM0OjZ"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fYtc3Osmt8U?si=oqEGO-F3fTMWtNy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HeadstrongKitschyTomatoFreakinStinkin-skucx88V6cLW2uR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www.twitch.tv/videos/1024638839"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FaithfulDeterminedPeanutAsianGlow-K87dbZLe5-UZ8WRH"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iBxubJeUng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iligentBadCaribouMVGame-bPPT36LcYcTnU3B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UglyDrabKoupreyAllenHuhu-PcT9KDbi_NPXvkHp"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PhDG8n4ypr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AISau0yWh7Q"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2z-hvrGUrM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PluckyFlyPJSalt-8DGQ46oV3HtIw1JW" TargetMode="External"/><Relationship Id="rId2900" Type="http://schemas.openxmlformats.org/officeDocument/2006/relationships/hyperlink" Target="https://youtu.be/VV7F1zK-rhY" TargetMode="External"/><Relationship Id="rId2901" Type="http://schemas.openxmlformats.org/officeDocument/2006/relationships/hyperlink" Target="https://www.twitch.tv/videos/1628995922" TargetMode="External"/><Relationship Id="rId2902" Type="http://schemas.openxmlformats.org/officeDocument/2006/relationships/hyperlink" Target="https://www.twitch.tv/videos/1628903048" TargetMode="External"/><Relationship Id="rId2903" Type="http://schemas.openxmlformats.org/officeDocument/2006/relationships/hyperlink" Target="https://clips.twitch.tv/PhilanthropicCharmingFishKippa-bjFYCIzgNaxXnecZ" TargetMode="External"/><Relationship Id="rId2904" Type="http://schemas.openxmlformats.org/officeDocument/2006/relationships/hyperlink" Target="https://youtu.be/_qc8NXWCj14" TargetMode="External"/><Relationship Id="rId2905" Type="http://schemas.openxmlformats.org/officeDocument/2006/relationships/hyperlink" Target="https://www.twitch.tv/videos/1270543463" TargetMode="External"/><Relationship Id="rId2906" Type="http://schemas.openxmlformats.org/officeDocument/2006/relationships/hyperlink" Target="https://clips.twitch.tv/AliveToughSageResidentSleeper-hbRuIMEkoIpxXiTL" TargetMode="External"/><Relationship Id="rId2907" Type="http://schemas.openxmlformats.org/officeDocument/2006/relationships/hyperlink" Target="https://www.twitch.tv/videos/1773827910" TargetMode="External"/><Relationship Id="rId2908" Type="http://schemas.openxmlformats.org/officeDocument/2006/relationships/hyperlink" Target="https://youtu.be/HCPBXe8NwSc" TargetMode="External"/><Relationship Id="rId2909" Type="http://schemas.openxmlformats.org/officeDocument/2006/relationships/hyperlink" Target="https://clips.twitch.tv/AthleticYummyJaguarRalpherZ-KE8ObkWnAAOVvlOA" TargetMode="External"/><Relationship Id="rId2920" Type="http://schemas.openxmlformats.org/officeDocument/2006/relationships/hyperlink" Target="https://youtu.be/xDvK9BajRjc" TargetMode="External"/><Relationship Id="rId2921" Type="http://schemas.openxmlformats.org/officeDocument/2006/relationships/hyperlink" Target="https://youtu.be/HHwB7otTMRM" TargetMode="External"/><Relationship Id="rId2922" Type="http://schemas.openxmlformats.org/officeDocument/2006/relationships/hyperlink" Target="https://youtu.be/7XF8xomlpwQ" TargetMode="External"/><Relationship Id="rId2923" Type="http://schemas.openxmlformats.org/officeDocument/2006/relationships/hyperlink" Target="https://www.twitch.tv/videos/1632815303" TargetMode="External"/><Relationship Id="rId2924" Type="http://schemas.openxmlformats.org/officeDocument/2006/relationships/hyperlink" Target="https://www.youtube.com/watch?v=S2yri_1-_YA" TargetMode="External"/><Relationship Id="rId2925" Type="http://schemas.openxmlformats.org/officeDocument/2006/relationships/hyperlink" Target="https://www.twitch.tv/videos/1780302978" TargetMode="External"/><Relationship Id="rId2926" Type="http://schemas.openxmlformats.org/officeDocument/2006/relationships/hyperlink" Target="https://clips.twitch.tv/WimpyFilthyWrenchStinkyCheese-B3XE-70fD1bF9W8_" TargetMode="External"/><Relationship Id="rId2927" Type="http://schemas.openxmlformats.org/officeDocument/2006/relationships/hyperlink" Target="https://clips.twitch.tv/ColorfulKindSalmonOptimizePrime-tj72s6jVvWGJqwc9" TargetMode="External"/><Relationship Id="rId2928" Type="http://schemas.openxmlformats.org/officeDocument/2006/relationships/hyperlink" Target="https://clips.twitch.tv/FurryThirstyGaurUncleNox-62xsKc6hM-iBI_O-" TargetMode="External"/><Relationship Id="rId2929" Type="http://schemas.openxmlformats.org/officeDocument/2006/relationships/hyperlink" Target="https://clips.twitch.tv/TiredScrumptiousMouseBloodTrail-2UTmo4ATFSKQ1Vnu" TargetMode="External"/><Relationship Id="rId2910" Type="http://schemas.openxmlformats.org/officeDocument/2006/relationships/hyperlink" Target="https://youtu.be/tvihn2dsyqA" TargetMode="External"/><Relationship Id="rId2911" Type="http://schemas.openxmlformats.org/officeDocument/2006/relationships/hyperlink" Target="https://youtu.be/1cOuRzVzcE8" TargetMode="External"/><Relationship Id="rId2912" Type="http://schemas.openxmlformats.org/officeDocument/2006/relationships/hyperlink" Target="https://youtu.be/nEeLpTRXpvo" TargetMode="External"/><Relationship Id="rId2913" Type="http://schemas.openxmlformats.org/officeDocument/2006/relationships/hyperlink" Target="https://youtu.be/RNiMvaQVcoc" TargetMode="External"/><Relationship Id="rId2914" Type="http://schemas.openxmlformats.org/officeDocument/2006/relationships/hyperlink" Target="https://youtu.be/ordp-uT82Ag" TargetMode="External"/><Relationship Id="rId2915" Type="http://schemas.openxmlformats.org/officeDocument/2006/relationships/hyperlink" Target="https://www.twitch.tv/videos/1623880272" TargetMode="External"/><Relationship Id="rId2916" Type="http://schemas.openxmlformats.org/officeDocument/2006/relationships/hyperlink" Target="https://www.twitch.tv/videos/1632818182" TargetMode="External"/><Relationship Id="rId2917" Type="http://schemas.openxmlformats.org/officeDocument/2006/relationships/hyperlink" Target="https://www.twitch.tv/videos/1624073687" TargetMode="External"/><Relationship Id="rId2918" Type="http://schemas.openxmlformats.org/officeDocument/2006/relationships/hyperlink" Target="https://www.twitch.tv/videos/1624405057" TargetMode="External"/><Relationship Id="rId2919" Type="http://schemas.openxmlformats.org/officeDocument/2006/relationships/hyperlink" Target="https://www.youtube.com/watch?v=MLuAfQJjr3E"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1CbHc28eZeg" TargetMode="External"/><Relationship Id="rId1654" Type="http://schemas.openxmlformats.org/officeDocument/2006/relationships/hyperlink" Target="https://youtu.be/03iDs8Ajosw" TargetMode="External"/><Relationship Id="rId2985" Type="http://schemas.openxmlformats.org/officeDocument/2006/relationships/hyperlink" Target="https://youtu.be/pLwKgRC1wcQ?si=F_ChIDkfJj31zCsE" TargetMode="External"/><Relationship Id="rId1655" Type="http://schemas.openxmlformats.org/officeDocument/2006/relationships/hyperlink" Target="https://youtu.be/CVxNfJLH3Ys" TargetMode="External"/><Relationship Id="rId2986" Type="http://schemas.openxmlformats.org/officeDocument/2006/relationships/hyperlink" Target="https://youtu.be/S6I-VumPqKc?si=B7eN9ym4YIx2Fca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ObliviousRacyElkSpicyBoy-NUc0Yura40wdJzKf" TargetMode="External"/><Relationship Id="rId1657" Type="http://schemas.openxmlformats.org/officeDocument/2006/relationships/hyperlink" Target="https://youtu.be/Uirbw05oUPg" TargetMode="External"/><Relationship Id="rId2988" Type="http://schemas.openxmlformats.org/officeDocument/2006/relationships/hyperlink" Target="https://youtu.be/DnONET1FjZ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SparklySnappyWasabiPJSalt-YOvVC1bGidPY76WI"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78cQOXD-8mc" TargetMode="External"/><Relationship Id="rId1650" Type="http://schemas.openxmlformats.org/officeDocument/2006/relationships/hyperlink" Target="https://youtu.be/mahJ2Kepn44" TargetMode="External"/><Relationship Id="rId2981" Type="http://schemas.openxmlformats.org/officeDocument/2006/relationships/hyperlink" Target="https://youtu.be/Vcj1iQUY7L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rbiFTp8mHU?si=ehn4kaKA_WVpJsZ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2t1Cu_wtBX4?si=5LRBisijQNk5iFS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WJoSVS1Z3xg?si=fYQpmxkGT7jYspnD"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R_8M5C1vsQ?si=Ys-a79qZJeEqrNW3"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R-lJRg0Cz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C-UjL172ok?si=OSSPnvgSor7-zme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JollyHeartlessRadicchioYouDontSay-DnTtZQb3yYj2G9y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izRodRG-J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5YzyXaJq0VM?si=hl2fllQr8hqFvDJ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B2CKi3fQkc?si=RBzp8pCgfySVqz3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yN15kF8l42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QGTt9T_bdN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0_Qn58QJhQk?si=vlJv9gNolv46yWn9"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U39IMkm8w0"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YuiSZnk7wx4" TargetMode="External"/><Relationship Id="rId1667" Type="http://schemas.openxmlformats.org/officeDocument/2006/relationships/hyperlink" Target="https://youtu.be/mPrS2dBqP3U" TargetMode="External"/><Relationship Id="rId2998" Type="http://schemas.openxmlformats.org/officeDocument/2006/relationships/hyperlink" Target="https://youtu.be/rAB7TqLFJuw?si=Ev9AlvQZ03To222J" TargetMode="External"/><Relationship Id="rId1668" Type="http://schemas.openxmlformats.org/officeDocument/2006/relationships/hyperlink" Target="https://youtu.be/Pk6P6JQlZwI" TargetMode="External"/><Relationship Id="rId2999" Type="http://schemas.openxmlformats.org/officeDocument/2006/relationships/hyperlink" Target="https://youtu.be/n-p6FtdE57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n8GBYhUU3E?si=cB-vRJOczh6bhO1B" TargetMode="External"/><Relationship Id="rId1660" Type="http://schemas.openxmlformats.org/officeDocument/2006/relationships/hyperlink" Target="https://youtu.be/2sRu4sA8Uj8" TargetMode="External"/><Relationship Id="rId2991" Type="http://schemas.openxmlformats.org/officeDocument/2006/relationships/hyperlink" Target="https://youtu.be/zbdC7rooh2Y"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ProductiveSmallTofuPrimeMe-BiqUcXrrRzLE_GF3" TargetMode="External"/><Relationship Id="rId1662" Type="http://schemas.openxmlformats.org/officeDocument/2006/relationships/hyperlink" Target="https://youtu.be/5QxvGVBxe-4" TargetMode="External"/><Relationship Id="rId2993" Type="http://schemas.openxmlformats.org/officeDocument/2006/relationships/hyperlink" Target="https://youtu.be/1oFQGYiycIQ?si=guM2fGz7XAv1O3b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olidPerfectSandwichDerp-865AbQlAGdrhQILD"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912</v>
      </c>
      <c r="V18" s="112" t="s">
        <v>1358</v>
      </c>
      <c r="W18" s="92"/>
      <c r="X18" s="116" t="s">
        <v>1359</v>
      </c>
      <c r="Y18" s="269"/>
      <c r="Z18" s="116" t="s">
        <v>1360</v>
      </c>
      <c r="AA18" s="116" t="s">
        <v>119</v>
      </c>
      <c r="AB18" s="116" t="s">
        <v>1361</v>
      </c>
      <c r="AC18" s="116" t="s">
        <v>1055</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1111</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1014</v>
      </c>
      <c r="DZ18" s="141" t="s">
        <v>1414</v>
      </c>
      <c r="EA18" s="145" t="s">
        <v>686</v>
      </c>
      <c r="EB18" s="145" t="s">
        <v>1415</v>
      </c>
      <c r="EC18" s="145" t="s">
        <v>740</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1024</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729</v>
      </c>
      <c r="BV19" s="98" t="s">
        <v>159</v>
      </c>
      <c r="BW19" s="94" t="s">
        <v>1464</v>
      </c>
      <c r="BX19" s="98" t="s">
        <v>1465</v>
      </c>
      <c r="BY19" s="94" t="s">
        <v>1466</v>
      </c>
      <c r="BZ19" s="94" t="s">
        <v>1467</v>
      </c>
      <c r="CA19" s="98" t="s">
        <v>1468</v>
      </c>
      <c r="CB19" s="98" t="s">
        <v>1469</v>
      </c>
      <c r="CC19" s="94" t="s">
        <v>1470</v>
      </c>
      <c r="CD19" s="94" t="s">
        <v>690</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718</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913</v>
      </c>
      <c r="AB20" s="114" t="s">
        <v>1001</v>
      </c>
      <c r="AC20" s="116" t="s">
        <v>757</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718</v>
      </c>
      <c r="AX20" s="246"/>
      <c r="AY20" s="278" t="s">
        <v>1521</v>
      </c>
      <c r="AZ20" s="246"/>
      <c r="BA20" s="246"/>
      <c r="BB20" s="125" t="str">
        <f>HYPERLINK("https://clips.twitch.tv/JollyDarlingMousePipeHype","49.40")</f>
        <v>49.40</v>
      </c>
      <c r="BC20" s="126" t="s">
        <v>775</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790</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740</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846</v>
      </c>
      <c r="AV21" s="156" t="s">
        <v>1586</v>
      </c>
      <c r="AW21" s="88" t="s">
        <v>1587</v>
      </c>
      <c r="AX21" s="99"/>
      <c r="AY21" s="88" t="s">
        <v>1588</v>
      </c>
      <c r="AZ21" s="88" t="s">
        <v>1589</v>
      </c>
      <c r="BA21" s="99"/>
      <c r="BB21" s="156" t="s">
        <v>660</v>
      </c>
      <c r="BC21" s="156" t="s">
        <v>937</v>
      </c>
      <c r="BD21" s="156" t="s">
        <v>1590</v>
      </c>
      <c r="BE21" s="156" t="s">
        <v>776</v>
      </c>
      <c r="BF21" s="156" t="s">
        <v>793</v>
      </c>
      <c r="BG21" s="156" t="s">
        <v>582</v>
      </c>
      <c r="BH21" s="156" t="s">
        <v>1591</v>
      </c>
      <c r="BI21" s="88" t="s">
        <v>1592</v>
      </c>
      <c r="BJ21" s="88" t="s">
        <v>1593</v>
      </c>
      <c r="BK21" s="156" t="s">
        <v>1594</v>
      </c>
      <c r="BL21" s="156" t="s">
        <v>1595</v>
      </c>
      <c r="BM21" s="88" t="s">
        <v>1138</v>
      </c>
      <c r="BN21" s="88" t="s">
        <v>690</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943</v>
      </c>
      <c r="DQ21" s="90" t="s">
        <v>1191</v>
      </c>
      <c r="DR21" s="156" t="s">
        <v>1626</v>
      </c>
      <c r="DS21" s="156" t="s">
        <v>1627</v>
      </c>
      <c r="DT21" s="88" t="s">
        <v>1551</v>
      </c>
      <c r="DU21" s="88" t="s">
        <v>1628</v>
      </c>
      <c r="DV21" s="88" t="s">
        <v>210</v>
      </c>
      <c r="DW21" s="94" t="s">
        <v>1629</v>
      </c>
      <c r="DX21" s="94" t="s">
        <v>1630</v>
      </c>
      <c r="DY21" s="94" t="s">
        <v>1631</v>
      </c>
      <c r="DZ21" s="94" t="s">
        <v>1632</v>
      </c>
      <c r="EA21" s="88" t="s">
        <v>1633</v>
      </c>
      <c r="EB21" s="88" t="s">
        <v>698</v>
      </c>
      <c r="EC21" s="88" t="s">
        <v>1500</v>
      </c>
      <c r="ED21" s="98" t="s">
        <v>1634</v>
      </c>
    </row>
    <row r="22">
      <c r="A22" s="291" t="s">
        <v>1635</v>
      </c>
      <c r="B22" s="104" t="s">
        <v>1636</v>
      </c>
      <c r="C22" s="105" t="s">
        <v>548</v>
      </c>
      <c r="D22" s="106" t="s">
        <v>439</v>
      </c>
      <c r="E22" s="107" t="s">
        <v>1260</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1284</v>
      </c>
      <c r="T22" s="112" t="s">
        <v>1647</v>
      </c>
      <c r="U22" s="112" t="s">
        <v>649</v>
      </c>
      <c r="V22" s="112" t="s">
        <v>1648</v>
      </c>
      <c r="W22" s="113"/>
      <c r="X22" s="116" t="s">
        <v>1649</v>
      </c>
      <c r="Y22" s="269"/>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1179</v>
      </c>
      <c r="BI22" s="126" t="s">
        <v>433</v>
      </c>
      <c r="BJ22" s="126" t="s">
        <v>1670</v>
      </c>
      <c r="BK22" s="126" t="s">
        <v>1671</v>
      </c>
      <c r="BL22" s="126" t="s">
        <v>1672</v>
      </c>
      <c r="BM22" s="126" t="s">
        <v>1673</v>
      </c>
      <c r="BN22" s="126" t="s">
        <v>1302</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719</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1347</v>
      </c>
    </row>
    <row r="23">
      <c r="A23" s="297" t="s">
        <v>1724</v>
      </c>
      <c r="B23" s="82" t="s">
        <v>1725</v>
      </c>
      <c r="C23" s="83" t="s">
        <v>1260</v>
      </c>
      <c r="D23" s="84" t="s">
        <v>548</v>
      </c>
      <c r="E23" s="85" t="s">
        <v>1260</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995</v>
      </c>
      <c r="S23" s="94" t="s">
        <v>1270</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712</v>
      </c>
      <c r="BE23" s="88" t="s">
        <v>1760</v>
      </c>
      <c r="BF23" s="88" t="s">
        <v>1371</v>
      </c>
      <c r="BG23" s="88" t="s">
        <v>690</v>
      </c>
      <c r="BH23" s="94" t="s">
        <v>375</v>
      </c>
      <c r="BI23" s="98" t="s">
        <v>1761</v>
      </c>
      <c r="BJ23" s="94" t="s">
        <v>1762</v>
      </c>
      <c r="BK23" s="98" t="s">
        <v>1421</v>
      </c>
      <c r="BL23" s="88" t="s">
        <v>1763</v>
      </c>
      <c r="BM23" s="94" t="s">
        <v>1764</v>
      </c>
      <c r="BN23" s="94" t="s">
        <v>1068</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1220</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940</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1668</v>
      </c>
      <c r="BD24" s="200" t="s">
        <v>1452</v>
      </c>
      <c r="BE24" s="301" t="s">
        <v>776</v>
      </c>
      <c r="BF24" s="302" t="s">
        <v>1839</v>
      </c>
      <c r="BG24" s="174" t="s">
        <v>1840</v>
      </c>
      <c r="BH24" s="173"/>
      <c r="BI24" s="174" t="s">
        <v>1290</v>
      </c>
      <c r="BJ24" s="174" t="s">
        <v>1841</v>
      </c>
      <c r="BK24" s="174" t="s">
        <v>1842</v>
      </c>
      <c r="BL24" s="174" t="s">
        <v>1843</v>
      </c>
      <c r="BM24" s="173"/>
      <c r="BN24" s="126" t="s">
        <v>1220</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1205</v>
      </c>
      <c r="CF24" s="294"/>
      <c r="CG24" s="135" t="s">
        <v>1157</v>
      </c>
      <c r="CH24" s="135" t="s">
        <v>1854</v>
      </c>
      <c r="CI24" s="177" t="s">
        <v>1855</v>
      </c>
      <c r="CJ24" s="135" t="s">
        <v>1856</v>
      </c>
      <c r="CK24" s="262"/>
      <c r="CL24" s="262"/>
      <c r="CM24" s="230" t="s">
        <v>1857</v>
      </c>
      <c r="CN24" s="231" t="s">
        <v>411</v>
      </c>
      <c r="CO24" s="177" t="s">
        <v>1858</v>
      </c>
      <c r="CP24" s="254"/>
      <c r="CQ24" s="177" t="s">
        <v>207</v>
      </c>
      <c r="CR24" s="177"/>
      <c r="CS24" s="177" t="s">
        <v>1859</v>
      </c>
      <c r="CT24" s="253" t="s">
        <v>1233</v>
      </c>
      <c r="CU24" s="92"/>
      <c r="CV24" s="140" t="s">
        <v>1860</v>
      </c>
      <c r="CW24" s="203" t="s">
        <v>1861</v>
      </c>
      <c r="CX24" s="232" t="s">
        <v>1180</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1000</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1260</v>
      </c>
      <c r="D25" s="84" t="s">
        <v>1260</v>
      </c>
      <c r="E25" s="85" t="s">
        <v>548</v>
      </c>
      <c r="F25" s="86" t="s">
        <v>1882</v>
      </c>
      <c r="G25" s="82" t="s">
        <v>1883</v>
      </c>
      <c r="H25" s="94" t="s">
        <v>1884</v>
      </c>
      <c r="I25" s="94" t="s">
        <v>1885</v>
      </c>
      <c r="J25" s="88" t="s">
        <v>725</v>
      </c>
      <c r="K25" s="94" t="s">
        <v>1886</v>
      </c>
      <c r="L25" s="88" t="s">
        <v>1641</v>
      </c>
      <c r="M25" s="94" t="s">
        <v>1887</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760</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1013</v>
      </c>
      <c r="AV25" s="94" t="s">
        <v>1290</v>
      </c>
      <c r="AW25" s="93" t="s">
        <v>1907</v>
      </c>
      <c r="AX25" s="94"/>
      <c r="AY25" s="94" t="s">
        <v>1908</v>
      </c>
      <c r="AZ25" s="94" t="s">
        <v>1909</v>
      </c>
      <c r="BA25" s="94"/>
      <c r="BB25" s="88" t="s">
        <v>143</v>
      </c>
      <c r="BC25" s="94" t="s">
        <v>1910</v>
      </c>
      <c r="BD25" s="94" t="s">
        <v>145</v>
      </c>
      <c r="BE25" s="94" t="s">
        <v>1911</v>
      </c>
      <c r="BF25" s="94" t="s">
        <v>1912</v>
      </c>
      <c r="BG25" s="88" t="s">
        <v>1913</v>
      </c>
      <c r="BH25" s="94" t="s">
        <v>1914</v>
      </c>
      <c r="BI25" s="94" t="s">
        <v>1592</v>
      </c>
      <c r="BJ25" s="94" t="s">
        <v>1915</v>
      </c>
      <c r="BK25" s="94" t="s">
        <v>1916</v>
      </c>
      <c r="BL25" s="94" t="s">
        <v>801</v>
      </c>
      <c r="BM25" s="94" t="s">
        <v>1917</v>
      </c>
      <c r="BN25" s="265" t="s">
        <v>997</v>
      </c>
      <c r="BO25" s="94" t="s">
        <v>1918</v>
      </c>
      <c r="BP25" s="94" t="s">
        <v>1919</v>
      </c>
      <c r="BQ25" s="100"/>
      <c r="BR25" s="94"/>
      <c r="BS25" s="94" t="s">
        <v>1920</v>
      </c>
      <c r="BT25" s="94" t="s">
        <v>1921</v>
      </c>
      <c r="BU25" s="94" t="s">
        <v>696</v>
      </c>
      <c r="BV25" s="88" t="s">
        <v>1922</v>
      </c>
      <c r="BW25" s="94" t="s">
        <v>1923</v>
      </c>
      <c r="BX25" s="94" t="s">
        <v>1924</v>
      </c>
      <c r="BY25" s="307" t="s">
        <v>1925</v>
      </c>
      <c r="BZ25" s="94" t="s">
        <v>1926</v>
      </c>
      <c r="CA25" s="88" t="s">
        <v>1927</v>
      </c>
      <c r="CB25" s="94" t="s">
        <v>1928</v>
      </c>
      <c r="CC25" s="94" t="s">
        <v>1929</v>
      </c>
      <c r="CD25" s="94" t="s">
        <v>460</v>
      </c>
      <c r="CE25" s="94" t="s">
        <v>1930</v>
      </c>
      <c r="CF25" s="100"/>
      <c r="CG25" s="88" t="s">
        <v>1604</v>
      </c>
      <c r="CH25" s="88" t="s">
        <v>1931</v>
      </c>
      <c r="CI25" s="94" t="s">
        <v>1932</v>
      </c>
      <c r="CJ25" s="94" t="s">
        <v>1933</v>
      </c>
      <c r="CK25" s="94"/>
      <c r="CL25" s="94" t="s">
        <v>177</v>
      </c>
      <c r="CM25" s="94" t="s">
        <v>1934</v>
      </c>
      <c r="CN25" s="88" t="s">
        <v>1935</v>
      </c>
      <c r="CO25" s="94" t="s">
        <v>1781</v>
      </c>
      <c r="CP25" s="162" t="s">
        <v>1936</v>
      </c>
      <c r="CQ25" s="88" t="s">
        <v>1055</v>
      </c>
      <c r="CR25" s="94"/>
      <c r="CS25" s="94" t="s">
        <v>1937</v>
      </c>
      <c r="CT25" s="94" t="s">
        <v>1938</v>
      </c>
      <c r="CU25" s="92"/>
      <c r="CV25" s="94" t="s">
        <v>1939</v>
      </c>
      <c r="CW25" s="94" t="s">
        <v>1786</v>
      </c>
      <c r="CX25" s="88" t="s">
        <v>1180</v>
      </c>
      <c r="CY25" s="94" t="s">
        <v>1940</v>
      </c>
      <c r="CZ25" s="94" t="s">
        <v>1941</v>
      </c>
      <c r="DA25" s="94" t="s">
        <v>1942</v>
      </c>
      <c r="DB25" s="94" t="s">
        <v>1943</v>
      </c>
      <c r="DC25" s="94" t="s">
        <v>1944</v>
      </c>
      <c r="DD25" s="88" t="s">
        <v>1945</v>
      </c>
      <c r="DE25" s="94" t="s">
        <v>1946</v>
      </c>
      <c r="DF25" s="94" t="s">
        <v>1793</v>
      </c>
      <c r="DG25" s="94" t="s">
        <v>1947</v>
      </c>
      <c r="DH25" s="100"/>
      <c r="DI25" s="94" t="s">
        <v>1948</v>
      </c>
      <c r="DJ25" s="94"/>
      <c r="DK25" s="98" t="str">
        <f>HYPERLINK("https://youtu.be/OBiIqIyDHqc","1:30.08")</f>
        <v>1:30.08</v>
      </c>
      <c r="DL25" s="94"/>
      <c r="DM25" s="88" t="s">
        <v>531</v>
      </c>
      <c r="DN25" s="94" t="s">
        <v>540</v>
      </c>
      <c r="DO25" s="94" t="s">
        <v>949</v>
      </c>
      <c r="DP25" s="94" t="s">
        <v>1949</v>
      </c>
      <c r="DQ25" s="94" t="s">
        <v>1549</v>
      </c>
      <c r="DR25" s="94" t="s">
        <v>1950</v>
      </c>
      <c r="DS25" s="94"/>
      <c r="DT25" s="94" t="s">
        <v>1951</v>
      </c>
      <c r="DU25" s="94" t="s">
        <v>1952</v>
      </c>
      <c r="DV25" s="94" t="s">
        <v>1953</v>
      </c>
      <c r="DW25" s="94" t="s">
        <v>1954</v>
      </c>
      <c r="DX25" s="94" t="s">
        <v>1955</v>
      </c>
      <c r="DY25" s="94" t="s">
        <v>588</v>
      </c>
      <c r="DZ25" s="94" t="s">
        <v>1956</v>
      </c>
      <c r="EA25" s="94" t="s">
        <v>1957</v>
      </c>
      <c r="EB25" s="94" t="s">
        <v>1958</v>
      </c>
      <c r="EC25" s="94" t="s">
        <v>1520</v>
      </c>
      <c r="ED25" s="98" t="s">
        <v>1959</v>
      </c>
    </row>
    <row r="26">
      <c r="A26" s="308" t="s">
        <v>1960</v>
      </c>
      <c r="B26" s="104" t="s">
        <v>1961</v>
      </c>
      <c r="C26" s="105" t="s">
        <v>1260</v>
      </c>
      <c r="D26" s="106" t="s">
        <v>1260</v>
      </c>
      <c r="E26" s="107" t="s">
        <v>548</v>
      </c>
      <c r="F26" s="108" t="s">
        <v>1962</v>
      </c>
      <c r="G26" s="104" t="s">
        <v>1963</v>
      </c>
      <c r="H26" s="309" t="s">
        <v>1609</v>
      </c>
      <c r="I26" s="310" t="s">
        <v>1964</v>
      </c>
      <c r="J26" s="310" t="s">
        <v>103</v>
      </c>
      <c r="K26" s="310" t="s">
        <v>446</v>
      </c>
      <c r="L26" s="310" t="s">
        <v>199</v>
      </c>
      <c r="M26" s="311" t="s">
        <v>601</v>
      </c>
      <c r="N26" s="309" t="s">
        <v>1965</v>
      </c>
      <c r="O26" s="310" t="s">
        <v>1966</v>
      </c>
      <c r="P26" s="310" t="s">
        <v>109</v>
      </c>
      <c r="Q26" s="312" t="s">
        <v>1967</v>
      </c>
      <c r="R26" s="309" t="s">
        <v>1968</v>
      </c>
      <c r="S26" s="309" t="s">
        <v>772</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460</v>
      </c>
      <c r="AI26" s="315" t="s">
        <v>572</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846</v>
      </c>
      <c r="AV26" s="319" t="s">
        <v>1984</v>
      </c>
      <c r="AW26" s="322" t="s">
        <v>145</v>
      </c>
      <c r="AX26" s="321" t="str">
        <f>HYPERLINK("https://youtu.be/LGq_coDO1t0","41.89")</f>
        <v>41.89</v>
      </c>
      <c r="AY26" s="319" t="s">
        <v>1374</v>
      </c>
      <c r="AZ26" s="320" t="s">
        <v>1985</v>
      </c>
      <c r="BA26" s="320"/>
      <c r="BB26" s="323" t="s">
        <v>1986</v>
      </c>
      <c r="BC26" s="324" t="s">
        <v>237</v>
      </c>
      <c r="BD26" s="324" t="s">
        <v>145</v>
      </c>
      <c r="BE26" s="323" t="s">
        <v>1987</v>
      </c>
      <c r="BF26" s="325" t="s">
        <v>793</v>
      </c>
      <c r="BG26" s="323" t="s">
        <v>478</v>
      </c>
      <c r="BH26" s="323" t="str">
        <f>HYPERLINK("https://youtu.be/SCwM4I4j6-A","50.19")</f>
        <v>50.19</v>
      </c>
      <c r="BI26" s="323" t="s">
        <v>1988</v>
      </c>
      <c r="BJ26" s="325"/>
      <c r="BK26" s="323" t="str">
        <f>HYPERLINK("https://youtu.be/1ecLZd2x6O4","1:28.27")</f>
        <v>1:28.27</v>
      </c>
      <c r="BL26" s="323" t="s">
        <v>1989</v>
      </c>
      <c r="BM26" s="325" t="s">
        <v>1990</v>
      </c>
      <c r="BN26" s="324" t="s">
        <v>155</v>
      </c>
      <c r="BO26" s="323" t="str">
        <f>HYPERLINK("https://youtu.be/tUFd3-e8u0s","1:27.08")</f>
        <v>1:27.08</v>
      </c>
      <c r="BP26" s="325" t="s">
        <v>1991</v>
      </c>
      <c r="BQ26" s="326"/>
      <c r="BR26" s="327" t="s">
        <v>1004</v>
      </c>
      <c r="BS26" s="328" t="str">
        <f>HYPERLINK("https://youtu.be/sYs50tvUHuo","52.01")</f>
        <v>52.01</v>
      </c>
      <c r="BT26" s="329" t="s">
        <v>1992</v>
      </c>
      <c r="BU26" s="328" t="s">
        <v>1121</v>
      </c>
      <c r="BV26" s="327" t="s">
        <v>1993</v>
      </c>
      <c r="BW26" s="328" t="str">
        <f>HYPERLINK("https://youtu.be/n7zdK3H7Bag","22.27")</f>
        <v>22.27</v>
      </c>
      <c r="BX26" s="327"/>
      <c r="BY26" s="327" t="s">
        <v>1994</v>
      </c>
      <c r="BZ26" s="328" t="s">
        <v>1239</v>
      </c>
      <c r="CA26" s="329" t="s">
        <v>869</v>
      </c>
      <c r="CB26" s="329" t="s">
        <v>1995</v>
      </c>
      <c r="CC26" s="329" t="s">
        <v>1996</v>
      </c>
      <c r="CD26" s="328" t="s">
        <v>1997</v>
      </c>
      <c r="CE26" s="327" t="s">
        <v>1998</v>
      </c>
      <c r="CF26" s="330"/>
      <c r="CG26" s="331" t="s">
        <v>1999</v>
      </c>
      <c r="CH26" s="331" t="s">
        <v>1473</v>
      </c>
      <c r="CI26" s="331" t="s">
        <v>2000</v>
      </c>
      <c r="CJ26" s="332" t="s">
        <v>783</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718</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1814</v>
      </c>
      <c r="I27" s="88" t="s">
        <v>2025</v>
      </c>
      <c r="J27" s="88" t="s">
        <v>2026</v>
      </c>
      <c r="K27" s="88" t="s">
        <v>553</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1740</v>
      </c>
      <c r="AD27" s="88" t="s">
        <v>2035</v>
      </c>
      <c r="AE27" s="88" t="s">
        <v>2036</v>
      </c>
      <c r="AF27" s="94" t="s">
        <v>968</v>
      </c>
      <c r="AG27" s="94" t="s">
        <v>2037</v>
      </c>
      <c r="AH27" s="94" t="s">
        <v>1993</v>
      </c>
      <c r="AI27" s="94"/>
      <c r="AJ27" s="94" t="s">
        <v>1645</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2051</v>
      </c>
      <c r="BJ27" s="99"/>
      <c r="BK27" s="94" t="s">
        <v>2052</v>
      </c>
      <c r="BL27" s="88" t="s">
        <v>321</v>
      </c>
      <c r="BM27" s="99"/>
      <c r="BN27" s="99"/>
      <c r="BO27" s="88" t="s">
        <v>1303</v>
      </c>
      <c r="BP27" s="99"/>
      <c r="BQ27" s="236"/>
      <c r="BR27" s="265" t="s">
        <v>2053</v>
      </c>
      <c r="BS27" s="88" t="s">
        <v>2054</v>
      </c>
      <c r="BT27" s="94" t="s">
        <v>2055</v>
      </c>
      <c r="BU27" s="88" t="s">
        <v>1711</v>
      </c>
      <c r="BV27" s="88" t="s">
        <v>2056</v>
      </c>
      <c r="BW27" s="94" t="s">
        <v>163</v>
      </c>
      <c r="BX27" s="265" t="s">
        <v>2057</v>
      </c>
      <c r="BY27" s="99"/>
      <c r="BZ27" s="88" t="s">
        <v>2058</v>
      </c>
      <c r="CA27" s="88" t="s">
        <v>2059</v>
      </c>
      <c r="CB27" s="94" t="s">
        <v>2060</v>
      </c>
      <c r="CC27" s="94" t="s">
        <v>2061</v>
      </c>
      <c r="CD27" s="88" t="s">
        <v>1787</v>
      </c>
      <c r="CE27" s="88" t="s">
        <v>2062</v>
      </c>
      <c r="CF27" s="236"/>
      <c r="CG27" s="88" t="s">
        <v>1157</v>
      </c>
      <c r="CH27" s="88" t="s">
        <v>2063</v>
      </c>
      <c r="CI27" s="94" t="s">
        <v>2064</v>
      </c>
      <c r="CJ27" s="88" t="s">
        <v>2065</v>
      </c>
      <c r="CK27" s="88" t="s">
        <v>2066</v>
      </c>
      <c r="CL27" s="88" t="s">
        <v>1476</v>
      </c>
      <c r="CM27" s="88" t="s">
        <v>941</v>
      </c>
      <c r="CN27" s="88" t="s">
        <v>1935</v>
      </c>
      <c r="CO27" s="94" t="s">
        <v>513</v>
      </c>
      <c r="CP27" s="99"/>
      <c r="CQ27" s="99"/>
      <c r="CR27" s="99"/>
      <c r="CS27" s="94" t="s">
        <v>2067</v>
      </c>
      <c r="CT27" s="99"/>
      <c r="CU27" s="92"/>
      <c r="CV27" s="88" t="s">
        <v>2068</v>
      </c>
      <c r="CW27" s="94" t="s">
        <v>2069</v>
      </c>
      <c r="CX27" s="88" t="s">
        <v>477</v>
      </c>
      <c r="CY27" s="88" t="s">
        <v>2070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2024</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334</v>
      </c>
      <c r="E29" s="85" t="s">
        <v>1260</v>
      </c>
      <c r="F29" s="86" t="s">
        <v>2107</v>
      </c>
      <c r="G29" s="82" t="s">
        <v>2108</v>
      </c>
      <c r="H29" s="351" t="s">
        <v>1814</v>
      </c>
      <c r="I29" s="352" t="s">
        <v>2109</v>
      </c>
      <c r="J29" s="352" t="s">
        <v>2110</v>
      </c>
      <c r="K29" s="352" t="s">
        <v>2111</v>
      </c>
      <c r="L29" s="352" t="s">
        <v>148</v>
      </c>
      <c r="M29" s="352" t="s">
        <v>2112</v>
      </c>
      <c r="N29" s="156" t="s">
        <v>2113</v>
      </c>
      <c r="O29" s="352" t="s">
        <v>1968</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2097</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1986</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1934</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681</v>
      </c>
      <c r="BD30" s="126" t="s">
        <v>1315</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1598</v>
      </c>
      <c r="CB30" s="251"/>
      <c r="CC30" s="251"/>
      <c r="CD30" s="251"/>
      <c r="CE30" s="251"/>
      <c r="CF30" s="252"/>
      <c r="CG30" s="135" t="s">
        <v>506</v>
      </c>
      <c r="CH30" s="135" t="s">
        <v>2051</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758</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1296</v>
      </c>
      <c r="BF31" s="88" t="s">
        <v>1472</v>
      </c>
      <c r="BG31" s="94" t="s">
        <v>2224</v>
      </c>
      <c r="BH31" s="88" t="s">
        <v>1768</v>
      </c>
      <c r="BI31" s="88" t="s">
        <v>1931</v>
      </c>
      <c r="BJ31" s="88" t="s">
        <v>2225</v>
      </c>
      <c r="BK31" s="94"/>
      <c r="BL31" s="88" t="s">
        <v>1989</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1549</v>
      </c>
      <c r="DQ31" s="94" t="s">
        <v>731</v>
      </c>
      <c r="DR31" s="88" t="s">
        <v>2091</v>
      </c>
      <c r="DS31" s="88" t="s">
        <v>2259</v>
      </c>
      <c r="DT31" s="93" t="s">
        <v>188</v>
      </c>
      <c r="DU31" s="94" t="s">
        <v>2260</v>
      </c>
      <c r="DV31" s="88" t="s">
        <v>2261</v>
      </c>
      <c r="DW31" s="88" t="s">
        <v>1874</v>
      </c>
      <c r="DX31" s="94" t="s">
        <v>1315</v>
      </c>
      <c r="DY31" s="94" t="s">
        <v>2262</v>
      </c>
      <c r="DZ31" s="88" t="s">
        <v>1364</v>
      </c>
      <c r="EA31" s="88" t="s">
        <v>2263</v>
      </c>
      <c r="EB31" s="94" t="s">
        <v>1159</v>
      </c>
      <c r="EC31" s="94" t="s">
        <v>1372</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2303</v>
      </c>
      <c r="BL32" s="174" t="s">
        <v>1989</v>
      </c>
      <c r="BM32" s="173"/>
      <c r="BN32" s="174" t="s">
        <v>2030</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2095</v>
      </c>
      <c r="DT32" s="204" t="s">
        <v>2335</v>
      </c>
      <c r="DU32" s="204" t="s">
        <v>682</v>
      </c>
      <c r="DV32" s="257"/>
      <c r="DW32" s="204" t="s">
        <v>1713</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1730</v>
      </c>
      <c r="L33" s="88" t="s">
        <v>1406</v>
      </c>
      <c r="M33" s="88" t="s">
        <v>2347</v>
      </c>
      <c r="N33" s="88" t="s">
        <v>2348</v>
      </c>
      <c r="O33" s="88" t="s">
        <v>2046</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1543</v>
      </c>
      <c r="BC33" s="88" t="s">
        <v>681</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2049</v>
      </c>
      <c r="CH33" s="88" t="s">
        <v>954</v>
      </c>
      <c r="CI33" s="88" t="s">
        <v>2364</v>
      </c>
      <c r="CJ33" s="88" t="s">
        <v>175</v>
      </c>
      <c r="CK33" s="93"/>
      <c r="CL33" s="93"/>
      <c r="CM33" s="88" t="s">
        <v>1040</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1013</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1835</v>
      </c>
      <c r="EB33" s="99"/>
      <c r="EC33" s="99"/>
      <c r="ED33" s="365"/>
    </row>
    <row r="34">
      <c r="A34" s="166" t="s">
        <v>2373</v>
      </c>
      <c r="B34" s="104" t="s">
        <v>2374</v>
      </c>
      <c r="C34" s="105" t="s">
        <v>1260</v>
      </c>
      <c r="D34" s="106" t="s">
        <v>439</v>
      </c>
      <c r="E34" s="107" t="s">
        <v>1260</v>
      </c>
      <c r="F34" s="108" t="s">
        <v>2375</v>
      </c>
      <c r="G34" s="104" t="s">
        <v>830</v>
      </c>
      <c r="H34" s="167" t="s">
        <v>2376</v>
      </c>
      <c r="I34" s="167" t="s">
        <v>2377</v>
      </c>
      <c r="J34" s="112" t="s">
        <v>2378</v>
      </c>
      <c r="K34" s="112" t="s">
        <v>2379</v>
      </c>
      <c r="L34" s="112" t="s">
        <v>2380</v>
      </c>
      <c r="M34" s="112" t="s">
        <v>2381</v>
      </c>
      <c r="N34" s="167" t="s">
        <v>2382</v>
      </c>
      <c r="O34" s="167" t="s">
        <v>2046</v>
      </c>
      <c r="P34" s="112" t="s">
        <v>654</v>
      </c>
      <c r="Q34" s="243"/>
      <c r="R34" s="243"/>
      <c r="S34" s="112" t="s">
        <v>1207</v>
      </c>
      <c r="T34" s="112" t="s">
        <v>1946</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1087</v>
      </c>
      <c r="AX34" s="246"/>
      <c r="AY34" s="246"/>
      <c r="AZ34" s="246"/>
      <c r="BA34" s="246"/>
      <c r="BB34" s="126" t="s">
        <v>2397</v>
      </c>
      <c r="BC34" s="174" t="s">
        <v>2398</v>
      </c>
      <c r="BD34" s="126" t="s">
        <v>2326</v>
      </c>
      <c r="BE34" s="174" t="s">
        <v>1921</v>
      </c>
      <c r="BF34" s="174" t="s">
        <v>246</v>
      </c>
      <c r="BG34" s="174" t="s">
        <v>190</v>
      </c>
      <c r="BH34" s="173"/>
      <c r="BI34" s="174" t="s">
        <v>2399</v>
      </c>
      <c r="BJ34" s="174" t="s">
        <v>2400</v>
      </c>
      <c r="BK34" s="174"/>
      <c r="BL34" s="174" t="s">
        <v>2401</v>
      </c>
      <c r="BM34" s="174" t="s">
        <v>2402</v>
      </c>
      <c r="BN34" s="126" t="s">
        <v>2403</v>
      </c>
      <c r="BO34" s="174" t="s">
        <v>2404</v>
      </c>
      <c r="BP34" s="174" t="s">
        <v>1991</v>
      </c>
      <c r="BQ34" s="248"/>
      <c r="BR34" s="175" t="s">
        <v>2405</v>
      </c>
      <c r="BS34" s="175" t="s">
        <v>2406</v>
      </c>
      <c r="BT34" s="129" t="s">
        <v>2133</v>
      </c>
      <c r="BU34" s="129" t="s">
        <v>212</v>
      </c>
      <c r="BV34" s="129" t="s">
        <v>2407</v>
      </c>
      <c r="BW34" s="129" t="s">
        <v>167</v>
      </c>
      <c r="BX34" s="175" t="s">
        <v>2408</v>
      </c>
      <c r="BY34" s="175" t="s">
        <v>2409</v>
      </c>
      <c r="BZ34" s="175" t="s">
        <v>2410</v>
      </c>
      <c r="CA34" s="129" t="s">
        <v>1712</v>
      </c>
      <c r="CB34" s="175" t="s">
        <v>2411</v>
      </c>
      <c r="CC34" s="175" t="s">
        <v>2412</v>
      </c>
      <c r="CD34" s="129" t="s">
        <v>1448</v>
      </c>
      <c r="CE34" s="251"/>
      <c r="CF34" s="252"/>
      <c r="CG34" s="177" t="s">
        <v>2035</v>
      </c>
      <c r="CH34" s="177" t="s">
        <v>2318</v>
      </c>
      <c r="CI34" s="135" t="s">
        <v>1244</v>
      </c>
      <c r="CJ34" s="135" t="s">
        <v>2413</v>
      </c>
      <c r="CK34" s="262"/>
      <c r="CL34" s="262"/>
      <c r="CM34" s="135" t="s">
        <v>137</v>
      </c>
      <c r="CN34" s="135" t="s">
        <v>2414</v>
      </c>
      <c r="CO34" s="135" t="s">
        <v>2243</v>
      </c>
      <c r="CP34" s="254"/>
      <c r="CQ34" s="135" t="s">
        <v>207</v>
      </c>
      <c r="CR34" s="254"/>
      <c r="CS34" s="254"/>
      <c r="CT34" s="254"/>
      <c r="CU34" s="92"/>
      <c r="CV34" s="140" t="s">
        <v>452</v>
      </c>
      <c r="CW34" s="203" t="s">
        <v>1608</v>
      </c>
      <c r="CX34" s="255"/>
      <c r="CY34" s="203" t="s">
        <v>2415</v>
      </c>
      <c r="CZ34" s="203" t="s">
        <v>1624</v>
      </c>
      <c r="DA34" s="140" t="s">
        <v>2416</v>
      </c>
      <c r="DB34" s="203" t="s">
        <v>2417</v>
      </c>
      <c r="DC34" s="203" t="s">
        <v>2418</v>
      </c>
      <c r="DD34" s="255"/>
      <c r="DE34" s="140" t="s">
        <v>2419</v>
      </c>
      <c r="DF34" s="203" t="s">
        <v>2420</v>
      </c>
      <c r="DG34" s="255"/>
      <c r="DH34" s="256"/>
      <c r="DI34" s="145" t="s">
        <v>889</v>
      </c>
      <c r="DJ34" s="257"/>
      <c r="DK34" s="204" t="s">
        <v>2421</v>
      </c>
      <c r="DL34" s="257"/>
      <c r="DM34" s="141" t="s">
        <v>180</v>
      </c>
      <c r="DN34" s="257"/>
      <c r="DO34" s="204" t="s">
        <v>949</v>
      </c>
      <c r="DP34" s="257"/>
      <c r="DQ34" s="257"/>
      <c r="DR34" s="142" t="s">
        <v>2422</v>
      </c>
      <c r="DS34" s="145" t="s">
        <v>1627</v>
      </c>
      <c r="DT34" s="145" t="s">
        <v>2423</v>
      </c>
      <c r="DU34" s="145" t="s">
        <v>2424</v>
      </c>
      <c r="DV34" s="145" t="s">
        <v>2425</v>
      </c>
      <c r="DW34" s="145" t="s">
        <v>204</v>
      </c>
      <c r="DX34" s="257"/>
      <c r="DY34" s="257"/>
      <c r="DZ34" s="145" t="s">
        <v>1018</v>
      </c>
      <c r="EA34" s="204" t="s">
        <v>1988</v>
      </c>
      <c r="EB34" s="145" t="s">
        <v>2426</v>
      </c>
      <c r="EC34" s="145" t="s">
        <v>2427</v>
      </c>
      <c r="ED34" s="142" t="s">
        <v>1809</v>
      </c>
    </row>
    <row r="35">
      <c r="A35" s="366" t="s">
        <v>2428</v>
      </c>
      <c r="B35" s="82" t="s">
        <v>2429</v>
      </c>
      <c r="C35" s="83" t="s">
        <v>1260</v>
      </c>
      <c r="D35" s="84" t="s">
        <v>1260</v>
      </c>
      <c r="E35" s="85" t="s">
        <v>1260</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837</v>
      </c>
      <c r="T35" s="99"/>
      <c r="U35" s="94" t="s">
        <v>2436</v>
      </c>
      <c r="V35" s="99"/>
      <c r="W35" s="92"/>
      <c r="X35" s="88" t="s">
        <v>2277</v>
      </c>
      <c r="Y35" s="95"/>
      <c r="Z35" s="98" t="s">
        <v>1141</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2441</v>
      </c>
      <c r="BF35" s="88" t="s">
        <v>1327</v>
      </c>
      <c r="BG35" s="99"/>
      <c r="BH35" s="99"/>
      <c r="BI35" s="88" t="s">
        <v>1619</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1325</v>
      </c>
      <c r="CM35" s="88" t="s">
        <v>924</v>
      </c>
      <c r="CN35" s="88" t="s">
        <v>179</v>
      </c>
      <c r="CO35" s="88" t="s">
        <v>1537</v>
      </c>
      <c r="CP35" s="99"/>
      <c r="CQ35" s="99"/>
      <c r="CR35" s="99"/>
      <c r="CS35" s="99"/>
      <c r="CT35" s="99"/>
      <c r="CU35" s="92"/>
      <c r="CV35" s="88" t="s">
        <v>1739</v>
      </c>
      <c r="CW35" s="88" t="s">
        <v>2453</v>
      </c>
      <c r="CX35" s="88" t="s">
        <v>882</v>
      </c>
      <c r="CY35" s="88" t="s">
        <v>571</v>
      </c>
      <c r="CZ35" s="88" t="s">
        <v>1183</v>
      </c>
      <c r="DA35" s="88" t="s">
        <v>2454</v>
      </c>
      <c r="DB35" s="88" t="s">
        <v>2455</v>
      </c>
      <c r="DC35" s="88" t="s">
        <v>2456</v>
      </c>
      <c r="DD35" s="99"/>
      <c r="DE35" s="99"/>
      <c r="DF35" s="99"/>
      <c r="DG35" s="99"/>
      <c r="DH35" s="236"/>
      <c r="DI35" s="88" t="s">
        <v>1334</v>
      </c>
      <c r="DJ35" s="99"/>
      <c r="DK35" s="216"/>
      <c r="DL35" s="99"/>
      <c r="DM35" s="99"/>
      <c r="DN35" s="99"/>
      <c r="DO35" s="99"/>
      <c r="DP35" s="99"/>
      <c r="DQ35" s="99"/>
      <c r="DR35" s="88" t="s">
        <v>817</v>
      </c>
      <c r="DS35" s="88" t="s">
        <v>2457</v>
      </c>
      <c r="DT35" s="99"/>
      <c r="DU35" s="99"/>
      <c r="DV35" s="99"/>
      <c r="DW35" s="88" t="s">
        <v>324</v>
      </c>
      <c r="DX35" s="99"/>
      <c r="DY35" s="99"/>
      <c r="DZ35" s="99"/>
      <c r="EA35" s="99"/>
      <c r="EB35" s="99"/>
      <c r="EC35" s="99"/>
      <c r="ED35" s="259"/>
    </row>
    <row r="36">
      <c r="A36" s="166" t="s">
        <v>2458</v>
      </c>
      <c r="B36" s="104" t="s">
        <v>2459</v>
      </c>
      <c r="C36" s="105" t="s">
        <v>1260</v>
      </c>
      <c r="D36" s="106" t="s">
        <v>1260</v>
      </c>
      <c r="E36" s="107" t="s">
        <v>1260</v>
      </c>
      <c r="F36" s="108" t="s">
        <v>2344</v>
      </c>
      <c r="G36" s="104" t="s">
        <v>1637</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995</v>
      </c>
      <c r="T36" s="112" t="s">
        <v>2467</v>
      </c>
      <c r="U36" s="110" t="s">
        <v>2468</v>
      </c>
      <c r="V36" s="225" t="s">
        <v>2469</v>
      </c>
      <c r="W36" s="226"/>
      <c r="X36" s="269" t="s">
        <v>1934</v>
      </c>
      <c r="Y36" s="115"/>
      <c r="Z36" s="114" t="s">
        <v>1572</v>
      </c>
      <c r="AA36" s="196" t="s">
        <v>2470</v>
      </c>
      <c r="AB36" s="116" t="s">
        <v>1669</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1917</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1757</v>
      </c>
      <c r="BF36" s="174" t="s">
        <v>2491</v>
      </c>
      <c r="BG36" s="126" t="s">
        <v>2492</v>
      </c>
      <c r="BH36" s="174" t="s">
        <v>2493</v>
      </c>
      <c r="BI36" s="125" t="s">
        <v>607</v>
      </c>
      <c r="BJ36" s="173" t="s">
        <v>2494</v>
      </c>
      <c r="BK36" s="174" t="s">
        <v>2495</v>
      </c>
      <c r="BL36" s="174" t="s">
        <v>2496</v>
      </c>
      <c r="BM36" s="174" t="s">
        <v>2497</v>
      </c>
      <c r="BN36" s="126" t="s">
        <v>2030</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950</v>
      </c>
      <c r="CC36" s="370" t="s">
        <v>2507</v>
      </c>
      <c r="CD36" s="279" t="s">
        <v>2508</v>
      </c>
      <c r="CE36" s="175" t="s">
        <v>2509</v>
      </c>
      <c r="CF36" s="294"/>
      <c r="CG36" s="135" t="s">
        <v>2510</v>
      </c>
      <c r="CH36" s="262" t="s">
        <v>2511</v>
      </c>
      <c r="CI36" s="281" t="s">
        <v>2512</v>
      </c>
      <c r="CJ36" s="281" t="s">
        <v>2513</v>
      </c>
      <c r="CK36" s="281"/>
      <c r="CL36" s="281" t="s">
        <v>2001</v>
      </c>
      <c r="CM36" s="135" t="s">
        <v>2514</v>
      </c>
      <c r="CN36" s="135" t="s">
        <v>1610</v>
      </c>
      <c r="CO36" s="135" t="s">
        <v>2003</v>
      </c>
      <c r="CP36" s="281" t="s">
        <v>2515</v>
      </c>
      <c r="CQ36" s="132" t="s">
        <v>1055</v>
      </c>
      <c r="CR36" s="135" t="s">
        <v>2516</v>
      </c>
      <c r="CS36" s="135" t="s">
        <v>2517</v>
      </c>
      <c r="CT36" s="177" t="s">
        <v>2518</v>
      </c>
      <c r="CU36" s="92"/>
      <c r="CV36" s="232" t="s">
        <v>2519</v>
      </c>
      <c r="CW36" s="203" t="s">
        <v>2001</v>
      </c>
      <c r="CX36" s="137" t="s">
        <v>2520</v>
      </c>
      <c r="CY36" s="232" t="s">
        <v>2521</v>
      </c>
      <c r="CZ36" s="232" t="s">
        <v>2522</v>
      </c>
      <c r="DA36" s="140" t="s">
        <v>2523</v>
      </c>
      <c r="DB36" s="232" t="s">
        <v>787</v>
      </c>
      <c r="DC36" s="137" t="s">
        <v>1790</v>
      </c>
      <c r="DD36" s="283" t="s">
        <v>2524</v>
      </c>
      <c r="DE36" s="371" t="s">
        <v>2525</v>
      </c>
      <c r="DF36" s="137" t="s">
        <v>2451</v>
      </c>
      <c r="DG36" s="137" t="str">
        <f>HYPERLINK("https://www.twitch.tv/videos/445329616","1:59.77")</f>
        <v>1:59.77</v>
      </c>
      <c r="DH36" s="137"/>
      <c r="DI36" s="204" t="s">
        <v>2526</v>
      </c>
      <c r="DJ36" s="145" t="s">
        <v>2527</v>
      </c>
      <c r="DK36" s="204" t="s">
        <v>1765</v>
      </c>
      <c r="DL36" s="145" t="s">
        <v>2528</v>
      </c>
      <c r="DM36" s="145" t="s">
        <v>1693</v>
      </c>
      <c r="DN36" s="206" t="s">
        <v>2529</v>
      </c>
      <c r="DO36" s="206" t="s">
        <v>497</v>
      </c>
      <c r="DP36" s="145" t="s">
        <v>2530</v>
      </c>
      <c r="DQ36" s="145" t="s">
        <v>1256</v>
      </c>
      <c r="DR36" s="204" t="s">
        <v>152</v>
      </c>
      <c r="DS36" s="145" t="s">
        <v>2531</v>
      </c>
      <c r="DT36" s="145" t="s">
        <v>2532</v>
      </c>
      <c r="DU36" s="145" t="s">
        <v>2533</v>
      </c>
      <c r="DV36" s="145" t="s">
        <v>2534</v>
      </c>
      <c r="DW36" s="145" t="s">
        <v>1713</v>
      </c>
      <c r="DX36" s="145" t="s">
        <v>2535</v>
      </c>
      <c r="DY36" s="145" t="s">
        <v>2536</v>
      </c>
      <c r="DZ36" s="145" t="s">
        <v>585</v>
      </c>
      <c r="EA36" s="145" t="s">
        <v>2537</v>
      </c>
      <c r="EB36" s="145" t="s">
        <v>977</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1030</v>
      </c>
      <c r="Y37" s="222" t="s">
        <v>2549</v>
      </c>
      <c r="Z37" s="352" t="s">
        <v>2385</v>
      </c>
      <c r="AA37" s="374" t="s">
        <v>1738</v>
      </c>
      <c r="AB37" s="352" t="s">
        <v>360</v>
      </c>
      <c r="AC37" s="352" t="s">
        <v>1055</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1910</v>
      </c>
      <c r="BD37" s="352" t="s">
        <v>2326</v>
      </c>
      <c r="BE37" s="352" t="s">
        <v>2553</v>
      </c>
      <c r="BF37" s="374" t="s">
        <v>147</v>
      </c>
      <c r="BG37" s="373"/>
      <c r="BH37" s="373"/>
      <c r="BI37" s="352" t="s">
        <v>1619</v>
      </c>
      <c r="BJ37" s="373"/>
      <c r="BK37" s="352" t="s">
        <v>2554</v>
      </c>
      <c r="BL37" s="352" t="s">
        <v>2555</v>
      </c>
      <c r="BM37" s="373"/>
      <c r="BN37" s="373"/>
      <c r="BO37" s="373"/>
      <c r="BP37" s="373"/>
      <c r="BQ37" s="378"/>
      <c r="BR37" s="352" t="s">
        <v>1303</v>
      </c>
      <c r="BS37" s="352" t="s">
        <v>1261</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1078</v>
      </c>
      <c r="CO37" s="352" t="s">
        <v>1781</v>
      </c>
      <c r="CP37" s="373"/>
      <c r="CQ37" s="373"/>
      <c r="CR37" s="373"/>
      <c r="CS37" s="373"/>
      <c r="CT37" s="373"/>
      <c r="CU37" s="377"/>
      <c r="CV37" s="352" t="s">
        <v>2567</v>
      </c>
      <c r="CW37" s="373"/>
      <c r="CX37" s="352" t="s">
        <v>2523</v>
      </c>
      <c r="CY37" s="374" t="s">
        <v>2070</v>
      </c>
      <c r="CZ37" s="376" t="s">
        <v>2568</v>
      </c>
      <c r="DA37" s="352" t="s">
        <v>1584</v>
      </c>
      <c r="DB37" s="352" t="s">
        <v>2093</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1260</v>
      </c>
      <c r="F38" s="108" t="s">
        <v>2574</v>
      </c>
      <c r="G38" s="104" t="s">
        <v>1131</v>
      </c>
      <c r="H38" s="112" t="s">
        <v>1717</v>
      </c>
      <c r="I38" s="110" t="s">
        <v>2575</v>
      </c>
      <c r="J38" s="112" t="s">
        <v>2576</v>
      </c>
      <c r="K38" s="110" t="s">
        <v>2577</v>
      </c>
      <c r="L38" s="112" t="s">
        <v>2578</v>
      </c>
      <c r="M38" s="110" t="s">
        <v>2579</v>
      </c>
      <c r="N38" s="112" t="s">
        <v>2580</v>
      </c>
      <c r="O38" s="112" t="s">
        <v>2581</v>
      </c>
      <c r="P38" s="112" t="s">
        <v>999</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2243</v>
      </c>
      <c r="AB38" s="116" t="s">
        <v>2585</v>
      </c>
      <c r="AC38" s="116" t="s">
        <v>1255</v>
      </c>
      <c r="AD38" s="116" t="s">
        <v>2586</v>
      </c>
      <c r="AE38" s="244" t="s">
        <v>2587</v>
      </c>
      <c r="AF38" s="114" t="str">
        <f>HYPERLINK("https://twitter.com/Qbe_Root/status/1156762003857240064","1:33.81")</f>
        <v>1:33.81</v>
      </c>
      <c r="AG38" s="116" t="s">
        <v>2588</v>
      </c>
      <c r="AH38" s="114" t="str">
        <f>HYPERLINK("https://twitter.com/Qbe_Root/status/1161090273696473094","53.98")</f>
        <v>53.98</v>
      </c>
      <c r="AI38" s="117"/>
      <c r="AJ38" s="380" t="s">
        <v>1282</v>
      </c>
      <c r="AK38" s="245"/>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6"/>
      <c r="AY38" s="121" t="s">
        <v>2596</v>
      </c>
      <c r="AZ38" s="246"/>
      <c r="BA38" s="246"/>
      <c r="BB38" s="126" t="s">
        <v>2597</v>
      </c>
      <c r="BC38" s="126" t="s">
        <v>2598</v>
      </c>
      <c r="BD38" s="126" t="s">
        <v>1083</v>
      </c>
      <c r="BE38" s="126" t="s">
        <v>2599</v>
      </c>
      <c r="BF38" s="126" t="s">
        <v>568</v>
      </c>
      <c r="BG38" s="126" t="s">
        <v>2600</v>
      </c>
      <c r="BH38" s="174" t="s">
        <v>2601</v>
      </c>
      <c r="BI38" s="126" t="s">
        <v>328</v>
      </c>
      <c r="BJ38" s="247" t="s">
        <v>2602</v>
      </c>
      <c r="BK38" s="381"/>
      <c r="BL38" s="126" t="s">
        <v>2603</v>
      </c>
      <c r="BM38" s="126" t="s">
        <v>2604</v>
      </c>
      <c r="BN38" s="174" t="s">
        <v>2605</v>
      </c>
      <c r="BO38" s="126" t="s">
        <v>1596</v>
      </c>
      <c r="BP38" s="174" t="s">
        <v>2606</v>
      </c>
      <c r="BQ38" s="174"/>
      <c r="BR38" s="128" t="s">
        <v>2607</v>
      </c>
      <c r="BS38" s="128" t="s">
        <v>2608</v>
      </c>
      <c r="BT38" s="129" t="s">
        <v>2609</v>
      </c>
      <c r="BU38" s="128" t="s">
        <v>2610</v>
      </c>
      <c r="BV38" s="128" t="s">
        <v>2611</v>
      </c>
      <c r="BW38" s="128" t="str">
        <f>HYPERLINK("https://twitter.com/Qbe_Root/status/1173970755526242304","21.44")</f>
        <v>21.44</v>
      </c>
      <c r="BX38" s="249" t="s">
        <v>2612</v>
      </c>
      <c r="BY38" s="128" t="s">
        <v>2613</v>
      </c>
      <c r="BZ38" s="251"/>
      <c r="CA38" s="128" t="str">
        <f>HYPERLINK("https://twitter.com/Qbe_Root/status/1242199278610788353","23.10")</f>
        <v>23.10</v>
      </c>
      <c r="CB38" s="279" t="s">
        <v>2614</v>
      </c>
      <c r="CC38" s="129" t="s">
        <v>1102</v>
      </c>
      <c r="CD38" s="129" t="s">
        <v>2615</v>
      </c>
      <c r="CE38" s="251"/>
      <c r="CF38" s="252"/>
      <c r="CG38" s="135" t="s">
        <v>2616</v>
      </c>
      <c r="CH38" s="135" t="s">
        <v>2045</v>
      </c>
      <c r="CI38" s="177" t="s">
        <v>2617</v>
      </c>
      <c r="CJ38" s="135" t="s">
        <v>2618</v>
      </c>
      <c r="CK38" s="136"/>
      <c r="CL38" s="135" t="s">
        <v>2619</v>
      </c>
      <c r="CM38" s="135" t="s">
        <v>2120</v>
      </c>
      <c r="CN38" s="135" t="s">
        <v>2620</v>
      </c>
      <c r="CO38" s="135" t="s">
        <v>1877</v>
      </c>
      <c r="CP38" s="230" t="s">
        <v>2621</v>
      </c>
      <c r="CQ38" s="177" t="s">
        <v>2622</v>
      </c>
      <c r="CR38" s="177"/>
      <c r="CS38" s="135" t="s">
        <v>2623</v>
      </c>
      <c r="CT38" s="254"/>
      <c r="CU38" s="92"/>
      <c r="CV38" s="140" t="s">
        <v>2624</v>
      </c>
      <c r="CW38" s="137" t="s">
        <v>2577</v>
      </c>
      <c r="CX38" s="137" t="s">
        <v>121</v>
      </c>
      <c r="CY38" s="140" t="s">
        <v>430</v>
      </c>
      <c r="CZ38" s="140" t="s">
        <v>2625</v>
      </c>
      <c r="DA38" s="140" t="s">
        <v>2355</v>
      </c>
      <c r="DB38" s="137" t="s">
        <v>2626</v>
      </c>
      <c r="DC38" s="203" t="s">
        <v>2627</v>
      </c>
      <c r="DD38" s="382" t="str">
        <f>HYPERLINK("https://twitter.com/Qbe_Root/status/1400138849058275330", "1:53.21")</f>
        <v>1:53.21</v>
      </c>
      <c r="DE38" s="140" t="s">
        <v>2628</v>
      </c>
      <c r="DF38" s="140" t="s">
        <v>2629</v>
      </c>
      <c r="DG38" s="203" t="s">
        <v>2630</v>
      </c>
      <c r="DH38" s="203"/>
      <c r="DI38" s="142" t="s">
        <v>1334</v>
      </c>
      <c r="DJ38" s="141" t="s">
        <v>2631</v>
      </c>
      <c r="DK38" s="257"/>
      <c r="DL38" s="145" t="s">
        <v>2632</v>
      </c>
      <c r="DM38" s="142" t="s">
        <v>2633</v>
      </c>
      <c r="DN38" s="204" t="s">
        <v>2634</v>
      </c>
      <c r="DO38" s="257"/>
      <c r="DP38" s="257"/>
      <c r="DQ38" s="257"/>
      <c r="DR38" s="145" t="s">
        <v>2635</v>
      </c>
      <c r="DS38" s="286" t="s">
        <v>1802</v>
      </c>
      <c r="DT38" s="383" t="str">
        <f>HYPERLINK("https://twitter.com/Qbe_Root/status/1241798344797798402","11.27")</f>
        <v>11.27</v>
      </c>
      <c r="DU38" s="204" t="s">
        <v>2636</v>
      </c>
      <c r="DV38" s="145" t="s">
        <v>2637</v>
      </c>
      <c r="DW38" s="257"/>
      <c r="DX38" s="145" t="s">
        <v>1770</v>
      </c>
      <c r="DY38" s="204" t="s">
        <v>1854</v>
      </c>
      <c r="DZ38" s="204" t="s">
        <v>2638</v>
      </c>
      <c r="EA38" s="145" t="s">
        <v>2639</v>
      </c>
      <c r="EB38" s="204" t="s">
        <v>381</v>
      </c>
      <c r="EC38" s="204" t="s">
        <v>1048</v>
      </c>
      <c r="ED38" s="286" t="s">
        <v>2640</v>
      </c>
    </row>
    <row r="39">
      <c r="A39" s="81" t="s">
        <v>2641</v>
      </c>
      <c r="B39" s="82" t="s">
        <v>2642</v>
      </c>
      <c r="C39" s="83" t="s">
        <v>1260</v>
      </c>
      <c r="D39" s="84" t="s">
        <v>1260</v>
      </c>
      <c r="E39" s="85" t="s">
        <v>1260</v>
      </c>
      <c r="F39" s="86" t="s">
        <v>1063</v>
      </c>
      <c r="G39" s="82" t="s">
        <v>2643</v>
      </c>
      <c r="H39" s="94" t="s">
        <v>349</v>
      </c>
      <c r="I39" s="88" t="s">
        <v>2644</v>
      </c>
      <c r="J39" s="94" t="s">
        <v>2645</v>
      </c>
      <c r="K39" s="94" t="s">
        <v>1563</v>
      </c>
      <c r="L39" s="94" t="s">
        <v>2646</v>
      </c>
      <c r="M39" s="88" t="s">
        <v>2647</v>
      </c>
      <c r="N39" s="94" t="s">
        <v>2648</v>
      </c>
      <c r="O39" s="94" t="s">
        <v>2649</v>
      </c>
      <c r="P39" s="88" t="s">
        <v>109</v>
      </c>
      <c r="Q39" s="99"/>
      <c r="R39" s="99"/>
      <c r="S39" s="99"/>
      <c r="T39" s="99"/>
      <c r="U39" s="99"/>
      <c r="V39" s="99"/>
      <c r="W39" s="92"/>
      <c r="X39" s="94" t="s">
        <v>2549</v>
      </c>
      <c r="Y39" s="94"/>
      <c r="Z39" s="94" t="s">
        <v>2385</v>
      </c>
      <c r="AA39" s="88" t="s">
        <v>755</v>
      </c>
      <c r="AB39" s="94" t="s">
        <v>256</v>
      </c>
      <c r="AC39" s="94" t="s">
        <v>2336</v>
      </c>
      <c r="AD39" s="88" t="s">
        <v>2650</v>
      </c>
      <c r="AE39" s="94" t="s">
        <v>2651</v>
      </c>
      <c r="AF39" s="94" t="s">
        <v>968</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2239</v>
      </c>
      <c r="BE39" s="94" t="s">
        <v>2657</v>
      </c>
      <c r="BF39" s="88" t="s">
        <v>147</v>
      </c>
      <c r="BG39" s="99"/>
      <c r="BH39" s="99"/>
      <c r="BI39" s="94" t="s">
        <v>1592</v>
      </c>
      <c r="BJ39" s="88" t="s">
        <v>151</v>
      </c>
      <c r="BK39" s="94" t="s">
        <v>2658</v>
      </c>
      <c r="BL39" s="94" t="s">
        <v>2659</v>
      </c>
      <c r="BM39" s="99"/>
      <c r="BN39" s="99"/>
      <c r="BO39" s="99"/>
      <c r="BP39" s="99"/>
      <c r="BQ39" s="236"/>
      <c r="BR39" s="88" t="s">
        <v>2660</v>
      </c>
      <c r="BS39" s="94" t="s">
        <v>2214</v>
      </c>
      <c r="BT39" s="94" t="s">
        <v>2661</v>
      </c>
      <c r="BU39" s="94" t="s">
        <v>2662</v>
      </c>
      <c r="BV39" s="94" t="s">
        <v>457</v>
      </c>
      <c r="BW39" s="88" t="s">
        <v>1166</v>
      </c>
      <c r="BX39" s="88" t="s">
        <v>2663</v>
      </c>
      <c r="BY39" s="94" t="s">
        <v>2664</v>
      </c>
      <c r="BZ39" s="99"/>
      <c r="CA39" s="94" t="s">
        <v>2665</v>
      </c>
      <c r="CB39" s="99"/>
      <c r="CC39" s="99"/>
      <c r="CD39" s="99"/>
      <c r="CE39" s="99"/>
      <c r="CF39" s="236"/>
      <c r="CG39" s="94" t="s">
        <v>2491</v>
      </c>
      <c r="CH39" s="94" t="s">
        <v>2666</v>
      </c>
      <c r="CI39" s="94" t="s">
        <v>2667</v>
      </c>
      <c r="CJ39" s="88" t="s">
        <v>2668</v>
      </c>
      <c r="CK39" s="102"/>
      <c r="CL39" s="102" t="s">
        <v>1861</v>
      </c>
      <c r="CM39" s="94" t="s">
        <v>932</v>
      </c>
      <c r="CN39" s="94" t="s">
        <v>2325</v>
      </c>
      <c r="CO39" s="94" t="s">
        <v>2003</v>
      </c>
      <c r="CP39" s="99"/>
      <c r="CQ39" s="99"/>
      <c r="CR39" s="99"/>
      <c r="CS39" s="99"/>
      <c r="CT39" s="99"/>
      <c r="CU39" s="92"/>
      <c r="CV39" s="88" t="s">
        <v>2669</v>
      </c>
      <c r="CW39" s="94" t="s">
        <v>2670</v>
      </c>
      <c r="CX39" s="94" t="s">
        <v>245</v>
      </c>
      <c r="CY39" s="94" t="s">
        <v>2671</v>
      </c>
      <c r="CZ39" s="94" t="s">
        <v>1482</v>
      </c>
      <c r="DA39" s="94" t="s">
        <v>1984</v>
      </c>
      <c r="DB39" s="88" t="s">
        <v>2672</v>
      </c>
      <c r="DC39" s="94" t="s">
        <v>253</v>
      </c>
      <c r="DD39" s="99"/>
      <c r="DE39" s="99"/>
      <c r="DF39" s="99"/>
      <c r="DG39" s="99"/>
      <c r="DH39" s="236"/>
      <c r="DI39" s="94" t="s">
        <v>858</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59"/>
    </row>
    <row r="40">
      <c r="A40" s="384" t="s">
        <v>2674</v>
      </c>
      <c r="B40" s="104" t="s">
        <v>2675</v>
      </c>
      <c r="C40" s="105" t="s">
        <v>1260</v>
      </c>
      <c r="D40" s="106" t="s">
        <v>1260</v>
      </c>
      <c r="E40" s="107" t="s">
        <v>1260</v>
      </c>
      <c r="F40" s="108" t="s">
        <v>2676</v>
      </c>
      <c r="G40" s="104" t="s">
        <v>2108</v>
      </c>
      <c r="H40" s="167" t="s">
        <v>2677</v>
      </c>
      <c r="I40" s="112" t="s">
        <v>2678</v>
      </c>
      <c r="J40" s="167" t="s">
        <v>2679</v>
      </c>
      <c r="K40" s="167" t="s">
        <v>2680</v>
      </c>
      <c r="L40" s="112" t="s">
        <v>2681</v>
      </c>
      <c r="M40" s="167" t="s">
        <v>2682</v>
      </c>
      <c r="N40" s="167" t="s">
        <v>2683</v>
      </c>
      <c r="O40" s="112" t="s">
        <v>363</v>
      </c>
      <c r="P40" s="167" t="s">
        <v>2684</v>
      </c>
      <c r="Q40" s="243"/>
      <c r="R40" s="243"/>
      <c r="S40" s="167" t="s">
        <v>2685</v>
      </c>
      <c r="T40" s="167" t="s">
        <v>1282</v>
      </c>
      <c r="U40" s="243"/>
      <c r="V40" s="243"/>
      <c r="W40" s="92"/>
      <c r="X40" s="196" t="s">
        <v>1108</v>
      </c>
      <c r="Y40" s="197"/>
      <c r="Z40" s="197" t="s">
        <v>2686</v>
      </c>
      <c r="AA40" s="197" t="s">
        <v>2204</v>
      </c>
      <c r="AB40" s="197" t="s">
        <v>719</v>
      </c>
      <c r="AC40" s="197" t="s">
        <v>461</v>
      </c>
      <c r="AD40" s="116" t="s">
        <v>2687</v>
      </c>
      <c r="AE40" s="245"/>
      <c r="AF40" s="116" t="s">
        <v>124</v>
      </c>
      <c r="AG40" s="197" t="s">
        <v>2283</v>
      </c>
      <c r="AH40" s="197" t="s">
        <v>2688</v>
      </c>
      <c r="AI40" s="197"/>
      <c r="AJ40" s="197"/>
      <c r="AK40" s="197" t="s">
        <v>2689</v>
      </c>
      <c r="AL40" s="97"/>
      <c r="AM40" s="246"/>
      <c r="AN40" s="168" t="s">
        <v>2690</v>
      </c>
      <c r="AO40" s="246"/>
      <c r="AP40" s="168" t="s">
        <v>2691</v>
      </c>
      <c r="AQ40" s="120" t="str">
        <f>HYPERLINK("https://twitter.com/SSBReed/status/1212701917551497216?s=20","47.36")</f>
        <v>47.36</v>
      </c>
      <c r="AR40" s="120" t="s">
        <v>2692</v>
      </c>
      <c r="AS40" s="246"/>
      <c r="AT40" s="246"/>
      <c r="AU40" s="168" t="s">
        <v>2693</v>
      </c>
      <c r="AV40" s="120" t="s">
        <v>2694</v>
      </c>
      <c r="AW40" s="246"/>
      <c r="AX40" s="246"/>
      <c r="AY40" s="168" t="s">
        <v>1757</v>
      </c>
      <c r="AZ40" s="168" t="s">
        <v>2695</v>
      </c>
      <c r="BA40" s="168"/>
      <c r="BB40" s="173"/>
      <c r="BC40" s="174"/>
      <c r="BD40" s="174" t="s">
        <v>2696</v>
      </c>
      <c r="BE40" s="174" t="s">
        <v>2697</v>
      </c>
      <c r="BF40" s="174" t="s">
        <v>2698</v>
      </c>
      <c r="BG40" s="174" t="s">
        <v>2699</v>
      </c>
      <c r="BH40" s="174"/>
      <c r="BI40" s="174" t="s">
        <v>2051</v>
      </c>
      <c r="BJ40" s="173"/>
      <c r="BK40" s="126" t="s">
        <v>2700</v>
      </c>
      <c r="BL40" s="174" t="s">
        <v>801</v>
      </c>
      <c r="BM40" s="174" t="s">
        <v>2256</v>
      </c>
      <c r="BN40" s="174" t="s">
        <v>2701</v>
      </c>
      <c r="BO40" s="174" t="s">
        <v>2702</v>
      </c>
      <c r="BP40" s="174" t="s">
        <v>2703</v>
      </c>
      <c r="BQ40" s="292"/>
      <c r="BR40" s="175" t="s">
        <v>2704</v>
      </c>
      <c r="BS40" s="175" t="s">
        <v>2214</v>
      </c>
      <c r="BT40" s="175" t="s">
        <v>2705</v>
      </c>
      <c r="BU40" s="129" t="s">
        <v>729</v>
      </c>
      <c r="BV40" s="251"/>
      <c r="BW40" s="175" t="s">
        <v>2706</v>
      </c>
      <c r="BX40" s="251"/>
      <c r="BY40" s="175" t="s">
        <v>2707</v>
      </c>
      <c r="BZ40" s="175" t="s">
        <v>2708</v>
      </c>
      <c r="CA40" s="175" t="s">
        <v>2634</v>
      </c>
      <c r="CB40" s="251"/>
      <c r="CC40" s="175" t="s">
        <v>169</v>
      </c>
      <c r="CD40" s="175" t="s">
        <v>199</v>
      </c>
      <c r="CE40" s="176" t="s">
        <v>2709</v>
      </c>
      <c r="CF40" s="385"/>
      <c r="CG40" s="135" t="s">
        <v>793</v>
      </c>
      <c r="CH40" s="177" t="s">
        <v>261</v>
      </c>
      <c r="CI40" s="177" t="s">
        <v>2710</v>
      </c>
      <c r="CJ40" s="177" t="s">
        <v>2711</v>
      </c>
      <c r="CK40" s="177"/>
      <c r="CL40" s="177"/>
      <c r="CM40" s="177" t="s">
        <v>2712</v>
      </c>
      <c r="CN40" s="386" t="s">
        <v>1895</v>
      </c>
      <c r="CO40" s="132" t="str">
        <f>HYPERLINK("https://www.youtube.com/watch?v=X66lFoaVyLY","15.60")</f>
        <v>15.60</v>
      </c>
      <c r="CP40" s="254"/>
      <c r="CQ40" s="254"/>
      <c r="CR40" s="254"/>
      <c r="CS40" s="254"/>
      <c r="CT40" s="177" t="s">
        <v>2713</v>
      </c>
      <c r="CU40" s="92"/>
      <c r="CV40" s="140" t="s">
        <v>2714</v>
      </c>
      <c r="CW40" s="203" t="s">
        <v>1786</v>
      </c>
      <c r="CX40" s="203" t="s">
        <v>2715</v>
      </c>
      <c r="CY40" s="203"/>
      <c r="CZ40" s="255"/>
      <c r="DA40" s="203" t="s">
        <v>2716</v>
      </c>
      <c r="DB40" s="140" t="s">
        <v>2717</v>
      </c>
      <c r="DC40" s="203" t="s">
        <v>2718</v>
      </c>
      <c r="DD40" s="203" t="s">
        <v>2719</v>
      </c>
      <c r="DE40" s="255"/>
      <c r="DF40" s="255"/>
      <c r="DG40" s="203" t="s">
        <v>2720</v>
      </c>
      <c r="DH40" s="296"/>
      <c r="DI40" s="204" t="s">
        <v>628</v>
      </c>
      <c r="DJ40" s="257"/>
      <c r="DK40" s="257"/>
      <c r="DL40" s="257"/>
      <c r="DM40" s="204" t="s">
        <v>1568</v>
      </c>
      <c r="DN40" s="257"/>
      <c r="DO40" s="204" t="s">
        <v>2721</v>
      </c>
      <c r="DP40" s="204" t="s">
        <v>2722</v>
      </c>
      <c r="DQ40" s="257"/>
      <c r="DR40" s="204" t="s">
        <v>2723</v>
      </c>
      <c r="DS40" s="204" t="s">
        <v>642</v>
      </c>
      <c r="DT40" s="257"/>
      <c r="DU40" s="257"/>
      <c r="DV40" s="257"/>
      <c r="DW40" s="257"/>
      <c r="DX40" s="204" t="s">
        <v>2724</v>
      </c>
      <c r="DY40" s="257"/>
      <c r="DZ40" s="204" t="s">
        <v>2725</v>
      </c>
      <c r="EA40" s="257"/>
      <c r="EB40" s="257"/>
      <c r="EC40" s="204" t="s">
        <v>2726</v>
      </c>
      <c r="ED40" s="286"/>
    </row>
    <row r="41">
      <c r="A41" s="387" t="s">
        <v>2727</v>
      </c>
      <c r="B41" s="388" t="s">
        <v>2728</v>
      </c>
      <c r="C41" s="83" t="s">
        <v>1260</v>
      </c>
      <c r="D41" s="84" t="s">
        <v>1260</v>
      </c>
      <c r="E41" s="85" t="s">
        <v>548</v>
      </c>
      <c r="F41" s="86" t="s">
        <v>2729</v>
      </c>
      <c r="G41" s="82" t="s">
        <v>2729</v>
      </c>
      <c r="H41" s="389" t="s">
        <v>101</v>
      </c>
      <c r="I41" s="389" t="s">
        <v>2052</v>
      </c>
      <c r="J41" s="389" t="s">
        <v>653</v>
      </c>
      <c r="K41" s="389" t="s">
        <v>2730</v>
      </c>
      <c r="L41" s="389" t="s">
        <v>2731</v>
      </c>
      <c r="M41" s="389" t="s">
        <v>2732</v>
      </c>
      <c r="N41" s="389" t="s">
        <v>2733</v>
      </c>
      <c r="O41" s="389" t="s">
        <v>1567</v>
      </c>
      <c r="P41" s="389" t="s">
        <v>2548</v>
      </c>
      <c r="Q41" s="389" t="s">
        <v>342</v>
      </c>
      <c r="R41" s="390"/>
      <c r="S41" s="391" t="s">
        <v>2734</v>
      </c>
      <c r="T41" s="390"/>
      <c r="U41" s="390"/>
      <c r="V41" s="389" t="s">
        <v>2735</v>
      </c>
      <c r="W41" s="186"/>
      <c r="X41" s="389" t="s">
        <v>2002</v>
      </c>
      <c r="Y41" s="392" t="s">
        <v>873</v>
      </c>
      <c r="Z41" s="389" t="s">
        <v>2736</v>
      </c>
      <c r="AA41" s="389" t="s">
        <v>359</v>
      </c>
      <c r="AB41" s="389" t="s">
        <v>2737</v>
      </c>
      <c r="AC41" s="389" t="s">
        <v>2414</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1396</v>
      </c>
      <c r="AW41" s="391" t="s">
        <v>2750</v>
      </c>
      <c r="AX41" s="390"/>
      <c r="AY41" s="390"/>
      <c r="AZ41" s="88" t="s">
        <v>2751</v>
      </c>
      <c r="BA41" s="191"/>
      <c r="BB41" s="389" t="s">
        <v>2752</v>
      </c>
      <c r="BC41" s="389" t="s">
        <v>1189</v>
      </c>
      <c r="BD41" s="389" t="s">
        <v>2753</v>
      </c>
      <c r="BE41" s="389" t="s">
        <v>2754</v>
      </c>
      <c r="BF41" s="389" t="s">
        <v>2166</v>
      </c>
      <c r="BG41" s="390"/>
      <c r="BH41" s="390"/>
      <c r="BI41" s="389" t="s">
        <v>2063</v>
      </c>
      <c r="BJ41" s="390"/>
      <c r="BK41" s="389" t="s">
        <v>2755</v>
      </c>
      <c r="BL41" s="391" t="s">
        <v>2756</v>
      </c>
      <c r="BM41" s="88" t="s">
        <v>2757</v>
      </c>
      <c r="BN41" s="389" t="s">
        <v>2488</v>
      </c>
      <c r="BO41" s="88" t="s">
        <v>2758</v>
      </c>
      <c r="BP41" s="88" t="s">
        <v>2759</v>
      </c>
      <c r="BQ41" s="192"/>
      <c r="BR41" s="389" t="s">
        <v>2760</v>
      </c>
      <c r="BS41" s="389" t="s">
        <v>137</v>
      </c>
      <c r="BT41" s="389" t="s">
        <v>2761</v>
      </c>
      <c r="BU41" s="389" t="s">
        <v>2762</v>
      </c>
      <c r="BV41" s="389" t="s">
        <v>2763</v>
      </c>
      <c r="BW41" s="389" t="s">
        <v>2059</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1935</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1992</v>
      </c>
      <c r="DV41" s="88" t="s">
        <v>659</v>
      </c>
      <c r="DW41" s="88" t="s">
        <v>1629</v>
      </c>
      <c r="DX41" s="390"/>
      <c r="DY41" s="390"/>
      <c r="DZ41" s="390"/>
      <c r="EA41" s="389" t="s">
        <v>2788</v>
      </c>
      <c r="EB41" s="88" t="s">
        <v>2426</v>
      </c>
      <c r="EC41" s="88" t="s">
        <v>1124</v>
      </c>
      <c r="ED41" s="88" t="s">
        <v>218</v>
      </c>
    </row>
    <row r="42">
      <c r="A42" s="394" t="s">
        <v>2789</v>
      </c>
      <c r="B42" s="104" t="s">
        <v>2790</v>
      </c>
      <c r="C42" s="105" t="s">
        <v>1260</v>
      </c>
      <c r="D42" s="106" t="s">
        <v>1260</v>
      </c>
      <c r="E42" s="107" t="s">
        <v>1260</v>
      </c>
      <c r="F42" s="108" t="s">
        <v>2192</v>
      </c>
      <c r="G42" s="104" t="s">
        <v>2574</v>
      </c>
      <c r="H42" s="243"/>
      <c r="I42" s="112" t="s">
        <v>2791</v>
      </c>
      <c r="J42" s="112" t="s">
        <v>2792</v>
      </c>
      <c r="K42" s="112" t="s">
        <v>1563</v>
      </c>
      <c r="L42" s="112" t="s">
        <v>2793</v>
      </c>
      <c r="M42" s="112" t="s">
        <v>2794</v>
      </c>
      <c r="N42" s="112" t="s">
        <v>2795</v>
      </c>
      <c r="O42" s="112" t="s">
        <v>2796</v>
      </c>
      <c r="P42" s="112" t="s">
        <v>2548</v>
      </c>
      <c r="Q42" s="243"/>
      <c r="R42" s="112" t="s">
        <v>2797</v>
      </c>
      <c r="S42" s="112" t="s">
        <v>1367</v>
      </c>
      <c r="T42" s="243"/>
      <c r="U42" s="243"/>
      <c r="V42" s="112" t="s">
        <v>2798</v>
      </c>
      <c r="W42" s="92"/>
      <c r="X42" s="116" t="s">
        <v>2799</v>
      </c>
      <c r="Y42" s="269"/>
      <c r="Z42" s="116" t="s">
        <v>2800</v>
      </c>
      <c r="AA42" s="116" t="s">
        <v>2801</v>
      </c>
      <c r="AB42" s="116" t="s">
        <v>2802</v>
      </c>
      <c r="AC42" s="116" t="s">
        <v>2535</v>
      </c>
      <c r="AD42" s="116" t="s">
        <v>2035</v>
      </c>
      <c r="AE42" s="245"/>
      <c r="AF42" s="196" t="s">
        <v>1190</v>
      </c>
      <c r="AG42" s="116" t="s">
        <v>2741</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2398</v>
      </c>
      <c r="BD42" s="126" t="s">
        <v>2753</v>
      </c>
      <c r="BE42" s="126" t="s">
        <v>1164</v>
      </c>
      <c r="BF42" s="126" t="s">
        <v>2807</v>
      </c>
      <c r="BG42" s="126" t="s">
        <v>262</v>
      </c>
      <c r="BH42" s="173"/>
      <c r="BI42" s="174" t="s">
        <v>2051</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2657</v>
      </c>
      <c r="CJ42" s="135" t="s">
        <v>2821</v>
      </c>
      <c r="CK42" s="136"/>
      <c r="CL42" s="135" t="s">
        <v>2822</v>
      </c>
      <c r="CM42" s="135" t="s">
        <v>1687</v>
      </c>
      <c r="CN42" s="135" t="s">
        <v>2823</v>
      </c>
      <c r="CO42" s="135" t="s">
        <v>2824</v>
      </c>
      <c r="CP42" s="254"/>
      <c r="CQ42" s="135" t="s">
        <v>2457</v>
      </c>
      <c r="CR42" s="254"/>
      <c r="CS42" s="135" t="s">
        <v>2825</v>
      </c>
      <c r="CT42" s="135" t="s">
        <v>2826</v>
      </c>
      <c r="CU42" s="92"/>
      <c r="CV42" s="140" t="s">
        <v>2827</v>
      </c>
      <c r="CW42" s="140" t="s">
        <v>188</v>
      </c>
      <c r="CX42" s="282" t="s">
        <v>612</v>
      </c>
      <c r="CY42" s="140" t="s">
        <v>1324</v>
      </c>
      <c r="CZ42" s="140" t="s">
        <v>2101</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2620</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2533</v>
      </c>
      <c r="BF43" s="165" t="s">
        <v>2864</v>
      </c>
      <c r="BG43" s="163" t="s">
        <v>1787</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2432</v>
      </c>
      <c r="DS43" s="153"/>
      <c r="DT43" s="153" t="s">
        <v>1951</v>
      </c>
      <c r="DU43" s="163" t="s">
        <v>2894</v>
      </c>
      <c r="DV43" s="153" t="s">
        <v>2895</v>
      </c>
      <c r="DW43" s="153" t="s">
        <v>2896</v>
      </c>
      <c r="DX43" s="354"/>
      <c r="DY43" s="163" t="s">
        <v>2897</v>
      </c>
      <c r="DZ43" s="163" t="s">
        <v>2898</v>
      </c>
      <c r="EA43" s="163" t="s">
        <v>2899</v>
      </c>
      <c r="EB43" s="163" t="s">
        <v>1870</v>
      </c>
      <c r="EC43" s="163" t="s">
        <v>1497</v>
      </c>
      <c r="ED43" s="259" t="s">
        <v>2900</v>
      </c>
    </row>
    <row r="44">
      <c r="A44" s="166" t="s">
        <v>2901</v>
      </c>
      <c r="B44" s="104" t="s">
        <v>2902</v>
      </c>
      <c r="C44" s="105" t="s">
        <v>1260</v>
      </c>
      <c r="D44" s="106" t="s">
        <v>1260</v>
      </c>
      <c r="E44" s="107" t="s">
        <v>1260</v>
      </c>
      <c r="F44" s="108" t="s">
        <v>2903</v>
      </c>
      <c r="G44" s="104" t="s">
        <v>2430</v>
      </c>
      <c r="H44" s="243"/>
      <c r="I44" s="167" t="s">
        <v>1203</v>
      </c>
      <c r="J44" s="112" t="s">
        <v>2904</v>
      </c>
      <c r="K44" s="400" t="s">
        <v>1730</v>
      </c>
      <c r="L44" s="112" t="s">
        <v>628</v>
      </c>
      <c r="M44" s="112" t="s">
        <v>2905</v>
      </c>
      <c r="N44" s="112" t="s">
        <v>2906</v>
      </c>
      <c r="O44" s="112" t="s">
        <v>2907</v>
      </c>
      <c r="P44" s="400" t="s">
        <v>2548</v>
      </c>
      <c r="Q44" s="243"/>
      <c r="R44" s="243"/>
      <c r="S44" s="243"/>
      <c r="T44" s="243"/>
      <c r="U44" s="243"/>
      <c r="V44" s="243"/>
      <c r="W44" s="92"/>
      <c r="X44" s="117" t="s">
        <v>2908</v>
      </c>
      <c r="Y44" s="196"/>
      <c r="Z44" s="196" t="s">
        <v>2909</v>
      </c>
      <c r="AA44" s="116" t="s">
        <v>2910</v>
      </c>
      <c r="AB44" s="116" t="s">
        <v>2324</v>
      </c>
      <c r="AC44" s="116" t="s">
        <v>2911</v>
      </c>
      <c r="AD44" s="116" t="s">
        <v>2770</v>
      </c>
      <c r="AE44" s="245"/>
      <c r="AF44" s="116" t="s">
        <v>760</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74" t="s">
        <v>2913</v>
      </c>
      <c r="BC44" s="174" t="s">
        <v>1161</v>
      </c>
      <c r="BD44" s="126" t="s">
        <v>145</v>
      </c>
      <c r="BE44" s="126" t="s">
        <v>2914</v>
      </c>
      <c r="BF44" s="126" t="s">
        <v>147</v>
      </c>
      <c r="BG44" s="173"/>
      <c r="BH44" s="173"/>
      <c r="BI44" s="126" t="s">
        <v>1808</v>
      </c>
      <c r="BJ44" s="126" t="s">
        <v>2915</v>
      </c>
      <c r="BK44" s="173"/>
      <c r="BL44" s="126" t="s">
        <v>2916</v>
      </c>
      <c r="BM44" s="173"/>
      <c r="BN44" s="173"/>
      <c r="BO44" s="173"/>
      <c r="BP44" s="173"/>
      <c r="BQ44" s="248"/>
      <c r="BR44" s="175" t="s">
        <v>2917</v>
      </c>
      <c r="BS44" s="129" t="s">
        <v>404</v>
      </c>
      <c r="BT44" s="129" t="s">
        <v>2483</v>
      </c>
      <c r="BU44" s="175" t="s">
        <v>2918</v>
      </c>
      <c r="BV44" s="175" t="s">
        <v>697</v>
      </c>
      <c r="BW44" s="175" t="s">
        <v>1923</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771</v>
      </c>
      <c r="CY44" s="140" t="s">
        <v>2925</v>
      </c>
      <c r="CZ44" s="140" t="s">
        <v>660</v>
      </c>
      <c r="DA44" s="203" t="s">
        <v>1380</v>
      </c>
      <c r="DB44" s="140" t="s">
        <v>2926</v>
      </c>
      <c r="DC44" s="203" t="s">
        <v>1944</v>
      </c>
      <c r="DD44" s="255"/>
      <c r="DE44" s="255"/>
      <c r="DF44" s="255"/>
      <c r="DG44" s="255"/>
      <c r="DH44" s="256"/>
      <c r="DI44" s="204" t="s">
        <v>1547</v>
      </c>
      <c r="DJ44" s="257"/>
      <c r="DK44" s="257"/>
      <c r="DL44" s="257"/>
      <c r="DM44" s="257"/>
      <c r="DN44" s="257"/>
      <c r="DO44" s="257"/>
      <c r="DP44" s="257"/>
      <c r="DQ44" s="257"/>
      <c r="DR44" s="145" t="s">
        <v>2927</v>
      </c>
      <c r="DS44" s="204" t="s">
        <v>2928</v>
      </c>
      <c r="DT44" s="257"/>
      <c r="DU44" s="257"/>
      <c r="DV44" s="257"/>
      <c r="DW44" s="257"/>
      <c r="DX44" s="257"/>
      <c r="DY44" s="257"/>
      <c r="DZ44" s="257"/>
      <c r="EA44" s="257"/>
      <c r="EB44" s="257"/>
      <c r="EC44" s="257"/>
      <c r="ED44" s="401"/>
    </row>
    <row r="45">
      <c r="A45" s="287" t="s">
        <v>2929</v>
      </c>
      <c r="B45" s="82" t="s">
        <v>2930</v>
      </c>
      <c r="C45" s="83" t="s">
        <v>1260</v>
      </c>
      <c r="D45" s="84" t="s">
        <v>334</v>
      </c>
      <c r="E45" s="85" t="s">
        <v>335</v>
      </c>
      <c r="F45" s="86" t="s">
        <v>2931</v>
      </c>
      <c r="G45" s="82" t="s">
        <v>1350</v>
      </c>
      <c r="H45" s="94" t="s">
        <v>2090</v>
      </c>
      <c r="I45" s="94" t="s">
        <v>2932</v>
      </c>
      <c r="J45" s="94" t="s">
        <v>2933</v>
      </c>
      <c r="K45" s="94" t="s">
        <v>2163</v>
      </c>
      <c r="L45" s="93" t="s">
        <v>1853</v>
      </c>
      <c r="M45" s="99"/>
      <c r="N45" s="99"/>
      <c r="O45" s="93" t="s">
        <v>2934</v>
      </c>
      <c r="P45" s="94" t="s">
        <v>2935</v>
      </c>
      <c r="Q45" s="89" t="s">
        <v>2650</v>
      </c>
      <c r="R45" s="94"/>
      <c r="S45" s="94" t="s">
        <v>995</v>
      </c>
      <c r="T45" s="93"/>
      <c r="U45" s="93" t="s">
        <v>2936</v>
      </c>
      <c r="V45" s="90" t="s">
        <v>2937</v>
      </c>
      <c r="W45" s="226"/>
      <c r="X45" s="94" t="s">
        <v>2938</v>
      </c>
      <c r="Y45" s="94"/>
      <c r="Z45" s="94" t="s">
        <v>2939</v>
      </c>
      <c r="AA45" s="94" t="s">
        <v>1974</v>
      </c>
      <c r="AB45" s="94" t="s">
        <v>2940</v>
      </c>
      <c r="AC45" s="94" t="s">
        <v>2941</v>
      </c>
      <c r="AD45" s="94" t="s">
        <v>2942</v>
      </c>
      <c r="AE45" s="94"/>
      <c r="AF45" s="94" t="s">
        <v>811</v>
      </c>
      <c r="AG45" s="94" t="s">
        <v>2943</v>
      </c>
      <c r="AH45" s="94" t="s">
        <v>2944</v>
      </c>
      <c r="AI45" s="94"/>
      <c r="AJ45" s="94" t="s">
        <v>2210</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1877</v>
      </c>
      <c r="AV45" s="94" t="s">
        <v>878</v>
      </c>
      <c r="AW45" s="94" t="s">
        <v>2951</v>
      </c>
      <c r="AX45" s="88" t="s">
        <v>1189</v>
      </c>
      <c r="AY45" s="88" t="s">
        <v>2952</v>
      </c>
      <c r="AZ45" s="98" t="s">
        <v>2953</v>
      </c>
      <c r="BA45" s="95"/>
      <c r="BB45" s="94" t="s">
        <v>2954</v>
      </c>
      <c r="BC45" s="99"/>
      <c r="BD45" s="94" t="s">
        <v>1396</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1398</v>
      </c>
      <c r="CR45" s="102"/>
      <c r="CS45" s="89" t="s">
        <v>2974</v>
      </c>
      <c r="CT45" s="98" t="s">
        <v>2975</v>
      </c>
      <c r="CU45" s="92"/>
      <c r="CV45" s="99"/>
      <c r="CW45" s="94" t="s">
        <v>2879</v>
      </c>
      <c r="CX45" s="93" t="s">
        <v>1144</v>
      </c>
      <c r="CY45" s="94" t="s">
        <v>2976</v>
      </c>
      <c r="CZ45" s="94" t="s">
        <v>2977</v>
      </c>
      <c r="DA45" s="94" t="s">
        <v>738</v>
      </c>
      <c r="DB45" s="94" t="s">
        <v>2978</v>
      </c>
      <c r="DC45" s="94" t="s">
        <v>2396</v>
      </c>
      <c r="DD45" s="98" t="str">
        <f>HYPERLINK("https://youtu.be/BJNJgSLnXTM","1:18.10")</f>
        <v>1:18.10</v>
      </c>
      <c r="DE45" s="94" t="s">
        <v>2979</v>
      </c>
      <c r="DF45" s="93" t="s">
        <v>2894</v>
      </c>
      <c r="DG45" s="98" t="s">
        <v>1918</v>
      </c>
      <c r="DH45" s="91"/>
      <c r="DI45" s="99"/>
      <c r="DJ45" s="94" t="s">
        <v>2980</v>
      </c>
      <c r="DK45" s="99"/>
      <c r="DL45" s="89" t="s">
        <v>2981</v>
      </c>
      <c r="DM45" s="94" t="s">
        <v>2633</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2" t="s">
        <v>2986</v>
      </c>
      <c r="B46" s="104" t="s">
        <v>2987</v>
      </c>
      <c r="C46" s="105" t="s">
        <v>1260</v>
      </c>
      <c r="D46" s="106" t="s">
        <v>1260</v>
      </c>
      <c r="E46" s="107" t="s">
        <v>1260</v>
      </c>
      <c r="F46" s="108" t="s">
        <v>2988</v>
      </c>
      <c r="G46" s="104" t="s">
        <v>2989</v>
      </c>
      <c r="H46" s="167" t="s">
        <v>2990</v>
      </c>
      <c r="I46" s="167" t="s">
        <v>2773</v>
      </c>
      <c r="J46" s="167" t="s">
        <v>2991</v>
      </c>
      <c r="K46" s="112" t="s">
        <v>1886</v>
      </c>
      <c r="L46" s="400" t="s">
        <v>346</v>
      </c>
      <c r="M46" s="112" t="s">
        <v>948</v>
      </c>
      <c r="N46" s="112" t="s">
        <v>2992</v>
      </c>
      <c r="O46" s="112" t="s">
        <v>2649</v>
      </c>
      <c r="P46" s="112" t="s">
        <v>1568</v>
      </c>
      <c r="Q46" s="403" t="s">
        <v>2993</v>
      </c>
      <c r="R46" s="404" t="s">
        <v>1307</v>
      </c>
      <c r="S46" s="112" t="s">
        <v>112</v>
      </c>
      <c r="T46" s="400" t="s">
        <v>1655</v>
      </c>
      <c r="U46" s="167" t="s">
        <v>1235</v>
      </c>
      <c r="V46" s="167" t="s">
        <v>2994</v>
      </c>
      <c r="W46" s="92"/>
      <c r="X46" s="116" t="s">
        <v>1420</v>
      </c>
      <c r="Y46" s="197"/>
      <c r="Z46" s="197" t="s">
        <v>722</v>
      </c>
      <c r="AA46" s="380" t="s">
        <v>2995</v>
      </c>
      <c r="AB46" s="380" t="s">
        <v>2996</v>
      </c>
      <c r="AC46" s="197" t="s">
        <v>1587</v>
      </c>
      <c r="AD46" s="116" t="s">
        <v>2997</v>
      </c>
      <c r="AE46" s="197" t="s">
        <v>2998</v>
      </c>
      <c r="AF46" s="197" t="s">
        <v>2999</v>
      </c>
      <c r="AG46" s="116" t="s">
        <v>2474</v>
      </c>
      <c r="AH46" s="197" t="s">
        <v>1566</v>
      </c>
      <c r="AI46" s="197" t="s">
        <v>3000</v>
      </c>
      <c r="AJ46" s="197" t="s">
        <v>2847</v>
      </c>
      <c r="AK46" s="197" t="s">
        <v>2478</v>
      </c>
      <c r="AL46" s="97"/>
      <c r="AM46" s="168" t="s">
        <v>851</v>
      </c>
      <c r="AN46" s="121" t="s">
        <v>2882</v>
      </c>
      <c r="AO46" s="168" t="s">
        <v>3001</v>
      </c>
      <c r="AP46" s="168" t="s">
        <v>3002</v>
      </c>
      <c r="AQ46" s="168" t="s">
        <v>3003</v>
      </c>
      <c r="AR46" s="405" t="s">
        <v>3004</v>
      </c>
      <c r="AS46" s="168" t="s">
        <v>3005</v>
      </c>
      <c r="AT46" s="121" t="s">
        <v>1314</v>
      </c>
      <c r="AU46" s="168" t="s">
        <v>1581</v>
      </c>
      <c r="AV46" s="168" t="s">
        <v>1055</v>
      </c>
      <c r="AW46" s="168" t="s">
        <v>3006</v>
      </c>
      <c r="AX46" s="168" t="s">
        <v>1527</v>
      </c>
      <c r="AY46" s="168" t="s">
        <v>995</v>
      </c>
      <c r="AZ46" s="405" t="s">
        <v>3007</v>
      </c>
      <c r="BA46" s="405"/>
      <c r="BB46" s="126" t="s">
        <v>2799</v>
      </c>
      <c r="BC46" s="174" t="s">
        <v>1480</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2502</v>
      </c>
      <c r="BU46" s="129" t="s">
        <v>897</v>
      </c>
      <c r="BV46" s="129" t="s">
        <v>3018</v>
      </c>
      <c r="BW46" s="129" t="s">
        <v>2258</v>
      </c>
      <c r="BX46" s="251"/>
      <c r="BY46" s="175" t="s">
        <v>1926</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1695</v>
      </c>
      <c r="CO46" s="177" t="s">
        <v>3030</v>
      </c>
      <c r="CP46" s="177" t="s">
        <v>3031</v>
      </c>
      <c r="CQ46" s="135" t="s">
        <v>3032</v>
      </c>
      <c r="CR46" s="254"/>
      <c r="CS46" s="177" t="s">
        <v>3033</v>
      </c>
      <c r="CT46" s="177" t="s">
        <v>3034</v>
      </c>
      <c r="CU46" s="92"/>
      <c r="CV46" s="203" t="s">
        <v>3035</v>
      </c>
      <c r="CW46" s="203" t="s">
        <v>2249</v>
      </c>
      <c r="CX46" s="203" t="s">
        <v>973</v>
      </c>
      <c r="CY46" s="140" t="s">
        <v>605</v>
      </c>
      <c r="CZ46" s="203" t="s">
        <v>3036</v>
      </c>
      <c r="DA46" s="203" t="s">
        <v>1045</v>
      </c>
      <c r="DB46" s="140" t="s">
        <v>3037</v>
      </c>
      <c r="DC46" s="203" t="s">
        <v>3038</v>
      </c>
      <c r="DD46" s="203" t="s">
        <v>1689</v>
      </c>
      <c r="DE46" s="203" t="s">
        <v>1662</v>
      </c>
      <c r="DF46" s="203" t="s">
        <v>3039</v>
      </c>
      <c r="DG46" s="203" t="s">
        <v>3040</v>
      </c>
      <c r="DH46" s="203"/>
      <c r="DI46" s="204" t="s">
        <v>1001</v>
      </c>
      <c r="DJ46" s="257"/>
      <c r="DK46" s="257"/>
      <c r="DL46" s="204"/>
      <c r="DM46" s="145" t="s">
        <v>3041</v>
      </c>
      <c r="DN46" s="204" t="s">
        <v>3042</v>
      </c>
      <c r="DO46" s="204" t="s">
        <v>3043</v>
      </c>
      <c r="DP46" s="204" t="s">
        <v>3044</v>
      </c>
      <c r="DQ46" s="204" t="s">
        <v>3045</v>
      </c>
      <c r="DR46" s="204" t="s">
        <v>1353</v>
      </c>
      <c r="DS46" s="145" t="s">
        <v>3046</v>
      </c>
      <c r="DT46" s="204" t="s">
        <v>3047</v>
      </c>
      <c r="DU46" s="204" t="s">
        <v>2636</v>
      </c>
      <c r="DV46" s="204" t="s">
        <v>3048</v>
      </c>
      <c r="DW46" s="204" t="s">
        <v>3049</v>
      </c>
      <c r="DX46" s="204" t="s">
        <v>3050</v>
      </c>
      <c r="DY46" s="204" t="s">
        <v>1083</v>
      </c>
      <c r="DZ46" s="145" t="s">
        <v>3051</v>
      </c>
      <c r="EA46" s="204" t="s">
        <v>2326</v>
      </c>
      <c r="EB46" s="204" t="s">
        <v>1520</v>
      </c>
      <c r="EC46" s="204" t="s">
        <v>935</v>
      </c>
      <c r="ED46" s="286" t="s">
        <v>3052</v>
      </c>
    </row>
    <row r="47">
      <c r="A47" s="406" t="s">
        <v>3053</v>
      </c>
      <c r="B47" s="82" t="s">
        <v>3054</v>
      </c>
      <c r="C47" s="83" t="s">
        <v>1260</v>
      </c>
      <c r="D47" s="84" t="s">
        <v>548</v>
      </c>
      <c r="E47" s="85" t="s">
        <v>548</v>
      </c>
      <c r="F47" s="86" t="s">
        <v>1200</v>
      </c>
      <c r="G47" s="82" t="s">
        <v>1419</v>
      </c>
      <c r="H47" s="354" t="s">
        <v>101</v>
      </c>
      <c r="I47" s="354" t="s">
        <v>3055</v>
      </c>
      <c r="J47" s="354" t="s">
        <v>1562</v>
      </c>
      <c r="K47" s="354" t="s">
        <v>1563</v>
      </c>
      <c r="L47" s="354" t="s">
        <v>347</v>
      </c>
      <c r="M47" s="354" t="s">
        <v>3056</v>
      </c>
      <c r="N47" s="354" t="s">
        <v>3057</v>
      </c>
      <c r="O47" s="354" t="s">
        <v>3058</v>
      </c>
      <c r="P47" s="352" t="s">
        <v>344</v>
      </c>
      <c r="Q47" s="354"/>
      <c r="R47" s="354"/>
      <c r="S47" s="354"/>
      <c r="T47" s="354"/>
      <c r="U47" s="354"/>
      <c r="V47" s="354"/>
      <c r="W47" s="154"/>
      <c r="X47" s="354" t="s">
        <v>3059</v>
      </c>
      <c r="Y47" s="407"/>
      <c r="Z47" s="352" t="s">
        <v>1892</v>
      </c>
      <c r="AA47" s="352" t="s">
        <v>566</v>
      </c>
      <c r="AB47" s="354" t="s">
        <v>3060</v>
      </c>
      <c r="AC47" s="354" t="s">
        <v>3061</v>
      </c>
      <c r="AD47" s="354" t="s">
        <v>3062</v>
      </c>
      <c r="AE47" s="354"/>
      <c r="AF47" s="354" t="s">
        <v>3063</v>
      </c>
      <c r="AG47" s="354" t="s">
        <v>125</v>
      </c>
      <c r="AH47" s="354"/>
      <c r="AI47" s="354"/>
      <c r="AJ47" s="354"/>
      <c r="AK47" s="354"/>
      <c r="AL47" s="317"/>
      <c r="AM47" s="354" t="s">
        <v>2925</v>
      </c>
      <c r="AN47" s="354" t="s">
        <v>3064</v>
      </c>
      <c r="AO47" s="354"/>
      <c r="AP47" s="354"/>
      <c r="AQ47" s="354"/>
      <c r="AR47" s="354"/>
      <c r="AS47" s="354"/>
      <c r="AT47" s="354"/>
      <c r="AU47" s="354" t="s">
        <v>1703</v>
      </c>
      <c r="AV47" s="352" t="s">
        <v>261</v>
      </c>
      <c r="AW47" s="354"/>
      <c r="AX47" s="354"/>
      <c r="AY47" s="354" t="s">
        <v>3065</v>
      </c>
      <c r="AZ47" s="354"/>
      <c r="BA47" s="354"/>
      <c r="BB47" s="354" t="s">
        <v>1195</v>
      </c>
      <c r="BC47" s="354" t="s">
        <v>3066</v>
      </c>
      <c r="BD47" s="352" t="s">
        <v>145</v>
      </c>
      <c r="BE47" s="352" t="s">
        <v>3067</v>
      </c>
      <c r="BF47" s="354" t="s">
        <v>1213</v>
      </c>
      <c r="BG47" s="354" t="s">
        <v>2030</v>
      </c>
      <c r="BH47" s="354"/>
      <c r="BI47" s="354" t="s">
        <v>1592</v>
      </c>
      <c r="BJ47" s="354"/>
      <c r="BK47" s="354" t="s">
        <v>3068</v>
      </c>
      <c r="BL47" s="354" t="s">
        <v>3069</v>
      </c>
      <c r="BM47" s="354"/>
      <c r="BN47" s="265" t="s">
        <v>3070</v>
      </c>
      <c r="BO47" s="354"/>
      <c r="BP47" s="354"/>
      <c r="BQ47" s="408"/>
      <c r="BR47" s="354"/>
      <c r="BS47" s="354" t="s">
        <v>2865</v>
      </c>
      <c r="BT47" s="354" t="s">
        <v>3071</v>
      </c>
      <c r="BU47" s="354" t="s">
        <v>3072</v>
      </c>
      <c r="BV47" s="354" t="s">
        <v>1914</v>
      </c>
      <c r="BW47" s="354" t="s">
        <v>3073</v>
      </c>
      <c r="BX47" s="354" t="s">
        <v>3074</v>
      </c>
      <c r="BY47" s="354" t="s">
        <v>3075</v>
      </c>
      <c r="BZ47" s="354" t="s">
        <v>3076</v>
      </c>
      <c r="CA47" s="354" t="s">
        <v>943</v>
      </c>
      <c r="CB47" s="354"/>
      <c r="CC47" s="354"/>
      <c r="CD47" s="354"/>
      <c r="CE47" s="354"/>
      <c r="CF47" s="408"/>
      <c r="CG47" s="354" t="s">
        <v>3077</v>
      </c>
      <c r="CH47" s="376" t="s">
        <v>1372</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881</v>
      </c>
      <c r="CX47" s="222" t="s">
        <v>3083</v>
      </c>
      <c r="CY47" s="354" t="s">
        <v>2884</v>
      </c>
      <c r="CZ47" s="354"/>
      <c r="DA47" s="354"/>
      <c r="DB47" s="352" t="s">
        <v>3084</v>
      </c>
      <c r="DC47" s="354" t="s">
        <v>1703</v>
      </c>
      <c r="DD47" s="354"/>
      <c r="DE47" s="354"/>
      <c r="DF47" s="354"/>
      <c r="DG47" s="354"/>
      <c r="DH47" s="408"/>
      <c r="DI47" s="354"/>
      <c r="DJ47" s="354"/>
      <c r="DK47" s="354"/>
      <c r="DL47" s="354"/>
      <c r="DM47" s="354" t="s">
        <v>3041</v>
      </c>
      <c r="DN47" s="354" t="s">
        <v>970</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09" t="s">
        <v>3090</v>
      </c>
      <c r="B48" s="104" t="s">
        <v>3091</v>
      </c>
      <c r="C48" s="105" t="s">
        <v>1260</v>
      </c>
      <c r="D48" s="106" t="s">
        <v>548</v>
      </c>
      <c r="E48" s="107" t="s">
        <v>548</v>
      </c>
      <c r="F48" s="108" t="s">
        <v>3092</v>
      </c>
      <c r="G48" s="104" t="s">
        <v>2430</v>
      </c>
      <c r="H48" s="243"/>
      <c r="I48" s="112" t="s">
        <v>3093</v>
      </c>
      <c r="J48" s="112" t="s">
        <v>3094</v>
      </c>
      <c r="K48" s="112" t="s">
        <v>446</v>
      </c>
      <c r="L48" s="112" t="s">
        <v>3095</v>
      </c>
      <c r="M48" s="112" t="s">
        <v>3096</v>
      </c>
      <c r="N48" s="112" t="s">
        <v>3097</v>
      </c>
      <c r="O48" s="112" t="s">
        <v>2649</v>
      </c>
      <c r="P48" s="167" t="s">
        <v>3098</v>
      </c>
      <c r="Q48" s="243"/>
      <c r="R48" s="243"/>
      <c r="S48" s="243"/>
      <c r="T48" s="243"/>
      <c r="U48" s="243"/>
      <c r="V48" s="243"/>
      <c r="W48" s="92"/>
      <c r="X48" s="116" t="s">
        <v>3099</v>
      </c>
      <c r="Y48" s="197"/>
      <c r="Z48" s="197" t="s">
        <v>3100</v>
      </c>
      <c r="AA48" s="116" t="s">
        <v>3101</v>
      </c>
      <c r="AB48" s="116" t="s">
        <v>1975</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2696</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11" t="s">
        <v>2061</v>
      </c>
      <c r="CH48" s="135" t="s">
        <v>1854</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1096</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1260</v>
      </c>
      <c r="D49" s="84" t="s">
        <v>1260</v>
      </c>
      <c r="E49" s="85" t="s">
        <v>1260</v>
      </c>
      <c r="F49" s="86" t="s">
        <v>548</v>
      </c>
      <c r="G49" s="82" t="s">
        <v>743</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2609</v>
      </c>
      <c r="BF49" s="94" t="s">
        <v>3155</v>
      </c>
      <c r="BG49" s="94" t="s">
        <v>265</v>
      </c>
      <c r="BH49" s="94" t="s">
        <v>3156</v>
      </c>
      <c r="BI49" s="94" t="s">
        <v>1041</v>
      </c>
      <c r="BJ49" s="94" t="s">
        <v>3157</v>
      </c>
      <c r="BK49" s="94"/>
      <c r="BL49" s="94" t="s">
        <v>3158</v>
      </c>
      <c r="BM49" s="99"/>
      <c r="BN49" s="94" t="s">
        <v>263</v>
      </c>
      <c r="BO49" s="94" t="s">
        <v>2498</v>
      </c>
      <c r="BP49" s="99"/>
      <c r="BQ49" s="236"/>
      <c r="BR49" s="94"/>
      <c r="BS49" s="94" t="s">
        <v>1691</v>
      </c>
      <c r="BT49" s="94" t="s">
        <v>2667</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2471</v>
      </c>
      <c r="CO49" s="94" t="s">
        <v>2149</v>
      </c>
      <c r="CP49" s="99"/>
      <c r="CQ49" s="94" t="s">
        <v>1695</v>
      </c>
      <c r="CR49" s="94"/>
      <c r="CS49" s="94" t="s">
        <v>3171</v>
      </c>
      <c r="CT49" s="99"/>
      <c r="CU49" s="92"/>
      <c r="CV49" s="94" t="s">
        <v>3172</v>
      </c>
      <c r="CW49" s="94" t="s">
        <v>3173</v>
      </c>
      <c r="CX49" s="94" t="s">
        <v>3174</v>
      </c>
      <c r="CY49" s="94" t="s">
        <v>3175</v>
      </c>
      <c r="CZ49" s="94" t="s">
        <v>2961</v>
      </c>
      <c r="DA49" s="94" t="s">
        <v>3120</v>
      </c>
      <c r="DB49" s="259" t="s">
        <v>962</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1802</v>
      </c>
      <c r="DV49" s="94" t="s">
        <v>3183</v>
      </c>
      <c r="DW49" s="94" t="s">
        <v>1713</v>
      </c>
      <c r="DX49" s="94" t="s">
        <v>3025</v>
      </c>
      <c r="DY49" s="94" t="s">
        <v>3184</v>
      </c>
      <c r="DZ49" s="99"/>
      <c r="EA49" s="94" t="s">
        <v>3185</v>
      </c>
      <c r="EB49" s="94" t="s">
        <v>3186</v>
      </c>
      <c r="EC49" s="94" t="s">
        <v>1159</v>
      </c>
      <c r="ED49" s="259" t="s">
        <v>3187</v>
      </c>
    </row>
    <row r="50">
      <c r="A50" s="412" t="s">
        <v>3188</v>
      </c>
      <c r="B50" s="104" t="s">
        <v>3189</v>
      </c>
      <c r="C50" s="105" t="s">
        <v>1260</v>
      </c>
      <c r="D50" s="106" t="s">
        <v>1260</v>
      </c>
      <c r="E50" s="107" t="s">
        <v>1260</v>
      </c>
      <c r="F50" s="108" t="s">
        <v>1726</v>
      </c>
      <c r="G50" s="104" t="s">
        <v>3190</v>
      </c>
      <c r="H50" s="112" t="s">
        <v>3191</v>
      </c>
      <c r="I50" s="345" t="s">
        <v>2304</v>
      </c>
      <c r="J50" s="112" t="s">
        <v>995</v>
      </c>
      <c r="K50" s="400" t="s">
        <v>2842</v>
      </c>
      <c r="L50" s="400" t="s">
        <v>2526</v>
      </c>
      <c r="M50" s="112" t="s">
        <v>3192</v>
      </c>
      <c r="N50" s="413" t="s">
        <v>3193</v>
      </c>
      <c r="O50" s="400" t="s">
        <v>3194</v>
      </c>
      <c r="P50" s="112" t="s">
        <v>2548</v>
      </c>
      <c r="Q50" s="400" t="s">
        <v>3195</v>
      </c>
      <c r="R50" s="243"/>
      <c r="S50" s="167" t="s">
        <v>560</v>
      </c>
      <c r="T50" s="243"/>
      <c r="U50" s="400" t="s">
        <v>1221</v>
      </c>
      <c r="V50" s="400" t="s">
        <v>3196</v>
      </c>
      <c r="W50" s="92"/>
      <c r="X50" s="116" t="s">
        <v>1618</v>
      </c>
      <c r="Y50" s="269"/>
      <c r="Z50" s="116" t="s">
        <v>3197</v>
      </c>
      <c r="AA50" s="380" t="s">
        <v>406</v>
      </c>
      <c r="AB50" s="116" t="s">
        <v>3198</v>
      </c>
      <c r="AC50" s="116" t="s">
        <v>427</v>
      </c>
      <c r="AD50" s="116" t="s">
        <v>2864</v>
      </c>
      <c r="AE50" s="245"/>
      <c r="AF50" s="116" t="s">
        <v>1214</v>
      </c>
      <c r="AG50" s="116" t="s">
        <v>2474</v>
      </c>
      <c r="AH50" s="245"/>
      <c r="AI50" s="245"/>
      <c r="AJ50" s="116" t="s">
        <v>3036</v>
      </c>
      <c r="AK50" s="269" t="s">
        <v>2708</v>
      </c>
      <c r="AL50" s="97"/>
      <c r="AM50" s="278" t="s">
        <v>1449</v>
      </c>
      <c r="AN50" s="121" t="s">
        <v>3199</v>
      </c>
      <c r="AO50" s="278" t="s">
        <v>3200</v>
      </c>
      <c r="AP50" s="121" t="s">
        <v>3201</v>
      </c>
      <c r="AQ50" s="168" t="s">
        <v>3202</v>
      </c>
      <c r="AR50" s="168" t="s">
        <v>2055</v>
      </c>
      <c r="AS50" s="168" t="s">
        <v>3203</v>
      </c>
      <c r="AT50" s="246"/>
      <c r="AU50" s="121" t="s">
        <v>2569</v>
      </c>
      <c r="AV50" s="278" t="s">
        <v>179</v>
      </c>
      <c r="AW50" s="278" t="s">
        <v>3032</v>
      </c>
      <c r="AX50" s="246"/>
      <c r="AY50" s="121" t="s">
        <v>1332</v>
      </c>
      <c r="AZ50" s="121" t="s">
        <v>3204</v>
      </c>
      <c r="BA50" s="246"/>
      <c r="BB50" s="381" t="s">
        <v>2384</v>
      </c>
      <c r="BC50" s="126" t="s">
        <v>2681</v>
      </c>
      <c r="BD50" s="381" t="s">
        <v>2771</v>
      </c>
      <c r="BE50" s="381" t="s">
        <v>3205</v>
      </c>
      <c r="BF50" s="126" t="s">
        <v>2501</v>
      </c>
      <c r="BG50" s="381" t="s">
        <v>3206</v>
      </c>
      <c r="BH50" s="173"/>
      <c r="BI50" s="381" t="s">
        <v>3083</v>
      </c>
      <c r="BJ50" s="126" t="s">
        <v>278</v>
      </c>
      <c r="BK50" s="381"/>
      <c r="BL50" s="126" t="s">
        <v>3012</v>
      </c>
      <c r="BM50" s="174" t="s">
        <v>3207</v>
      </c>
      <c r="BN50" s="174" t="s">
        <v>2133</v>
      </c>
      <c r="BO50" s="381" t="s">
        <v>1918</v>
      </c>
      <c r="BP50" s="126" t="s">
        <v>3208</v>
      </c>
      <c r="BQ50" s="248"/>
      <c r="BR50" s="131" t="s">
        <v>2550</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2718</v>
      </c>
      <c r="DD50" s="203" t="s">
        <v>3234</v>
      </c>
      <c r="DE50" s="203" t="s">
        <v>1040</v>
      </c>
      <c r="DF50" s="203" t="s">
        <v>3235</v>
      </c>
      <c r="DG50" s="203" t="s">
        <v>3236</v>
      </c>
      <c r="DH50" s="256"/>
      <c r="DI50" s="205" t="s">
        <v>3237</v>
      </c>
      <c r="DJ50" s="257"/>
      <c r="DK50" s="257"/>
      <c r="DL50" s="205"/>
      <c r="DM50" s="205" t="s">
        <v>2003</v>
      </c>
      <c r="DN50" s="205" t="s">
        <v>3238</v>
      </c>
      <c r="DO50" s="204" t="s">
        <v>3239</v>
      </c>
      <c r="DP50" s="204" t="s">
        <v>3240</v>
      </c>
      <c r="DQ50" s="257"/>
      <c r="DR50" s="145" t="s">
        <v>3241</v>
      </c>
      <c r="DS50" s="205" t="s">
        <v>3242</v>
      </c>
      <c r="DT50" s="204" t="s">
        <v>3243</v>
      </c>
      <c r="DU50" s="414" t="s">
        <v>1364</v>
      </c>
      <c r="DV50" s="145" t="s">
        <v>2350</v>
      </c>
      <c r="DW50" s="204" t="s">
        <v>2896</v>
      </c>
      <c r="DX50" s="204" t="s">
        <v>2424</v>
      </c>
      <c r="DY50" s="204" t="s">
        <v>3244</v>
      </c>
      <c r="DZ50" s="204" t="s">
        <v>3245</v>
      </c>
      <c r="EA50" s="414" t="s">
        <v>3246</v>
      </c>
      <c r="EB50" s="204" t="s">
        <v>1192</v>
      </c>
      <c r="EC50" s="145" t="s">
        <v>1499</v>
      </c>
      <c r="ED50" s="286" t="s">
        <v>3247</v>
      </c>
    </row>
    <row r="51">
      <c r="A51" s="287" t="s">
        <v>3248</v>
      </c>
      <c r="B51" s="82" t="s">
        <v>3249</v>
      </c>
      <c r="C51" s="83" t="s">
        <v>1260</v>
      </c>
      <c r="D51" s="84" t="s">
        <v>1260</v>
      </c>
      <c r="E51" s="85" t="s">
        <v>548</v>
      </c>
      <c r="F51" s="86" t="s">
        <v>223</v>
      </c>
      <c r="G51" s="82" t="s">
        <v>2089</v>
      </c>
      <c r="H51" s="94" t="s">
        <v>1768</v>
      </c>
      <c r="I51" s="162" t="s">
        <v>3250</v>
      </c>
      <c r="J51" s="162" t="s">
        <v>3251</v>
      </c>
      <c r="K51" s="88" t="s">
        <v>2730</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2471</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1216</v>
      </c>
      <c r="AV51" s="94" t="s">
        <v>121</v>
      </c>
      <c r="AW51" s="94" t="s">
        <v>3261</v>
      </c>
      <c r="AX51" s="99"/>
      <c r="AY51" s="99"/>
      <c r="AZ51" s="99"/>
      <c r="BA51" s="99"/>
      <c r="BB51" s="94" t="s">
        <v>3262</v>
      </c>
      <c r="BC51" s="94" t="s">
        <v>1379</v>
      </c>
      <c r="BD51" s="94" t="s">
        <v>1291</v>
      </c>
      <c r="BE51" s="162" t="s">
        <v>3263</v>
      </c>
      <c r="BF51" s="94" t="s">
        <v>3264</v>
      </c>
      <c r="BG51" s="94" t="s">
        <v>3265</v>
      </c>
      <c r="BH51" s="99"/>
      <c r="BI51" s="98" t="s">
        <v>150</v>
      </c>
      <c r="BJ51" s="94" t="s">
        <v>3266</v>
      </c>
      <c r="BK51" s="94" t="s">
        <v>1188</v>
      </c>
      <c r="BL51" s="94" t="s">
        <v>2496</v>
      </c>
      <c r="BM51" s="99"/>
      <c r="BN51" s="99"/>
      <c r="BO51" s="99"/>
      <c r="BP51" s="99"/>
      <c r="BQ51" s="236"/>
      <c r="BR51" s="94" t="s">
        <v>3267</v>
      </c>
      <c r="BS51" s="94" t="s">
        <v>777</v>
      </c>
      <c r="BT51" s="88" t="s">
        <v>3268</v>
      </c>
      <c r="BU51" s="88" t="s">
        <v>1711</v>
      </c>
      <c r="BV51" s="94" t="s">
        <v>2775</v>
      </c>
      <c r="BW51" s="270" t="s">
        <v>3269</v>
      </c>
      <c r="BX51" s="94" t="s">
        <v>456</v>
      </c>
      <c r="BY51" s="265" t="s">
        <v>3270</v>
      </c>
      <c r="BZ51" s="162" t="s">
        <v>3271</v>
      </c>
      <c r="CA51" s="162" t="s">
        <v>790</v>
      </c>
      <c r="CB51" s="99"/>
      <c r="CC51" s="99"/>
      <c r="CD51" s="94" t="s">
        <v>2952</v>
      </c>
      <c r="CE51" s="99"/>
      <c r="CF51" s="236"/>
      <c r="CG51" s="94" t="s">
        <v>3272</v>
      </c>
      <c r="CH51" s="88" t="s">
        <v>2692</v>
      </c>
      <c r="CI51" s="162" t="s">
        <v>3273</v>
      </c>
      <c r="CJ51" s="94" t="s">
        <v>3274</v>
      </c>
      <c r="CK51" s="94"/>
      <c r="CL51" s="415" t="s">
        <v>3275</v>
      </c>
      <c r="CM51" s="88" t="s">
        <v>1454</v>
      </c>
      <c r="CN51" s="88" t="s">
        <v>2318</v>
      </c>
      <c r="CO51" s="94" t="s">
        <v>2995</v>
      </c>
      <c r="CP51" s="99"/>
      <c r="CQ51" s="99"/>
      <c r="CR51" s="99"/>
      <c r="CS51" s="99"/>
      <c r="CT51" s="99"/>
      <c r="CU51" s="92"/>
      <c r="CV51" s="94" t="s">
        <v>3276</v>
      </c>
      <c r="CW51" s="162" t="s">
        <v>1540</v>
      </c>
      <c r="CX51" s="94" t="s">
        <v>612</v>
      </c>
      <c r="CY51" s="162" t="s">
        <v>3277</v>
      </c>
      <c r="CZ51" s="94" t="s">
        <v>2493</v>
      </c>
      <c r="DA51" s="94" t="s">
        <v>1078</v>
      </c>
      <c r="DB51" s="162" t="s">
        <v>2270</v>
      </c>
      <c r="DC51" s="88" t="s">
        <v>1403</v>
      </c>
      <c r="DD51" s="99"/>
      <c r="DE51" s="99"/>
      <c r="DF51" s="99"/>
      <c r="DG51" s="99"/>
      <c r="DH51" s="236"/>
      <c r="DI51" s="94" t="s">
        <v>1292</v>
      </c>
      <c r="DJ51" s="94" t="s">
        <v>529</v>
      </c>
      <c r="DK51" s="99"/>
      <c r="DL51" s="99"/>
      <c r="DM51" s="88" t="s">
        <v>3278</v>
      </c>
      <c r="DN51" s="94" t="s">
        <v>1120</v>
      </c>
      <c r="DO51" s="94" t="s">
        <v>2333</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1260</v>
      </c>
      <c r="D52" s="106" t="s">
        <v>1260</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2123</v>
      </c>
      <c r="AW52" s="168" t="s">
        <v>1180</v>
      </c>
      <c r="AX52" s="168" t="s">
        <v>930</v>
      </c>
      <c r="AY52" s="168" t="s">
        <v>2934</v>
      </c>
      <c r="AZ52" s="168" t="s">
        <v>3308</v>
      </c>
      <c r="BA52" s="246"/>
      <c r="BB52" s="174" t="s">
        <v>3309</v>
      </c>
      <c r="BC52" s="174" t="s">
        <v>1161</v>
      </c>
      <c r="BD52" s="174" t="s">
        <v>1015</v>
      </c>
      <c r="BE52" s="174" t="s">
        <v>3310</v>
      </c>
      <c r="BF52" s="174" t="s">
        <v>3311</v>
      </c>
      <c r="BG52" s="174" t="s">
        <v>3312</v>
      </c>
      <c r="BH52" s="174" t="s">
        <v>941</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2336</v>
      </c>
      <c r="DB52" s="232" t="s">
        <v>2251</v>
      </c>
      <c r="DC52" s="203" t="s">
        <v>3334</v>
      </c>
      <c r="DD52" s="255"/>
      <c r="DE52" s="255"/>
      <c r="DF52" s="255"/>
      <c r="DG52" s="255"/>
      <c r="DH52" s="256"/>
      <c r="DI52" s="204" t="s">
        <v>2646</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1260</v>
      </c>
      <c r="D53" s="84" t="s">
        <v>1260</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2688</v>
      </c>
      <c r="Y53" s="93"/>
      <c r="Z53" s="88" t="s">
        <v>2736</v>
      </c>
      <c r="AA53" s="94" t="s">
        <v>249</v>
      </c>
      <c r="AB53" s="88" t="s">
        <v>3347</v>
      </c>
      <c r="AC53" s="88" t="s">
        <v>3348</v>
      </c>
      <c r="AD53" s="88" t="s">
        <v>3349</v>
      </c>
      <c r="AE53" s="99"/>
      <c r="AF53" s="94" t="s">
        <v>420</v>
      </c>
      <c r="AG53" s="94" t="s">
        <v>2741</v>
      </c>
      <c r="AH53" s="99"/>
      <c r="AI53" s="99"/>
      <c r="AJ53" s="99"/>
      <c r="AK53" s="99"/>
      <c r="AL53" s="97"/>
      <c r="AM53" s="94" t="s">
        <v>3350</v>
      </c>
      <c r="AN53" s="88" t="s">
        <v>3351</v>
      </c>
      <c r="AO53" s="99"/>
      <c r="AP53" s="99"/>
      <c r="AQ53" s="99"/>
      <c r="AR53" s="99"/>
      <c r="AS53" s="99"/>
      <c r="AT53" s="99"/>
      <c r="AU53" s="94" t="s">
        <v>1663</v>
      </c>
      <c r="AV53" s="88" t="s">
        <v>2886</v>
      </c>
      <c r="AW53" s="99"/>
      <c r="AX53" s="99"/>
      <c r="AY53" s="99"/>
      <c r="AZ53" s="99"/>
      <c r="BA53" s="99"/>
      <c r="BB53" s="88" t="s">
        <v>1359</v>
      </c>
      <c r="BC53" s="88" t="s">
        <v>681</v>
      </c>
      <c r="BD53" s="88" t="s">
        <v>848</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1923</v>
      </c>
      <c r="BX53" s="99"/>
      <c r="BY53" s="94" t="s">
        <v>3358</v>
      </c>
      <c r="BZ53" s="94" t="s">
        <v>3359</v>
      </c>
      <c r="CA53" s="88" t="s">
        <v>2918</v>
      </c>
      <c r="CB53" s="99"/>
      <c r="CC53" s="99"/>
      <c r="CD53" s="99"/>
      <c r="CE53" s="99"/>
      <c r="CF53" s="236"/>
      <c r="CG53" s="88" t="s">
        <v>1003</v>
      </c>
      <c r="CH53" s="94" t="s">
        <v>1452</v>
      </c>
      <c r="CI53" s="88" t="s">
        <v>608</v>
      </c>
      <c r="CJ53" s="94" t="s">
        <v>3360</v>
      </c>
      <c r="CK53" s="94"/>
      <c r="CL53" s="94" t="s">
        <v>2249</v>
      </c>
      <c r="CM53" s="94" t="s">
        <v>3361</v>
      </c>
      <c r="CN53" s="88" t="s">
        <v>2189</v>
      </c>
      <c r="CO53" s="94" t="s">
        <v>1581</v>
      </c>
      <c r="CP53" s="99"/>
      <c r="CQ53" s="99"/>
      <c r="CR53" s="99"/>
      <c r="CS53" s="99"/>
      <c r="CT53" s="99"/>
      <c r="CU53" s="92"/>
      <c r="CV53" s="89" t="s">
        <v>2038</v>
      </c>
      <c r="CW53" s="94" t="s">
        <v>3028</v>
      </c>
      <c r="CX53" s="88" t="s">
        <v>1078</v>
      </c>
      <c r="CY53" s="88" t="s">
        <v>719</v>
      </c>
      <c r="CZ53" s="88" t="s">
        <v>2397</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2430</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1291</v>
      </c>
      <c r="BE54" s="200" t="s">
        <v>862</v>
      </c>
      <c r="BF54" s="247" t="s">
        <v>3382</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1083</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1260</v>
      </c>
      <c r="D55" s="84" t="s">
        <v>1260</v>
      </c>
      <c r="E55" s="85" t="s">
        <v>1260</v>
      </c>
      <c r="F55" s="86" t="s">
        <v>1882</v>
      </c>
      <c r="G55" s="82" t="s">
        <v>3395</v>
      </c>
      <c r="H55" s="88" t="s">
        <v>2608</v>
      </c>
      <c r="I55" s="88" t="s">
        <v>3396</v>
      </c>
      <c r="J55" s="94" t="s">
        <v>3397</v>
      </c>
      <c r="K55" s="94" t="s">
        <v>3398</v>
      </c>
      <c r="L55" s="419" t="str">
        <f>hyperlink("https://www.twitch.tv/videos/642998947","44.64")</f>
        <v>44.64</v>
      </c>
      <c r="M55" s="88" t="s">
        <v>3399</v>
      </c>
      <c r="N55" s="419" t="str">
        <f>hyperlink("https://www.twitch.tv/videos/642995088","1:11.81")</f>
        <v>1:11.81</v>
      </c>
      <c r="O55" s="88" t="s">
        <v>1757</v>
      </c>
      <c r="P55" s="94" t="s">
        <v>1568</v>
      </c>
      <c r="Q55" s="94" t="s">
        <v>3400</v>
      </c>
      <c r="R55" s="99"/>
      <c r="S55" s="94" t="s">
        <v>2200</v>
      </c>
      <c r="T55" s="94" t="s">
        <v>2476</v>
      </c>
      <c r="U55" s="94" t="s">
        <v>2350</v>
      </c>
      <c r="V55" s="94" t="s">
        <v>3401</v>
      </c>
      <c r="W55" s="92"/>
      <c r="X55" s="94" t="s">
        <v>2445</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2594</v>
      </c>
      <c r="AV55" s="88" t="s">
        <v>1015</v>
      </c>
      <c r="AW55" s="99"/>
      <c r="AX55" s="99"/>
      <c r="AY55" s="162" t="s">
        <v>3166</v>
      </c>
      <c r="AZ55" s="99"/>
      <c r="BA55" s="99"/>
      <c r="BB55" s="94" t="s">
        <v>3412</v>
      </c>
      <c r="BC55" s="94" t="s">
        <v>1161</v>
      </c>
      <c r="BD55" s="94" t="s">
        <v>2326</v>
      </c>
      <c r="BE55" s="88" t="s">
        <v>1307</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2258</v>
      </c>
      <c r="BX55" s="99"/>
      <c r="BY55" s="99"/>
      <c r="BZ55" s="94" t="s">
        <v>3418</v>
      </c>
      <c r="CA55" s="94" t="s">
        <v>3419</v>
      </c>
      <c r="CB55" s="94" t="s">
        <v>3420</v>
      </c>
      <c r="CC55" s="94" t="s">
        <v>3421</v>
      </c>
      <c r="CD55" s="88" t="s">
        <v>1547</v>
      </c>
      <c r="CE55" s="94" t="s">
        <v>3422</v>
      </c>
      <c r="CF55" s="94"/>
      <c r="CG55" s="265" t="s">
        <v>3029</v>
      </c>
      <c r="CH55" s="415" t="str">
        <f>hyperlink("https://twitter.com/Reborn_Frog/status/1364932529577357313","28.55")</f>
        <v>28.55</v>
      </c>
      <c r="CI55" s="94" t="s">
        <v>3423</v>
      </c>
      <c r="CJ55" s="94" t="s">
        <v>3424</v>
      </c>
      <c r="CK55" s="94"/>
      <c r="CL55" s="94"/>
      <c r="CM55" s="93" t="s">
        <v>3425</v>
      </c>
      <c r="CN55" s="94" t="s">
        <v>3231</v>
      </c>
      <c r="CO55" s="94" t="s">
        <v>2923</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2998</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1260</v>
      </c>
      <c r="F56" s="108" t="s">
        <v>440</v>
      </c>
      <c r="G56" s="104" t="s">
        <v>3432</v>
      </c>
      <c r="H56" s="167" t="s">
        <v>2214</v>
      </c>
      <c r="I56" s="167" t="s">
        <v>1381</v>
      </c>
      <c r="J56" s="167" t="s">
        <v>3433</v>
      </c>
      <c r="K56" s="112" t="s">
        <v>992</v>
      </c>
      <c r="L56" s="167" t="s">
        <v>465</v>
      </c>
      <c r="M56" s="243"/>
      <c r="N56" s="167" t="s">
        <v>3434</v>
      </c>
      <c r="O56" s="112" t="s">
        <v>3435</v>
      </c>
      <c r="P56" s="167" t="s">
        <v>109</v>
      </c>
      <c r="Q56" s="243"/>
      <c r="R56" s="243"/>
      <c r="S56" s="243"/>
      <c r="T56" s="243"/>
      <c r="U56" s="243"/>
      <c r="V56" s="243"/>
      <c r="W56" s="92"/>
      <c r="X56" s="116" t="s">
        <v>2125</v>
      </c>
      <c r="Y56" s="197"/>
      <c r="Z56" s="197" t="s">
        <v>1274</v>
      </c>
      <c r="AA56" s="197" t="s">
        <v>1828</v>
      </c>
      <c r="AB56" s="197" t="s">
        <v>3060</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2594</v>
      </c>
      <c r="AV56" s="168" t="s">
        <v>3154</v>
      </c>
      <c r="AW56" s="246"/>
      <c r="AX56" s="246"/>
      <c r="AY56" s="168" t="s">
        <v>752</v>
      </c>
      <c r="AZ56" s="246"/>
      <c r="BA56" s="246"/>
      <c r="BB56" s="174" t="s">
        <v>3442</v>
      </c>
      <c r="BC56" s="174" t="s">
        <v>2159</v>
      </c>
      <c r="BD56" s="174" t="s">
        <v>3154</v>
      </c>
      <c r="BE56" s="174" t="s">
        <v>3443</v>
      </c>
      <c r="BF56" s="174" t="s">
        <v>3444</v>
      </c>
      <c r="BG56" s="247" t="s">
        <v>2392</v>
      </c>
      <c r="BH56" s="173"/>
      <c r="BI56" s="174" t="s">
        <v>1788</v>
      </c>
      <c r="BJ56" s="174"/>
      <c r="BK56" s="174" t="s">
        <v>3445</v>
      </c>
      <c r="BL56" s="174" t="s">
        <v>1843</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1109</v>
      </c>
      <c r="CI56" s="177" t="s">
        <v>1932</v>
      </c>
      <c r="CJ56" s="177" t="s">
        <v>3453</v>
      </c>
      <c r="CK56" s="177"/>
      <c r="CL56" s="177"/>
      <c r="CM56" s="177" t="s">
        <v>2698</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1260</v>
      </c>
      <c r="D57" s="84" t="s">
        <v>1260</v>
      </c>
      <c r="E57" s="85" t="s">
        <v>1260</v>
      </c>
      <c r="F57" s="86" t="s">
        <v>648</v>
      </c>
      <c r="G57" s="82" t="s">
        <v>3284</v>
      </c>
      <c r="H57" s="102" t="s">
        <v>3467</v>
      </c>
      <c r="I57" s="95" t="s">
        <v>3468</v>
      </c>
      <c r="J57" s="102" t="s">
        <v>3469</v>
      </c>
      <c r="K57" s="102" t="s">
        <v>1886</v>
      </c>
      <c r="L57" s="88" t="s">
        <v>2843</v>
      </c>
      <c r="M57" s="102" t="s">
        <v>3470</v>
      </c>
      <c r="N57" s="102" t="s">
        <v>3471</v>
      </c>
      <c r="O57" s="102" t="s">
        <v>3472</v>
      </c>
      <c r="P57" s="102" t="s">
        <v>2548</v>
      </c>
      <c r="Q57" s="94" t="s">
        <v>3473</v>
      </c>
      <c r="R57" s="99"/>
      <c r="S57" s="94" t="s">
        <v>837</v>
      </c>
      <c r="T57" s="99"/>
      <c r="U57" s="94" t="s">
        <v>1834</v>
      </c>
      <c r="V57" s="94" t="s">
        <v>3474</v>
      </c>
      <c r="W57" s="92"/>
      <c r="X57" s="102" t="s">
        <v>1224</v>
      </c>
      <c r="Y57" s="102"/>
      <c r="Z57" s="102" t="s">
        <v>3475</v>
      </c>
      <c r="AA57" s="102" t="s">
        <v>2741</v>
      </c>
      <c r="AB57" s="88" t="s">
        <v>3476</v>
      </c>
      <c r="AC57" s="102" t="s">
        <v>2414</v>
      </c>
      <c r="AD57" s="102" t="s">
        <v>3477</v>
      </c>
      <c r="AE57" s="99"/>
      <c r="AF57" s="102" t="s">
        <v>3478</v>
      </c>
      <c r="AG57" s="102" t="s">
        <v>2003</v>
      </c>
      <c r="AH57" s="94" t="s">
        <v>3479</v>
      </c>
      <c r="AI57" s="99"/>
      <c r="AJ57" s="102" t="s">
        <v>3480</v>
      </c>
      <c r="AK57" s="94" t="s">
        <v>3481</v>
      </c>
      <c r="AL57" s="97"/>
      <c r="AM57" s="102" t="s">
        <v>3143</v>
      </c>
      <c r="AN57" s="102" t="s">
        <v>1657</v>
      </c>
      <c r="AO57" s="94" t="s">
        <v>3482</v>
      </c>
      <c r="AP57" s="99"/>
      <c r="AQ57" s="94"/>
      <c r="AR57" s="94" t="s">
        <v>3483</v>
      </c>
      <c r="AS57" s="99"/>
      <c r="AT57" s="99"/>
      <c r="AU57" s="102" t="s">
        <v>3484</v>
      </c>
      <c r="AV57" s="102" t="s">
        <v>878</v>
      </c>
      <c r="AW57" s="102" t="s">
        <v>1553</v>
      </c>
      <c r="AX57" s="99"/>
      <c r="AY57" s="94" t="s">
        <v>1207</v>
      </c>
      <c r="AZ57" s="94" t="s">
        <v>3485</v>
      </c>
      <c r="BA57" s="99"/>
      <c r="BB57" s="102" t="s">
        <v>191</v>
      </c>
      <c r="BC57" s="102" t="s">
        <v>3486</v>
      </c>
      <c r="BD57" s="102" t="s">
        <v>3154</v>
      </c>
      <c r="BE57" s="102" t="s">
        <v>931</v>
      </c>
      <c r="BF57" s="102" t="s">
        <v>3264</v>
      </c>
      <c r="BG57" s="102" t="s">
        <v>3330</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2636</v>
      </c>
      <c r="CJ57" s="88" t="s">
        <v>3503</v>
      </c>
      <c r="CK57" s="93"/>
      <c r="CL57" s="93" t="s">
        <v>3331</v>
      </c>
      <c r="CM57" s="102" t="s">
        <v>3504</v>
      </c>
      <c r="CN57" s="102" t="s">
        <v>3505</v>
      </c>
      <c r="CO57" s="102" t="s">
        <v>3506</v>
      </c>
      <c r="CP57" s="221"/>
      <c r="CQ57" s="99"/>
      <c r="CR57" s="99"/>
      <c r="CS57" s="99"/>
      <c r="CT57" s="94" t="s">
        <v>3507</v>
      </c>
      <c r="CU57" s="92"/>
      <c r="CV57" s="102" t="s">
        <v>412</v>
      </c>
      <c r="CW57" s="102" t="s">
        <v>3508</v>
      </c>
      <c r="CX57" s="88" t="s">
        <v>893</v>
      </c>
      <c r="CY57" s="102" t="s">
        <v>3277</v>
      </c>
      <c r="CZ57" s="102" t="s">
        <v>3509</v>
      </c>
      <c r="DA57" s="102" t="s">
        <v>2055</v>
      </c>
      <c r="DB57" s="162" t="s">
        <v>2887</v>
      </c>
      <c r="DC57" s="102" t="s">
        <v>575</v>
      </c>
      <c r="DD57" s="88" t="s">
        <v>1991</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1260</v>
      </c>
      <c r="D58" s="106" t="s">
        <v>548</v>
      </c>
      <c r="E58" s="107" t="s">
        <v>1260</v>
      </c>
      <c r="F58" s="108" t="s">
        <v>2676</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1667</v>
      </c>
      <c r="V58" s="243"/>
      <c r="W58" s="92"/>
      <c r="X58" s="117" t="s">
        <v>3523</v>
      </c>
      <c r="Y58" s="197"/>
      <c r="Z58" s="197" t="s">
        <v>3524</v>
      </c>
      <c r="AA58" s="197" t="s">
        <v>1537</v>
      </c>
      <c r="AB58" s="197" t="s">
        <v>3525</v>
      </c>
      <c r="AC58" s="116" t="s">
        <v>2414</v>
      </c>
      <c r="AD58" s="197" t="s">
        <v>3526</v>
      </c>
      <c r="AE58" s="197" t="s">
        <v>2998</v>
      </c>
      <c r="AF58" s="197" t="s">
        <v>3297</v>
      </c>
      <c r="AG58" s="300" t="s">
        <v>570</v>
      </c>
      <c r="AH58" s="300" t="s">
        <v>2179</v>
      </c>
      <c r="AI58" s="245"/>
      <c r="AJ58" s="197" t="s">
        <v>1744</v>
      </c>
      <c r="AK58" s="245"/>
      <c r="AL58" s="97"/>
      <c r="AM58" s="168" t="s">
        <v>3237</v>
      </c>
      <c r="AN58" s="168" t="s">
        <v>1236</v>
      </c>
      <c r="AO58" s="246"/>
      <c r="AP58" s="246"/>
      <c r="AQ58" s="246"/>
      <c r="AR58" s="168" t="s">
        <v>3527</v>
      </c>
      <c r="AS58" s="168" t="s">
        <v>1699</v>
      </c>
      <c r="AT58" s="246"/>
      <c r="AU58" s="424" t="s">
        <v>3528</v>
      </c>
      <c r="AV58" s="168" t="s">
        <v>3529</v>
      </c>
      <c r="AW58" s="168" t="s">
        <v>1875</v>
      </c>
      <c r="AX58" s="246"/>
      <c r="AY58" s="424"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2603</v>
      </c>
      <c r="BM58" s="173"/>
      <c r="BN58" s="174" t="s">
        <v>3536</v>
      </c>
      <c r="BO58" s="174" t="s">
        <v>888</v>
      </c>
      <c r="BP58" s="174" t="s">
        <v>3537</v>
      </c>
      <c r="BQ58" s="248"/>
      <c r="BR58" s="175" t="s">
        <v>3538</v>
      </c>
      <c r="BS58" s="175" t="s">
        <v>1912</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1816</v>
      </c>
      <c r="CJ58" s="177" t="s">
        <v>3545</v>
      </c>
      <c r="CK58" s="177"/>
      <c r="CL58" s="177" t="s">
        <v>1325</v>
      </c>
      <c r="CM58" s="177" t="s">
        <v>3029</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1096</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2553</v>
      </c>
      <c r="DV58" s="257"/>
      <c r="DW58" s="204" t="s">
        <v>3559</v>
      </c>
      <c r="DX58" s="257"/>
      <c r="DY58" s="204" t="s">
        <v>2634</v>
      </c>
      <c r="DZ58" s="145" t="s">
        <v>954</v>
      </c>
      <c r="EA58" s="257"/>
      <c r="EB58" s="204" t="s">
        <v>2784</v>
      </c>
      <c r="EC58" s="204" t="s">
        <v>686</v>
      </c>
      <c r="ED58" s="143" t="s">
        <v>3560</v>
      </c>
    </row>
    <row r="59">
      <c r="A59" s="81" t="s">
        <v>3561</v>
      </c>
      <c r="B59" s="82" t="s">
        <v>3562</v>
      </c>
      <c r="C59" s="83" t="s">
        <v>1260</v>
      </c>
      <c r="D59" s="84" t="s">
        <v>1260</v>
      </c>
      <c r="E59" s="85" t="s">
        <v>1260</v>
      </c>
      <c r="F59" s="86" t="s">
        <v>3563</v>
      </c>
      <c r="G59" s="82" t="s">
        <v>3564</v>
      </c>
      <c r="H59" s="88" t="s">
        <v>3285</v>
      </c>
      <c r="I59" s="88" t="s">
        <v>3565</v>
      </c>
      <c r="J59" s="88" t="s">
        <v>3566</v>
      </c>
      <c r="K59" s="88" t="s">
        <v>1423</v>
      </c>
      <c r="L59" s="88" t="s">
        <v>412</v>
      </c>
      <c r="M59" s="265" t="s">
        <v>1266</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2471</v>
      </c>
      <c r="AW59" s="94" t="s">
        <v>535</v>
      </c>
      <c r="AX59" s="99"/>
      <c r="AY59" s="265" t="s">
        <v>837</v>
      </c>
      <c r="AZ59" s="88" t="s">
        <v>3578</v>
      </c>
      <c r="BA59" s="99"/>
      <c r="BB59" s="88" t="s">
        <v>3579</v>
      </c>
      <c r="BC59" s="88" t="s">
        <v>3580</v>
      </c>
      <c r="BD59" s="88" t="s">
        <v>3581</v>
      </c>
      <c r="BE59" s="265" t="s">
        <v>3435</v>
      </c>
      <c r="BF59" s="88" t="s">
        <v>2472</v>
      </c>
      <c r="BG59" s="94" t="s">
        <v>444</v>
      </c>
      <c r="BH59" s="94" t="s">
        <v>3582</v>
      </c>
      <c r="BI59" s="265" t="s">
        <v>1321</v>
      </c>
      <c r="BJ59" s="94"/>
      <c r="BK59" s="265" t="s">
        <v>723</v>
      </c>
      <c r="BL59" s="88" t="s">
        <v>3583</v>
      </c>
      <c r="BM59" s="88" t="s">
        <v>3584</v>
      </c>
      <c r="BN59" s="94" t="s">
        <v>2133</v>
      </c>
      <c r="BO59" s="94" t="s">
        <v>3585</v>
      </c>
      <c r="BP59" s="94" t="s">
        <v>959</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2625</v>
      </c>
      <c r="CH59" s="88" t="s">
        <v>2881</v>
      </c>
      <c r="CI59" s="94" t="s">
        <v>1268</v>
      </c>
      <c r="CJ59" s="94" t="s">
        <v>3598</v>
      </c>
      <c r="CK59" s="94" t="s">
        <v>3599</v>
      </c>
      <c r="CL59" s="94" t="s">
        <v>3456</v>
      </c>
      <c r="CM59" s="94" t="s">
        <v>3600</v>
      </c>
      <c r="CN59" s="265" t="s">
        <v>3601</v>
      </c>
      <c r="CO59" s="94" t="s">
        <v>3602</v>
      </c>
      <c r="CP59" s="94" t="s">
        <v>1990</v>
      </c>
      <c r="CQ59" s="88" t="s">
        <v>3603</v>
      </c>
      <c r="CR59" s="99"/>
      <c r="CS59" s="88" t="s">
        <v>3604</v>
      </c>
      <c r="CT59" s="99"/>
      <c r="CU59" s="92"/>
      <c r="CV59" s="94" t="s">
        <v>895</v>
      </c>
      <c r="CW59" s="88" t="s">
        <v>1690</v>
      </c>
      <c r="CX59" s="265" t="s">
        <v>2951</v>
      </c>
      <c r="CY59" s="265" t="s">
        <v>3605</v>
      </c>
      <c r="CZ59" s="94" t="s">
        <v>3606</v>
      </c>
      <c r="DA59" s="265" t="s">
        <v>515</v>
      </c>
      <c r="DB59" s="426" t="s">
        <v>3607</v>
      </c>
      <c r="DC59" s="88" t="s">
        <v>1748</v>
      </c>
      <c r="DD59" s="99"/>
      <c r="DE59" s="265" t="s">
        <v>3480</v>
      </c>
      <c r="DF59" s="94" t="s">
        <v>3608</v>
      </c>
      <c r="DG59" s="99"/>
      <c r="DH59" s="236"/>
      <c r="DI59" s="94" t="s">
        <v>858</v>
      </c>
      <c r="DJ59" s="99"/>
      <c r="DK59" s="94"/>
      <c r="DL59" s="99"/>
      <c r="DM59" s="88" t="s">
        <v>513</v>
      </c>
      <c r="DN59" s="94" t="s">
        <v>2019</v>
      </c>
      <c r="DO59" s="265" t="s">
        <v>3609</v>
      </c>
      <c r="DP59" s="94" t="s">
        <v>963</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1260</v>
      </c>
      <c r="D60" s="106" t="s">
        <v>1260</v>
      </c>
      <c r="E60" s="107" t="s">
        <v>1260</v>
      </c>
      <c r="F60" s="108" t="s">
        <v>2089</v>
      </c>
      <c r="G60" s="104" t="s">
        <v>3618</v>
      </c>
      <c r="H60" s="112" t="s">
        <v>3619</v>
      </c>
      <c r="I60" s="112" t="s">
        <v>3620</v>
      </c>
      <c r="J60" s="112" t="s">
        <v>3621</v>
      </c>
      <c r="K60" s="112" t="s">
        <v>1886</v>
      </c>
      <c r="L60" s="112" t="s">
        <v>2793</v>
      </c>
      <c r="M60" s="112" t="s">
        <v>3622</v>
      </c>
      <c r="N60" s="112" t="s">
        <v>3623</v>
      </c>
      <c r="O60" s="112" t="s">
        <v>3624</v>
      </c>
      <c r="P60" s="112" t="s">
        <v>3625</v>
      </c>
      <c r="Q60" s="167" t="s">
        <v>3626</v>
      </c>
      <c r="R60" s="243"/>
      <c r="S60" s="112" t="s">
        <v>2274</v>
      </c>
      <c r="T60" s="243"/>
      <c r="U60" s="112" t="s">
        <v>3627</v>
      </c>
      <c r="V60" s="167" t="s">
        <v>3628</v>
      </c>
      <c r="W60" s="92"/>
      <c r="X60" s="116" t="s">
        <v>2938</v>
      </c>
      <c r="Y60" s="269"/>
      <c r="Z60" s="116" t="s">
        <v>3629</v>
      </c>
      <c r="AA60" s="116" t="s">
        <v>3630</v>
      </c>
      <c r="AB60" s="116" t="s">
        <v>3402</v>
      </c>
      <c r="AC60" s="116" t="s">
        <v>3348</v>
      </c>
      <c r="AD60" s="116" t="s">
        <v>3272</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2043</v>
      </c>
      <c r="AV60" s="121" t="s">
        <v>848</v>
      </c>
      <c r="AW60" s="246"/>
      <c r="AX60" s="246"/>
      <c r="AY60" s="121" t="s">
        <v>3638</v>
      </c>
      <c r="AZ60" s="168" t="s">
        <v>3639</v>
      </c>
      <c r="BA60" s="168"/>
      <c r="BB60" s="126" t="s">
        <v>2936</v>
      </c>
      <c r="BC60" s="126" t="s">
        <v>2490</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934</v>
      </c>
      <c r="BT60" s="129" t="s">
        <v>2230</v>
      </c>
      <c r="BU60" s="129" t="s">
        <v>3649</v>
      </c>
      <c r="BV60" s="129" t="s">
        <v>3650</v>
      </c>
      <c r="BW60" s="129" t="s">
        <v>1598</v>
      </c>
      <c r="BX60" s="251"/>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944</v>
      </c>
      <c r="CW60" s="140" t="s">
        <v>3331</v>
      </c>
      <c r="CX60" s="140" t="s">
        <v>973</v>
      </c>
      <c r="CY60" s="140" t="s">
        <v>3663</v>
      </c>
      <c r="CZ60" s="140" t="s">
        <v>3664</v>
      </c>
      <c r="DA60" s="203" t="s">
        <v>3665</v>
      </c>
      <c r="DB60" s="140" t="s">
        <v>3666</v>
      </c>
      <c r="DC60" s="140" t="s">
        <v>2043</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28" t="s">
        <v>3674</v>
      </c>
      <c r="B61" s="82" t="s">
        <v>3675</v>
      </c>
      <c r="C61" s="83" t="s">
        <v>1260</v>
      </c>
      <c r="D61" s="84" t="s">
        <v>1260</v>
      </c>
      <c r="E61" s="85" t="s">
        <v>1260</v>
      </c>
      <c r="F61" s="86" t="s">
        <v>2676</v>
      </c>
      <c r="G61" s="82" t="s">
        <v>224</v>
      </c>
      <c r="H61" s="94" t="s">
        <v>3676</v>
      </c>
      <c r="I61" s="94" t="s">
        <v>1945</v>
      </c>
      <c r="J61" s="94" t="s">
        <v>3677</v>
      </c>
      <c r="K61" s="88" t="s">
        <v>2842</v>
      </c>
      <c r="L61" s="88" t="s">
        <v>1265</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855</v>
      </c>
      <c r="AC61" s="94" t="s">
        <v>3687</v>
      </c>
      <c r="AD61" s="94" t="s">
        <v>3688</v>
      </c>
      <c r="AE61" s="94" t="s">
        <v>3689</v>
      </c>
      <c r="AF61" s="94" t="s">
        <v>3690</v>
      </c>
      <c r="AG61" s="94" t="s">
        <v>3243</v>
      </c>
      <c r="AH61" s="94" t="s">
        <v>3570</v>
      </c>
      <c r="AI61" s="94" t="s">
        <v>3108</v>
      </c>
      <c r="AJ61" s="94" t="s">
        <v>3036</v>
      </c>
      <c r="AK61" s="94" t="s">
        <v>3691</v>
      </c>
      <c r="AL61" s="97"/>
      <c r="AM61" s="94" t="s">
        <v>2567</v>
      </c>
      <c r="AN61" s="94" t="s">
        <v>1415</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1482</v>
      </c>
      <c r="BC61" s="88" t="s">
        <v>2669</v>
      </c>
      <c r="BD61" s="88" t="s">
        <v>2223</v>
      </c>
      <c r="BE61" s="94" t="s">
        <v>3700</v>
      </c>
      <c r="BF61" s="94" t="s">
        <v>3701</v>
      </c>
      <c r="BG61" s="94" t="s">
        <v>1221</v>
      </c>
      <c r="BH61" s="94" t="s">
        <v>3702</v>
      </c>
      <c r="BI61" s="88" t="s">
        <v>1755</v>
      </c>
      <c r="BJ61" s="94" t="s">
        <v>2660</v>
      </c>
      <c r="BK61" s="94" t="s">
        <v>3703</v>
      </c>
      <c r="BL61" s="94" t="s">
        <v>3704</v>
      </c>
      <c r="BM61" s="94"/>
      <c r="BN61" s="88" t="s">
        <v>1588</v>
      </c>
      <c r="BO61" s="94" t="s">
        <v>3705</v>
      </c>
      <c r="BP61" s="94" t="s">
        <v>3297</v>
      </c>
      <c r="BQ61" s="94"/>
      <c r="BR61" s="88" t="s">
        <v>3706</v>
      </c>
      <c r="BS61" s="94" t="s">
        <v>3707</v>
      </c>
      <c r="BT61" s="94" t="s">
        <v>3708</v>
      </c>
      <c r="BU61" s="94" t="s">
        <v>3318</v>
      </c>
      <c r="BV61" s="94" t="s">
        <v>2781</v>
      </c>
      <c r="BW61" s="94" t="s">
        <v>3709</v>
      </c>
      <c r="BX61" s="94" t="s">
        <v>3540</v>
      </c>
      <c r="BY61" s="94" t="s">
        <v>3710</v>
      </c>
      <c r="BZ61" s="94" t="s">
        <v>3116</v>
      </c>
      <c r="CA61" s="94" t="s">
        <v>3711</v>
      </c>
      <c r="CB61" s="94" t="s">
        <v>2411</v>
      </c>
      <c r="CC61" s="94" t="s">
        <v>1271</v>
      </c>
      <c r="CD61" s="94" t="s">
        <v>1644</v>
      </c>
      <c r="CE61" s="94" t="s">
        <v>3712</v>
      </c>
      <c r="CF61" s="94"/>
      <c r="CG61" s="94" t="s">
        <v>3713</v>
      </c>
      <c r="CH61" s="162" t="s">
        <v>298</v>
      </c>
      <c r="CI61" s="94" t="s">
        <v>2055</v>
      </c>
      <c r="CJ61" s="94" t="s">
        <v>3017</v>
      </c>
      <c r="CK61" s="94"/>
      <c r="CL61" s="94" t="s">
        <v>3714</v>
      </c>
      <c r="CM61" s="94" t="s">
        <v>3715</v>
      </c>
      <c r="CN61" s="94" t="s">
        <v>1587</v>
      </c>
      <c r="CO61" s="94" t="s">
        <v>3716</v>
      </c>
      <c r="CP61" s="94" t="s">
        <v>3717</v>
      </c>
      <c r="CQ61" s="88" t="s">
        <v>820</v>
      </c>
      <c r="CR61" s="94"/>
      <c r="CS61" s="94" t="s">
        <v>3718</v>
      </c>
      <c r="CT61" s="94" t="s">
        <v>3719</v>
      </c>
      <c r="CU61" s="92"/>
      <c r="CV61" s="94" t="s">
        <v>3720</v>
      </c>
      <c r="CW61" s="94" t="s">
        <v>1608</v>
      </c>
      <c r="CX61" s="88" t="s">
        <v>1255</v>
      </c>
      <c r="CY61" s="94" t="s">
        <v>3721</v>
      </c>
      <c r="CZ61" s="162" t="s">
        <v>3437</v>
      </c>
      <c r="DA61" s="94" t="s">
        <v>3722</v>
      </c>
      <c r="DB61" s="265" t="s">
        <v>2347</v>
      </c>
      <c r="DC61" s="88" t="s">
        <v>2627</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3103</v>
      </c>
      <c r="DW61" s="94" t="s">
        <v>1723</v>
      </c>
      <c r="DX61" s="94" t="s">
        <v>3736</v>
      </c>
      <c r="DY61" s="94" t="s">
        <v>2715</v>
      </c>
      <c r="DZ61" s="94" t="s">
        <v>3737</v>
      </c>
      <c r="EA61" s="94" t="s">
        <v>429</v>
      </c>
      <c r="EB61" s="94" t="s">
        <v>3738</v>
      </c>
      <c r="EC61" s="94" t="s">
        <v>368</v>
      </c>
      <c r="ED61" s="259" t="s">
        <v>3739</v>
      </c>
    </row>
    <row r="62">
      <c r="A62" s="166" t="s">
        <v>3740</v>
      </c>
      <c r="B62" s="104" t="s">
        <v>3741</v>
      </c>
      <c r="C62" s="105" t="s">
        <v>1260</v>
      </c>
      <c r="D62" s="106" t="s">
        <v>1260</v>
      </c>
      <c r="E62" s="107" t="s">
        <v>1260</v>
      </c>
      <c r="F62" s="108" t="s">
        <v>1260</v>
      </c>
      <c r="G62" s="104" t="s">
        <v>2267</v>
      </c>
      <c r="H62" s="273" t="s">
        <v>1953</v>
      </c>
      <c r="I62" s="273" t="s">
        <v>3742</v>
      </c>
      <c r="J62" s="273" t="s">
        <v>3743</v>
      </c>
      <c r="K62" s="273" t="s">
        <v>1563</v>
      </c>
      <c r="L62" s="273" t="s">
        <v>778</v>
      </c>
      <c r="M62" s="273" t="s">
        <v>3744</v>
      </c>
      <c r="N62" s="273" t="s">
        <v>3745</v>
      </c>
      <c r="O62" s="273" t="s">
        <v>808</v>
      </c>
      <c r="P62" s="273" t="s">
        <v>3625</v>
      </c>
      <c r="Q62" s="273"/>
      <c r="R62" s="273" t="s">
        <v>3746</v>
      </c>
      <c r="S62" s="273" t="s">
        <v>3647</v>
      </c>
      <c r="T62" s="273" t="s">
        <v>1529</v>
      </c>
      <c r="U62" s="273" t="s">
        <v>3747</v>
      </c>
      <c r="V62" s="273" t="s">
        <v>3748</v>
      </c>
      <c r="W62" s="429"/>
      <c r="X62" s="196" t="s">
        <v>3170</v>
      </c>
      <c r="Y62" s="196"/>
      <c r="Z62" s="196" t="s">
        <v>1050</v>
      </c>
      <c r="AA62" s="196" t="s">
        <v>3749</v>
      </c>
      <c r="AB62" s="196" t="s">
        <v>3750</v>
      </c>
      <c r="AC62" s="368" t="s">
        <v>3751</v>
      </c>
      <c r="AD62" s="196" t="s">
        <v>3752</v>
      </c>
      <c r="AE62" s="196" t="s">
        <v>3753</v>
      </c>
      <c r="AF62" s="196" t="s">
        <v>2808</v>
      </c>
      <c r="AG62" s="196" t="s">
        <v>3754</v>
      </c>
      <c r="AH62" s="196" t="s">
        <v>2561</v>
      </c>
      <c r="AI62" s="430"/>
      <c r="AJ62" s="430"/>
      <c r="AK62" s="196" t="s">
        <v>3755</v>
      </c>
      <c r="AL62" s="431"/>
      <c r="AM62" s="198" t="s">
        <v>144</v>
      </c>
      <c r="AN62" s="198" t="s">
        <v>3030</v>
      </c>
      <c r="AO62" s="198" t="s">
        <v>3756</v>
      </c>
      <c r="AP62" s="198" t="s">
        <v>3757</v>
      </c>
      <c r="AQ62" s="198" t="s">
        <v>3758</v>
      </c>
      <c r="AR62" s="198" t="s">
        <v>3759</v>
      </c>
      <c r="AS62" s="198" t="s">
        <v>3327</v>
      </c>
      <c r="AT62" s="432"/>
      <c r="AU62" s="198" t="s">
        <v>3760</v>
      </c>
      <c r="AV62" s="198" t="s">
        <v>1452</v>
      </c>
      <c r="AW62" s="198" t="s">
        <v>3761</v>
      </c>
      <c r="AX62" s="432"/>
      <c r="AY62" s="198" t="s">
        <v>1137</v>
      </c>
      <c r="AZ62" s="198" t="s">
        <v>3762</v>
      </c>
      <c r="BA62" s="198"/>
      <c r="BB62" s="172" t="s">
        <v>3763</v>
      </c>
      <c r="BC62" s="172" t="s">
        <v>1564</v>
      </c>
      <c r="BD62" s="172" t="s">
        <v>1321</v>
      </c>
      <c r="BE62" s="172" t="s">
        <v>3764</v>
      </c>
      <c r="BF62" s="172" t="s">
        <v>3765</v>
      </c>
      <c r="BG62" s="172" t="s">
        <v>3766</v>
      </c>
      <c r="BH62" s="172" t="s">
        <v>3767</v>
      </c>
      <c r="BI62" s="172" t="s">
        <v>878</v>
      </c>
      <c r="BJ62" s="172" t="s">
        <v>3768</v>
      </c>
      <c r="BK62" s="172" t="s">
        <v>3769</v>
      </c>
      <c r="BL62" s="172" t="s">
        <v>3770</v>
      </c>
      <c r="BM62" s="433"/>
      <c r="BN62" s="172" t="s">
        <v>1307</v>
      </c>
      <c r="BO62" s="172" t="s">
        <v>3771</v>
      </c>
      <c r="BP62" s="172" t="s">
        <v>1599</v>
      </c>
      <c r="BQ62" s="172"/>
      <c r="BR62" s="279" t="s">
        <v>3772</v>
      </c>
      <c r="BS62" s="279" t="s">
        <v>2864</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386" t="s">
        <v>751</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1095</v>
      </c>
      <c r="CW62" s="435" t="s">
        <v>2577</v>
      </c>
      <c r="CX62" s="435" t="s">
        <v>535</v>
      </c>
      <c r="CY62" s="435" t="s">
        <v>3787</v>
      </c>
      <c r="CZ62" s="435" t="s">
        <v>3788</v>
      </c>
      <c r="DA62" s="435" t="s">
        <v>2886</v>
      </c>
      <c r="DB62" s="435" t="s">
        <v>3789</v>
      </c>
      <c r="DC62" s="435" t="s">
        <v>3364</v>
      </c>
      <c r="DD62" s="435" t="s">
        <v>3790</v>
      </c>
      <c r="DE62" s="435" t="s">
        <v>3262</v>
      </c>
      <c r="DF62" s="435" t="s">
        <v>3791</v>
      </c>
      <c r="DG62" s="435" t="s">
        <v>3792</v>
      </c>
      <c r="DH62" s="435"/>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2577</v>
      </c>
      <c r="DU62" s="206" t="s">
        <v>3798</v>
      </c>
      <c r="DV62" s="206" t="s">
        <v>3799</v>
      </c>
      <c r="DW62" s="206" t="s">
        <v>3800</v>
      </c>
      <c r="DX62" s="206" t="s">
        <v>1848</v>
      </c>
      <c r="DY62" s="206" t="s">
        <v>2715</v>
      </c>
      <c r="DZ62" s="206" t="s">
        <v>3801</v>
      </c>
      <c r="EA62" s="206" t="s">
        <v>1057</v>
      </c>
      <c r="EB62" s="206" t="s">
        <v>848</v>
      </c>
      <c r="EC62" s="206" t="s">
        <v>3802</v>
      </c>
      <c r="ED62" s="285" t="s">
        <v>3803</v>
      </c>
    </row>
    <row r="63">
      <c r="A63" s="81" t="s">
        <v>3804</v>
      </c>
      <c r="B63" s="82" t="s">
        <v>3805</v>
      </c>
      <c r="C63" s="83" t="s">
        <v>1260</v>
      </c>
      <c r="D63" s="84" t="s">
        <v>1260</v>
      </c>
      <c r="E63" s="85" t="s">
        <v>1260</v>
      </c>
      <c r="F63" s="86" t="s">
        <v>987</v>
      </c>
      <c r="G63" s="82" t="s">
        <v>2155</v>
      </c>
      <c r="H63" s="88" t="s">
        <v>3806</v>
      </c>
      <c r="I63" s="88" t="s">
        <v>3807</v>
      </c>
      <c r="J63" s="88" t="s">
        <v>2841</v>
      </c>
      <c r="K63" s="98" t="s">
        <v>446</v>
      </c>
      <c r="L63" s="88" t="s">
        <v>1641</v>
      </c>
      <c r="M63" s="94" t="s">
        <v>3808</v>
      </c>
      <c r="N63" s="94" t="s">
        <v>3809</v>
      </c>
      <c r="O63" s="94" t="s">
        <v>3700</v>
      </c>
      <c r="P63" s="94" t="s">
        <v>2548</v>
      </c>
      <c r="Q63" s="94" t="s">
        <v>3810</v>
      </c>
      <c r="R63" s="99"/>
      <c r="S63" s="99"/>
      <c r="T63" s="99"/>
      <c r="U63" s="99"/>
      <c r="V63" s="94" t="s">
        <v>3811</v>
      </c>
      <c r="W63" s="92"/>
      <c r="X63" s="88" t="s">
        <v>2534</v>
      </c>
      <c r="Y63" s="102"/>
      <c r="Z63" s="88" t="s">
        <v>3812</v>
      </c>
      <c r="AA63" s="88" t="s">
        <v>1828</v>
      </c>
      <c r="AB63" s="94" t="s">
        <v>3060</v>
      </c>
      <c r="AC63" s="94" t="s">
        <v>3061</v>
      </c>
      <c r="AD63" s="93" t="s">
        <v>3813</v>
      </c>
      <c r="AE63" s="99"/>
      <c r="AF63" s="94" t="s">
        <v>2550</v>
      </c>
      <c r="AG63" s="94" t="s">
        <v>2037</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1604</v>
      </c>
      <c r="BG63" s="99"/>
      <c r="BH63" s="99"/>
      <c r="BI63" s="94" t="s">
        <v>325</v>
      </c>
      <c r="BJ63" s="99"/>
      <c r="BK63" s="94" t="s">
        <v>3819</v>
      </c>
      <c r="BL63" s="94" t="s">
        <v>1325</v>
      </c>
      <c r="BM63" s="99"/>
      <c r="BN63" s="99"/>
      <c r="BO63" s="99"/>
      <c r="BP63" s="99"/>
      <c r="BQ63" s="236"/>
      <c r="BR63" s="94"/>
      <c r="BS63" s="94" t="s">
        <v>659</v>
      </c>
      <c r="BT63" s="94" t="s">
        <v>2667</v>
      </c>
      <c r="BU63" s="94" t="s">
        <v>2231</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1276</v>
      </c>
      <c r="CW63" s="99"/>
      <c r="CX63" s="88" t="s">
        <v>1935</v>
      </c>
      <c r="CY63" s="94" t="s">
        <v>2415</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2399</v>
      </c>
      <c r="EB63" s="94" t="s">
        <v>3832</v>
      </c>
      <c r="EC63" s="99"/>
      <c r="ED63" s="259"/>
    </row>
    <row r="64">
      <c r="A64" s="166" t="s">
        <v>3833</v>
      </c>
      <c r="B64" s="104" t="s">
        <v>3834</v>
      </c>
      <c r="C64" s="105" t="s">
        <v>1260</v>
      </c>
      <c r="D64" s="106" t="s">
        <v>1260</v>
      </c>
      <c r="E64" s="107" t="s">
        <v>1260</v>
      </c>
      <c r="F64" s="108" t="s">
        <v>335</v>
      </c>
      <c r="G64" s="104" t="s">
        <v>3835</v>
      </c>
      <c r="H64" s="243"/>
      <c r="I64" s="167" t="s">
        <v>3836</v>
      </c>
      <c r="J64" s="167" t="s">
        <v>2194</v>
      </c>
      <c r="K64" s="367" t="s">
        <v>2842</v>
      </c>
      <c r="L64" s="167" t="s">
        <v>605</v>
      </c>
      <c r="M64" s="345" t="s">
        <v>3837</v>
      </c>
      <c r="N64" s="167" t="s">
        <v>673</v>
      </c>
      <c r="O64" s="167" t="s">
        <v>3838</v>
      </c>
      <c r="P64" s="167" t="s">
        <v>1693</v>
      </c>
      <c r="Q64" s="243"/>
      <c r="R64" s="243"/>
      <c r="S64" s="243"/>
      <c r="T64" s="243"/>
      <c r="U64" s="243"/>
      <c r="V64" s="243"/>
      <c r="W64" s="92"/>
      <c r="X64" s="197" t="s">
        <v>2850</v>
      </c>
      <c r="Y64" s="197"/>
      <c r="Z64" s="197" t="s">
        <v>3839</v>
      </c>
      <c r="AA64" s="197" t="s">
        <v>1974</v>
      </c>
      <c r="AB64" s="197" t="s">
        <v>3840</v>
      </c>
      <c r="AC64" s="197" t="s">
        <v>2471</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2223</v>
      </c>
      <c r="BE64" s="174" t="s">
        <v>3845</v>
      </c>
      <c r="BF64" s="433" t="s">
        <v>3846</v>
      </c>
      <c r="BG64" s="173"/>
      <c r="BH64" s="173"/>
      <c r="BI64" s="174" t="s">
        <v>1984</v>
      </c>
      <c r="BJ64" s="417" t="s">
        <v>3847</v>
      </c>
      <c r="BK64" s="417"/>
      <c r="BL64" s="174" t="s">
        <v>2532</v>
      </c>
      <c r="BM64" s="173"/>
      <c r="BN64" s="173"/>
      <c r="BO64" s="173"/>
      <c r="BP64" s="173"/>
      <c r="BQ64" s="248"/>
      <c r="BR64" s="436"/>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943</v>
      </c>
      <c r="CB64" s="251"/>
      <c r="CC64" s="251"/>
      <c r="CD64" s="251"/>
      <c r="CE64" s="251"/>
      <c r="CF64" s="252"/>
      <c r="CG64" s="132" t="s">
        <v>1976</v>
      </c>
      <c r="CH64" s="177" t="s">
        <v>3851</v>
      </c>
      <c r="CI64" s="177" t="s">
        <v>1164</v>
      </c>
      <c r="CJ64" s="177" t="s">
        <v>3852</v>
      </c>
      <c r="CK64" s="177"/>
      <c r="CL64" s="177" t="s">
        <v>1843</v>
      </c>
      <c r="CM64" s="177" t="s">
        <v>2880</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1080</v>
      </c>
      <c r="DD64" s="255"/>
      <c r="DE64" s="255"/>
      <c r="DF64" s="255"/>
      <c r="DG64" s="255"/>
      <c r="DH64" s="256"/>
      <c r="DI64" s="204" t="s">
        <v>3859</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37" t="s">
        <v>3860</v>
      </c>
      <c r="B65" s="82" t="s">
        <v>3861</v>
      </c>
      <c r="C65" s="83" t="s">
        <v>1260</v>
      </c>
      <c r="D65" s="84" t="s">
        <v>1260</v>
      </c>
      <c r="E65" s="85" t="s">
        <v>1260</v>
      </c>
      <c r="F65" s="86" t="s">
        <v>1200</v>
      </c>
      <c r="G65" s="82" t="s">
        <v>2989</v>
      </c>
      <c r="H65" s="88" t="s">
        <v>3467</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997</v>
      </c>
      <c r="AN65" s="94" t="s">
        <v>3877</v>
      </c>
      <c r="AO65" s="94" t="s">
        <v>3878</v>
      </c>
      <c r="AP65" s="94" t="s">
        <v>990</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942</v>
      </c>
      <c r="BF65" s="94" t="s">
        <v>2977</v>
      </c>
      <c r="BG65" s="94" t="s">
        <v>3887</v>
      </c>
      <c r="BH65" s="94" t="s">
        <v>3888</v>
      </c>
      <c r="BI65" s="94" t="s">
        <v>2511</v>
      </c>
      <c r="BJ65" s="94" t="s">
        <v>3013</v>
      </c>
      <c r="BK65" s="94"/>
      <c r="BL65" s="94" t="s">
        <v>3889</v>
      </c>
      <c r="BM65" s="94" t="s">
        <v>1534</v>
      </c>
      <c r="BN65" s="94" t="s">
        <v>3682</v>
      </c>
      <c r="BO65" s="94" t="s">
        <v>2554</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1476</v>
      </c>
      <c r="CM65" s="94" t="s">
        <v>3902</v>
      </c>
      <c r="CN65" s="94" t="s">
        <v>2531</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2183</v>
      </c>
      <c r="DJ65" s="94"/>
      <c r="DK65" s="94" t="s">
        <v>1950</v>
      </c>
      <c r="DL65" s="94" t="s">
        <v>3917</v>
      </c>
      <c r="DM65" s="94" t="s">
        <v>3918</v>
      </c>
      <c r="DN65" s="94" t="s">
        <v>696</v>
      </c>
      <c r="DO65" s="94" t="s">
        <v>3919</v>
      </c>
      <c r="DP65" s="94" t="s">
        <v>3920</v>
      </c>
      <c r="DQ65" s="94" t="s">
        <v>3921</v>
      </c>
      <c r="DR65" s="94" t="s">
        <v>1964</v>
      </c>
      <c r="DS65" s="88" t="s">
        <v>3067</v>
      </c>
      <c r="DT65" s="94" t="s">
        <v>446</v>
      </c>
      <c r="DU65" s="94" t="s">
        <v>3345</v>
      </c>
      <c r="DV65" s="94" t="s">
        <v>3922</v>
      </c>
      <c r="DW65" s="94" t="s">
        <v>3923</v>
      </c>
      <c r="DX65" s="94" t="s">
        <v>378</v>
      </c>
      <c r="DY65" s="439" t="s">
        <v>3174</v>
      </c>
      <c r="DZ65" s="94" t="s">
        <v>3924</v>
      </c>
      <c r="EA65" s="94" t="s">
        <v>3925</v>
      </c>
      <c r="EB65" s="94" t="s">
        <v>161</v>
      </c>
      <c r="EC65" s="94" t="s">
        <v>3926</v>
      </c>
      <c r="ED65" s="259" t="s">
        <v>3927</v>
      </c>
    </row>
    <row r="66">
      <c r="A66" s="166" t="s">
        <v>3928</v>
      </c>
      <c r="B66" s="104" t="s">
        <v>3861</v>
      </c>
      <c r="C66" s="105" t="s">
        <v>1260</v>
      </c>
      <c r="D66" s="106" t="s">
        <v>1260</v>
      </c>
      <c r="E66" s="107" t="s">
        <v>1260</v>
      </c>
      <c r="F66" s="108" t="s">
        <v>1201</v>
      </c>
      <c r="G66" s="104" t="s">
        <v>3929</v>
      </c>
      <c r="H66" s="167" t="s">
        <v>3661</v>
      </c>
      <c r="I66" s="167" t="s">
        <v>3930</v>
      </c>
      <c r="J66" s="167" t="s">
        <v>3931</v>
      </c>
      <c r="K66" s="400" t="s">
        <v>1563</v>
      </c>
      <c r="L66" s="112" t="s">
        <v>3932</v>
      </c>
      <c r="M66" s="167" t="s">
        <v>3933</v>
      </c>
      <c r="N66" s="167" t="s">
        <v>673</v>
      </c>
      <c r="O66" s="167" t="s">
        <v>3934</v>
      </c>
      <c r="P66" s="112" t="s">
        <v>109</v>
      </c>
      <c r="Q66" s="243"/>
      <c r="R66" s="243"/>
      <c r="S66" s="112" t="s">
        <v>2907</v>
      </c>
      <c r="T66" s="243"/>
      <c r="U66" s="167" t="s">
        <v>3107</v>
      </c>
      <c r="V66" s="243"/>
      <c r="W66" s="92"/>
      <c r="X66" s="197" t="s">
        <v>1677</v>
      </c>
      <c r="Y66" s="197"/>
      <c r="Z66" s="197" t="s">
        <v>3935</v>
      </c>
      <c r="AA66" s="197" t="s">
        <v>3625</v>
      </c>
      <c r="AB66" s="197" t="s">
        <v>1173</v>
      </c>
      <c r="AC66" s="197" t="s">
        <v>1409</v>
      </c>
      <c r="AD66" s="197" t="s">
        <v>3936</v>
      </c>
      <c r="AE66" s="245"/>
      <c r="AF66" s="197" t="s">
        <v>2999</v>
      </c>
      <c r="AG66" s="197" t="s">
        <v>3937</v>
      </c>
      <c r="AH66" s="245"/>
      <c r="AI66" s="197"/>
      <c r="AJ66" s="197" t="s">
        <v>2864</v>
      </c>
      <c r="AK66" s="245"/>
      <c r="AL66" s="97"/>
      <c r="AM66" s="168" t="s">
        <v>3938</v>
      </c>
      <c r="AN66" s="168" t="s">
        <v>3939</v>
      </c>
      <c r="AO66" s="246"/>
      <c r="AP66" s="246"/>
      <c r="AQ66" s="246"/>
      <c r="AR66" s="246"/>
      <c r="AS66" s="246"/>
      <c r="AT66" s="246"/>
      <c r="AU66" s="278" t="s">
        <v>3408</v>
      </c>
      <c r="AV66" s="168" t="s">
        <v>878</v>
      </c>
      <c r="AW66" s="168" t="s">
        <v>3940</v>
      </c>
      <c r="AX66" s="246"/>
      <c r="AY66" s="168" t="s">
        <v>3058</v>
      </c>
      <c r="AZ66" s="246"/>
      <c r="BA66" s="246"/>
      <c r="BB66" s="174" t="s">
        <v>2688</v>
      </c>
      <c r="BC66" s="174" t="s">
        <v>889</v>
      </c>
      <c r="BD66" s="174" t="s">
        <v>3640</v>
      </c>
      <c r="BE66" s="126" t="s">
        <v>3941</v>
      </c>
      <c r="BF66" s="126" t="s">
        <v>2061</v>
      </c>
      <c r="BG66" s="174" t="s">
        <v>1529</v>
      </c>
      <c r="BH66" s="173"/>
      <c r="BI66" s="174" t="s">
        <v>2063</v>
      </c>
      <c r="BJ66" s="173"/>
      <c r="BK66" s="174" t="s">
        <v>3942</v>
      </c>
      <c r="BL66" s="174" t="s">
        <v>3158</v>
      </c>
      <c r="BM66" s="173"/>
      <c r="BN66" s="126" t="s">
        <v>1656</v>
      </c>
      <c r="BO66" s="174" t="s">
        <v>3585</v>
      </c>
      <c r="BP66" s="173"/>
      <c r="BQ66" s="248"/>
      <c r="BR66" s="175"/>
      <c r="BS66" s="175" t="s">
        <v>2406</v>
      </c>
      <c r="BT66" s="175" t="s">
        <v>3893</v>
      </c>
      <c r="BU66" s="175" t="s">
        <v>3943</v>
      </c>
      <c r="BV66" s="175" t="s">
        <v>462</v>
      </c>
      <c r="BW66" s="175" t="s">
        <v>3944</v>
      </c>
      <c r="BX66" s="251"/>
      <c r="BY66" s="251"/>
      <c r="BZ66" s="175" t="s">
        <v>3945</v>
      </c>
      <c r="CA66" s="175" t="s">
        <v>971</v>
      </c>
      <c r="CB66" s="175" t="s">
        <v>3946</v>
      </c>
      <c r="CC66" s="175" t="s">
        <v>3033</v>
      </c>
      <c r="CD66" s="175" t="s">
        <v>237</v>
      </c>
      <c r="CE66" s="251"/>
      <c r="CF66" s="252"/>
      <c r="CG66" s="177" t="s">
        <v>3947</v>
      </c>
      <c r="CH66" s="177" t="s">
        <v>3008</v>
      </c>
      <c r="CI66" s="177" t="s">
        <v>3948</v>
      </c>
      <c r="CJ66" s="177" t="s">
        <v>3949</v>
      </c>
      <c r="CK66" s="177"/>
      <c r="CL66" s="177"/>
      <c r="CM66" s="177" t="s">
        <v>1914</v>
      </c>
      <c r="CN66" s="177" t="s">
        <v>818</v>
      </c>
      <c r="CO66" s="177" t="s">
        <v>2923</v>
      </c>
      <c r="CP66" s="254"/>
      <c r="CQ66" s="254"/>
      <c r="CR66" s="177"/>
      <c r="CS66" s="177" t="s">
        <v>2315</v>
      </c>
      <c r="CT66" s="254"/>
      <c r="CU66" s="92"/>
      <c r="CV66" s="203" t="s">
        <v>3950</v>
      </c>
      <c r="CW66" s="203" t="s">
        <v>2577</v>
      </c>
      <c r="CX66" s="203" t="s">
        <v>3951</v>
      </c>
      <c r="CY66" s="203" t="s">
        <v>3952</v>
      </c>
      <c r="CZ66" s="203" t="s">
        <v>3953</v>
      </c>
      <c r="DA66" s="203" t="s">
        <v>3954</v>
      </c>
      <c r="DB66" s="140" t="s">
        <v>3428</v>
      </c>
      <c r="DC66" s="203" t="s">
        <v>1703</v>
      </c>
      <c r="DD66" s="255"/>
      <c r="DE66" s="255"/>
      <c r="DF66" s="255"/>
      <c r="DG66" s="255"/>
      <c r="DH66" s="256"/>
      <c r="DI66" s="204" t="s">
        <v>262</v>
      </c>
      <c r="DJ66" s="257"/>
      <c r="DK66" s="257"/>
      <c r="DL66" s="204"/>
      <c r="DM66" s="257"/>
      <c r="DN66" s="204" t="s">
        <v>3832</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3960</v>
      </c>
      <c r="C67" s="442" t="s">
        <v>1260</v>
      </c>
      <c r="D67" s="443" t="s">
        <v>1260</v>
      </c>
      <c r="E67" s="444" t="s">
        <v>1260</v>
      </c>
      <c r="F67" s="445" t="s">
        <v>3961</v>
      </c>
      <c r="G67" s="441" t="s">
        <v>443</v>
      </c>
      <c r="H67" s="353" t="s">
        <v>1803</v>
      </c>
      <c r="I67" s="353" t="s">
        <v>3962</v>
      </c>
      <c r="J67" s="352" t="s">
        <v>1509</v>
      </c>
      <c r="K67" s="353" t="s">
        <v>3963</v>
      </c>
      <c r="L67" s="353" t="s">
        <v>2521</v>
      </c>
      <c r="M67" s="353" t="s">
        <v>3964</v>
      </c>
      <c r="N67" s="352" t="s">
        <v>3201</v>
      </c>
      <c r="O67" s="351" t="s">
        <v>3965</v>
      </c>
      <c r="P67" s="353" t="s">
        <v>2892</v>
      </c>
      <c r="Q67" s="353" t="s">
        <v>3966</v>
      </c>
      <c r="R67" s="353" t="s">
        <v>3967</v>
      </c>
      <c r="S67" s="353" t="s">
        <v>3968</v>
      </c>
      <c r="T67" s="353" t="s">
        <v>2646</v>
      </c>
      <c r="U67" s="353" t="s">
        <v>3969</v>
      </c>
      <c r="V67" s="353" t="s">
        <v>3970</v>
      </c>
      <c r="W67" s="154"/>
      <c r="X67" s="352" t="s">
        <v>3971</v>
      </c>
      <c r="Y67" s="446"/>
      <c r="Z67" s="352" t="s">
        <v>3972</v>
      </c>
      <c r="AA67" s="353" t="s">
        <v>1319</v>
      </c>
      <c r="AB67" s="352" t="s">
        <v>2387</v>
      </c>
      <c r="AC67" s="352" t="s">
        <v>1907</v>
      </c>
      <c r="AD67" s="352" t="s">
        <v>3973</v>
      </c>
      <c r="AE67" s="353" t="s">
        <v>2360</v>
      </c>
      <c r="AF67" s="353" t="s">
        <v>1475</v>
      </c>
      <c r="AG67" s="352" t="s">
        <v>3754</v>
      </c>
      <c r="AH67" s="353" t="s">
        <v>2616</v>
      </c>
      <c r="AI67" s="352" t="s">
        <v>3974</v>
      </c>
      <c r="AJ67" s="353" t="s">
        <v>2472</v>
      </c>
      <c r="AK67" s="353" t="s">
        <v>3975</v>
      </c>
      <c r="AL67" s="159"/>
      <c r="AM67" s="352" t="s">
        <v>398</v>
      </c>
      <c r="AN67" s="351" t="s">
        <v>1491</v>
      </c>
      <c r="AO67" s="356" t="s">
        <v>3976</v>
      </c>
      <c r="AP67" s="353" t="s">
        <v>3977</v>
      </c>
      <c r="AQ67" s="353" t="s">
        <v>3978</v>
      </c>
      <c r="AR67" s="353" t="s">
        <v>2615</v>
      </c>
      <c r="AS67" s="353" t="s">
        <v>3979</v>
      </c>
      <c r="AT67" s="353" t="s">
        <v>3980</v>
      </c>
      <c r="AU67" s="356" t="s">
        <v>2627</v>
      </c>
      <c r="AV67" s="352" t="s">
        <v>368</v>
      </c>
      <c r="AW67" s="353" t="s">
        <v>3459</v>
      </c>
      <c r="AX67" s="353" t="s">
        <v>1802</v>
      </c>
      <c r="AY67" s="353" t="s">
        <v>3981</v>
      </c>
      <c r="AZ67" s="353" t="s">
        <v>3982</v>
      </c>
      <c r="BA67" s="353"/>
      <c r="BB67" s="353" t="s">
        <v>3983</v>
      </c>
      <c r="BC67" s="352" t="s">
        <v>2681</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2506</v>
      </c>
      <c r="CB67" s="353" t="s">
        <v>3997</v>
      </c>
      <c r="CC67" s="353" t="s">
        <v>348</v>
      </c>
      <c r="CD67" s="353" t="s">
        <v>3998</v>
      </c>
      <c r="CE67" s="352" t="s">
        <v>3999</v>
      </c>
      <c r="CF67" s="407"/>
      <c r="CG67" s="353" t="s">
        <v>2254</v>
      </c>
      <c r="CH67" s="353" t="s">
        <v>3150</v>
      </c>
      <c r="CI67" s="353" t="s">
        <v>4000</v>
      </c>
      <c r="CJ67" s="352" t="s">
        <v>4001</v>
      </c>
      <c r="CK67" s="446"/>
      <c r="CL67" s="446" t="s">
        <v>4002</v>
      </c>
      <c r="CM67" s="353" t="s">
        <v>4003</v>
      </c>
      <c r="CN67" s="352" t="s">
        <v>3231</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2519</v>
      </c>
      <c r="DG67" s="353" t="s">
        <v>3482</v>
      </c>
      <c r="DH67" s="353"/>
      <c r="DI67" s="353" t="s">
        <v>1840</v>
      </c>
      <c r="DJ67" s="353"/>
      <c r="DK67" s="353" t="s">
        <v>4014</v>
      </c>
      <c r="DL67" s="353" t="s">
        <v>4015</v>
      </c>
      <c r="DM67" s="353" t="s">
        <v>2633</v>
      </c>
      <c r="DN67" s="353" t="s">
        <v>696</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1260</v>
      </c>
      <c r="D68" s="106" t="s">
        <v>1260</v>
      </c>
      <c r="E68" s="107" t="s">
        <v>1260</v>
      </c>
      <c r="F68" s="108" t="s">
        <v>3092</v>
      </c>
      <c r="G68" s="104" t="s">
        <v>4025</v>
      </c>
      <c r="H68" s="243"/>
      <c r="I68" s="400" t="s">
        <v>4026</v>
      </c>
      <c r="J68" s="112" t="s">
        <v>4027</v>
      </c>
      <c r="K68" s="112" t="s">
        <v>2680</v>
      </c>
      <c r="L68" s="400" t="s">
        <v>2731</v>
      </c>
      <c r="M68" s="243"/>
      <c r="N68" s="112" t="s">
        <v>1643</v>
      </c>
      <c r="O68" s="112" t="s">
        <v>1733</v>
      </c>
      <c r="P68" s="112" t="s">
        <v>558</v>
      </c>
      <c r="Q68" s="243"/>
      <c r="R68" s="243"/>
      <c r="S68" s="243"/>
      <c r="T68" s="243"/>
      <c r="U68" s="243"/>
      <c r="V68" s="243"/>
      <c r="W68" s="92"/>
      <c r="X68" s="116" t="s">
        <v>694</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1005</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1308</v>
      </c>
      <c r="BX68" s="251"/>
      <c r="BY68" s="251"/>
      <c r="BZ68" s="251"/>
      <c r="CA68" s="129" t="s">
        <v>1712</v>
      </c>
      <c r="CB68" s="251"/>
      <c r="CC68" s="251"/>
      <c r="CD68" s="251"/>
      <c r="CE68" s="251"/>
      <c r="CF68" s="252"/>
      <c r="CG68" s="386" t="s">
        <v>3971</v>
      </c>
      <c r="CH68" s="386"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1283</v>
      </c>
      <c r="DC68" s="140" t="s">
        <v>131</v>
      </c>
      <c r="DD68" s="255"/>
      <c r="DE68" s="255"/>
      <c r="DF68" s="255"/>
      <c r="DG68" s="140" t="s">
        <v>4039</v>
      </c>
      <c r="DH68" s="140"/>
      <c r="DI68" s="257"/>
      <c r="DJ68" s="257"/>
      <c r="DK68" s="257"/>
      <c r="DL68" s="205"/>
      <c r="DM68" s="257"/>
      <c r="DN68" s="145" t="s">
        <v>2148</v>
      </c>
      <c r="DO68" s="257"/>
      <c r="DP68" s="257"/>
      <c r="DQ68" s="257"/>
      <c r="DR68" s="145" t="s">
        <v>1885</v>
      </c>
      <c r="DS68" s="414"/>
      <c r="DT68" s="257"/>
      <c r="DU68" s="145" t="s">
        <v>146</v>
      </c>
      <c r="DV68" s="257"/>
      <c r="DW68" s="145" t="s">
        <v>891</v>
      </c>
      <c r="DX68" s="257"/>
      <c r="DY68" s="257"/>
      <c r="DZ68" s="257"/>
      <c r="EA68" s="257"/>
      <c r="EB68" s="257"/>
      <c r="EC68" s="257"/>
      <c r="ED68" s="286"/>
    </row>
    <row r="69">
      <c r="A69" s="81" t="s">
        <v>4040</v>
      </c>
      <c r="B69" s="82" t="s">
        <v>4041</v>
      </c>
      <c r="C69" s="83" t="s">
        <v>1260</v>
      </c>
      <c r="D69" s="84" t="s">
        <v>548</v>
      </c>
      <c r="E69" s="85" t="s">
        <v>1260</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1009</v>
      </c>
      <c r="AA69" s="94" t="s">
        <v>4052</v>
      </c>
      <c r="AB69" s="88" t="s">
        <v>3750</v>
      </c>
      <c r="AC69" s="88" t="s">
        <v>4053</v>
      </c>
      <c r="AD69" s="94" t="s">
        <v>4054</v>
      </c>
      <c r="AE69" s="94"/>
      <c r="AF69" s="94" t="s">
        <v>4055</v>
      </c>
      <c r="AG69" s="94" t="s">
        <v>2283</v>
      </c>
      <c r="AH69" s="94" t="s">
        <v>4056</v>
      </c>
      <c r="AI69" s="94"/>
      <c r="AJ69" s="94" t="s">
        <v>4057</v>
      </c>
      <c r="AK69" s="88" t="s">
        <v>701</v>
      </c>
      <c r="AL69" s="97"/>
      <c r="AM69" s="94" t="s">
        <v>3533</v>
      </c>
      <c r="AN69" s="88" t="s">
        <v>3939</v>
      </c>
      <c r="AO69" s="94" t="s">
        <v>4058</v>
      </c>
      <c r="AP69" s="94" t="s">
        <v>4059</v>
      </c>
      <c r="AQ69" s="94" t="s">
        <v>4060</v>
      </c>
      <c r="AR69" s="94" t="s">
        <v>2661</v>
      </c>
      <c r="AS69" s="99"/>
      <c r="AT69" s="99"/>
      <c r="AU69" s="94" t="s">
        <v>1877</v>
      </c>
      <c r="AV69" s="94" t="s">
        <v>1055</v>
      </c>
      <c r="AW69" s="94" t="s">
        <v>1751</v>
      </c>
      <c r="AX69" s="99"/>
      <c r="AY69" s="88" t="s">
        <v>4061</v>
      </c>
      <c r="AZ69" s="94" t="s">
        <v>4062</v>
      </c>
      <c r="BA69" s="94"/>
      <c r="BB69" s="88" t="s">
        <v>2094</v>
      </c>
      <c r="BC69" s="94" t="s">
        <v>1480</v>
      </c>
      <c r="BD69" s="88" t="s">
        <v>1396</v>
      </c>
      <c r="BE69" s="88" t="s">
        <v>3435</v>
      </c>
      <c r="BF69" s="162" t="s">
        <v>4063</v>
      </c>
      <c r="BG69" s="94" t="s">
        <v>2277</v>
      </c>
      <c r="BH69" s="94" t="s">
        <v>1914</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3944</v>
      </c>
      <c r="BX69" s="99"/>
      <c r="BY69" s="94" t="s">
        <v>4072</v>
      </c>
      <c r="BZ69" s="94" t="s">
        <v>4073</v>
      </c>
      <c r="CA69" s="94" t="s">
        <v>1807</v>
      </c>
      <c r="CB69" s="88" t="s">
        <v>4074</v>
      </c>
      <c r="CC69" s="88" t="s">
        <v>4075</v>
      </c>
      <c r="CD69" s="162" t="s">
        <v>849</v>
      </c>
      <c r="CE69" s="162" t="s">
        <v>4076</v>
      </c>
      <c r="CF69" s="94"/>
      <c r="CG69" s="88" t="s">
        <v>3956</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2553</v>
      </c>
      <c r="CY69" s="88" t="s">
        <v>4087</v>
      </c>
      <c r="CZ69" s="94" t="s">
        <v>4088</v>
      </c>
      <c r="DA69" s="265" t="s">
        <v>4089</v>
      </c>
      <c r="DB69" s="162" t="s">
        <v>4090</v>
      </c>
      <c r="DC69" s="94" t="s">
        <v>4091</v>
      </c>
      <c r="DD69" s="94" t="s">
        <v>4092</v>
      </c>
      <c r="DE69" s="88" t="s">
        <v>4093</v>
      </c>
      <c r="DF69" s="94" t="s">
        <v>197</v>
      </c>
      <c r="DG69" s="88" t="s">
        <v>4094</v>
      </c>
      <c r="DH69" s="94"/>
      <c r="DI69" s="94" t="s">
        <v>4095</v>
      </c>
      <c r="DJ69" s="94" t="s">
        <v>959</v>
      </c>
      <c r="DK69" s="99"/>
      <c r="DL69" s="94"/>
      <c r="DM69" s="90" t="s">
        <v>180</v>
      </c>
      <c r="DN69" s="94" t="s">
        <v>4096</v>
      </c>
      <c r="DO69" s="94" t="s">
        <v>599</v>
      </c>
      <c r="DP69" s="94" t="s">
        <v>3367</v>
      </c>
      <c r="DQ69" s="99"/>
      <c r="DR69" s="94" t="s">
        <v>4097</v>
      </c>
      <c r="DS69" s="94" t="s">
        <v>3167</v>
      </c>
      <c r="DT69" s="99"/>
      <c r="DU69" s="94" t="s">
        <v>4098</v>
      </c>
      <c r="DV69" s="94" t="s">
        <v>4099</v>
      </c>
      <c r="DW69" s="94" t="s">
        <v>891</v>
      </c>
      <c r="DX69" s="94" t="s">
        <v>2576</v>
      </c>
      <c r="DY69" s="94" t="s">
        <v>1055</v>
      </c>
      <c r="DZ69" s="94" t="s">
        <v>2599</v>
      </c>
      <c r="EA69" s="94" t="s">
        <v>1498</v>
      </c>
      <c r="EB69" s="94" t="s">
        <v>4100</v>
      </c>
      <c r="EC69" s="88" t="s">
        <v>3244</v>
      </c>
      <c r="ED69" s="259" t="s">
        <v>4101</v>
      </c>
    </row>
    <row r="70">
      <c r="A70" s="103" t="s">
        <v>4102</v>
      </c>
      <c r="B70" s="447" t="s">
        <v>4103</v>
      </c>
      <c r="C70" s="448" t="s">
        <v>1260</v>
      </c>
      <c r="D70" s="449" t="s">
        <v>548</v>
      </c>
      <c r="E70" s="450" t="s">
        <v>548</v>
      </c>
      <c r="F70" s="451" t="s">
        <v>4104</v>
      </c>
      <c r="G70" s="447" t="s">
        <v>1503</v>
      </c>
      <c r="H70" s="452" t="s">
        <v>4105</v>
      </c>
      <c r="I70" s="452" t="s">
        <v>3055</v>
      </c>
      <c r="J70" s="452" t="s">
        <v>4106</v>
      </c>
      <c r="K70" s="452" t="s">
        <v>1730</v>
      </c>
      <c r="L70" s="452" t="s">
        <v>1024</v>
      </c>
      <c r="M70" s="452" t="s">
        <v>4107</v>
      </c>
      <c r="N70" s="453" t="s">
        <v>4108</v>
      </c>
      <c r="O70" s="453" t="s">
        <v>4109</v>
      </c>
      <c r="P70" s="452" t="s">
        <v>654</v>
      </c>
      <c r="Q70" s="453"/>
      <c r="R70" s="453"/>
      <c r="S70" s="453"/>
      <c r="T70" s="453"/>
      <c r="U70" s="453"/>
      <c r="V70" s="453"/>
      <c r="W70" s="454"/>
      <c r="X70" s="455" t="s">
        <v>1430</v>
      </c>
      <c r="Y70" s="456"/>
      <c r="Z70" s="455" t="s">
        <v>4110</v>
      </c>
      <c r="AA70" s="118" t="s">
        <v>1000</v>
      </c>
      <c r="AB70" s="455" t="s">
        <v>4111</v>
      </c>
      <c r="AC70" s="455" t="s">
        <v>757</v>
      </c>
      <c r="AD70" s="457" t="s">
        <v>4054</v>
      </c>
      <c r="AE70" s="455" t="s">
        <v>1076</v>
      </c>
      <c r="AF70" s="457" t="s">
        <v>4112</v>
      </c>
      <c r="AG70" s="455" t="s">
        <v>1435</v>
      </c>
      <c r="AH70" s="457"/>
      <c r="AI70" s="457"/>
      <c r="AJ70" s="457"/>
      <c r="AK70" s="457"/>
      <c r="AL70" s="454"/>
      <c r="AM70" s="458" t="s">
        <v>4113</v>
      </c>
      <c r="AN70" s="459" t="s">
        <v>1877</v>
      </c>
      <c r="AO70" s="460"/>
      <c r="AP70" s="460"/>
      <c r="AQ70" s="460"/>
      <c r="AR70" s="460"/>
      <c r="AS70" s="460" t="s">
        <v>4114</v>
      </c>
      <c r="AT70" s="460"/>
      <c r="AU70" s="459" t="s">
        <v>3199</v>
      </c>
      <c r="AV70" s="459" t="s">
        <v>4115</v>
      </c>
      <c r="AW70" s="460"/>
      <c r="AX70" s="460"/>
      <c r="AY70" s="460"/>
      <c r="AZ70" s="460"/>
      <c r="BA70" s="460"/>
      <c r="BB70" s="461" t="s">
        <v>4116</v>
      </c>
      <c r="BC70" s="461" t="s">
        <v>1295</v>
      </c>
      <c r="BD70" s="462" t="s">
        <v>2326</v>
      </c>
      <c r="BE70" s="462" t="s">
        <v>586</v>
      </c>
      <c r="BF70" s="461" t="s">
        <v>2561</v>
      </c>
      <c r="BG70" s="462"/>
      <c r="BH70" s="462"/>
      <c r="BI70" s="462" t="s">
        <v>2337</v>
      </c>
      <c r="BJ70" s="462"/>
      <c r="BK70" s="462" t="s">
        <v>4117</v>
      </c>
      <c r="BL70" s="462" t="s">
        <v>1432</v>
      </c>
      <c r="BM70" s="462"/>
      <c r="BN70" s="462"/>
      <c r="BO70" s="462"/>
      <c r="BP70" s="462"/>
      <c r="BQ70" s="462"/>
      <c r="BR70" s="463"/>
      <c r="BS70" s="463" t="s">
        <v>4118</v>
      </c>
      <c r="BT70" s="464" t="s">
        <v>2661</v>
      </c>
      <c r="BU70" s="463"/>
      <c r="BV70" s="463"/>
      <c r="BW70" s="463" t="s">
        <v>2019</v>
      </c>
      <c r="BX70" s="463"/>
      <c r="BY70" s="463"/>
      <c r="BZ70" s="463"/>
      <c r="CA70" s="463"/>
      <c r="CB70" s="463"/>
      <c r="CC70" s="463"/>
      <c r="CD70" s="463"/>
      <c r="CE70" s="463"/>
      <c r="CF70" s="251"/>
      <c r="CG70" s="465" t="s">
        <v>4119</v>
      </c>
      <c r="CH70" s="132" t="s">
        <v>1523</v>
      </c>
      <c r="CI70" s="466"/>
      <c r="CJ70" s="466"/>
      <c r="CK70" s="466"/>
      <c r="CL70" s="466"/>
      <c r="CM70" s="254"/>
      <c r="CN70" s="465" t="s">
        <v>1078</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4121</v>
      </c>
      <c r="B71" s="82" t="s">
        <v>4122</v>
      </c>
      <c r="C71" s="83" t="s">
        <v>1260</v>
      </c>
      <c r="D71" s="84" t="s">
        <v>1260</v>
      </c>
      <c r="E71" s="85" t="s">
        <v>1260</v>
      </c>
      <c r="F71" s="86" t="s">
        <v>3395</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3181</v>
      </c>
      <c r="AV71" s="88" t="s">
        <v>411</v>
      </c>
      <c r="AW71" s="99"/>
      <c r="AX71" s="99"/>
      <c r="AY71" s="99"/>
      <c r="AZ71" s="99"/>
      <c r="BA71" s="99"/>
      <c r="BB71" s="88" t="s">
        <v>2936</v>
      </c>
      <c r="BC71" s="88" t="s">
        <v>312</v>
      </c>
      <c r="BD71" s="88" t="s">
        <v>1015</v>
      </c>
      <c r="BE71" s="88" t="s">
        <v>2768</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1472</v>
      </c>
      <c r="BW71" s="88" t="s">
        <v>1126</v>
      </c>
      <c r="BX71" s="88" t="s">
        <v>164</v>
      </c>
      <c r="BY71" s="88" t="s">
        <v>4142</v>
      </c>
      <c r="BZ71" s="99"/>
      <c r="CA71" s="88" t="s">
        <v>2639</v>
      </c>
      <c r="CB71" s="99"/>
      <c r="CC71" s="99"/>
      <c r="CD71" s="88" t="s">
        <v>2547</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1940</v>
      </c>
      <c r="CW71" s="88" t="s">
        <v>553</v>
      </c>
      <c r="CX71" s="88" t="s">
        <v>4147</v>
      </c>
      <c r="CY71" s="88" t="s">
        <v>4148</v>
      </c>
      <c r="CZ71" s="88" t="s">
        <v>4149</v>
      </c>
      <c r="DA71" s="88" t="s">
        <v>1907</v>
      </c>
      <c r="DB71" s="88" t="s">
        <v>4150</v>
      </c>
      <c r="DC71" s="88" t="s">
        <v>4151</v>
      </c>
      <c r="DD71" s="99"/>
      <c r="DE71" s="99"/>
      <c r="DF71" s="88" t="s">
        <v>2383</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1956</v>
      </c>
      <c r="DV71" s="94" t="s">
        <v>4155</v>
      </c>
      <c r="DW71" s="88" t="s">
        <v>1713</v>
      </c>
      <c r="DX71" s="94" t="s">
        <v>3638</v>
      </c>
      <c r="DY71" s="94" t="s">
        <v>1553</v>
      </c>
      <c r="DZ71" s="88" t="s">
        <v>4156</v>
      </c>
      <c r="EA71" s="88" t="s">
        <v>2218</v>
      </c>
      <c r="EB71" s="94" t="s">
        <v>4157</v>
      </c>
      <c r="EC71" s="94" t="s">
        <v>1605</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722</v>
      </c>
      <c r="AA72" s="197" t="s">
        <v>1781</v>
      </c>
      <c r="AB72" s="197" t="s">
        <v>4170</v>
      </c>
      <c r="AC72" s="197" t="s">
        <v>4171</v>
      </c>
      <c r="AD72" s="197" t="s">
        <v>1744</v>
      </c>
      <c r="AE72" s="197"/>
      <c r="AF72" s="197" t="s">
        <v>794</v>
      </c>
      <c r="AG72" s="197" t="s">
        <v>4172</v>
      </c>
      <c r="AH72" s="197" t="s">
        <v>2352</v>
      </c>
      <c r="AI72" s="197"/>
      <c r="AJ72" s="197" t="s">
        <v>4173</v>
      </c>
      <c r="AK72" s="197" t="s">
        <v>2613</v>
      </c>
      <c r="AL72" s="97"/>
      <c r="AM72" s="168" t="s">
        <v>3840</v>
      </c>
      <c r="AN72" s="168" t="s">
        <v>3484</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4118</v>
      </c>
      <c r="BC72" s="174" t="s">
        <v>2890</v>
      </c>
      <c r="BD72" s="174" t="s">
        <v>2666</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3716</v>
      </c>
      <c r="CP72" s="177" t="s">
        <v>4198</v>
      </c>
      <c r="CQ72" s="177" t="s">
        <v>4199</v>
      </c>
      <c r="CR72" s="254"/>
      <c r="CS72" s="254"/>
      <c r="CT72" s="254"/>
      <c r="CU72" s="92"/>
      <c r="CV72" s="203" t="s">
        <v>4200</v>
      </c>
      <c r="CW72" s="203" t="s">
        <v>4201</v>
      </c>
      <c r="CX72" s="203" t="s">
        <v>4202</v>
      </c>
      <c r="CY72" s="203" t="s">
        <v>2468</v>
      </c>
      <c r="CZ72" s="203" t="s">
        <v>4203</v>
      </c>
      <c r="DA72" s="203" t="s">
        <v>4204</v>
      </c>
      <c r="DB72" s="203" t="s">
        <v>4205</v>
      </c>
      <c r="DC72" s="203" t="s">
        <v>4206</v>
      </c>
      <c r="DD72" s="203"/>
      <c r="DE72" s="255"/>
      <c r="DF72" s="255"/>
      <c r="DG72" s="255"/>
      <c r="DH72" s="256"/>
      <c r="DI72" s="204" t="s">
        <v>2070</v>
      </c>
      <c r="DJ72" s="257"/>
      <c r="DK72" s="204" t="s">
        <v>4207</v>
      </c>
      <c r="DL72" s="204"/>
      <c r="DM72" s="204" t="s">
        <v>4208</v>
      </c>
      <c r="DN72" s="204" t="s">
        <v>4209</v>
      </c>
      <c r="DO72" s="204" t="s">
        <v>1598</v>
      </c>
      <c r="DP72" s="204" t="s">
        <v>1013</v>
      </c>
      <c r="DQ72" s="204" t="s">
        <v>4210</v>
      </c>
      <c r="DR72" s="204" t="s">
        <v>2255</v>
      </c>
      <c r="DS72" s="204" t="s">
        <v>3261</v>
      </c>
      <c r="DT72" s="204" t="s">
        <v>4086</v>
      </c>
      <c r="DU72" s="204" t="s">
        <v>4211</v>
      </c>
      <c r="DV72" s="204" t="s">
        <v>4212</v>
      </c>
      <c r="DW72" s="204" t="s">
        <v>971</v>
      </c>
      <c r="DX72" s="204" t="s">
        <v>4213</v>
      </c>
      <c r="DY72" s="204" t="s">
        <v>1315</v>
      </c>
      <c r="DZ72" s="204" t="s">
        <v>4109</v>
      </c>
      <c r="EA72" s="204" t="s">
        <v>4214</v>
      </c>
      <c r="EB72" s="204" t="s">
        <v>3672</v>
      </c>
      <c r="EC72" s="204" t="s">
        <v>4215</v>
      </c>
      <c r="ED72" s="286" t="s">
        <v>4216</v>
      </c>
    </row>
    <row r="73">
      <c r="A73" s="81" t="s">
        <v>4217</v>
      </c>
      <c r="B73" s="82" t="s">
        <v>4218</v>
      </c>
      <c r="C73" s="83" t="s">
        <v>1260</v>
      </c>
      <c r="D73" s="84" t="s">
        <v>1260</v>
      </c>
      <c r="E73" s="85" t="s">
        <v>1260</v>
      </c>
      <c r="F73" s="86" t="s">
        <v>4219</v>
      </c>
      <c r="G73" s="82" t="s">
        <v>2375</v>
      </c>
      <c r="H73" s="98" t="str">
        <f>HYPERLINK("https://clips.twitch.tv/LachrymoseCourteousDelicataSeemsGood","51.28")</f>
        <v>51.28</v>
      </c>
      <c r="I73" s="93" t="s">
        <v>4220</v>
      </c>
      <c r="J73" s="93" t="s">
        <v>725</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3590</v>
      </c>
      <c r="BG73" s="99"/>
      <c r="BH73" s="99"/>
      <c r="BI73" s="94"/>
      <c r="BJ73" s="99"/>
      <c r="BK73" s="94" t="s">
        <v>1188</v>
      </c>
      <c r="BL73" s="94" t="s">
        <v>3889</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2493</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4042</v>
      </c>
      <c r="G74" s="104" t="s">
        <v>2643</v>
      </c>
      <c r="H74" s="112" t="s">
        <v>4105</v>
      </c>
      <c r="I74" s="243"/>
      <c r="J74" s="243"/>
      <c r="K74" s="243"/>
      <c r="L74" s="167" t="s">
        <v>346</v>
      </c>
      <c r="M74" s="243"/>
      <c r="N74" s="243"/>
      <c r="O74" s="167" t="s">
        <v>4242</v>
      </c>
      <c r="P74" s="167" t="s">
        <v>2548</v>
      </c>
      <c r="Q74" s="110" t="s">
        <v>235</v>
      </c>
      <c r="R74" s="243"/>
      <c r="S74" s="243"/>
      <c r="T74" s="167" t="s">
        <v>2275</v>
      </c>
      <c r="U74" s="167" t="s">
        <v>3570</v>
      </c>
      <c r="V74" s="240" t="s">
        <v>4243</v>
      </c>
      <c r="W74" s="92"/>
      <c r="X74" s="245"/>
      <c r="Y74" s="197"/>
      <c r="Z74" s="197" t="s">
        <v>3136</v>
      </c>
      <c r="AA74" s="114" t="str">
        <f>HYPERLINK("https://youtu.be/esd_xoh2Wlk","14.77")</f>
        <v>14.77</v>
      </c>
      <c r="AB74" s="245"/>
      <c r="AC74" s="116" t="s">
        <v>3454</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2367</v>
      </c>
      <c r="AS74" s="246"/>
      <c r="AT74" s="168" t="s">
        <v>3752</v>
      </c>
      <c r="AU74" s="168" t="s">
        <v>4248</v>
      </c>
      <c r="AV74" s="121" t="s">
        <v>139</v>
      </c>
      <c r="AW74" s="121" t="s">
        <v>1783</v>
      </c>
      <c r="AX74" s="246"/>
      <c r="AY74" s="246"/>
      <c r="AZ74" s="171" t="s">
        <v>4249</v>
      </c>
      <c r="BA74" s="246"/>
      <c r="BB74" s="173"/>
      <c r="BC74" s="173"/>
      <c r="BD74" s="174"/>
      <c r="BE74" s="126" t="s">
        <v>3734</v>
      </c>
      <c r="BF74" s="173"/>
      <c r="BG74" s="126" t="s">
        <v>2005</v>
      </c>
      <c r="BH74" s="173"/>
      <c r="BI74" s="126" t="s">
        <v>2536</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1602</v>
      </c>
      <c r="CD74" s="175" t="s">
        <v>373</v>
      </c>
      <c r="CE74" s="250" t="s">
        <v>4254</v>
      </c>
      <c r="CF74" s="294"/>
      <c r="CG74" s="177" t="s">
        <v>3103</v>
      </c>
      <c r="CH74" s="135" t="s">
        <v>3324</v>
      </c>
      <c r="CI74" s="281" t="s">
        <v>3423</v>
      </c>
      <c r="CJ74" s="177" t="s">
        <v>186</v>
      </c>
      <c r="CK74" s="177"/>
      <c r="CL74" s="177" t="s">
        <v>3327</v>
      </c>
      <c r="CM74" s="177" t="s">
        <v>1157</v>
      </c>
      <c r="CN74" s="177" t="s">
        <v>2571</v>
      </c>
      <c r="CO74" s="254"/>
      <c r="CP74" s="254"/>
      <c r="CQ74" s="386"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1029</v>
      </c>
      <c r="DP74" s="204" t="s">
        <v>4257</v>
      </c>
      <c r="DQ74" s="257"/>
      <c r="DR74" s="257"/>
      <c r="DS74" s="145" t="s">
        <v>2245</v>
      </c>
      <c r="DT74" s="257"/>
      <c r="DU74" s="257"/>
      <c r="DV74" s="204" t="s">
        <v>2862</v>
      </c>
      <c r="DW74" s="257"/>
      <c r="DX74" s="257"/>
      <c r="DY74" s="204" t="s">
        <v>4258</v>
      </c>
      <c r="DZ74" s="142" t="s">
        <v>3046</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4043</v>
      </c>
      <c r="H75" s="94" t="s">
        <v>1289</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2973</v>
      </c>
      <c r="AB75" s="94" t="s">
        <v>4274</v>
      </c>
      <c r="AC75" s="94" t="s">
        <v>3464</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757</v>
      </c>
      <c r="AS75" s="94" t="s">
        <v>1011</v>
      </c>
      <c r="AT75" s="94" t="s">
        <v>4285</v>
      </c>
      <c r="AU75" s="94" t="s">
        <v>329</v>
      </c>
      <c r="AV75" s="94" t="s">
        <v>4286</v>
      </c>
      <c r="AW75" s="94" t="s">
        <v>4287</v>
      </c>
      <c r="AX75" s="94" t="s">
        <v>1664</v>
      </c>
      <c r="AY75" s="94" t="s">
        <v>1640</v>
      </c>
      <c r="AZ75" s="94" t="s">
        <v>4288</v>
      </c>
      <c r="BA75" s="94"/>
      <c r="BB75" s="94" t="s">
        <v>595</v>
      </c>
      <c r="BC75" s="94" t="s">
        <v>4289</v>
      </c>
      <c r="BD75" s="94" t="s">
        <v>3008</v>
      </c>
      <c r="BE75" s="94" t="s">
        <v>266</v>
      </c>
      <c r="BF75" s="94" t="s">
        <v>3956</v>
      </c>
      <c r="BG75" s="94" t="s">
        <v>1221</v>
      </c>
      <c r="BH75" s="94" t="s">
        <v>2942</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243</v>
      </c>
      <c r="CM75" s="474" t="s">
        <v>4307</v>
      </c>
      <c r="CN75" s="94" t="s">
        <v>3279</v>
      </c>
      <c r="CO75" s="94" t="s">
        <v>3716</v>
      </c>
      <c r="CP75" s="99"/>
      <c r="CQ75" s="94" t="s">
        <v>1387</v>
      </c>
      <c r="CR75" s="94"/>
      <c r="CS75" s="94" t="s">
        <v>4308</v>
      </c>
      <c r="CT75" s="94" t="s">
        <v>4309</v>
      </c>
      <c r="CU75" s="92"/>
      <c r="CV75" s="94" t="s">
        <v>3035</v>
      </c>
      <c r="CW75" s="94" t="s">
        <v>4310</v>
      </c>
      <c r="CX75" s="94" t="s">
        <v>4311</v>
      </c>
      <c r="CY75" s="94" t="s">
        <v>1552</v>
      </c>
      <c r="CZ75" s="94" t="s">
        <v>4312</v>
      </c>
      <c r="DA75" s="94" t="s">
        <v>4313</v>
      </c>
      <c r="DB75" s="94" t="s">
        <v>4314</v>
      </c>
      <c r="DC75" s="94" t="s">
        <v>4315</v>
      </c>
      <c r="DD75" s="94" t="s">
        <v>727</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971</v>
      </c>
      <c r="DX75" s="99"/>
      <c r="DY75" s="94" t="s">
        <v>2262</v>
      </c>
      <c r="DZ75" s="94" t="s">
        <v>3355</v>
      </c>
      <c r="EA75" s="94" t="s">
        <v>1096</v>
      </c>
      <c r="EB75" s="94" t="s">
        <v>4324</v>
      </c>
      <c r="EC75" s="94" t="s">
        <v>2416</v>
      </c>
      <c r="ED75" s="259" t="s">
        <v>3247</v>
      </c>
    </row>
    <row r="76">
      <c r="A76" s="357" t="s">
        <v>4325</v>
      </c>
      <c r="B76" s="104" t="s">
        <v>4326</v>
      </c>
      <c r="C76" s="105" t="s">
        <v>441</v>
      </c>
      <c r="D76" s="106" t="s">
        <v>439</v>
      </c>
      <c r="E76" s="107" t="s">
        <v>439</v>
      </c>
      <c r="F76" s="108" t="s">
        <v>1812</v>
      </c>
      <c r="G76" s="104" t="s">
        <v>1812</v>
      </c>
      <c r="H76" s="243"/>
      <c r="I76" s="112" t="s">
        <v>1132</v>
      </c>
      <c r="J76" s="243"/>
      <c r="K76" s="112" t="s">
        <v>1264</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1297</v>
      </c>
      <c r="AE76" s="245"/>
      <c r="AF76" s="116" t="s">
        <v>358</v>
      </c>
      <c r="AG76" s="116" t="s">
        <v>3572</v>
      </c>
      <c r="AH76" s="116" t="s">
        <v>2571</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1260</v>
      </c>
      <c r="E77" s="85" t="s">
        <v>1260</v>
      </c>
      <c r="F77" s="86" t="s">
        <v>334</v>
      </c>
      <c r="G77" s="82" t="s">
        <v>3432</v>
      </c>
      <c r="H77" s="94" t="s">
        <v>683</v>
      </c>
      <c r="I77" s="93" t="s">
        <v>4339</v>
      </c>
      <c r="J77" s="93" t="s">
        <v>3899</v>
      </c>
      <c r="K77" s="94" t="s">
        <v>2842</v>
      </c>
      <c r="L77" s="93" t="s">
        <v>4340</v>
      </c>
      <c r="M77" s="99"/>
      <c r="N77" s="93" t="s">
        <v>4341</v>
      </c>
      <c r="O77" s="93" t="s">
        <v>3194</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2653</v>
      </c>
      <c r="AK77" s="99"/>
      <c r="AL77" s="97"/>
      <c r="AM77" s="94" t="s">
        <v>927</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1989</v>
      </c>
      <c r="BM77" s="99"/>
      <c r="BN77" s="94" t="s">
        <v>3108</v>
      </c>
      <c r="BO77" s="94" t="s">
        <v>4291</v>
      </c>
      <c r="BP77" s="99"/>
      <c r="BQ77" s="236"/>
      <c r="BR77" s="94"/>
      <c r="BS77" s="93" t="s">
        <v>4350</v>
      </c>
      <c r="BT77" s="94" t="s">
        <v>4037</v>
      </c>
      <c r="BU77" s="94" t="s">
        <v>2551</v>
      </c>
      <c r="BV77" s="94" t="s">
        <v>4351</v>
      </c>
      <c r="BW77" s="94" t="s">
        <v>740</v>
      </c>
      <c r="BX77" s="87" t="s">
        <v>4352</v>
      </c>
      <c r="BY77" s="99"/>
      <c r="BZ77" s="94" t="s">
        <v>4353</v>
      </c>
      <c r="CA77" s="94" t="s">
        <v>2416</v>
      </c>
      <c r="CB77" s="93" t="s">
        <v>4354</v>
      </c>
      <c r="CC77" s="94" t="s">
        <v>4355</v>
      </c>
      <c r="CD77" s="94" t="s">
        <v>690</v>
      </c>
      <c r="CE77" s="99"/>
      <c r="CF77" s="236"/>
      <c r="CG77" s="93" t="s">
        <v>4356</v>
      </c>
      <c r="CH77" s="94" t="s">
        <v>4357</v>
      </c>
      <c r="CI77" s="93"/>
      <c r="CJ77" s="88" t="s">
        <v>4358</v>
      </c>
      <c r="CK77" s="102"/>
      <c r="CL77" s="102"/>
      <c r="CM77" s="94" t="s">
        <v>2869</v>
      </c>
      <c r="CN77" s="94" t="s">
        <v>1553</v>
      </c>
      <c r="CO77" s="94" t="s">
        <v>2548</v>
      </c>
      <c r="CP77" s="99"/>
      <c r="CQ77" s="99"/>
      <c r="CR77" s="99"/>
      <c r="CS77" s="99"/>
      <c r="CT77" s="99"/>
      <c r="CU77" s="92"/>
      <c r="CV77" s="94" t="s">
        <v>4359</v>
      </c>
      <c r="CW77" s="99"/>
      <c r="CX77" s="94" t="s">
        <v>1695</v>
      </c>
      <c r="CY77" s="94" t="s">
        <v>3908</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1972</v>
      </c>
      <c r="DW77" s="99"/>
      <c r="DX77" s="99"/>
      <c r="DY77" s="99"/>
      <c r="DZ77" s="99"/>
      <c r="EA77" s="94" t="s">
        <v>961</v>
      </c>
      <c r="EB77" s="99"/>
      <c r="EC77" s="99"/>
      <c r="ED77" s="259"/>
    </row>
    <row r="78">
      <c r="A78" s="166" t="s">
        <v>4361</v>
      </c>
      <c r="B78" s="104" t="s">
        <v>4362</v>
      </c>
      <c r="C78" s="105" t="s">
        <v>1260</v>
      </c>
      <c r="D78" s="106" t="s">
        <v>1260</v>
      </c>
      <c r="E78" s="107" t="s">
        <v>1260</v>
      </c>
      <c r="F78" s="108" t="s">
        <v>1260</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1226</v>
      </c>
      <c r="AC78" s="197" t="s">
        <v>1783</v>
      </c>
      <c r="AD78" s="197" t="s">
        <v>2942</v>
      </c>
      <c r="AE78" s="245"/>
      <c r="AF78" s="300" t="s">
        <v>1280</v>
      </c>
      <c r="AG78" s="197" t="s">
        <v>4028</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2350</v>
      </c>
      <c r="BC78" s="174" t="s">
        <v>4370</v>
      </c>
      <c r="BD78" s="174" t="s">
        <v>2753</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3072</v>
      </c>
      <c r="BV78" s="175" t="s">
        <v>924</v>
      </c>
      <c r="BW78" s="175" t="s">
        <v>4378</v>
      </c>
      <c r="BX78" s="175" t="s">
        <v>4379</v>
      </c>
      <c r="BY78" s="175" t="s">
        <v>4380</v>
      </c>
      <c r="BZ78" s="175" t="s">
        <v>4381</v>
      </c>
      <c r="CA78" s="175" t="s">
        <v>3709</v>
      </c>
      <c r="CB78" s="251"/>
      <c r="CC78" s="251"/>
      <c r="CD78" s="251"/>
      <c r="CE78" s="251"/>
      <c r="CF78" s="252"/>
      <c r="CG78" s="177" t="s">
        <v>2206</v>
      </c>
      <c r="CH78" s="177" t="s">
        <v>2805</v>
      </c>
      <c r="CI78" s="177" t="s">
        <v>3941</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1260</v>
      </c>
      <c r="D79" s="84" t="s">
        <v>1260</v>
      </c>
      <c r="E79" s="85" t="s">
        <v>1260</v>
      </c>
      <c r="F79" s="86" t="s">
        <v>548</v>
      </c>
      <c r="G79" s="82" t="s">
        <v>4394</v>
      </c>
      <c r="H79" s="94" t="s">
        <v>2126</v>
      </c>
      <c r="I79" s="94" t="s">
        <v>4395</v>
      </c>
      <c r="J79" s="94" t="s">
        <v>3624</v>
      </c>
      <c r="K79" s="94" t="s">
        <v>2279</v>
      </c>
      <c r="L79" s="94" t="s">
        <v>1114</v>
      </c>
      <c r="M79" s="94" t="s">
        <v>4396</v>
      </c>
      <c r="N79" s="94" t="s">
        <v>4397</v>
      </c>
      <c r="O79" s="94" t="s">
        <v>4398</v>
      </c>
      <c r="P79" s="94" t="s">
        <v>2548</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2999</v>
      </c>
      <c r="AG79" s="94" t="s">
        <v>4404</v>
      </c>
      <c r="AH79" s="94" t="s">
        <v>4405</v>
      </c>
      <c r="AI79" s="99"/>
      <c r="AJ79" s="99"/>
      <c r="AK79" s="99"/>
      <c r="AL79" s="97"/>
      <c r="AM79" s="99"/>
      <c r="AN79" s="94" t="s">
        <v>865</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1297</v>
      </c>
      <c r="BH79" s="99"/>
      <c r="BI79" s="94" t="s">
        <v>2217</v>
      </c>
      <c r="BJ79" s="94" t="s">
        <v>4408</v>
      </c>
      <c r="BK79" s="99"/>
      <c r="BL79" s="94" t="s">
        <v>2496</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1695</v>
      </c>
      <c r="CO79" s="354" t="s">
        <v>2480</v>
      </c>
      <c r="CP79" s="99"/>
      <c r="CQ79" s="99"/>
      <c r="CR79" s="99"/>
      <c r="CS79" s="99"/>
      <c r="CT79" s="99"/>
      <c r="CU79" s="92"/>
      <c r="CV79" s="354" t="s">
        <v>4420</v>
      </c>
      <c r="CW79" s="353" t="s">
        <v>2577</v>
      </c>
      <c r="CX79" s="354" t="s">
        <v>1650</v>
      </c>
      <c r="CY79" s="354" t="s">
        <v>3142</v>
      </c>
      <c r="CZ79" s="354" t="s">
        <v>4421</v>
      </c>
      <c r="DA79" s="354" t="s">
        <v>1650</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1082</v>
      </c>
      <c r="ED79" s="353" t="s">
        <v>4427</v>
      </c>
    </row>
    <row r="80">
      <c r="A80" s="384" t="s">
        <v>4428</v>
      </c>
      <c r="B80" s="104" t="s">
        <v>4429</v>
      </c>
      <c r="C80" s="105" t="s">
        <v>1260</v>
      </c>
      <c r="D80" s="106" t="s">
        <v>1260</v>
      </c>
      <c r="E80" s="107" t="s">
        <v>1260</v>
      </c>
      <c r="F80" s="108" t="s">
        <v>2676</v>
      </c>
      <c r="G80" s="104" t="s">
        <v>1883</v>
      </c>
      <c r="H80" s="112" t="s">
        <v>2814</v>
      </c>
      <c r="I80" s="400" t="s">
        <v>4430</v>
      </c>
      <c r="J80" s="167" t="s">
        <v>108</v>
      </c>
      <c r="K80" s="167" t="s">
        <v>4431</v>
      </c>
      <c r="L80" s="167" t="s">
        <v>4432</v>
      </c>
      <c r="M80" s="167" t="s">
        <v>4433</v>
      </c>
      <c r="N80" s="167" t="s">
        <v>4434</v>
      </c>
      <c r="O80" s="167" t="s">
        <v>373</v>
      </c>
      <c r="P80" s="167" t="s">
        <v>2973</v>
      </c>
      <c r="Q80" s="112" t="s">
        <v>4435</v>
      </c>
      <c r="R80" s="167" t="s">
        <v>2511</v>
      </c>
      <c r="S80" s="273" t="s">
        <v>3009</v>
      </c>
      <c r="T80" s="167" t="s">
        <v>3000</v>
      </c>
      <c r="U80" s="167" t="s">
        <v>2050</v>
      </c>
      <c r="V80" s="167" t="s">
        <v>4436</v>
      </c>
      <c r="W80" s="92"/>
      <c r="X80" s="380" t="s">
        <v>4437</v>
      </c>
      <c r="Y80" s="197"/>
      <c r="Z80" s="197" t="s">
        <v>3086</v>
      </c>
      <c r="AA80" s="269" t="s">
        <v>3547</v>
      </c>
      <c r="AB80" s="196" t="s">
        <v>3750</v>
      </c>
      <c r="AC80" s="196" t="s">
        <v>4438</v>
      </c>
      <c r="AD80" s="116" t="s">
        <v>4439</v>
      </c>
      <c r="AE80" s="245"/>
      <c r="AF80" s="116" t="s">
        <v>3297</v>
      </c>
      <c r="AG80" s="269" t="s">
        <v>1742</v>
      </c>
      <c r="AH80" s="197" t="s">
        <v>1912</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2722</v>
      </c>
      <c r="AV80" s="168" t="s">
        <v>1627</v>
      </c>
      <c r="AW80" s="168" t="s">
        <v>4445</v>
      </c>
      <c r="AX80" s="246"/>
      <c r="AY80" s="168" t="s">
        <v>1071</v>
      </c>
      <c r="AZ80" s="278" t="s">
        <v>4446</v>
      </c>
      <c r="BA80" s="168"/>
      <c r="BB80" s="174" t="s">
        <v>4447</v>
      </c>
      <c r="BC80" s="174" t="s">
        <v>4448</v>
      </c>
      <c r="BD80" s="126" t="s">
        <v>1396</v>
      </c>
      <c r="BE80" s="174" t="s">
        <v>4449</v>
      </c>
      <c r="BF80" s="174" t="s">
        <v>3724</v>
      </c>
      <c r="BG80" s="174" t="s">
        <v>4450</v>
      </c>
      <c r="BH80" s="174" t="s">
        <v>4451</v>
      </c>
      <c r="BI80" s="174" t="s">
        <v>2511</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3217</v>
      </c>
      <c r="CE80" s="175" t="s">
        <v>4462</v>
      </c>
      <c r="CF80" s="252"/>
      <c r="CG80" s="177" t="s">
        <v>4463</v>
      </c>
      <c r="CH80" s="177" t="s">
        <v>973</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3285</v>
      </c>
      <c r="CZ80" s="203" t="s">
        <v>1485</v>
      </c>
      <c r="DA80" s="203" t="s">
        <v>4474</v>
      </c>
      <c r="DB80" s="232" t="s">
        <v>4475</v>
      </c>
      <c r="DC80" s="203" t="s">
        <v>4476</v>
      </c>
      <c r="DD80" s="203" t="s">
        <v>4477</v>
      </c>
      <c r="DE80" s="203" t="s">
        <v>2997</v>
      </c>
      <c r="DF80" s="203" t="s">
        <v>148</v>
      </c>
      <c r="DG80" s="140" t="s">
        <v>4478</v>
      </c>
      <c r="DH80" s="203"/>
      <c r="DI80" s="257"/>
      <c r="DJ80" s="257"/>
      <c r="DK80" s="204" t="s">
        <v>4479</v>
      </c>
      <c r="DL80" s="257"/>
      <c r="DM80" s="145" t="s">
        <v>3278</v>
      </c>
      <c r="DN80" s="204" t="s">
        <v>1931</v>
      </c>
      <c r="DO80" s="204" t="s">
        <v>4016</v>
      </c>
      <c r="DP80" s="204" t="s">
        <v>4480</v>
      </c>
      <c r="DQ80" s="204" t="s">
        <v>4481</v>
      </c>
      <c r="DR80" s="204" t="s">
        <v>4247</v>
      </c>
      <c r="DS80" s="204" t="s">
        <v>4482</v>
      </c>
      <c r="DT80" s="204" t="s">
        <v>3839</v>
      </c>
      <c r="DU80" s="204" t="s">
        <v>1805</v>
      </c>
      <c r="DV80" s="204" t="s">
        <v>2687</v>
      </c>
      <c r="DW80" s="204" t="s">
        <v>4483</v>
      </c>
      <c r="DX80" s="204" t="s">
        <v>4484</v>
      </c>
      <c r="DY80" s="204" t="s">
        <v>4485</v>
      </c>
      <c r="DZ80" s="204" t="s">
        <v>4486</v>
      </c>
      <c r="EA80" s="204" t="s">
        <v>4487</v>
      </c>
      <c r="EB80" s="145" t="s">
        <v>4488</v>
      </c>
      <c r="EC80" s="145" t="s">
        <v>4100</v>
      </c>
      <c r="ED80" s="142" t="s">
        <v>3052</v>
      </c>
    </row>
    <row r="81">
      <c r="A81" s="81" t="s">
        <v>4489</v>
      </c>
      <c r="B81" s="82" t="s">
        <v>4490</v>
      </c>
      <c r="C81" s="83" t="s">
        <v>1260</v>
      </c>
      <c r="D81" s="84" t="s">
        <v>1260</v>
      </c>
      <c r="E81" s="85" t="s">
        <v>1260</v>
      </c>
      <c r="F81" s="86" t="s">
        <v>222</v>
      </c>
      <c r="G81" s="82" t="s">
        <v>3092</v>
      </c>
      <c r="H81" s="94"/>
      <c r="I81" s="88" t="s">
        <v>4491</v>
      </c>
      <c r="J81" s="99" t="s">
        <v>1640</v>
      </c>
      <c r="K81" s="162" t="s">
        <v>4492</v>
      </c>
      <c r="L81" s="88" t="s">
        <v>105</v>
      </c>
      <c r="M81" s="259" t="s">
        <v>1731</v>
      </c>
      <c r="N81" s="99"/>
      <c r="O81" s="93" t="s">
        <v>4493</v>
      </c>
      <c r="P81" s="88" t="s">
        <v>2548</v>
      </c>
      <c r="Q81" s="99"/>
      <c r="R81" s="94"/>
      <c r="S81" s="94"/>
      <c r="T81" s="99"/>
      <c r="U81" s="99"/>
      <c r="V81" s="99"/>
      <c r="W81" s="92"/>
      <c r="X81" s="88" t="s">
        <v>1660</v>
      </c>
      <c r="Y81" s="94"/>
      <c r="Z81" s="94" t="s">
        <v>4401</v>
      </c>
      <c r="AA81" s="88" t="s">
        <v>1432</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1291</v>
      </c>
      <c r="BE81" s="88" t="s">
        <v>4470</v>
      </c>
      <c r="BF81" s="94" t="s">
        <v>4497</v>
      </c>
      <c r="BG81" s="99"/>
      <c r="BH81" s="99"/>
      <c r="BI81" s="94" t="s">
        <v>1290</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1692</v>
      </c>
      <c r="CO81" s="88" t="s">
        <v>3225</v>
      </c>
      <c r="CP81" s="99"/>
      <c r="CQ81" s="99"/>
      <c r="CR81" s="99"/>
      <c r="CS81" s="99"/>
      <c r="CT81" s="99"/>
      <c r="CU81" s="92"/>
      <c r="CV81" s="94" t="s">
        <v>4501</v>
      </c>
      <c r="CW81" s="99"/>
      <c r="CX81" s="93" t="s">
        <v>757</v>
      </c>
      <c r="CY81" s="94" t="s">
        <v>3258</v>
      </c>
      <c r="CZ81" s="94" t="s">
        <v>1934</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1260</v>
      </c>
      <c r="D82" s="488" t="s">
        <v>1260</v>
      </c>
      <c r="E82" s="489" t="s">
        <v>1260</v>
      </c>
      <c r="F82" s="490" t="s">
        <v>439</v>
      </c>
      <c r="G82" s="486" t="s">
        <v>2542</v>
      </c>
      <c r="H82" s="400"/>
      <c r="I82" s="345" t="s">
        <v>4505</v>
      </c>
      <c r="J82" s="400" t="s">
        <v>763</v>
      </c>
      <c r="K82" s="400" t="s">
        <v>4506</v>
      </c>
      <c r="L82" s="400" t="s">
        <v>2940</v>
      </c>
      <c r="M82" s="112" t="s">
        <v>4507</v>
      </c>
      <c r="N82" s="400" t="s">
        <v>4508</v>
      </c>
      <c r="O82" s="400" t="s">
        <v>3934</v>
      </c>
      <c r="P82" s="400" t="s">
        <v>3098</v>
      </c>
      <c r="Q82" s="491"/>
      <c r="R82" s="491"/>
      <c r="S82" s="491"/>
      <c r="T82" s="491"/>
      <c r="U82" s="491"/>
      <c r="V82" s="491"/>
      <c r="W82" s="492"/>
      <c r="X82" s="380" t="s">
        <v>2054</v>
      </c>
      <c r="Y82" s="380"/>
      <c r="Z82" s="380" t="s">
        <v>3064</v>
      </c>
      <c r="AA82" s="380" t="s">
        <v>2204</v>
      </c>
      <c r="AB82" s="380" t="s">
        <v>3952</v>
      </c>
      <c r="AC82" s="380" t="s">
        <v>1783</v>
      </c>
      <c r="AD82" s="380" t="s">
        <v>3062</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1452</v>
      </c>
      <c r="AW82" s="278"/>
      <c r="AX82" s="495"/>
      <c r="AY82" s="495"/>
      <c r="AZ82" s="495"/>
      <c r="BA82" s="495"/>
      <c r="BB82" s="302" t="s">
        <v>2752</v>
      </c>
      <c r="BC82" s="302" t="s">
        <v>810</v>
      </c>
      <c r="BD82" s="302" t="s">
        <v>298</v>
      </c>
      <c r="BE82" s="302" t="s">
        <v>4510</v>
      </c>
      <c r="BF82" s="302" t="s">
        <v>4511</v>
      </c>
      <c r="BG82" s="302"/>
      <c r="BH82" s="497"/>
      <c r="BI82" s="302" t="s">
        <v>1373</v>
      </c>
      <c r="BJ82" s="497"/>
      <c r="BK82" s="302" t="s">
        <v>4512</v>
      </c>
      <c r="BL82" s="302" t="s">
        <v>3583</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1632</v>
      </c>
      <c r="CO82" s="295" t="s">
        <v>4525</v>
      </c>
      <c r="CP82" s="501"/>
      <c r="CQ82" s="502"/>
      <c r="CR82" s="502"/>
      <c r="CS82" s="502"/>
      <c r="CT82" s="502"/>
      <c r="CU82" s="492"/>
      <c r="CV82" s="371" t="s">
        <v>4526</v>
      </c>
      <c r="CW82" s="371" t="s">
        <v>4527</v>
      </c>
      <c r="CX82" s="371" t="s">
        <v>1119</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1260</v>
      </c>
      <c r="D83" s="84" t="s">
        <v>1260</v>
      </c>
      <c r="E83" s="85" t="s">
        <v>1260</v>
      </c>
      <c r="F83" s="86" t="s">
        <v>2375</v>
      </c>
      <c r="G83" s="82" t="s">
        <v>744</v>
      </c>
      <c r="H83" s="88" t="s">
        <v>4534</v>
      </c>
      <c r="I83" s="88" t="s">
        <v>4535</v>
      </c>
      <c r="J83" s="265" t="s">
        <v>750</v>
      </c>
      <c r="K83" s="88" t="s">
        <v>4536</v>
      </c>
      <c r="L83" s="88" t="s">
        <v>210</v>
      </c>
      <c r="M83" s="88" t="s">
        <v>4537</v>
      </c>
      <c r="N83" s="88" t="s">
        <v>4538</v>
      </c>
      <c r="O83" s="88" t="s">
        <v>4539</v>
      </c>
      <c r="P83" s="88" t="s">
        <v>242</v>
      </c>
      <c r="Q83" s="88" t="s">
        <v>4540</v>
      </c>
      <c r="R83" s="94" t="s">
        <v>1988</v>
      </c>
      <c r="S83" s="94" t="s">
        <v>4229</v>
      </c>
      <c r="T83" s="94" t="s">
        <v>2147</v>
      </c>
      <c r="U83" s="94" t="s">
        <v>4541</v>
      </c>
      <c r="V83" s="94" t="s">
        <v>4542</v>
      </c>
      <c r="W83" s="92"/>
      <c r="X83" s="88" t="s">
        <v>1472</v>
      </c>
      <c r="Y83" s="102"/>
      <c r="Z83" s="88" t="s">
        <v>470</v>
      </c>
      <c r="AA83" s="88" t="s">
        <v>296</v>
      </c>
      <c r="AB83" s="94" t="s">
        <v>4543</v>
      </c>
      <c r="AC83" s="94" t="s">
        <v>3150</v>
      </c>
      <c r="AD83" s="88" t="s">
        <v>2889</v>
      </c>
      <c r="AE83" s="88" t="s">
        <v>4544</v>
      </c>
      <c r="AF83" s="88" t="s">
        <v>4545</v>
      </c>
      <c r="AG83" s="88" t="s">
        <v>1568</v>
      </c>
      <c r="AH83" s="94" t="s">
        <v>4546</v>
      </c>
      <c r="AI83" s="94" t="s">
        <v>4547</v>
      </c>
      <c r="AJ83" s="94" t="s">
        <v>3631</v>
      </c>
      <c r="AK83" s="94" t="s">
        <v>4548</v>
      </c>
      <c r="AL83" s="97"/>
      <c r="AM83" s="94" t="s">
        <v>716</v>
      </c>
      <c r="AN83" s="94" t="s">
        <v>4549</v>
      </c>
      <c r="AO83" s="94" t="s">
        <v>4550</v>
      </c>
      <c r="AP83" s="94" t="s">
        <v>4551</v>
      </c>
      <c r="AQ83" s="94" t="s">
        <v>4552</v>
      </c>
      <c r="AR83" s="94"/>
      <c r="AS83" s="94" t="s">
        <v>3636</v>
      </c>
      <c r="AT83" s="94" t="s">
        <v>3016</v>
      </c>
      <c r="AU83" s="88" t="s">
        <v>2749</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3931</v>
      </c>
      <c r="BU83" s="88" t="s">
        <v>1048</v>
      </c>
      <c r="BV83" s="88" t="s">
        <v>4564</v>
      </c>
      <c r="BW83" s="88" t="s">
        <v>2134</v>
      </c>
      <c r="BX83" s="94" t="s">
        <v>701</v>
      </c>
      <c r="BY83" s="94" t="s">
        <v>4565</v>
      </c>
      <c r="BZ83" s="99"/>
      <c r="CA83" s="88" t="s">
        <v>4566</v>
      </c>
      <c r="CB83" s="88" t="s">
        <v>4567</v>
      </c>
      <c r="CC83" s="88" t="s">
        <v>1138</v>
      </c>
      <c r="CD83" s="94" t="s">
        <v>112</v>
      </c>
      <c r="CE83" s="94" t="s">
        <v>4568</v>
      </c>
      <c r="CF83" s="94"/>
      <c r="CG83" s="265" t="s">
        <v>4569</v>
      </c>
      <c r="CH83" s="88" t="s">
        <v>1740</v>
      </c>
      <c r="CI83" s="88" t="s">
        <v>4570</v>
      </c>
      <c r="CJ83" s="94" t="s">
        <v>3320</v>
      </c>
      <c r="CK83" s="94"/>
      <c r="CL83" s="415" t="s">
        <v>4201</v>
      </c>
      <c r="CM83" s="88" t="s">
        <v>4571</v>
      </c>
      <c r="CN83" s="88" t="s">
        <v>4467</v>
      </c>
      <c r="CO83" s="88" t="s">
        <v>1781</v>
      </c>
      <c r="CP83" s="94" t="s">
        <v>4572</v>
      </c>
      <c r="CQ83" s="94" t="s">
        <v>776</v>
      </c>
      <c r="CR83" s="94" t="s">
        <v>2301</v>
      </c>
      <c r="CS83" s="94" t="s">
        <v>4573</v>
      </c>
      <c r="CT83" s="94" t="s">
        <v>946</v>
      </c>
      <c r="CU83" s="92"/>
      <c r="CV83" s="265" t="s">
        <v>4574</v>
      </c>
      <c r="CW83" s="88" t="s">
        <v>2001</v>
      </c>
      <c r="CX83" s="94" t="s">
        <v>2502</v>
      </c>
      <c r="CY83" s="94" t="s">
        <v>3495</v>
      </c>
      <c r="CZ83" s="94" t="s">
        <v>551</v>
      </c>
      <c r="DA83" s="94" t="s">
        <v>4018</v>
      </c>
      <c r="DB83" s="88" t="s">
        <v>4575</v>
      </c>
      <c r="DC83" s="94" t="s">
        <v>364</v>
      </c>
      <c r="DD83" s="94" t="s">
        <v>4576</v>
      </c>
      <c r="DE83" s="94" t="s">
        <v>2061</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3784</v>
      </c>
      <c r="DU83" s="94" t="s">
        <v>2115</v>
      </c>
      <c r="DV83" s="94" t="s">
        <v>4585</v>
      </c>
      <c r="DW83" s="88" t="s">
        <v>2896</v>
      </c>
      <c r="DX83" s="94" t="s">
        <v>2230</v>
      </c>
      <c r="DY83" s="94" t="s">
        <v>1907</v>
      </c>
      <c r="DZ83" s="94" t="s">
        <v>2488</v>
      </c>
      <c r="EA83" s="94" t="s">
        <v>1458</v>
      </c>
      <c r="EB83" s="94" t="s">
        <v>2044</v>
      </c>
      <c r="EC83" s="94" t="s">
        <v>2786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2301</v>
      </c>
      <c r="M84" s="167" t="s">
        <v>4593</v>
      </c>
      <c r="N84" s="167" t="s">
        <v>4594</v>
      </c>
      <c r="O84" s="167" t="s">
        <v>849</v>
      </c>
      <c r="P84" s="167" t="s">
        <v>4052</v>
      </c>
      <c r="Q84" s="243"/>
      <c r="R84" s="167" t="s">
        <v>3746</v>
      </c>
      <c r="S84" s="167" t="s">
        <v>1509</v>
      </c>
      <c r="T84" s="243"/>
      <c r="U84" s="243"/>
      <c r="V84" s="243"/>
      <c r="W84" s="92"/>
      <c r="X84" s="197" t="s">
        <v>3579</v>
      </c>
      <c r="Y84" s="197"/>
      <c r="Z84" s="197" t="s">
        <v>364</v>
      </c>
      <c r="AA84" s="197" t="s">
        <v>2548</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07"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3000</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2734</v>
      </c>
      <c r="CO84" s="177" t="s">
        <v>434</v>
      </c>
      <c r="CP84" s="254"/>
      <c r="CQ84" s="254"/>
      <c r="CR84" s="254"/>
      <c r="CS84" s="254"/>
      <c r="CT84" s="177" t="s">
        <v>4612</v>
      </c>
      <c r="CU84" s="92"/>
      <c r="CV84" s="203" t="s">
        <v>4613</v>
      </c>
      <c r="CW84" s="255"/>
      <c r="CX84" s="203" t="s">
        <v>3981</v>
      </c>
      <c r="CY84" s="203" t="s">
        <v>4614</v>
      </c>
      <c r="CZ84" s="203" t="s">
        <v>4615</v>
      </c>
      <c r="DA84" s="203" t="s">
        <v>931</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2841</v>
      </c>
      <c r="K85" s="94" t="s">
        <v>3863</v>
      </c>
      <c r="L85" s="94" t="s">
        <v>4623</v>
      </c>
      <c r="M85" s="99"/>
      <c r="N85" s="94" t="s">
        <v>1227</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1041</v>
      </c>
      <c r="AW85" s="99"/>
      <c r="AX85" s="99"/>
      <c r="AY85" s="99"/>
      <c r="AZ85" s="99"/>
      <c r="BA85" s="99"/>
      <c r="BB85" s="99"/>
      <c r="BC85" s="94" t="s">
        <v>3580</v>
      </c>
      <c r="BD85" s="94" t="s">
        <v>1452</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2061</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1907</v>
      </c>
      <c r="CY85" s="88" t="s">
        <v>4632</v>
      </c>
      <c r="CZ85" s="94" t="s">
        <v>4633</v>
      </c>
      <c r="DA85" s="94" t="s">
        <v>3377</v>
      </c>
      <c r="DB85" s="94" t="s">
        <v>4634</v>
      </c>
      <c r="DC85" s="94" t="s">
        <v>2749</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3092</v>
      </c>
      <c r="G86" s="104" t="s">
        <v>2375</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1260</v>
      </c>
      <c r="D87" s="84" t="s">
        <v>1260</v>
      </c>
      <c r="E87" s="85" t="s">
        <v>1260</v>
      </c>
      <c r="F87" s="86" t="s">
        <v>1260</v>
      </c>
      <c r="G87" s="82" t="s">
        <v>4589</v>
      </c>
      <c r="H87" s="94"/>
      <c r="I87" s="94" t="s">
        <v>3669</v>
      </c>
      <c r="J87" s="94" t="s">
        <v>4644</v>
      </c>
      <c r="K87" s="94" t="s">
        <v>4645</v>
      </c>
      <c r="L87" s="94" t="s">
        <v>4646</v>
      </c>
      <c r="M87" s="99"/>
      <c r="N87" s="94" t="s">
        <v>4647</v>
      </c>
      <c r="O87" s="94" t="s">
        <v>4242</v>
      </c>
      <c r="P87" s="94" t="s">
        <v>4648</v>
      </c>
      <c r="Q87" s="99"/>
      <c r="R87" s="99"/>
      <c r="S87" s="94" t="s">
        <v>1207</v>
      </c>
      <c r="T87" s="99"/>
      <c r="U87" s="94" t="s">
        <v>1863</v>
      </c>
      <c r="V87" s="99"/>
      <c r="W87" s="92"/>
      <c r="X87" s="94" t="s">
        <v>1318</v>
      </c>
      <c r="Y87" s="94"/>
      <c r="Z87" s="94" t="s">
        <v>722</v>
      </c>
      <c r="AA87" s="94" t="s">
        <v>4649</v>
      </c>
      <c r="AB87" s="94" t="s">
        <v>3605</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1176</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2450</v>
      </c>
      <c r="BZ87" s="94" t="s">
        <v>4656</v>
      </c>
      <c r="CA87" s="94"/>
      <c r="CB87" s="99"/>
      <c r="CC87" s="94" t="s">
        <v>1485</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513" t="s">
        <v>4666</v>
      </c>
      <c r="B88" s="104" t="s">
        <v>4667</v>
      </c>
      <c r="C88" s="105" t="s">
        <v>1260</v>
      </c>
      <c r="D88" s="106" t="s">
        <v>439</v>
      </c>
      <c r="E88" s="107" t="s">
        <v>1260</v>
      </c>
      <c r="F88" s="108" t="s">
        <v>4668</v>
      </c>
      <c r="G88" s="104" t="s">
        <v>2024</v>
      </c>
      <c r="H88" s="112" t="s">
        <v>3676</v>
      </c>
      <c r="I88" s="514"/>
      <c r="J88" s="413" t="s">
        <v>4669</v>
      </c>
      <c r="K88" s="112" t="s">
        <v>992</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1055</v>
      </c>
      <c r="AD88" s="116" t="s">
        <v>4674</v>
      </c>
      <c r="AE88" s="197" t="s">
        <v>4675</v>
      </c>
      <c r="AF88" s="116" t="s">
        <v>2282</v>
      </c>
      <c r="AG88" s="116" t="s">
        <v>1281</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3903</v>
      </c>
      <c r="CP88" s="515"/>
      <c r="CQ88" s="254"/>
      <c r="CR88" s="231" t="s">
        <v>4686</v>
      </c>
      <c r="CS88" s="135" t="s">
        <v>2004</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1260</v>
      </c>
      <c r="D89" s="519" t="s">
        <v>1260</v>
      </c>
      <c r="E89" s="520" t="s">
        <v>1260</v>
      </c>
      <c r="F89" s="521" t="s">
        <v>2988</v>
      </c>
      <c r="G89" s="517" t="s">
        <v>1351</v>
      </c>
      <c r="H89" s="522" t="s">
        <v>4693</v>
      </c>
      <c r="I89" s="523" t="s">
        <v>4694</v>
      </c>
      <c r="J89" s="522" t="s">
        <v>4695</v>
      </c>
      <c r="K89" s="522" t="s">
        <v>2163</v>
      </c>
      <c r="L89" s="522" t="s">
        <v>2936</v>
      </c>
      <c r="M89" s="522" t="s">
        <v>4696</v>
      </c>
      <c r="N89" s="523" t="s">
        <v>4697</v>
      </c>
      <c r="O89" s="522" t="s">
        <v>373</v>
      </c>
      <c r="P89" s="524" t="s">
        <v>4698</v>
      </c>
      <c r="Q89" s="524" t="s">
        <v>4699</v>
      </c>
      <c r="R89" s="524" t="s">
        <v>2520</v>
      </c>
      <c r="S89" s="524" t="s">
        <v>3603</v>
      </c>
      <c r="T89" s="524" t="s">
        <v>1269</v>
      </c>
      <c r="U89" s="524" t="s">
        <v>4700</v>
      </c>
      <c r="V89" s="522" t="s">
        <v>4701</v>
      </c>
      <c r="W89" s="525"/>
      <c r="X89" s="522" t="s">
        <v>2961</v>
      </c>
      <c r="Y89" s="522"/>
      <c r="Z89" s="522" t="s">
        <v>4702</v>
      </c>
      <c r="AA89" s="523" t="s">
        <v>513</v>
      </c>
      <c r="AB89" s="523" t="s">
        <v>631</v>
      </c>
      <c r="AC89" s="522" t="s">
        <v>2299</v>
      </c>
      <c r="AD89" s="523" t="s">
        <v>4703</v>
      </c>
      <c r="AE89" s="522"/>
      <c r="AF89" s="522" t="s">
        <v>4704</v>
      </c>
      <c r="AG89" s="298" t="s">
        <v>4705</v>
      </c>
      <c r="AH89" s="522" t="s">
        <v>3619</v>
      </c>
      <c r="AI89" s="524" t="s">
        <v>1404</v>
      </c>
      <c r="AJ89" s="88" t="s">
        <v>2210</v>
      </c>
      <c r="AK89" s="524" t="s">
        <v>4706</v>
      </c>
      <c r="AL89" s="526"/>
      <c r="AM89" s="522" t="s">
        <v>3427</v>
      </c>
      <c r="AN89" s="522" t="s">
        <v>1308</v>
      </c>
      <c r="AO89" s="522" t="s">
        <v>4707</v>
      </c>
      <c r="AP89" s="524" t="s">
        <v>2992</v>
      </c>
      <c r="AQ89" s="524" t="s">
        <v>134</v>
      </c>
      <c r="AR89" s="524" t="s">
        <v>2072</v>
      </c>
      <c r="AS89" s="522" t="s">
        <v>4708</v>
      </c>
      <c r="AT89" s="524" t="s">
        <v>4709</v>
      </c>
      <c r="AU89" s="524" t="s">
        <v>3148</v>
      </c>
      <c r="AV89" s="298" t="s">
        <v>2533</v>
      </c>
      <c r="AW89" s="522" t="s">
        <v>3261</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2471</v>
      </c>
      <c r="BJ89" s="522" t="s">
        <v>4714</v>
      </c>
      <c r="BK89" s="94"/>
      <c r="BL89" s="523" t="s">
        <v>2496</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2178</v>
      </c>
      <c r="CM89" s="522" t="s">
        <v>4723</v>
      </c>
      <c r="CN89" s="522" t="s">
        <v>1066</v>
      </c>
      <c r="CO89" s="524" t="s">
        <v>3602</v>
      </c>
      <c r="CP89" s="522"/>
      <c r="CQ89" s="524" t="s">
        <v>3268</v>
      </c>
      <c r="CR89" s="524" t="s">
        <v>4724</v>
      </c>
      <c r="CS89" s="528"/>
      <c r="CT89" s="528"/>
      <c r="CU89" s="525"/>
      <c r="CV89" s="522" t="s">
        <v>4557</v>
      </c>
      <c r="CW89" s="523" t="s">
        <v>2144</v>
      </c>
      <c r="CX89" s="524" t="s">
        <v>4725</v>
      </c>
      <c r="CY89" s="523" t="s">
        <v>4726</v>
      </c>
      <c r="CZ89" s="524" t="s">
        <v>4727</v>
      </c>
      <c r="DA89" s="522" t="s">
        <v>2133</v>
      </c>
      <c r="DB89" s="531" t="s">
        <v>4728</v>
      </c>
      <c r="DC89" s="298" t="s">
        <v>1059</v>
      </c>
      <c r="DD89" s="528"/>
      <c r="DE89" s="528"/>
      <c r="DF89" s="528"/>
      <c r="DG89" s="528"/>
      <c r="DH89" s="529"/>
      <c r="DI89" s="522" t="s">
        <v>3864</v>
      </c>
      <c r="DJ89" s="528"/>
      <c r="DK89" s="522" t="s">
        <v>4729</v>
      </c>
      <c r="DL89" s="522"/>
      <c r="DM89" s="523" t="s">
        <v>4730</v>
      </c>
      <c r="DN89" s="522" t="s">
        <v>4731</v>
      </c>
      <c r="DO89" s="522" t="s">
        <v>4732</v>
      </c>
      <c r="DP89" s="522" t="s">
        <v>1949</v>
      </c>
      <c r="DQ89" s="522" t="s">
        <v>4733</v>
      </c>
      <c r="DR89" s="522" t="s">
        <v>4734</v>
      </c>
      <c r="DS89" s="524" t="s">
        <v>4735</v>
      </c>
      <c r="DT89" s="522" t="s">
        <v>3341</v>
      </c>
      <c r="DU89" s="522" t="s">
        <v>4736</v>
      </c>
      <c r="DV89" s="527"/>
      <c r="DW89" s="523" t="s">
        <v>1629</v>
      </c>
      <c r="DX89" s="528"/>
      <c r="DY89" s="523" t="s">
        <v>3120</v>
      </c>
      <c r="DZ89" s="522" t="s">
        <v>2792</v>
      </c>
      <c r="EA89" s="527"/>
      <c r="EB89" s="522" t="s">
        <v>1031</v>
      </c>
      <c r="EC89" s="527"/>
      <c r="ED89" s="98" t="s">
        <v>4737</v>
      </c>
    </row>
    <row r="90">
      <c r="A90" s="166" t="s">
        <v>4738</v>
      </c>
      <c r="B90" s="104" t="s">
        <v>4739</v>
      </c>
      <c r="C90" s="105" t="s">
        <v>1260</v>
      </c>
      <c r="D90" s="106" t="s">
        <v>1260</v>
      </c>
      <c r="E90" s="107" t="s">
        <v>1260</v>
      </c>
      <c r="F90" s="108" t="s">
        <v>334</v>
      </c>
      <c r="G90" s="104" t="s">
        <v>3929</v>
      </c>
      <c r="H90" s="167" t="s">
        <v>4740</v>
      </c>
      <c r="I90" s="167" t="s">
        <v>4123</v>
      </c>
      <c r="J90" s="167" t="s">
        <v>4305</v>
      </c>
      <c r="K90" s="167" t="s">
        <v>2842</v>
      </c>
      <c r="L90" s="167" t="s">
        <v>1085</v>
      </c>
      <c r="M90" s="167" t="s">
        <v>4741</v>
      </c>
      <c r="N90" s="167" t="s">
        <v>4742</v>
      </c>
      <c r="O90" s="167" t="s">
        <v>927</v>
      </c>
      <c r="P90" s="167" t="s">
        <v>4743</v>
      </c>
      <c r="Q90" s="243"/>
      <c r="R90" s="243"/>
      <c r="S90" s="167" t="s">
        <v>4744</v>
      </c>
      <c r="T90" s="167"/>
      <c r="U90" s="167" t="s">
        <v>4745</v>
      </c>
      <c r="V90" s="243"/>
      <c r="W90" s="92"/>
      <c r="X90" s="197" t="s">
        <v>4746</v>
      </c>
      <c r="Y90" s="197"/>
      <c r="Z90" s="197" t="s">
        <v>3870</v>
      </c>
      <c r="AA90" s="197" t="s">
        <v>4747</v>
      </c>
      <c r="AB90" s="197" t="s">
        <v>2566</v>
      </c>
      <c r="AC90" s="197" t="s">
        <v>4147</v>
      </c>
      <c r="AD90" s="197" t="s">
        <v>2476</v>
      </c>
      <c r="AE90" s="197"/>
      <c r="AF90" s="197" t="s">
        <v>293</v>
      </c>
      <c r="AG90" s="197" t="s">
        <v>1435</v>
      </c>
      <c r="AH90" s="245"/>
      <c r="AI90" s="245"/>
      <c r="AJ90" s="197" t="s">
        <v>1821</v>
      </c>
      <c r="AK90" s="245"/>
      <c r="AL90" s="97"/>
      <c r="AM90" s="168" t="s">
        <v>3440</v>
      </c>
      <c r="AN90" s="168" t="s">
        <v>1581</v>
      </c>
      <c r="AO90" s="246"/>
      <c r="AP90" s="246"/>
      <c r="AQ90" s="246"/>
      <c r="AR90" s="246"/>
      <c r="AS90" s="246"/>
      <c r="AT90" s="246"/>
      <c r="AU90" s="168" t="s">
        <v>3716</v>
      </c>
      <c r="AV90" s="168" t="s">
        <v>3682</v>
      </c>
      <c r="AW90" s="246"/>
      <c r="AX90" s="246"/>
      <c r="AY90" s="168" t="s">
        <v>2197</v>
      </c>
      <c r="AZ90" s="246"/>
      <c r="BA90" s="246"/>
      <c r="BB90" s="174" t="s">
        <v>4748</v>
      </c>
      <c r="BC90" s="174" t="s">
        <v>3265</v>
      </c>
      <c r="BD90" s="174" t="s">
        <v>2666</v>
      </c>
      <c r="BE90" s="174" t="s">
        <v>4749</v>
      </c>
      <c r="BF90" s="174" t="s">
        <v>3378</v>
      </c>
      <c r="BG90" s="174"/>
      <c r="BH90" s="173"/>
      <c r="BI90" s="174" t="s">
        <v>2045</v>
      </c>
      <c r="BJ90" s="174" t="s">
        <v>4750</v>
      </c>
      <c r="BK90" s="174"/>
      <c r="BL90" s="174" t="s">
        <v>2532</v>
      </c>
      <c r="BM90" s="174" t="s">
        <v>4751</v>
      </c>
      <c r="BN90" s="174" t="s">
        <v>4752</v>
      </c>
      <c r="BO90" s="173"/>
      <c r="BP90" s="173"/>
      <c r="BQ90" s="248"/>
      <c r="BR90" s="175"/>
      <c r="BS90" s="175" t="s">
        <v>2215</v>
      </c>
      <c r="BT90" s="175" t="s">
        <v>4457</v>
      </c>
      <c r="BU90" s="129" t="s">
        <v>891</v>
      </c>
      <c r="BV90" s="175" t="s">
        <v>4753</v>
      </c>
      <c r="BW90" s="129" t="s">
        <v>163</v>
      </c>
      <c r="BX90" s="175" t="s">
        <v>3399</v>
      </c>
      <c r="BY90" s="175" t="s">
        <v>4754</v>
      </c>
      <c r="BZ90" s="251"/>
      <c r="CA90" s="129" t="s">
        <v>1240</v>
      </c>
      <c r="CB90" s="175" t="s">
        <v>4755</v>
      </c>
      <c r="CC90" s="175" t="s">
        <v>4756</v>
      </c>
      <c r="CD90" s="175" t="s">
        <v>2598</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1087</v>
      </c>
      <c r="DB90" s="203" t="s">
        <v>4765</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4766</v>
      </c>
      <c r="DV90" s="204" t="s">
        <v>4767</v>
      </c>
      <c r="DW90" s="204" t="s">
        <v>3419</v>
      </c>
      <c r="DX90" s="257"/>
      <c r="DY90" s="257"/>
      <c r="DZ90" s="204" t="s">
        <v>810</v>
      </c>
      <c r="EA90" s="204" t="s">
        <v>1321</v>
      </c>
      <c r="EB90" s="257"/>
      <c r="EC90" s="257"/>
      <c r="ED90" s="286"/>
    </row>
    <row r="91">
      <c r="A91" s="532" t="s">
        <v>4768</v>
      </c>
      <c r="B91" s="82" t="s">
        <v>4769</v>
      </c>
      <c r="C91" s="83" t="s">
        <v>1260</v>
      </c>
      <c r="D91" s="84" t="s">
        <v>1260</v>
      </c>
      <c r="E91" s="85" t="s">
        <v>1260</v>
      </c>
      <c r="F91" s="86" t="s">
        <v>4770</v>
      </c>
      <c r="G91" s="82" t="s">
        <v>4771</v>
      </c>
      <c r="H91" s="99"/>
      <c r="I91" s="88" t="s">
        <v>2515</v>
      </c>
      <c r="J91" s="88" t="s">
        <v>2219</v>
      </c>
      <c r="K91" s="88" t="s">
        <v>1886</v>
      </c>
      <c r="L91" s="88" t="s">
        <v>1098</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3004</v>
      </c>
      <c r="AE91" s="99"/>
      <c r="AF91" s="99"/>
      <c r="AG91" s="88" t="s">
        <v>1435</v>
      </c>
      <c r="AH91" s="99"/>
      <c r="AI91" s="99"/>
      <c r="AJ91" s="99"/>
      <c r="AK91" s="99"/>
      <c r="AL91" s="97"/>
      <c r="AM91" s="99"/>
      <c r="AN91" s="99"/>
      <c r="AO91" s="99"/>
      <c r="AP91" s="99"/>
      <c r="AQ91" s="99"/>
      <c r="AR91" s="99"/>
      <c r="AS91" s="99"/>
      <c r="AT91" s="99"/>
      <c r="AU91" s="88" t="s">
        <v>194</v>
      </c>
      <c r="AV91" s="88" t="s">
        <v>1957</v>
      </c>
      <c r="AW91" s="99"/>
      <c r="AX91" s="99"/>
      <c r="AY91" s="99"/>
      <c r="AZ91" s="99"/>
      <c r="BA91" s="99"/>
      <c r="BB91" s="99"/>
      <c r="BC91" s="88" t="s">
        <v>4777</v>
      </c>
      <c r="BD91" s="88" t="s">
        <v>2218</v>
      </c>
      <c r="BE91" s="88" t="s">
        <v>4778</v>
      </c>
      <c r="BF91" s="88" t="s">
        <v>2166</v>
      </c>
      <c r="BG91" s="99"/>
      <c r="BH91" s="99"/>
      <c r="BI91" s="88" t="s">
        <v>612</v>
      </c>
      <c r="BJ91" s="99"/>
      <c r="BK91" s="88" t="s">
        <v>4779</v>
      </c>
      <c r="BL91" s="88" t="s">
        <v>2603</v>
      </c>
      <c r="BM91" s="99"/>
      <c r="BN91" s="99"/>
      <c r="BO91" s="99"/>
      <c r="BP91" s="99"/>
      <c r="BQ91" s="236"/>
      <c r="BR91" s="88" t="s">
        <v>4780</v>
      </c>
      <c r="BS91" s="88" t="s">
        <v>2242</v>
      </c>
      <c r="BT91" s="88" t="s">
        <v>3638</v>
      </c>
      <c r="BU91" s="88" t="s">
        <v>4781</v>
      </c>
      <c r="BV91" s="99"/>
      <c r="BW91" s="88" t="s">
        <v>982</v>
      </c>
      <c r="BX91" s="94" t="s">
        <v>4782</v>
      </c>
      <c r="BY91" s="99"/>
      <c r="BZ91" s="88" t="s">
        <v>4783</v>
      </c>
      <c r="CA91" s="88" t="s">
        <v>1343</v>
      </c>
      <c r="CB91" s="99"/>
      <c r="CC91" s="99"/>
      <c r="CD91" s="99"/>
      <c r="CE91" s="99"/>
      <c r="CF91" s="236"/>
      <c r="CG91" s="99"/>
      <c r="CH91" s="88" t="s">
        <v>757</v>
      </c>
      <c r="CI91" s="99"/>
      <c r="CJ91" s="94" t="s">
        <v>4784</v>
      </c>
      <c r="CK91" s="94"/>
      <c r="CL91" s="94"/>
      <c r="CM91" s="99"/>
      <c r="CN91" s="88" t="s">
        <v>3546</v>
      </c>
      <c r="CO91" s="88" t="s">
        <v>2923</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2380</v>
      </c>
      <c r="DJ91" s="99"/>
      <c r="DK91" s="99"/>
      <c r="DL91" s="99"/>
      <c r="DM91" s="88" t="s">
        <v>531</v>
      </c>
      <c r="DN91" s="99"/>
      <c r="DO91" s="99"/>
      <c r="DP91" s="99"/>
      <c r="DQ91" s="99"/>
      <c r="DR91" s="88" t="s">
        <v>2840</v>
      </c>
      <c r="DS91" s="88" t="s">
        <v>2531</v>
      </c>
      <c r="DT91" s="99"/>
      <c r="DU91" s="99"/>
      <c r="DV91" s="99"/>
      <c r="DW91" s="99"/>
      <c r="DX91" s="99"/>
      <c r="DY91" s="99"/>
      <c r="DZ91" s="99"/>
      <c r="EA91" s="94" t="s">
        <v>4788</v>
      </c>
      <c r="EB91" s="88" t="s">
        <v>2706</v>
      </c>
      <c r="EC91" s="99"/>
      <c r="ED91" s="98" t="s">
        <v>1809</v>
      </c>
    </row>
    <row r="92">
      <c r="A92" s="166" t="s">
        <v>4789</v>
      </c>
      <c r="B92" s="104" t="s">
        <v>4790</v>
      </c>
      <c r="C92" s="105" t="s">
        <v>1260</v>
      </c>
      <c r="D92" s="106" t="s">
        <v>1260</v>
      </c>
      <c r="E92" s="107" t="s">
        <v>1260</v>
      </c>
      <c r="F92" s="108" t="s">
        <v>1201</v>
      </c>
      <c r="G92" s="104" t="s">
        <v>1813</v>
      </c>
      <c r="H92" s="167" t="s">
        <v>3492</v>
      </c>
      <c r="I92" s="167" t="s">
        <v>4791</v>
      </c>
      <c r="J92" s="167" t="s">
        <v>1367</v>
      </c>
      <c r="K92" s="167" t="s">
        <v>4592</v>
      </c>
      <c r="L92" s="167" t="s">
        <v>4792</v>
      </c>
      <c r="M92" s="243"/>
      <c r="N92" s="167" t="s">
        <v>2244</v>
      </c>
      <c r="O92" s="167" t="s">
        <v>4406</v>
      </c>
      <c r="P92" s="167" t="s">
        <v>4793</v>
      </c>
      <c r="Q92" s="167" t="s">
        <v>2723</v>
      </c>
      <c r="R92" s="243"/>
      <c r="S92" s="167" t="s">
        <v>197</v>
      </c>
      <c r="T92" s="243"/>
      <c r="U92" s="243"/>
      <c r="V92" s="167" t="s">
        <v>4794</v>
      </c>
      <c r="W92" s="92"/>
      <c r="X92" s="197" t="s">
        <v>4795</v>
      </c>
      <c r="Y92" s="197"/>
      <c r="Z92" s="197" t="s">
        <v>4796</v>
      </c>
      <c r="AA92" s="197" t="s">
        <v>242</v>
      </c>
      <c r="AB92" s="197" t="s">
        <v>4797</v>
      </c>
      <c r="AC92" s="197" t="s">
        <v>4798</v>
      </c>
      <c r="AD92" s="197" t="s">
        <v>3003</v>
      </c>
      <c r="AE92" s="197" t="s">
        <v>4471</v>
      </c>
      <c r="AF92" s="197" t="s">
        <v>1386</v>
      </c>
      <c r="AG92" s="197" t="s">
        <v>4367</v>
      </c>
      <c r="AH92" s="197" t="s">
        <v>1342</v>
      </c>
      <c r="AI92" s="197"/>
      <c r="AJ92" s="116" t="s">
        <v>4799</v>
      </c>
      <c r="AK92" s="197" t="s">
        <v>4800</v>
      </c>
      <c r="AL92" s="97"/>
      <c r="AM92" s="168" t="s">
        <v>3726</v>
      </c>
      <c r="AN92" s="168" t="s">
        <v>391</v>
      </c>
      <c r="AO92" s="168" t="s">
        <v>4801</v>
      </c>
      <c r="AP92" s="168" t="s">
        <v>4802</v>
      </c>
      <c r="AQ92" s="168" t="s">
        <v>1578</v>
      </c>
      <c r="AR92" s="168"/>
      <c r="AS92" s="168" t="s">
        <v>1535</v>
      </c>
      <c r="AT92" s="168" t="s">
        <v>107</v>
      </c>
      <c r="AU92" s="168" t="s">
        <v>2480</v>
      </c>
      <c r="AV92" s="121" t="s">
        <v>4803</v>
      </c>
      <c r="AW92" s="168" t="s">
        <v>1800</v>
      </c>
      <c r="AX92" s="246"/>
      <c r="AY92" s="168" t="s">
        <v>845</v>
      </c>
      <c r="AZ92" s="168" t="s">
        <v>4804</v>
      </c>
      <c r="BA92" s="168"/>
      <c r="BB92" s="173"/>
      <c r="BC92" s="174" t="s">
        <v>840</v>
      </c>
      <c r="BD92" s="174" t="s">
        <v>1045</v>
      </c>
      <c r="BE92" s="174" t="s">
        <v>1324</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2985</v>
      </c>
      <c r="BX92" s="251"/>
      <c r="BY92" s="175" t="s">
        <v>4813</v>
      </c>
      <c r="BZ92" s="251"/>
      <c r="CA92" s="175" t="s">
        <v>1116</v>
      </c>
      <c r="CB92" s="175" t="s">
        <v>4814</v>
      </c>
      <c r="CC92" s="175" t="s">
        <v>668</v>
      </c>
      <c r="CD92" s="175" t="s">
        <v>2768</v>
      </c>
      <c r="CE92" s="129" t="s">
        <v>4815</v>
      </c>
      <c r="CF92" s="294"/>
      <c r="CG92" s="177" t="s">
        <v>4816</v>
      </c>
      <c r="CH92" s="177" t="s">
        <v>1898</v>
      </c>
      <c r="CI92" s="254"/>
      <c r="CJ92" s="254"/>
      <c r="CK92" s="254"/>
      <c r="CL92" s="254" t="s">
        <v>3230</v>
      </c>
      <c r="CM92" s="254"/>
      <c r="CN92" s="177" t="s">
        <v>4817</v>
      </c>
      <c r="CO92" s="177" t="s">
        <v>3408</v>
      </c>
      <c r="CP92" s="254"/>
      <c r="CQ92" s="177" t="s">
        <v>4067</v>
      </c>
      <c r="CR92" s="254"/>
      <c r="CS92" s="254"/>
      <c r="CT92" s="135" t="s">
        <v>4818</v>
      </c>
      <c r="CU92" s="92"/>
      <c r="CV92" s="203" t="s">
        <v>2624</v>
      </c>
      <c r="CW92" s="140" t="s">
        <v>2249</v>
      </c>
      <c r="CX92" s="203" t="s">
        <v>4819</v>
      </c>
      <c r="CY92" s="203" t="s">
        <v>1235</v>
      </c>
      <c r="CZ92" s="203" t="s">
        <v>4820</v>
      </c>
      <c r="DA92" s="255"/>
      <c r="DB92" s="255"/>
      <c r="DC92" s="203" t="s">
        <v>4821</v>
      </c>
      <c r="DD92" s="140" t="s">
        <v>4822</v>
      </c>
      <c r="DE92" s="203" t="s">
        <v>1269</v>
      </c>
      <c r="DF92" s="255"/>
      <c r="DG92" s="203" t="s">
        <v>4823</v>
      </c>
      <c r="DH92" s="203"/>
      <c r="DI92" s="257"/>
      <c r="DJ92" s="204" t="s">
        <v>4319</v>
      </c>
      <c r="DK92" s="257"/>
      <c r="DL92" s="204"/>
      <c r="DM92" s="204" t="s">
        <v>4648</v>
      </c>
      <c r="DN92" s="204" t="s">
        <v>4824</v>
      </c>
      <c r="DO92" s="145" t="s">
        <v>3919</v>
      </c>
      <c r="DP92" s="204" t="s">
        <v>3180</v>
      </c>
      <c r="DQ92" s="204" t="s">
        <v>2294</v>
      </c>
      <c r="DR92" s="204" t="s">
        <v>1038</v>
      </c>
      <c r="DS92" s="257"/>
      <c r="DT92" s="204" t="s">
        <v>4825</v>
      </c>
      <c r="DU92" s="204" t="s">
        <v>4826</v>
      </c>
      <c r="DV92" s="204" t="s">
        <v>4827</v>
      </c>
      <c r="DW92" s="204" t="s">
        <v>4828</v>
      </c>
      <c r="DX92" s="204" t="s">
        <v>1848</v>
      </c>
      <c r="DY92" s="204" t="s">
        <v>1315</v>
      </c>
      <c r="DZ92" s="204" t="s">
        <v>3566</v>
      </c>
      <c r="EA92" s="204" t="s">
        <v>3698</v>
      </c>
      <c r="EB92" s="204" t="s">
        <v>4829</v>
      </c>
      <c r="EC92" s="204" t="s">
        <v>1592</v>
      </c>
      <c r="ED92" s="286" t="s">
        <v>4830</v>
      </c>
    </row>
    <row r="93">
      <c r="A93" s="533" t="s">
        <v>4831</v>
      </c>
      <c r="B93" s="82" t="s">
        <v>4832</v>
      </c>
      <c r="C93" s="83" t="s">
        <v>1260</v>
      </c>
      <c r="D93" s="84" t="s">
        <v>1260</v>
      </c>
      <c r="E93" s="85" t="s">
        <v>1260</v>
      </c>
      <c r="F93" s="86" t="s">
        <v>2676</v>
      </c>
      <c r="G93" s="82" t="s">
        <v>2344</v>
      </c>
      <c r="H93" s="99"/>
      <c r="I93" s="99"/>
      <c r="J93" s="94" t="s">
        <v>4833</v>
      </c>
      <c r="K93" s="94" t="s">
        <v>1000</v>
      </c>
      <c r="L93" s="94" t="s">
        <v>4834</v>
      </c>
      <c r="M93" s="94" t="s">
        <v>4835</v>
      </c>
      <c r="N93" s="94" t="s">
        <v>4836</v>
      </c>
      <c r="O93" s="94" t="s">
        <v>2701</v>
      </c>
      <c r="P93" s="88" t="s">
        <v>3098</v>
      </c>
      <c r="Q93" s="99"/>
      <c r="R93" s="99"/>
      <c r="S93" s="99"/>
      <c r="T93" s="99"/>
      <c r="U93" s="99"/>
      <c r="V93" s="94" t="s">
        <v>4837</v>
      </c>
      <c r="W93" s="92"/>
      <c r="X93" s="265" t="s">
        <v>4838</v>
      </c>
      <c r="Y93" s="94"/>
      <c r="Z93" s="94" t="s">
        <v>1009</v>
      </c>
      <c r="AA93" s="88" t="s">
        <v>1742</v>
      </c>
      <c r="AB93" s="88" t="s">
        <v>4839</v>
      </c>
      <c r="AC93" s="88" t="s">
        <v>2336</v>
      </c>
      <c r="AD93" s="265" t="s">
        <v>4316</v>
      </c>
      <c r="AE93" s="94"/>
      <c r="AF93" s="162" t="s">
        <v>3438</v>
      </c>
      <c r="AG93" s="88" t="s">
        <v>1828</v>
      </c>
      <c r="AH93" s="99"/>
      <c r="AI93" s="99"/>
      <c r="AJ93" s="94" t="s">
        <v>2035</v>
      </c>
      <c r="AK93" s="94" t="s">
        <v>4840</v>
      </c>
      <c r="AL93" s="97"/>
      <c r="AM93" s="99"/>
      <c r="AN93" s="99"/>
      <c r="AO93" s="99"/>
      <c r="AP93" s="99"/>
      <c r="AQ93" s="94" t="s">
        <v>238</v>
      </c>
      <c r="AR93" s="94"/>
      <c r="AS93" s="99"/>
      <c r="AT93" s="99"/>
      <c r="AU93" s="94" t="s">
        <v>981</v>
      </c>
      <c r="AV93" s="265" t="s">
        <v>4841</v>
      </c>
      <c r="AW93" s="99"/>
      <c r="AX93" s="99"/>
      <c r="AY93" s="88" t="s">
        <v>343</v>
      </c>
      <c r="AZ93" s="94" t="s">
        <v>4842</v>
      </c>
      <c r="BA93" s="94"/>
      <c r="BB93" s="94" t="s">
        <v>4466</v>
      </c>
      <c r="BC93" s="94" t="s">
        <v>1948</v>
      </c>
      <c r="BD93" s="94" t="s">
        <v>2218</v>
      </c>
      <c r="BE93" s="88" t="s">
        <v>380</v>
      </c>
      <c r="BF93" s="94" t="s">
        <v>1230</v>
      </c>
      <c r="BG93" s="99"/>
      <c r="BH93" s="99"/>
      <c r="BI93" s="265" t="s">
        <v>2656</v>
      </c>
      <c r="BJ93" s="99"/>
      <c r="BK93" s="94" t="s">
        <v>4843</v>
      </c>
      <c r="BL93" s="99"/>
      <c r="BM93" s="94"/>
      <c r="BN93" s="94" t="s">
        <v>3268</v>
      </c>
      <c r="BO93" s="94" t="s">
        <v>4479</v>
      </c>
      <c r="BP93" s="99"/>
      <c r="BQ93" s="236"/>
      <c r="BR93" s="99"/>
      <c r="BS93" s="94" t="s">
        <v>2238</v>
      </c>
      <c r="BT93" s="98" t="s">
        <v>3681</v>
      </c>
      <c r="BU93" s="94" t="s">
        <v>2020</v>
      </c>
      <c r="BV93" s="94" t="s">
        <v>4844</v>
      </c>
      <c r="BW93" s="94" t="s">
        <v>2985</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2923</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1260</v>
      </c>
      <c r="D94" s="106" t="s">
        <v>548</v>
      </c>
      <c r="E94" s="107" t="s">
        <v>1260</v>
      </c>
      <c r="F94" s="108" t="s">
        <v>4861</v>
      </c>
      <c r="G94" s="104" t="s">
        <v>2089</v>
      </c>
      <c r="H94" s="167" t="s">
        <v>793</v>
      </c>
      <c r="I94" s="112" t="s">
        <v>4862</v>
      </c>
      <c r="J94" s="112" t="s">
        <v>4863</v>
      </c>
      <c r="K94" s="112" t="s">
        <v>3863</v>
      </c>
      <c r="L94" s="112" t="s">
        <v>2944</v>
      </c>
      <c r="M94" s="112" t="s">
        <v>3470</v>
      </c>
      <c r="N94" s="112" t="s">
        <v>4864</v>
      </c>
      <c r="O94" s="112" t="s">
        <v>4242</v>
      </c>
      <c r="P94" s="112" t="s">
        <v>4865</v>
      </c>
      <c r="Q94" s="112" t="s">
        <v>4866</v>
      </c>
      <c r="R94" s="243"/>
      <c r="S94" s="112" t="s">
        <v>3067</v>
      </c>
      <c r="T94" s="112" t="s">
        <v>4867</v>
      </c>
      <c r="U94" s="243"/>
      <c r="V94" s="167" t="s">
        <v>4868</v>
      </c>
      <c r="W94" s="92"/>
      <c r="X94" s="116" t="s">
        <v>1750</v>
      </c>
      <c r="Y94" s="245"/>
      <c r="Z94" s="245"/>
      <c r="AA94" s="116" t="s">
        <v>1073</v>
      </c>
      <c r="AB94" s="196" t="s">
        <v>4869</v>
      </c>
      <c r="AC94" s="116" t="s">
        <v>1486</v>
      </c>
      <c r="AD94" s="197" t="s">
        <v>2847</v>
      </c>
      <c r="AE94" s="245"/>
      <c r="AF94" s="116" t="s">
        <v>3438</v>
      </c>
      <c r="AG94" s="116" t="s">
        <v>118</v>
      </c>
      <c r="AH94" s="245"/>
      <c r="AI94" s="197" t="s">
        <v>2895</v>
      </c>
      <c r="AJ94" s="197" t="s">
        <v>758</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4270</v>
      </c>
      <c r="AZ94" s="246"/>
      <c r="BA94" s="246"/>
      <c r="BB94" s="174" t="s">
        <v>2090</v>
      </c>
      <c r="BC94" s="174" t="s">
        <v>2793</v>
      </c>
      <c r="BD94" s="174" t="s">
        <v>2045</v>
      </c>
      <c r="BE94" s="126" t="s">
        <v>4874</v>
      </c>
      <c r="BF94" s="126" t="s">
        <v>4627</v>
      </c>
      <c r="BG94" s="173"/>
      <c r="BH94" s="173"/>
      <c r="BI94" s="126" t="s">
        <v>2897</v>
      </c>
      <c r="BJ94" s="173"/>
      <c r="BK94" s="126" t="s">
        <v>4875</v>
      </c>
      <c r="BL94" s="126" t="s">
        <v>2787</v>
      </c>
      <c r="BM94" s="173"/>
      <c r="BN94" s="126" t="s">
        <v>2488</v>
      </c>
      <c r="BO94" s="173"/>
      <c r="BP94" s="173"/>
      <c r="BQ94" s="248"/>
      <c r="BR94" s="129" t="s">
        <v>4876</v>
      </c>
      <c r="BS94" s="251"/>
      <c r="BT94" s="175" t="s">
        <v>4877</v>
      </c>
      <c r="BU94" s="129" t="s">
        <v>4520</v>
      </c>
      <c r="BV94" s="251"/>
      <c r="BW94" s="251"/>
      <c r="BX94" s="251"/>
      <c r="BY94" s="175" t="s">
        <v>4878</v>
      </c>
      <c r="BZ94" s="279" t="s">
        <v>804</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1269</v>
      </c>
      <c r="CT94" s="254"/>
      <c r="CU94" s="92"/>
      <c r="CV94" s="435"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1192</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1260</v>
      </c>
      <c r="D95" s="84" t="s">
        <v>1260</v>
      </c>
      <c r="E95" s="85" t="s">
        <v>1260</v>
      </c>
      <c r="F95" s="86" t="s">
        <v>1201</v>
      </c>
      <c r="G95" s="82" t="s">
        <v>1812</v>
      </c>
      <c r="H95" s="99"/>
      <c r="I95" s="99"/>
      <c r="J95" s="99"/>
      <c r="K95" s="88" t="s">
        <v>2842</v>
      </c>
      <c r="L95" s="94" t="s">
        <v>4632</v>
      </c>
      <c r="M95" s="88" t="s">
        <v>4896</v>
      </c>
      <c r="N95" s="99"/>
      <c r="O95" s="94" t="s">
        <v>930</v>
      </c>
      <c r="P95" s="94" t="s">
        <v>2548</v>
      </c>
      <c r="Q95" s="99"/>
      <c r="R95" s="99"/>
      <c r="S95" s="99"/>
      <c r="T95" s="99"/>
      <c r="U95" s="99"/>
      <c r="V95" s="99"/>
      <c r="W95" s="92"/>
      <c r="X95" s="94" t="s">
        <v>4897</v>
      </c>
      <c r="Y95" s="94"/>
      <c r="Z95" s="94" t="s">
        <v>2718</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893</v>
      </c>
      <c r="CI95" s="99"/>
      <c r="CJ95" s="88" t="s">
        <v>4904</v>
      </c>
      <c r="CK95" s="93"/>
      <c r="CL95" s="93"/>
      <c r="CM95" s="94" t="s">
        <v>3701</v>
      </c>
      <c r="CN95" s="94" t="s">
        <v>1057</v>
      </c>
      <c r="CO95" s="99"/>
      <c r="CP95" s="88" t="s">
        <v>4905</v>
      </c>
      <c r="CQ95" s="99"/>
      <c r="CR95" s="99"/>
      <c r="CS95" s="99"/>
      <c r="CT95" s="99"/>
      <c r="CU95" s="92"/>
      <c r="CV95" s="94" t="s">
        <v>1701</v>
      </c>
      <c r="CW95" s="99"/>
      <c r="CX95" s="94" t="s">
        <v>2173</v>
      </c>
      <c r="CY95" s="99"/>
      <c r="CZ95" s="94" t="s">
        <v>4906</v>
      </c>
      <c r="DA95" s="94" t="s">
        <v>2051</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1260</v>
      </c>
      <c r="D96" s="106" t="s">
        <v>1260</v>
      </c>
      <c r="E96" s="107" t="s">
        <v>1260</v>
      </c>
      <c r="F96" s="108" t="s">
        <v>986</v>
      </c>
      <c r="G96" s="104" t="s">
        <v>4668</v>
      </c>
      <c r="H96" s="413" t="s">
        <v>4119</v>
      </c>
      <c r="I96" s="514" t="s">
        <v>4910</v>
      </c>
      <c r="J96" s="112" t="s">
        <v>4911</v>
      </c>
      <c r="K96" s="112" t="s">
        <v>2842</v>
      </c>
      <c r="L96" s="413" t="s">
        <v>282</v>
      </c>
      <c r="M96" s="413"/>
      <c r="N96" s="413"/>
      <c r="O96" s="413" t="s">
        <v>3217</v>
      </c>
      <c r="P96" s="413" t="s">
        <v>1073</v>
      </c>
      <c r="Q96" s="243"/>
      <c r="R96" s="243"/>
      <c r="S96" s="243"/>
      <c r="T96" s="243"/>
      <c r="U96" s="243"/>
      <c r="V96" s="243"/>
      <c r="W96" s="92"/>
      <c r="X96" s="380" t="s">
        <v>831</v>
      </c>
      <c r="Y96" s="117"/>
      <c r="Z96" s="117" t="s">
        <v>3839</v>
      </c>
      <c r="AA96" s="117" t="s">
        <v>3625</v>
      </c>
      <c r="AB96" s="380"/>
      <c r="AC96" s="117"/>
      <c r="AD96" s="117"/>
      <c r="AE96" s="245"/>
      <c r="AF96" s="117" t="s">
        <v>4912</v>
      </c>
      <c r="AG96" s="117" t="s">
        <v>2995</v>
      </c>
      <c r="AH96" s="245"/>
      <c r="AI96" s="245"/>
      <c r="AJ96" s="117"/>
      <c r="AK96" s="245"/>
      <c r="AL96" s="97"/>
      <c r="AM96" s="124"/>
      <c r="AN96" s="121" t="s">
        <v>1979</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4913</v>
      </c>
      <c r="BS96" s="129" t="s">
        <v>375</v>
      </c>
      <c r="BT96" s="129" t="s">
        <v>1721</v>
      </c>
      <c r="BU96" s="131" t="s">
        <v>3384</v>
      </c>
      <c r="BV96" s="131" t="s">
        <v>4914</v>
      </c>
      <c r="BW96" s="129" t="s">
        <v>315</v>
      </c>
      <c r="BX96" s="175" t="s">
        <v>4915</v>
      </c>
      <c r="BY96" s="131" t="s">
        <v>4916</v>
      </c>
      <c r="BZ96" s="536"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697</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38" t="s">
        <v>4921</v>
      </c>
      <c r="B97" s="82" t="s">
        <v>4922</v>
      </c>
      <c r="C97" s="83" t="s">
        <v>1260</v>
      </c>
      <c r="D97" s="84" t="s">
        <v>548</v>
      </c>
      <c r="E97" s="85" t="s">
        <v>548</v>
      </c>
      <c r="F97" s="86" t="s">
        <v>2988</v>
      </c>
      <c r="G97" s="82" t="s">
        <v>4770</v>
      </c>
      <c r="H97" s="94" t="s">
        <v>2775</v>
      </c>
      <c r="I97" s="94" t="s">
        <v>4923</v>
      </c>
      <c r="J97" s="94" t="s">
        <v>4924</v>
      </c>
      <c r="K97" s="265" t="s">
        <v>2842</v>
      </c>
      <c r="L97" s="88" t="s">
        <v>4925</v>
      </c>
      <c r="M97" s="99"/>
      <c r="N97" s="99"/>
      <c r="O97" s="99"/>
      <c r="P97" s="88" t="s">
        <v>2548</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838</v>
      </c>
      <c r="CF97" s="236"/>
      <c r="CG97" s="99"/>
      <c r="CH97" s="88" t="s">
        <v>405</v>
      </c>
      <c r="CI97" s="99"/>
      <c r="CJ97" s="99"/>
      <c r="CK97" s="99"/>
      <c r="CL97" s="99"/>
      <c r="CM97" s="99"/>
      <c r="CN97" s="99"/>
      <c r="CO97" s="88" t="s">
        <v>2633</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39" t="s">
        <v>4942</v>
      </c>
      <c r="B98" s="104" t="s">
        <v>4943</v>
      </c>
      <c r="C98" s="105" t="s">
        <v>1260</v>
      </c>
      <c r="D98" s="106" t="s">
        <v>548</v>
      </c>
      <c r="E98" s="107" t="s">
        <v>1260</v>
      </c>
      <c r="F98" s="108" t="s">
        <v>1726</v>
      </c>
      <c r="G98" s="104" t="s">
        <v>903</v>
      </c>
      <c r="H98" s="112" t="s">
        <v>3707</v>
      </c>
      <c r="I98" s="400" t="s">
        <v>3644</v>
      </c>
      <c r="J98" s="400" t="s">
        <v>2115</v>
      </c>
      <c r="K98" s="112" t="s">
        <v>1886</v>
      </c>
      <c r="L98" s="400" t="s">
        <v>1095</v>
      </c>
      <c r="M98" s="112" t="s">
        <v>4944</v>
      </c>
      <c r="N98" s="400" t="s">
        <v>4945</v>
      </c>
      <c r="O98" s="400" t="s">
        <v>4874</v>
      </c>
      <c r="P98" s="400" t="s">
        <v>3098</v>
      </c>
      <c r="Q98" s="400" t="s">
        <v>4946</v>
      </c>
      <c r="R98" s="112" t="s">
        <v>3244</v>
      </c>
      <c r="S98" s="112" t="s">
        <v>4803</v>
      </c>
      <c r="T98" s="243"/>
      <c r="U98" s="112" t="s">
        <v>678</v>
      </c>
      <c r="V98" s="112" t="s">
        <v>4947</v>
      </c>
      <c r="W98" s="92"/>
      <c r="X98" s="380" t="s">
        <v>3018</v>
      </c>
      <c r="Y98" s="380"/>
      <c r="Z98" s="380" t="s">
        <v>4948</v>
      </c>
      <c r="AA98" s="380" t="s">
        <v>406</v>
      </c>
      <c r="AB98" s="380" t="s">
        <v>4949</v>
      </c>
      <c r="AC98" s="380" t="s">
        <v>4950</v>
      </c>
      <c r="AD98" s="380" t="s">
        <v>4951</v>
      </c>
      <c r="AE98" s="197"/>
      <c r="AF98" s="116" t="s">
        <v>959</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2696</v>
      </c>
      <c r="BE98" s="302" t="s">
        <v>4961</v>
      </c>
      <c r="BF98" s="126" t="s">
        <v>3299</v>
      </c>
      <c r="BG98" s="126" t="s">
        <v>4962</v>
      </c>
      <c r="BH98" s="126" t="s">
        <v>2472</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1439</v>
      </c>
      <c r="CO98" s="135" t="s">
        <v>3602</v>
      </c>
      <c r="CP98" s="254"/>
      <c r="CQ98" s="254"/>
      <c r="CR98" s="254"/>
      <c r="CS98" s="254"/>
      <c r="CT98" s="135" t="s">
        <v>4979</v>
      </c>
      <c r="CU98" s="92"/>
      <c r="CV98" s="140" t="s">
        <v>4980</v>
      </c>
      <c r="CW98" s="371" t="s">
        <v>4007</v>
      </c>
      <c r="CX98" s="371" t="s">
        <v>4349</v>
      </c>
      <c r="CY98" s="371" t="s">
        <v>2938</v>
      </c>
      <c r="CZ98" s="140" t="s">
        <v>4981</v>
      </c>
      <c r="DA98" s="371" t="s">
        <v>2162</v>
      </c>
      <c r="DB98" s="371" t="s">
        <v>4982</v>
      </c>
      <c r="DC98" s="371" t="s">
        <v>2858</v>
      </c>
      <c r="DD98" s="255"/>
      <c r="DE98" s="255"/>
      <c r="DF98" s="255"/>
      <c r="DG98" s="140" t="s">
        <v>480</v>
      </c>
      <c r="DH98" s="140"/>
      <c r="DI98" s="204" t="s">
        <v>2034</v>
      </c>
      <c r="DJ98" s="257"/>
      <c r="DK98" s="257"/>
      <c r="DL98" s="257"/>
      <c r="DM98" s="141" t="s">
        <v>180</v>
      </c>
      <c r="DN98" s="145" t="s">
        <v>4209</v>
      </c>
      <c r="DO98" s="257"/>
      <c r="DP98" s="257"/>
      <c r="DQ98" s="257"/>
      <c r="DR98" s="204" t="s">
        <v>2821</v>
      </c>
      <c r="DS98" s="204" t="s">
        <v>2898</v>
      </c>
      <c r="DT98" s="257"/>
      <c r="DU98" s="145" t="s">
        <v>2158</v>
      </c>
      <c r="DV98" s="257"/>
      <c r="DW98" s="204" t="s">
        <v>899</v>
      </c>
      <c r="DX98" s="257"/>
      <c r="DY98" s="145" t="s">
        <v>3025</v>
      </c>
      <c r="DZ98" s="204" t="s">
        <v>1966</v>
      </c>
      <c r="EA98" s="257"/>
      <c r="EB98" s="257"/>
      <c r="EC98" s="257"/>
      <c r="ED98" s="142" t="s">
        <v>2539</v>
      </c>
    </row>
    <row r="99">
      <c r="A99" s="540" t="s">
        <v>4983</v>
      </c>
      <c r="B99" s="441" t="s">
        <v>4984</v>
      </c>
      <c r="C99" s="442" t="s">
        <v>1260</v>
      </c>
      <c r="D99" s="443" t="s">
        <v>1260</v>
      </c>
      <c r="E99" s="444" t="s">
        <v>1260</v>
      </c>
      <c r="F99" s="445" t="s">
        <v>1201</v>
      </c>
      <c r="G99" s="441" t="s">
        <v>3371</v>
      </c>
      <c r="H99" s="354"/>
      <c r="I99" s="354"/>
      <c r="J99" s="354"/>
      <c r="K99" s="446" t="s">
        <v>1730</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760</v>
      </c>
      <c r="AG99" s="542" t="s">
        <v>249</v>
      </c>
      <c r="AH99" s="354"/>
      <c r="AI99" s="354"/>
      <c r="AJ99" s="354"/>
      <c r="AK99" s="354"/>
      <c r="AL99" s="159"/>
      <c r="AM99" s="354"/>
      <c r="AN99" s="354"/>
      <c r="AO99" s="354"/>
      <c r="AP99" s="354"/>
      <c r="AQ99" s="354"/>
      <c r="AR99" s="354"/>
      <c r="AS99" s="354"/>
      <c r="AT99" s="354"/>
      <c r="AU99" s="353" t="s">
        <v>2396</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1260</v>
      </c>
      <c r="D100" s="106" t="s">
        <v>1260</v>
      </c>
      <c r="E100" s="107" t="s">
        <v>1260</v>
      </c>
      <c r="F100" s="108" t="s">
        <v>548</v>
      </c>
      <c r="G100" s="104" t="s">
        <v>4770</v>
      </c>
      <c r="H100" s="345"/>
      <c r="I100" s="345" t="s">
        <v>1300</v>
      </c>
      <c r="J100" s="345" t="s">
        <v>2219</v>
      </c>
      <c r="K100" s="345" t="s">
        <v>3518</v>
      </c>
      <c r="L100" s="345" t="s">
        <v>4992</v>
      </c>
      <c r="M100" s="345"/>
      <c r="N100" s="345" t="s">
        <v>2883</v>
      </c>
      <c r="O100" s="345" t="s">
        <v>1451</v>
      </c>
      <c r="P100" s="345" t="s">
        <v>2892</v>
      </c>
      <c r="Q100" s="544"/>
      <c r="R100" s="544"/>
      <c r="S100" s="544"/>
      <c r="T100" s="544"/>
      <c r="U100" s="544"/>
      <c r="V100" s="544"/>
      <c r="W100" s="92"/>
      <c r="X100" s="300" t="s">
        <v>3971</v>
      </c>
      <c r="Y100" s="300"/>
      <c r="Z100" s="300" t="s">
        <v>364</v>
      </c>
      <c r="AA100" s="300" t="s">
        <v>2243</v>
      </c>
      <c r="AB100" s="300" t="s">
        <v>1072</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2570</v>
      </c>
      <c r="BD100" s="200" t="s">
        <v>618</v>
      </c>
      <c r="BE100" s="200" t="s">
        <v>4960</v>
      </c>
      <c r="BF100" s="200"/>
      <c r="BG100" s="200"/>
      <c r="BH100" s="549"/>
      <c r="BI100" s="550" t="s">
        <v>848</v>
      </c>
      <c r="BJ100" s="551" t="s">
        <v>1708</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1628</v>
      </c>
      <c r="CY100" s="283" t="s">
        <v>998</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5007</v>
      </c>
      <c r="B101" s="82" t="s">
        <v>5008</v>
      </c>
      <c r="C101" s="83" t="s">
        <v>1260</v>
      </c>
      <c r="D101" s="84" t="s">
        <v>1260</v>
      </c>
      <c r="E101" s="85" t="s">
        <v>1260</v>
      </c>
      <c r="F101" s="86" t="s">
        <v>335</v>
      </c>
      <c r="G101" s="82" t="s">
        <v>1062</v>
      </c>
      <c r="H101" s="99"/>
      <c r="I101" s="94" t="s">
        <v>2932</v>
      </c>
      <c r="J101" s="94" t="s">
        <v>3397</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2033</v>
      </c>
      <c r="AB101" s="94" t="s">
        <v>1276</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1260</v>
      </c>
      <c r="D102" s="106" t="s">
        <v>1260</v>
      </c>
      <c r="E102" s="107" t="s">
        <v>1260</v>
      </c>
      <c r="F102" s="108" t="s">
        <v>548</v>
      </c>
      <c r="G102" s="104" t="s">
        <v>2344</v>
      </c>
      <c r="H102" s="167" t="s">
        <v>683</v>
      </c>
      <c r="I102" s="167" t="s">
        <v>5023</v>
      </c>
      <c r="J102" s="167" t="s">
        <v>5024</v>
      </c>
      <c r="K102" s="167" t="s">
        <v>5025</v>
      </c>
      <c r="L102" s="167" t="s">
        <v>2944</v>
      </c>
      <c r="M102" s="167" t="s">
        <v>5026</v>
      </c>
      <c r="N102" s="167" t="s">
        <v>5027</v>
      </c>
      <c r="O102" s="167" t="s">
        <v>1901</v>
      </c>
      <c r="P102" s="167" t="s">
        <v>5028</v>
      </c>
      <c r="Q102" s="243"/>
      <c r="R102" s="243"/>
      <c r="S102" s="167" t="s">
        <v>4098</v>
      </c>
      <c r="T102" s="243"/>
      <c r="U102" s="167" t="s">
        <v>638</v>
      </c>
      <c r="V102" s="243"/>
      <c r="W102" s="92"/>
      <c r="X102" s="197" t="s">
        <v>2007</v>
      </c>
      <c r="Y102" s="197"/>
      <c r="Z102" s="197" t="s">
        <v>1902</v>
      </c>
      <c r="AA102" s="197" t="s">
        <v>5029</v>
      </c>
      <c r="AB102" s="197" t="s">
        <v>3683</v>
      </c>
      <c r="AC102" s="563" t="s">
        <v>2571</v>
      </c>
      <c r="AD102" s="197" t="s">
        <v>4463</v>
      </c>
      <c r="AE102" s="245"/>
      <c r="AF102" s="245"/>
      <c r="AG102" s="197" t="s">
        <v>5030</v>
      </c>
      <c r="AH102" s="245"/>
      <c r="AI102" s="245"/>
      <c r="AJ102" s="245"/>
      <c r="AK102" s="245"/>
      <c r="AL102" s="97"/>
      <c r="AM102" s="168" t="s">
        <v>2398</v>
      </c>
      <c r="AN102" s="168" t="s">
        <v>5031</v>
      </c>
      <c r="AO102" s="246"/>
      <c r="AP102" s="246"/>
      <c r="AQ102" s="246"/>
      <c r="AR102" s="246"/>
      <c r="AS102" s="168" t="s">
        <v>1142</v>
      </c>
      <c r="AT102" s="246"/>
      <c r="AU102" s="168" t="s">
        <v>2594</v>
      </c>
      <c r="AV102" s="168" t="s">
        <v>146</v>
      </c>
      <c r="AW102" s="168" t="s">
        <v>4199</v>
      </c>
      <c r="AX102" s="246"/>
      <c r="AY102" s="168" t="s">
        <v>5032</v>
      </c>
      <c r="AZ102" s="168" t="s">
        <v>5033</v>
      </c>
      <c r="BA102" s="168"/>
      <c r="BB102" s="174" t="s">
        <v>5034</v>
      </c>
      <c r="BC102" s="174" t="s">
        <v>5035</v>
      </c>
      <c r="BD102" s="174" t="s">
        <v>1045</v>
      </c>
      <c r="BE102" s="174" t="s">
        <v>1024</v>
      </c>
      <c r="BF102" s="174" t="s">
        <v>3036</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2639</v>
      </c>
      <c r="CB102" s="251"/>
      <c r="CC102" s="175" t="s">
        <v>5040</v>
      </c>
      <c r="CD102" s="251"/>
      <c r="CE102" s="251"/>
      <c r="CF102" s="252"/>
      <c r="CG102" s="177" t="s">
        <v>5041</v>
      </c>
      <c r="CH102" s="177" t="s">
        <v>5042</v>
      </c>
      <c r="CI102" s="177" t="s">
        <v>4926</v>
      </c>
      <c r="CJ102" s="177"/>
      <c r="CK102" s="177"/>
      <c r="CL102" s="177" t="s">
        <v>5043</v>
      </c>
      <c r="CM102" s="177" t="s">
        <v>4615</v>
      </c>
      <c r="CN102" s="564" t="s">
        <v>1409</v>
      </c>
      <c r="CO102" s="177" t="s">
        <v>3144</v>
      </c>
      <c r="CP102" s="254"/>
      <c r="CQ102" s="254"/>
      <c r="CR102" s="177"/>
      <c r="CS102" s="177" t="s">
        <v>5044</v>
      </c>
      <c r="CT102" s="254"/>
      <c r="CU102" s="92"/>
      <c r="CV102" s="203" t="s">
        <v>5045</v>
      </c>
      <c r="CW102" s="203" t="s">
        <v>2577</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1260</v>
      </c>
      <c r="D103" s="84" t="s">
        <v>1260</v>
      </c>
      <c r="E103" s="85" t="s">
        <v>1260</v>
      </c>
      <c r="F103" s="86" t="s">
        <v>4219</v>
      </c>
      <c r="G103" s="82" t="s">
        <v>5053</v>
      </c>
      <c r="H103" s="88" t="s">
        <v>5054</v>
      </c>
      <c r="I103" s="88" t="s">
        <v>3015</v>
      </c>
      <c r="J103" s="88" t="s">
        <v>3998</v>
      </c>
      <c r="K103" s="94" t="s">
        <v>1275</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3716</v>
      </c>
      <c r="AA103" s="94" t="s">
        <v>5061</v>
      </c>
      <c r="AB103" s="94" t="s">
        <v>5062</v>
      </c>
      <c r="AC103" s="94" t="s">
        <v>2259</v>
      </c>
      <c r="AD103" s="94" t="s">
        <v>5063</v>
      </c>
      <c r="AE103" s="99"/>
      <c r="AF103" s="94" t="s">
        <v>5064</v>
      </c>
      <c r="AG103" s="94" t="s">
        <v>1118</v>
      </c>
      <c r="AH103" s="94" t="s">
        <v>5065</v>
      </c>
      <c r="AI103" s="94"/>
      <c r="AJ103" s="94" t="s">
        <v>5066</v>
      </c>
      <c r="AK103" s="259" t="s">
        <v>5067</v>
      </c>
      <c r="AL103" s="97"/>
      <c r="AM103" s="94" t="s">
        <v>1862</v>
      </c>
      <c r="AN103" s="94" t="s">
        <v>5068</v>
      </c>
      <c r="AO103" s="94" t="s">
        <v>5069</v>
      </c>
      <c r="AP103" s="94" t="s">
        <v>1505</v>
      </c>
      <c r="AQ103" s="94" t="s">
        <v>3758</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2637</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2047</v>
      </c>
      <c r="BV103" s="99"/>
      <c r="BW103" s="93" t="s">
        <v>432</v>
      </c>
      <c r="BX103" s="99"/>
      <c r="BY103" s="99"/>
      <c r="BZ103" s="94" t="s">
        <v>3811</v>
      </c>
      <c r="CA103" s="94" t="s">
        <v>641</v>
      </c>
      <c r="CB103" s="88" t="s">
        <v>5078</v>
      </c>
      <c r="CC103" s="94" t="s">
        <v>5079</v>
      </c>
      <c r="CD103" s="94" t="s">
        <v>3655</v>
      </c>
      <c r="CE103" s="94" t="s">
        <v>5080</v>
      </c>
      <c r="CF103" s="100"/>
      <c r="CG103" s="94" t="s">
        <v>1331</v>
      </c>
      <c r="CH103" s="94" t="s">
        <v>5081</v>
      </c>
      <c r="CI103" s="94" t="s">
        <v>3151</v>
      </c>
      <c r="CJ103" s="94" t="s">
        <v>5082</v>
      </c>
      <c r="CK103" s="94"/>
      <c r="CL103" s="94" t="s">
        <v>5083</v>
      </c>
      <c r="CM103" s="99"/>
      <c r="CN103" s="94" t="s">
        <v>2983</v>
      </c>
      <c r="CO103" s="94" t="s">
        <v>1549</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1321</v>
      </c>
      <c r="DZ103" s="94" t="s">
        <v>5101</v>
      </c>
      <c r="EA103" s="94" t="s">
        <v>4989</v>
      </c>
      <c r="EB103" s="94" t="s">
        <v>641</v>
      </c>
      <c r="EC103" s="94" t="s">
        <v>2886</v>
      </c>
      <c r="ED103" s="259" t="s">
        <v>5102</v>
      </c>
    </row>
    <row r="104">
      <c r="A104" s="166" t="s">
        <v>5103</v>
      </c>
      <c r="B104" s="104" t="s">
        <v>5104</v>
      </c>
      <c r="C104" s="105" t="s">
        <v>1260</v>
      </c>
      <c r="D104" s="106" t="s">
        <v>1260</v>
      </c>
      <c r="E104" s="107" t="s">
        <v>1260</v>
      </c>
      <c r="F104" s="108" t="s">
        <v>439</v>
      </c>
      <c r="G104" s="104" t="s">
        <v>3092</v>
      </c>
      <c r="H104" s="167" t="s">
        <v>996</v>
      </c>
      <c r="I104" s="243"/>
      <c r="J104" s="167" t="s">
        <v>5105</v>
      </c>
      <c r="K104" s="167" t="s">
        <v>5025</v>
      </c>
      <c r="L104" s="167" t="s">
        <v>1617</v>
      </c>
      <c r="M104" s="167" t="s">
        <v>5106</v>
      </c>
      <c r="N104" s="167" t="s">
        <v>1583</v>
      </c>
      <c r="O104" s="167" t="s">
        <v>5107</v>
      </c>
      <c r="P104" s="167" t="s">
        <v>1080</v>
      </c>
      <c r="Q104" s="243"/>
      <c r="R104" s="243"/>
      <c r="S104" s="243"/>
      <c r="T104" s="243"/>
      <c r="U104" s="243"/>
      <c r="V104" s="243"/>
      <c r="W104" s="92"/>
      <c r="X104" s="245"/>
      <c r="Y104" s="197"/>
      <c r="Z104" s="197" t="s">
        <v>3100</v>
      </c>
      <c r="AA104" s="197" t="s">
        <v>1781</v>
      </c>
      <c r="AB104" s="269" t="s">
        <v>2006</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1045</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2553</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1260</v>
      </c>
      <c r="D105" s="84" t="s">
        <v>1260</v>
      </c>
      <c r="E105" s="85" t="s">
        <v>1260</v>
      </c>
      <c r="F105" s="86" t="s">
        <v>441</v>
      </c>
      <c r="G105" s="82" t="s">
        <v>4668</v>
      </c>
      <c r="H105" s="94" t="s">
        <v>2763</v>
      </c>
      <c r="I105" s="94" t="s">
        <v>4014</v>
      </c>
      <c r="J105" s="94" t="s">
        <v>5122</v>
      </c>
      <c r="K105" s="94" t="s">
        <v>3963</v>
      </c>
      <c r="L105" s="94" t="s">
        <v>5123</v>
      </c>
      <c r="M105" s="94" t="s">
        <v>5124</v>
      </c>
      <c r="N105" s="94" t="s">
        <v>5125</v>
      </c>
      <c r="O105" s="94" t="s">
        <v>5126</v>
      </c>
      <c r="P105" s="94" t="s">
        <v>2684</v>
      </c>
      <c r="Q105" s="99"/>
      <c r="R105" s="99"/>
      <c r="S105" s="99"/>
      <c r="T105" s="99"/>
      <c r="U105" s="99"/>
      <c r="V105" s="99"/>
      <c r="W105" s="92"/>
      <c r="X105" s="94" t="s">
        <v>3437</v>
      </c>
      <c r="Y105" s="94"/>
      <c r="Z105" s="94" t="s">
        <v>3528</v>
      </c>
      <c r="AA105" s="94" t="s">
        <v>118</v>
      </c>
      <c r="AB105" s="98" t="str">
        <f>HYPERLINK("https://youtu.be/qJ6N4MrS6B4","48.05")</f>
        <v>48.05</v>
      </c>
      <c r="AC105" s="94" t="s">
        <v>2471</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3956</v>
      </c>
      <c r="CN105" s="94" t="s">
        <v>3464</v>
      </c>
      <c r="CO105" s="99"/>
      <c r="CP105" s="99"/>
      <c r="CQ105" s="99"/>
      <c r="CR105" s="99"/>
      <c r="CS105" s="99"/>
      <c r="CT105" s="99"/>
      <c r="CU105" s="92"/>
      <c r="CV105" s="94" t="s">
        <v>5133</v>
      </c>
      <c r="CW105" s="99"/>
      <c r="CX105" s="94" t="s">
        <v>2697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1260</v>
      </c>
      <c r="D106" s="106" t="s">
        <v>1260</v>
      </c>
      <c r="E106" s="107" t="s">
        <v>1260</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2002</v>
      </c>
      <c r="BC106" s="173"/>
      <c r="BD106" s="174" t="s">
        <v>5147</v>
      </c>
      <c r="BE106" s="174" t="s">
        <v>4999</v>
      </c>
      <c r="BF106" s="126" t="s">
        <v>4135</v>
      </c>
      <c r="BG106" s="174" t="s">
        <v>1342</v>
      </c>
      <c r="BH106" s="173"/>
      <c r="BI106" s="174" t="s">
        <v>2666</v>
      </c>
      <c r="BJ106" s="174" t="s">
        <v>5148</v>
      </c>
      <c r="BK106" s="174"/>
      <c r="BL106" s="173"/>
      <c r="BM106" s="173"/>
      <c r="BN106" s="173"/>
      <c r="BO106" s="173"/>
      <c r="BP106" s="173"/>
      <c r="BQ106" s="248"/>
      <c r="BR106" s="175" t="s">
        <v>3783</v>
      </c>
      <c r="BS106" s="251"/>
      <c r="BT106" s="175" t="s">
        <v>2638</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894</v>
      </c>
      <c r="CO106" s="254"/>
      <c r="CP106" s="254"/>
      <c r="CQ106" s="254"/>
      <c r="CR106" s="254"/>
      <c r="CS106" s="254"/>
      <c r="CT106" s="254"/>
      <c r="CU106" s="92"/>
      <c r="CV106" s="203" t="s">
        <v>5153</v>
      </c>
      <c r="CW106" s="203" t="s">
        <v>4775</v>
      </c>
      <c r="CX106" s="203" t="s">
        <v>3464</v>
      </c>
      <c r="CY106" s="203" t="s">
        <v>2944</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1260</v>
      </c>
      <c r="D107" s="84" t="s">
        <v>1260</v>
      </c>
      <c r="E107" s="85" t="s">
        <v>1260</v>
      </c>
      <c r="F107" s="86" t="s">
        <v>548</v>
      </c>
      <c r="G107" s="82" t="s">
        <v>1812</v>
      </c>
      <c r="H107" s="94" t="s">
        <v>4897</v>
      </c>
      <c r="I107" s="94" t="s">
        <v>4198</v>
      </c>
      <c r="J107" s="94" t="s">
        <v>2466</v>
      </c>
      <c r="K107" s="93" t="s">
        <v>4383</v>
      </c>
      <c r="L107" s="94" t="s">
        <v>5158</v>
      </c>
      <c r="M107" s="99"/>
      <c r="N107" s="94" t="s">
        <v>673</v>
      </c>
      <c r="O107" s="94" t="s">
        <v>3838</v>
      </c>
      <c r="P107" s="94" t="s">
        <v>4343</v>
      </c>
      <c r="Q107" s="94" t="s">
        <v>5159</v>
      </c>
      <c r="R107" s="94"/>
      <c r="S107" s="94" t="s">
        <v>233</v>
      </c>
      <c r="T107" s="99"/>
      <c r="U107" s="94" t="s">
        <v>2407</v>
      </c>
      <c r="V107" s="94" t="s">
        <v>5160</v>
      </c>
      <c r="W107" s="92"/>
      <c r="X107" s="94" t="s">
        <v>5161</v>
      </c>
      <c r="Y107" s="93"/>
      <c r="Z107" s="93" t="s">
        <v>2686</v>
      </c>
      <c r="AA107" s="94" t="s">
        <v>2943</v>
      </c>
      <c r="AB107" s="94" t="s">
        <v>5162</v>
      </c>
      <c r="AC107" s="94" t="s">
        <v>893</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911</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1260</v>
      </c>
      <c r="D108" s="106" t="s">
        <v>1260</v>
      </c>
      <c r="E108" s="107" t="s">
        <v>1260</v>
      </c>
      <c r="F108" s="108" t="s">
        <v>1260</v>
      </c>
      <c r="G108" s="104" t="s">
        <v>5140</v>
      </c>
      <c r="H108" s="243"/>
      <c r="I108" s="167" t="s">
        <v>2497</v>
      </c>
      <c r="J108" s="167" t="s">
        <v>5173</v>
      </c>
      <c r="K108" s="167" t="s">
        <v>1000</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1207</v>
      </c>
      <c r="BU108" s="175" t="s">
        <v>5180</v>
      </c>
      <c r="BV108" s="175" t="s">
        <v>5181</v>
      </c>
      <c r="BW108" s="175" t="s">
        <v>5182</v>
      </c>
      <c r="BX108" s="251"/>
      <c r="BY108" s="175" t="s">
        <v>5183</v>
      </c>
      <c r="BZ108" s="251"/>
      <c r="CA108" s="251"/>
      <c r="CB108" s="251"/>
      <c r="CC108" s="251"/>
      <c r="CD108" s="251"/>
      <c r="CE108" s="251"/>
      <c r="CF108" s="252"/>
      <c r="CG108" s="177" t="s">
        <v>5184</v>
      </c>
      <c r="CH108" s="177" t="s">
        <v>718</v>
      </c>
      <c r="CI108" s="177" t="s">
        <v>1296</v>
      </c>
      <c r="CJ108" s="177" t="s">
        <v>5185</v>
      </c>
      <c r="CK108" s="177"/>
      <c r="CL108" s="177"/>
      <c r="CM108" s="177" t="s">
        <v>3439</v>
      </c>
      <c r="CN108" s="177" t="s">
        <v>3940</v>
      </c>
      <c r="CO108" s="177" t="s">
        <v>5186</v>
      </c>
      <c r="CP108" s="254"/>
      <c r="CQ108" s="254"/>
      <c r="CR108" s="254"/>
      <c r="CS108" s="254"/>
      <c r="CT108" s="254"/>
      <c r="CU108" s="92"/>
      <c r="CV108" s="203" t="s">
        <v>5187</v>
      </c>
      <c r="CW108" s="255"/>
      <c r="CX108" s="203" t="s">
        <v>2754</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1260</v>
      </c>
      <c r="D109" s="84" t="s">
        <v>1260</v>
      </c>
      <c r="E109" s="85" t="s">
        <v>1260</v>
      </c>
      <c r="F109" s="86" t="s">
        <v>1812</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1260</v>
      </c>
      <c r="D110" s="106" t="s">
        <v>1260</v>
      </c>
      <c r="E110" s="107" t="s">
        <v>1260</v>
      </c>
      <c r="F110" s="108" t="s">
        <v>548</v>
      </c>
      <c r="G110" s="104" t="s">
        <v>3337</v>
      </c>
      <c r="H110" s="243"/>
      <c r="I110" s="167" t="s">
        <v>5198</v>
      </c>
      <c r="J110" s="112" t="s">
        <v>5199</v>
      </c>
      <c r="K110" s="167" t="s">
        <v>4492</v>
      </c>
      <c r="L110" s="400" t="s">
        <v>567</v>
      </c>
      <c r="M110" s="243"/>
      <c r="N110" s="167" t="s">
        <v>5200</v>
      </c>
      <c r="O110" s="167" t="s">
        <v>1024</v>
      </c>
      <c r="P110" s="167" t="s">
        <v>3625</v>
      </c>
      <c r="Q110" s="243"/>
      <c r="R110" s="243"/>
      <c r="S110" s="243"/>
      <c r="T110" s="243"/>
      <c r="U110" s="243"/>
      <c r="V110" s="243"/>
      <c r="W110" s="92"/>
      <c r="X110" s="197" t="s">
        <v>2632</v>
      </c>
      <c r="Y110" s="197"/>
      <c r="Z110" s="197" t="s">
        <v>1009</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1108</v>
      </c>
      <c r="BC110" s="174" t="s">
        <v>373</v>
      </c>
      <c r="BD110" s="174" t="s">
        <v>4665</v>
      </c>
      <c r="BE110" s="174" t="s">
        <v>4874</v>
      </c>
      <c r="BF110" s="174" t="s">
        <v>1744</v>
      </c>
      <c r="BG110" s="173"/>
      <c r="BH110" s="173"/>
      <c r="BI110" s="174" t="s">
        <v>1984</v>
      </c>
      <c r="BJ110" s="174" t="s">
        <v>5204</v>
      </c>
      <c r="BK110" s="174" t="s">
        <v>691</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2414</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1260</v>
      </c>
      <c r="D111" s="84" t="s">
        <v>1260</v>
      </c>
      <c r="E111" s="85" t="s">
        <v>1260</v>
      </c>
      <c r="F111" s="86" t="s">
        <v>548</v>
      </c>
      <c r="G111" s="82" t="s">
        <v>1726</v>
      </c>
      <c r="H111" s="94"/>
      <c r="I111" s="94" t="s">
        <v>5212</v>
      </c>
      <c r="J111" s="94" t="s">
        <v>5213</v>
      </c>
      <c r="K111" s="94" t="s">
        <v>3456</v>
      </c>
      <c r="L111" s="94" t="s">
        <v>5214</v>
      </c>
      <c r="M111" s="98" t="str">
        <f>HYPERLINK("https://www.twitch.tv/videos/204820156","2:20.22")</f>
        <v>2:20.22</v>
      </c>
      <c r="N111" s="94" t="s">
        <v>5215</v>
      </c>
      <c r="O111" s="94" t="s">
        <v>1158</v>
      </c>
      <c r="P111" s="522" t="s">
        <v>2909</v>
      </c>
      <c r="Q111" s="94"/>
      <c r="R111" s="94"/>
      <c r="S111" s="94"/>
      <c r="T111" s="94"/>
      <c r="U111" s="94"/>
      <c r="V111" s="99"/>
      <c r="W111" s="92"/>
      <c r="X111" s="94" t="s">
        <v>779</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1590</v>
      </c>
      <c r="CB111" s="94"/>
      <c r="CC111" s="94"/>
      <c r="CD111" s="94"/>
      <c r="CE111" s="94"/>
      <c r="CF111" s="100"/>
      <c r="CG111" s="94" t="s">
        <v>1946</v>
      </c>
      <c r="CH111" s="94" t="s">
        <v>1802</v>
      </c>
      <c r="CI111" s="94"/>
      <c r="CJ111" s="94"/>
      <c r="CK111" s="94"/>
      <c r="CL111" s="94"/>
      <c r="CM111" s="94" t="s">
        <v>1705</v>
      </c>
      <c r="CN111" s="94" t="s">
        <v>209</v>
      </c>
      <c r="CO111" s="94" t="s">
        <v>3697</v>
      </c>
      <c r="CP111" s="94"/>
      <c r="CQ111" s="94"/>
      <c r="CR111" s="94"/>
      <c r="CS111" s="94"/>
      <c r="CT111" s="94"/>
      <c r="CU111" s="92"/>
      <c r="CV111" s="94" t="s">
        <v>5223</v>
      </c>
      <c r="CW111" s="94" t="s">
        <v>2995</v>
      </c>
      <c r="CX111" s="94" t="s">
        <v>4996</v>
      </c>
      <c r="CY111" s="94" t="s">
        <v>1147</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1260</v>
      </c>
      <c r="D112" s="106" t="s">
        <v>1260</v>
      </c>
      <c r="E112" s="107" t="s">
        <v>1260</v>
      </c>
      <c r="F112" s="108" t="s">
        <v>441</v>
      </c>
      <c r="G112" s="104" t="s">
        <v>3563</v>
      </c>
      <c r="H112" s="167" t="s">
        <v>779</v>
      </c>
      <c r="I112" s="195" t="s">
        <v>3599</v>
      </c>
      <c r="J112" s="167" t="s">
        <v>5228</v>
      </c>
      <c r="K112" s="112" t="s">
        <v>2842</v>
      </c>
      <c r="L112" s="167" t="s">
        <v>5229</v>
      </c>
      <c r="M112" s="243"/>
      <c r="N112" s="243"/>
      <c r="O112" s="167" t="s">
        <v>263</v>
      </c>
      <c r="P112" s="167" t="s">
        <v>109</v>
      </c>
      <c r="Q112" s="243"/>
      <c r="R112" s="243"/>
      <c r="S112" s="167" t="s">
        <v>2636</v>
      </c>
      <c r="T112" s="243"/>
      <c r="U112" s="243"/>
      <c r="V112" s="243"/>
      <c r="W112" s="92"/>
      <c r="X112" s="116" t="s">
        <v>3077</v>
      </c>
      <c r="Y112" s="269"/>
      <c r="Z112" s="269" t="s">
        <v>2569</v>
      </c>
      <c r="AA112" s="269" t="s">
        <v>4086</v>
      </c>
      <c r="AB112" s="269" t="s">
        <v>2096</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761</v>
      </c>
      <c r="BF112" s="174" t="s">
        <v>5209</v>
      </c>
      <c r="BG112" s="173"/>
      <c r="BH112" s="173"/>
      <c r="BI112" s="507" t="s">
        <v>2886</v>
      </c>
      <c r="BJ112" s="173"/>
      <c r="BK112" s="173"/>
      <c r="BL112" s="173"/>
      <c r="BM112" s="173"/>
      <c r="BN112" s="173"/>
      <c r="BO112" s="173"/>
      <c r="BP112" s="173"/>
      <c r="BQ112" s="248"/>
      <c r="BR112" s="175"/>
      <c r="BS112" s="251"/>
      <c r="BT112" s="175" t="s">
        <v>2638</v>
      </c>
      <c r="BU112" s="175" t="s">
        <v>641</v>
      </c>
      <c r="BV112" s="251"/>
      <c r="BW112" s="129" t="s">
        <v>1126</v>
      </c>
      <c r="BX112" s="251"/>
      <c r="BY112" s="251"/>
      <c r="BZ112" s="251"/>
      <c r="CA112" s="251"/>
      <c r="CB112" s="251"/>
      <c r="CC112" s="175" t="s">
        <v>5235</v>
      </c>
      <c r="CD112" s="175"/>
      <c r="CE112" s="251"/>
      <c r="CF112" s="252"/>
      <c r="CG112" s="177" t="s">
        <v>5236</v>
      </c>
      <c r="CH112" s="254"/>
      <c r="CI112" s="254"/>
      <c r="CJ112" s="254"/>
      <c r="CK112" s="254"/>
      <c r="CL112" s="254"/>
      <c r="CM112" s="254"/>
      <c r="CN112" s="386" t="s">
        <v>1087</v>
      </c>
      <c r="CO112" s="177"/>
      <c r="CP112" s="254"/>
      <c r="CQ112" s="254"/>
      <c r="CR112" s="254"/>
      <c r="CS112" s="254"/>
      <c r="CT112" s="254"/>
      <c r="CU112" s="92"/>
      <c r="CV112" s="203" t="s">
        <v>3846</v>
      </c>
      <c r="CW112" s="203" t="s">
        <v>4383</v>
      </c>
      <c r="CX112" s="232" t="s">
        <v>3515</v>
      </c>
      <c r="CY112" s="203" t="s">
        <v>1085</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1260</v>
      </c>
      <c r="D113" s="568" t="s">
        <v>1260</v>
      </c>
      <c r="E113" s="569" t="s">
        <v>1260</v>
      </c>
      <c r="F113" s="86" t="s">
        <v>986</v>
      </c>
      <c r="G113" s="570" t="s">
        <v>5240</v>
      </c>
      <c r="H113" s="99"/>
      <c r="I113" s="571" t="s">
        <v>5241</v>
      </c>
      <c r="J113" s="94" t="s">
        <v>5242</v>
      </c>
      <c r="K113" s="572" t="s">
        <v>5243</v>
      </c>
      <c r="L113" s="571" t="s">
        <v>5244</v>
      </c>
      <c r="M113" s="94" t="s">
        <v>2062</v>
      </c>
      <c r="N113" s="94" t="s">
        <v>4680</v>
      </c>
      <c r="O113" s="100" t="s">
        <v>3108</v>
      </c>
      <c r="P113" s="100" t="s">
        <v>4891</v>
      </c>
      <c r="Q113" s="99"/>
      <c r="R113" s="99"/>
      <c r="S113" s="100" t="s">
        <v>4752</v>
      </c>
      <c r="T113" s="99"/>
      <c r="U113" s="99"/>
      <c r="V113" s="99"/>
      <c r="W113" s="92"/>
      <c r="X113" s="573" t="s">
        <v>1912</v>
      </c>
      <c r="Y113" s="93"/>
      <c r="Z113" s="571" t="s">
        <v>2762</v>
      </c>
      <c r="AA113" s="94" t="s">
        <v>458</v>
      </c>
      <c r="AB113" s="100" t="s">
        <v>3305</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1898</v>
      </c>
      <c r="BJ113" s="574"/>
      <c r="BK113" s="100" t="s">
        <v>5253</v>
      </c>
      <c r="BL113" s="100" t="s">
        <v>5254</v>
      </c>
      <c r="BM113" s="94"/>
      <c r="BN113" s="88" t="s">
        <v>3268</v>
      </c>
      <c r="BO113" s="99"/>
      <c r="BP113" s="99"/>
      <c r="BQ113" s="236"/>
      <c r="BR113" s="100" t="s">
        <v>5255</v>
      </c>
      <c r="BS113" s="94" t="s">
        <v>5256</v>
      </c>
      <c r="BT113" s="100" t="s">
        <v>995</v>
      </c>
      <c r="BU113" s="99"/>
      <c r="BV113" s="94" t="s">
        <v>4556</v>
      </c>
      <c r="BW113" s="571" t="s">
        <v>5257</v>
      </c>
      <c r="BX113" s="100" t="s">
        <v>5258</v>
      </c>
      <c r="BY113" s="573" t="s">
        <v>448</v>
      </c>
      <c r="BZ113" s="573" t="s">
        <v>5259</v>
      </c>
      <c r="CA113" s="88" t="s">
        <v>2918</v>
      </c>
      <c r="CB113" s="99"/>
      <c r="CC113" s="99"/>
      <c r="CD113" s="100" t="s">
        <v>2649</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75" t="s">
        <v>3536</v>
      </c>
      <c r="EA113" s="100" t="s">
        <v>3109</v>
      </c>
      <c r="EB113" s="99"/>
      <c r="EC113" s="99"/>
      <c r="ED113" s="259"/>
    </row>
    <row r="114">
      <c r="A114" s="576" t="s">
        <v>5268</v>
      </c>
      <c r="B114" s="104" t="s">
        <v>5269</v>
      </c>
      <c r="C114" s="105" t="s">
        <v>1260</v>
      </c>
      <c r="D114" s="106" t="s">
        <v>1260</v>
      </c>
      <c r="E114" s="107" t="s">
        <v>1260</v>
      </c>
      <c r="F114" s="108" t="s">
        <v>2676</v>
      </c>
      <c r="G114" s="104" t="s">
        <v>5270</v>
      </c>
      <c r="H114" s="112" t="s">
        <v>5271</v>
      </c>
      <c r="I114" s="112" t="s">
        <v>5272</v>
      </c>
      <c r="J114" s="112" t="s">
        <v>4924</v>
      </c>
      <c r="K114" s="112" t="s">
        <v>4045</v>
      </c>
      <c r="L114" s="112" t="s">
        <v>4105</v>
      </c>
      <c r="M114" s="167" t="s">
        <v>867</v>
      </c>
      <c r="N114" s="167" t="s">
        <v>5273</v>
      </c>
      <c r="O114" s="400" t="s">
        <v>155</v>
      </c>
      <c r="P114" s="112" t="s">
        <v>2684</v>
      </c>
      <c r="Q114" s="243"/>
      <c r="R114" s="243"/>
      <c r="S114" s="167" t="s">
        <v>3279</v>
      </c>
      <c r="T114" s="243"/>
      <c r="U114" s="167" t="s">
        <v>1458</v>
      </c>
      <c r="V114" s="243"/>
      <c r="W114" s="92"/>
      <c r="X114" s="380" t="s">
        <v>4799</v>
      </c>
      <c r="Y114" s="380"/>
      <c r="Z114" s="380" t="s">
        <v>3815</v>
      </c>
      <c r="AA114" s="116" t="s">
        <v>5274</v>
      </c>
      <c r="AB114" s="197" t="s">
        <v>5275</v>
      </c>
      <c r="AC114" s="116" t="s">
        <v>2620</v>
      </c>
      <c r="AD114" s="380" t="s">
        <v>5276</v>
      </c>
      <c r="AE114" s="245"/>
      <c r="AF114" s="197" t="s">
        <v>5277</v>
      </c>
      <c r="AG114" s="380" t="s">
        <v>5164</v>
      </c>
      <c r="AH114" s="197" t="s">
        <v>5278</v>
      </c>
      <c r="AI114" s="245"/>
      <c r="AJ114" s="245"/>
      <c r="AK114" s="245"/>
      <c r="AL114" s="97"/>
      <c r="AM114" s="168" t="s">
        <v>4448</v>
      </c>
      <c r="AN114" s="168" t="s">
        <v>1053</v>
      </c>
      <c r="AO114" s="246"/>
      <c r="AP114" s="168" t="s">
        <v>5279</v>
      </c>
      <c r="AQ114" s="168" t="s">
        <v>5280</v>
      </c>
      <c r="AR114" s="168" t="s">
        <v>2544</v>
      </c>
      <c r="AS114" s="121" t="s">
        <v>1661</v>
      </c>
      <c r="AT114" s="246"/>
      <c r="AU114" s="424" t="s">
        <v>3697</v>
      </c>
      <c r="AV114" s="278" t="s">
        <v>4744</v>
      </c>
      <c r="AW114" s="121" t="s">
        <v>3210</v>
      </c>
      <c r="AX114" s="246"/>
      <c r="AY114" s="168" t="s">
        <v>5281</v>
      </c>
      <c r="AZ114" s="246"/>
      <c r="BA114" s="246"/>
      <c r="BB114" s="174" t="s">
        <v>4356</v>
      </c>
      <c r="BC114" s="174" t="s">
        <v>1189</v>
      </c>
      <c r="BD114" s="126" t="s">
        <v>4665</v>
      </c>
      <c r="BE114" s="174" t="s">
        <v>3107</v>
      </c>
      <c r="BF114" s="174" t="s">
        <v>4345</v>
      </c>
      <c r="BG114" s="174" t="s">
        <v>2534</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3408</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2918</v>
      </c>
      <c r="DX114" s="257"/>
      <c r="DY114" s="257"/>
      <c r="DZ114" s="257"/>
      <c r="EA114" s="257"/>
      <c r="EB114" s="257"/>
      <c r="EC114" s="257"/>
      <c r="ED114" s="286"/>
    </row>
    <row r="115">
      <c r="A115" s="577" t="s">
        <v>5301</v>
      </c>
      <c r="B115" s="82" t="s">
        <v>5302</v>
      </c>
      <c r="C115" s="83" t="s">
        <v>1260</v>
      </c>
      <c r="D115" s="84" t="s">
        <v>1260</v>
      </c>
      <c r="E115" s="85" t="s">
        <v>1260</v>
      </c>
      <c r="F115" s="86" t="s">
        <v>1063</v>
      </c>
      <c r="G115" s="82" t="s">
        <v>5053</v>
      </c>
      <c r="H115" s="94" t="s">
        <v>3349</v>
      </c>
      <c r="I115" s="94" t="s">
        <v>5303</v>
      </c>
      <c r="J115" s="94" t="s">
        <v>5304</v>
      </c>
      <c r="K115" s="94" t="s">
        <v>755</v>
      </c>
      <c r="L115" s="94" t="s">
        <v>831</v>
      </c>
      <c r="M115" s="99"/>
      <c r="N115" s="94" t="s">
        <v>5305</v>
      </c>
      <c r="O115" s="94" t="s">
        <v>810</v>
      </c>
      <c r="P115" s="88" t="s">
        <v>558</v>
      </c>
      <c r="Q115" s="94" t="s">
        <v>2439</v>
      </c>
      <c r="R115" s="99"/>
      <c r="S115" s="88" t="s">
        <v>2661</v>
      </c>
      <c r="T115" s="99"/>
      <c r="U115" s="94" t="s">
        <v>5306</v>
      </c>
      <c r="V115" s="88" t="s">
        <v>5307</v>
      </c>
      <c r="W115" s="92"/>
      <c r="X115" s="94" t="s">
        <v>5308</v>
      </c>
      <c r="Y115" s="94"/>
      <c r="Z115" s="94" t="s">
        <v>1581</v>
      </c>
      <c r="AA115" s="94" t="s">
        <v>1517</v>
      </c>
      <c r="AB115" s="94" t="s">
        <v>611</v>
      </c>
      <c r="AC115" s="94" t="s">
        <v>3818</v>
      </c>
      <c r="AD115" s="94" t="s">
        <v>5309</v>
      </c>
      <c r="AE115" s="94"/>
      <c r="AF115" s="94" t="s">
        <v>3988</v>
      </c>
      <c r="AG115" s="88" t="s">
        <v>2003</v>
      </c>
      <c r="AH115" s="94" t="s">
        <v>169</v>
      </c>
      <c r="AI115" s="102"/>
      <c r="AJ115" s="88" t="s">
        <v>3062</v>
      </c>
      <c r="AK115" s="94" t="s">
        <v>5310</v>
      </c>
      <c r="AL115" s="97"/>
      <c r="AM115" s="94" t="s">
        <v>3570</v>
      </c>
      <c r="AN115" s="94" t="s">
        <v>1308</v>
      </c>
      <c r="AO115" s="99"/>
      <c r="AP115" s="88" t="s">
        <v>5311</v>
      </c>
      <c r="AQ115" s="94" t="s">
        <v>972</v>
      </c>
      <c r="AR115" s="94"/>
      <c r="AS115" s="94" t="s">
        <v>5312</v>
      </c>
      <c r="AT115" s="94" t="s">
        <v>5313</v>
      </c>
      <c r="AU115" s="88" t="s">
        <v>3334</v>
      </c>
      <c r="AV115" s="94" t="s">
        <v>5314</v>
      </c>
      <c r="AW115" s="94" t="s">
        <v>5315</v>
      </c>
      <c r="AX115" s="99"/>
      <c r="AY115" s="88" t="s">
        <v>1664</v>
      </c>
      <c r="AZ115" s="94" t="s">
        <v>5316</v>
      </c>
      <c r="BA115" s="94"/>
      <c r="BB115" s="99"/>
      <c r="BC115" s="94" t="s">
        <v>2164</v>
      </c>
      <c r="BD115" s="94" t="s">
        <v>3436</v>
      </c>
      <c r="BE115" s="94" t="s">
        <v>839</v>
      </c>
      <c r="BF115" s="94" t="s">
        <v>2601</v>
      </c>
      <c r="BG115" s="94" t="s">
        <v>3264</v>
      </c>
      <c r="BH115" s="99"/>
      <c r="BI115" s="94" t="s">
        <v>5317</v>
      </c>
      <c r="BJ115" s="94" t="s">
        <v>1146</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2611</v>
      </c>
      <c r="CW115" s="94" t="s">
        <v>4762</v>
      </c>
      <c r="CX115" s="94" t="s">
        <v>3317</v>
      </c>
      <c r="CY115" s="94" t="s">
        <v>659</v>
      </c>
      <c r="CZ115" s="99"/>
      <c r="DA115" s="99"/>
      <c r="DB115" s="88" t="s">
        <v>5330</v>
      </c>
      <c r="DC115" s="88" t="s">
        <v>2418</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1081</v>
      </c>
      <c r="DW115" s="94" t="s">
        <v>1344</v>
      </c>
      <c r="DX115" s="94" t="s">
        <v>4156</v>
      </c>
      <c r="DY115" s="94" t="s">
        <v>1018</v>
      </c>
      <c r="DZ115" s="94" t="s">
        <v>2827</v>
      </c>
      <c r="EA115" s="94" t="s">
        <v>3969</v>
      </c>
      <c r="EB115" s="94" t="s">
        <v>1756</v>
      </c>
      <c r="EC115" s="94" t="s">
        <v>1087</v>
      </c>
      <c r="ED115" s="259" t="s">
        <v>5339</v>
      </c>
    </row>
    <row r="116">
      <c r="A116" s="166" t="s">
        <v>5340</v>
      </c>
      <c r="B116" s="104" t="s">
        <v>5341</v>
      </c>
      <c r="C116" s="105" t="s">
        <v>1260</v>
      </c>
      <c r="D116" s="106" t="s">
        <v>1260</v>
      </c>
      <c r="E116" s="107" t="s">
        <v>1260</v>
      </c>
      <c r="F116" s="108" t="s">
        <v>1260</v>
      </c>
      <c r="G116" s="104" t="s">
        <v>2192</v>
      </c>
      <c r="H116" s="167" t="s">
        <v>4715</v>
      </c>
      <c r="I116" s="167" t="s">
        <v>2320</v>
      </c>
      <c r="J116" s="167" t="s">
        <v>1888</v>
      </c>
      <c r="K116" s="167" t="s">
        <v>1142</v>
      </c>
      <c r="L116" s="167" t="s">
        <v>2611</v>
      </c>
      <c r="M116" s="167" t="s">
        <v>1101</v>
      </c>
      <c r="N116" s="167" t="s">
        <v>5342</v>
      </c>
      <c r="O116" s="167" t="s">
        <v>340</v>
      </c>
      <c r="P116" s="167" t="s">
        <v>1831</v>
      </c>
      <c r="Q116" s="243"/>
      <c r="R116" s="243"/>
      <c r="S116" s="167" t="s">
        <v>5343</v>
      </c>
      <c r="T116" s="243"/>
      <c r="U116" s="167" t="s">
        <v>1220</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2030</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1045</v>
      </c>
      <c r="BE116" s="174" t="s">
        <v>2475</v>
      </c>
      <c r="BF116" s="174" t="s">
        <v>5356</v>
      </c>
      <c r="BG116" s="174" t="s">
        <v>4230</v>
      </c>
      <c r="BH116" s="174" t="s">
        <v>4556</v>
      </c>
      <c r="BI116" s="174" t="s">
        <v>5357</v>
      </c>
      <c r="BJ116" s="174" t="s">
        <v>968</v>
      </c>
      <c r="BK116" s="174"/>
      <c r="BL116" s="174" t="s">
        <v>5358</v>
      </c>
      <c r="BM116" s="173"/>
      <c r="BN116" s="174" t="s">
        <v>1848</v>
      </c>
      <c r="BO116" s="174" t="s">
        <v>2980</v>
      </c>
      <c r="BP116" s="173"/>
      <c r="BQ116" s="248"/>
      <c r="BR116" s="175"/>
      <c r="BS116" s="175" t="s">
        <v>2742</v>
      </c>
      <c r="BT116" s="175" t="s">
        <v>2898</v>
      </c>
      <c r="BU116" s="175" t="s">
        <v>2454</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2594</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1260</v>
      </c>
      <c r="D117" s="84" t="s">
        <v>1260</v>
      </c>
      <c r="E117" s="85" t="s">
        <v>1260</v>
      </c>
      <c r="F117" s="86" t="s">
        <v>334</v>
      </c>
      <c r="G117" s="82" t="s">
        <v>4771</v>
      </c>
      <c r="H117" s="94" t="s">
        <v>664</v>
      </c>
      <c r="I117" s="94" t="s">
        <v>2498</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2441</v>
      </c>
      <c r="CO117" s="94" t="s">
        <v>5234</v>
      </c>
      <c r="CP117" s="99"/>
      <c r="CQ117" s="99"/>
      <c r="CR117" s="99"/>
      <c r="CS117" s="99"/>
      <c r="CT117" s="99"/>
      <c r="CU117" s="92"/>
      <c r="CV117" s="94" t="s">
        <v>5088</v>
      </c>
      <c r="CW117" s="94" t="s">
        <v>3028</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1260</v>
      </c>
      <c r="D118" s="106" t="s">
        <v>1260</v>
      </c>
      <c r="E118" s="107" t="s">
        <v>1260</v>
      </c>
      <c r="F118" s="108" t="s">
        <v>1260</v>
      </c>
      <c r="G118" s="104" t="s">
        <v>5404</v>
      </c>
      <c r="H118" s="167" t="s">
        <v>2514</v>
      </c>
      <c r="I118" s="167" t="s">
        <v>5405</v>
      </c>
      <c r="J118" s="167" t="s">
        <v>5406</v>
      </c>
      <c r="K118" s="167" t="s">
        <v>5407</v>
      </c>
      <c r="L118" s="167" t="s">
        <v>784</v>
      </c>
      <c r="M118" s="243"/>
      <c r="N118" s="167" t="s">
        <v>5408</v>
      </c>
      <c r="O118" s="167" t="s">
        <v>482</v>
      </c>
      <c r="P118" s="167" t="s">
        <v>5247</v>
      </c>
      <c r="Q118" s="243"/>
      <c r="R118" s="243"/>
      <c r="S118" s="167" t="s">
        <v>3032</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1798</v>
      </c>
      <c r="AV118" s="168" t="s">
        <v>2115</v>
      </c>
      <c r="AW118" s="168" t="s">
        <v>2026</v>
      </c>
      <c r="AX118" s="246"/>
      <c r="AY118" s="168" t="s">
        <v>5411</v>
      </c>
      <c r="AZ118" s="246"/>
      <c r="BA118" s="246"/>
      <c r="BB118" s="174" t="s">
        <v>5416</v>
      </c>
      <c r="BC118" s="174" t="s">
        <v>2669</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991</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1913</v>
      </c>
      <c r="DB118" s="203" t="s">
        <v>5438</v>
      </c>
      <c r="DC118" s="203" t="s">
        <v>5439</v>
      </c>
      <c r="DD118" s="255"/>
      <c r="DE118" s="255"/>
      <c r="DF118" s="203" t="s">
        <v>356</v>
      </c>
      <c r="DG118" s="255"/>
      <c r="DH118" s="256"/>
      <c r="DI118" s="204" t="s">
        <v>2492</v>
      </c>
      <c r="DJ118" s="257"/>
      <c r="DK118" s="204" t="s">
        <v>4856</v>
      </c>
      <c r="DL118" s="204"/>
      <c r="DM118" s="204" t="s">
        <v>513</v>
      </c>
      <c r="DN118" s="204" t="s">
        <v>5440</v>
      </c>
      <c r="DO118" s="204" t="s">
        <v>5441</v>
      </c>
      <c r="DP118" s="204" t="s">
        <v>5442</v>
      </c>
      <c r="DQ118" s="204" t="s">
        <v>5443</v>
      </c>
      <c r="DR118" s="204" t="s">
        <v>5444</v>
      </c>
      <c r="DS118" s="204" t="s">
        <v>1068</v>
      </c>
      <c r="DT118" s="204" t="s">
        <v>5234</v>
      </c>
      <c r="DU118" s="257"/>
      <c r="DV118" s="257"/>
      <c r="DW118" s="204" t="s">
        <v>271</v>
      </c>
      <c r="DX118" s="257"/>
      <c r="DY118" s="204" t="s">
        <v>5445</v>
      </c>
      <c r="DZ118" s="204" t="s">
        <v>690</v>
      </c>
      <c r="EA118" s="204" t="s">
        <v>5446</v>
      </c>
      <c r="EB118" s="257"/>
      <c r="EC118" s="204" t="s">
        <v>5447</v>
      </c>
      <c r="ED118" s="579" t="s">
        <v>5448</v>
      </c>
    </row>
    <row r="119">
      <c r="A119" s="81" t="s">
        <v>5449</v>
      </c>
      <c r="B119" s="82" t="s">
        <v>5450</v>
      </c>
      <c r="C119" s="83" t="s">
        <v>1260</v>
      </c>
      <c r="D119" s="84" t="s">
        <v>1260</v>
      </c>
      <c r="E119" s="85" t="s">
        <v>1260</v>
      </c>
      <c r="F119" s="86" t="s">
        <v>334</v>
      </c>
      <c r="G119" s="82" t="s">
        <v>3395</v>
      </c>
      <c r="H119" s="265" t="s">
        <v>1318</v>
      </c>
      <c r="I119" s="265" t="s">
        <v>5451</v>
      </c>
      <c r="J119" s="265" t="s">
        <v>5452</v>
      </c>
      <c r="K119" s="265" t="s">
        <v>4431</v>
      </c>
      <c r="L119" s="265" t="s">
        <v>4450</v>
      </c>
      <c r="M119" s="265" t="s">
        <v>5453</v>
      </c>
      <c r="N119" s="265" t="s">
        <v>1904</v>
      </c>
      <c r="O119" s="265" t="s">
        <v>1458</v>
      </c>
      <c r="P119" s="88" t="s">
        <v>1009</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2754</v>
      </c>
      <c r="AW119" s="99"/>
      <c r="AX119" s="99"/>
      <c r="AY119" s="99"/>
      <c r="AZ119" s="99"/>
      <c r="BA119" s="99"/>
      <c r="BB119" s="94" t="s">
        <v>5465</v>
      </c>
      <c r="BC119" s="265" t="s">
        <v>926</v>
      </c>
      <c r="BD119" s="265" t="s">
        <v>618</v>
      </c>
      <c r="BE119" s="94" t="s">
        <v>659</v>
      </c>
      <c r="BF119" s="94" t="s">
        <v>3003</v>
      </c>
      <c r="BG119" s="94" t="s">
        <v>5466</v>
      </c>
      <c r="BH119" s="94" t="s">
        <v>5467</v>
      </c>
      <c r="BI119" s="94" t="s">
        <v>5468</v>
      </c>
      <c r="BJ119" s="99"/>
      <c r="BK119" s="94" t="s">
        <v>5469</v>
      </c>
      <c r="BL119" s="94" t="s">
        <v>3903</v>
      </c>
      <c r="BM119" s="99"/>
      <c r="BN119" s="94" t="s">
        <v>5436</v>
      </c>
      <c r="BO119" s="94" t="s">
        <v>4434</v>
      </c>
      <c r="BP119" s="94" t="s">
        <v>5470</v>
      </c>
      <c r="BQ119" s="94"/>
      <c r="BR119" s="94"/>
      <c r="BS119" s="94" t="s">
        <v>3956</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2415</v>
      </c>
      <c r="DJ119" s="99"/>
      <c r="DK119" s="99"/>
      <c r="DL119" s="94"/>
      <c r="DM119" s="99"/>
      <c r="DN119" s="94" t="s">
        <v>5487</v>
      </c>
      <c r="DO119" s="94" t="s">
        <v>3795</v>
      </c>
      <c r="DP119" s="94" t="s">
        <v>1186</v>
      </c>
      <c r="DQ119" s="99"/>
      <c r="DR119" s="94" t="s">
        <v>5488</v>
      </c>
      <c r="DS119" s="94"/>
      <c r="DT119" s="99"/>
      <c r="DU119" s="99"/>
      <c r="DV119" s="94" t="s">
        <v>3081</v>
      </c>
      <c r="DW119" s="99"/>
      <c r="DX119" s="99"/>
      <c r="DY119" s="99"/>
      <c r="DZ119" s="94" t="s">
        <v>1757</v>
      </c>
      <c r="EA119" s="99"/>
      <c r="EB119" s="99"/>
      <c r="EC119" s="99"/>
      <c r="ED119" s="259" t="s">
        <v>5489</v>
      </c>
    </row>
    <row r="120">
      <c r="A120" s="580" t="s">
        <v>5490</v>
      </c>
      <c r="B120" s="104" t="s">
        <v>5491</v>
      </c>
      <c r="C120" s="105" t="s">
        <v>1260</v>
      </c>
      <c r="D120" s="106" t="s">
        <v>1260</v>
      </c>
      <c r="E120" s="107" t="s">
        <v>1260</v>
      </c>
      <c r="F120" s="108" t="s">
        <v>334</v>
      </c>
      <c r="G120" s="104" t="s">
        <v>2107</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3000</v>
      </c>
      <c r="Y120" s="197"/>
      <c r="Z120" s="197" t="s">
        <v>5495</v>
      </c>
      <c r="AA120" s="197" t="s">
        <v>4702</v>
      </c>
      <c r="AB120" s="197" t="s">
        <v>998</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1018</v>
      </c>
      <c r="AW120" s="246"/>
      <c r="AX120" s="246"/>
      <c r="AY120" s="246"/>
      <c r="AZ120" s="246"/>
      <c r="BA120" s="246"/>
      <c r="BB120" s="174" t="s">
        <v>5500</v>
      </c>
      <c r="BC120" s="174" t="s">
        <v>5501</v>
      </c>
      <c r="BD120" s="174" t="s">
        <v>2045</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721</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1260</v>
      </c>
      <c r="D121" s="84" t="s">
        <v>1260</v>
      </c>
      <c r="E121" s="85" t="s">
        <v>1260</v>
      </c>
      <c r="F121" s="86" t="s">
        <v>3283</v>
      </c>
      <c r="G121" s="82" t="s">
        <v>1063</v>
      </c>
      <c r="H121" s="99"/>
      <c r="I121" s="94" t="s">
        <v>3836</v>
      </c>
      <c r="J121" s="99"/>
      <c r="K121" s="98" t="str">
        <f>HYPERLINK("https://www.youtube.com/watch?v=fhmkEG98u50","13.86")</f>
        <v>13.86</v>
      </c>
      <c r="L121" s="99" t="s">
        <v>2027</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1260</v>
      </c>
      <c r="D122" s="106" t="s">
        <v>1260</v>
      </c>
      <c r="E122" s="107" t="s">
        <v>1260</v>
      </c>
      <c r="F122" s="108" t="s">
        <v>1260</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1045</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2378</v>
      </c>
      <c r="BU122" s="175" t="s">
        <v>5538</v>
      </c>
      <c r="BV122" s="175" t="s">
        <v>5539</v>
      </c>
      <c r="BW122" s="175" t="s">
        <v>1290</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1012</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1260</v>
      </c>
      <c r="D123" s="84" t="s">
        <v>1260</v>
      </c>
      <c r="E123" s="85" t="s">
        <v>1260</v>
      </c>
      <c r="F123" s="86" t="s">
        <v>441</v>
      </c>
      <c r="G123" s="82" t="s">
        <v>2375</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894</v>
      </c>
      <c r="AW123" s="99"/>
      <c r="AX123" s="99"/>
      <c r="AY123" s="94" t="s">
        <v>1133</v>
      </c>
      <c r="AZ123" s="99"/>
      <c r="BA123" s="99"/>
      <c r="BB123" s="99"/>
      <c r="BC123" s="259" t="s">
        <v>2380</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878</v>
      </c>
      <c r="CI123" s="94" t="s">
        <v>5564</v>
      </c>
      <c r="CJ123" s="94" t="s">
        <v>5565</v>
      </c>
      <c r="CK123" s="94"/>
      <c r="CL123" s="94" t="s">
        <v>104</v>
      </c>
      <c r="CM123" s="94" t="s">
        <v>5566</v>
      </c>
      <c r="CN123" s="94" t="s">
        <v>2378</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2034</v>
      </c>
      <c r="DJ123" s="99"/>
      <c r="DK123" s="99"/>
      <c r="DL123" s="99"/>
      <c r="DM123" s="99"/>
      <c r="DN123" s="99"/>
      <c r="DO123" s="99"/>
      <c r="DP123" s="99"/>
      <c r="DQ123" s="99"/>
      <c r="DR123" s="99"/>
      <c r="DS123" s="99"/>
      <c r="DT123" s="99"/>
      <c r="DU123" s="88" t="s">
        <v>2921</v>
      </c>
      <c r="DV123" s="94" t="s">
        <v>5570</v>
      </c>
      <c r="DW123" s="99"/>
      <c r="DX123" s="94" t="s">
        <v>5571</v>
      </c>
      <c r="DY123" s="99"/>
      <c r="DZ123" s="94" t="s">
        <v>5572</v>
      </c>
      <c r="EA123" s="88" t="s">
        <v>925</v>
      </c>
      <c r="EB123" s="99"/>
      <c r="EC123" s="99"/>
      <c r="ED123" s="259" t="s">
        <v>5573</v>
      </c>
    </row>
    <row r="124">
      <c r="A124" s="535" t="s">
        <v>5574</v>
      </c>
      <c r="B124" s="104" t="s">
        <v>5575</v>
      </c>
      <c r="C124" s="105" t="s">
        <v>1260</v>
      </c>
      <c r="D124" s="106" t="s">
        <v>1260</v>
      </c>
      <c r="E124" s="107" t="s">
        <v>1260</v>
      </c>
      <c r="F124" s="108" t="s">
        <v>2542</v>
      </c>
      <c r="G124" s="104" t="s">
        <v>2155</v>
      </c>
      <c r="H124" s="413"/>
      <c r="I124" s="110" t="s">
        <v>5576</v>
      </c>
      <c r="J124" s="112" t="s">
        <v>2582</v>
      </c>
      <c r="K124" s="112" t="s">
        <v>755</v>
      </c>
      <c r="L124" s="112" t="s">
        <v>5577</v>
      </c>
      <c r="M124" s="112" t="s">
        <v>5578</v>
      </c>
      <c r="N124" s="112" t="s">
        <v>3250</v>
      </c>
      <c r="O124" s="112" t="s">
        <v>1115</v>
      </c>
      <c r="P124" s="112" t="s">
        <v>1080</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2997</v>
      </c>
      <c r="BC124" s="126" t="s">
        <v>2034</v>
      </c>
      <c r="BD124" s="126" t="s">
        <v>757</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1196</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1081</v>
      </c>
      <c r="CN124" s="135" t="s">
        <v>5593</v>
      </c>
      <c r="CO124" s="135" t="s">
        <v>5594</v>
      </c>
      <c r="CP124" s="515"/>
      <c r="CQ124" s="254"/>
      <c r="CR124" s="254"/>
      <c r="CS124" s="254"/>
      <c r="CT124" s="254"/>
      <c r="CU124" s="92"/>
      <c r="CV124" s="140" t="s">
        <v>761</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1260</v>
      </c>
      <c r="D125" s="84" t="s">
        <v>1260</v>
      </c>
      <c r="E125" s="85" t="s">
        <v>1260</v>
      </c>
      <c r="F125" s="86" t="s">
        <v>1260</v>
      </c>
      <c r="G125" s="82" t="s">
        <v>4771</v>
      </c>
      <c r="H125" s="94" t="s">
        <v>5605</v>
      </c>
      <c r="I125" s="94" t="s">
        <v>5606</v>
      </c>
      <c r="J125" s="94" t="s">
        <v>5607</v>
      </c>
      <c r="K125" s="94" t="s">
        <v>5407</v>
      </c>
      <c r="L125" s="94" t="s">
        <v>2549</v>
      </c>
      <c r="M125" s="99"/>
      <c r="N125" s="94" t="s">
        <v>5608</v>
      </c>
      <c r="O125" s="94" t="s">
        <v>690</v>
      </c>
      <c r="P125" s="94" t="s">
        <v>1274</v>
      </c>
      <c r="Q125" s="99"/>
      <c r="R125" s="99"/>
      <c r="S125" s="99"/>
      <c r="T125" s="99"/>
      <c r="U125" s="99"/>
      <c r="V125" s="99"/>
      <c r="W125" s="92"/>
      <c r="X125" s="94" t="s">
        <v>2482</v>
      </c>
      <c r="Y125" s="94"/>
      <c r="Z125" s="94" t="s">
        <v>3826</v>
      </c>
      <c r="AA125" s="94" t="s">
        <v>5557</v>
      </c>
      <c r="AB125" s="94" t="s">
        <v>5609</v>
      </c>
      <c r="AC125" s="94" t="s">
        <v>4214</v>
      </c>
      <c r="AD125" s="94" t="s">
        <v>1331</v>
      </c>
      <c r="AE125" s="99"/>
      <c r="AF125" s="94" t="s">
        <v>5610</v>
      </c>
      <c r="AG125" s="94" t="s">
        <v>5611</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757</v>
      </c>
      <c r="BJ125" s="94" t="s">
        <v>5614</v>
      </c>
      <c r="BK125" s="99"/>
      <c r="BL125" s="94" t="s">
        <v>4523</v>
      </c>
      <c r="BM125" s="99"/>
      <c r="BN125" s="99"/>
      <c r="BO125" s="99"/>
      <c r="BP125" s="99"/>
      <c r="BQ125" s="236"/>
      <c r="BR125" s="94" t="s">
        <v>5420</v>
      </c>
      <c r="BS125" s="94" t="s">
        <v>4435</v>
      </c>
      <c r="BT125" s="94" t="s">
        <v>4863</v>
      </c>
      <c r="BU125" s="94" t="s">
        <v>1854</v>
      </c>
      <c r="BV125" s="94" t="s">
        <v>1006</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845</v>
      </c>
      <c r="CO125" s="94" t="s">
        <v>3105</v>
      </c>
      <c r="CP125" s="99"/>
      <c r="CQ125" s="99"/>
      <c r="CR125" s="99"/>
      <c r="CS125" s="99"/>
      <c r="CT125" s="99"/>
      <c r="CU125" s="92"/>
      <c r="CV125" s="94" t="s">
        <v>3643</v>
      </c>
      <c r="CW125" s="94" t="s">
        <v>2801</v>
      </c>
      <c r="CX125" s="94" t="s">
        <v>5100</v>
      </c>
      <c r="CY125" s="94" t="s">
        <v>912</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2433</v>
      </c>
      <c r="DT125" s="99"/>
      <c r="DU125" s="99"/>
      <c r="DV125" s="99"/>
      <c r="DW125" s="99"/>
      <c r="DX125" s="99"/>
      <c r="DY125" s="99"/>
      <c r="DZ125" s="99"/>
      <c r="EA125" s="99"/>
      <c r="EB125" s="99"/>
      <c r="EC125" s="99"/>
      <c r="ED125" s="259"/>
    </row>
    <row r="126">
      <c r="A126" s="585" t="s">
        <v>5620</v>
      </c>
      <c r="B126" s="104" t="s">
        <v>5621</v>
      </c>
      <c r="C126" s="105" t="s">
        <v>1260</v>
      </c>
      <c r="D126" s="106" t="s">
        <v>548</v>
      </c>
      <c r="E126" s="107" t="s">
        <v>1260</v>
      </c>
      <c r="F126" s="108" t="s">
        <v>2903</v>
      </c>
      <c r="G126" s="104" t="s">
        <v>2154</v>
      </c>
      <c r="H126" s="243"/>
      <c r="I126" s="112" t="s">
        <v>5622</v>
      </c>
      <c r="J126" s="112" t="s">
        <v>5623</v>
      </c>
      <c r="K126" s="112" t="s">
        <v>5624</v>
      </c>
      <c r="L126" s="112" t="s">
        <v>2468</v>
      </c>
      <c r="M126" s="112" t="s">
        <v>1467</v>
      </c>
      <c r="N126" s="112" t="s">
        <v>5625</v>
      </c>
      <c r="O126" s="112" t="s">
        <v>1302</v>
      </c>
      <c r="P126" s="167" t="s">
        <v>5383</v>
      </c>
      <c r="Q126" s="243"/>
      <c r="R126" s="243"/>
      <c r="S126" s="243"/>
      <c r="T126" s="243"/>
      <c r="U126" s="243"/>
      <c r="V126" s="243"/>
      <c r="W126" s="92"/>
      <c r="X126" s="116" t="s">
        <v>3183</v>
      </c>
      <c r="Y126" s="117"/>
      <c r="Z126" s="116" t="s">
        <v>2480</v>
      </c>
      <c r="AA126" s="380" t="s">
        <v>5626</v>
      </c>
      <c r="AB126" s="197" t="s">
        <v>5627</v>
      </c>
      <c r="AC126" s="116" t="s">
        <v>3893</v>
      </c>
      <c r="AD126" s="380" t="s">
        <v>3509</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3423</v>
      </c>
      <c r="CI126" s="135" t="s">
        <v>5640</v>
      </c>
      <c r="CJ126" s="135" t="s">
        <v>5641</v>
      </c>
      <c r="CK126" s="136"/>
      <c r="CL126" s="135" t="s">
        <v>3572</v>
      </c>
      <c r="CM126" s="177" t="s">
        <v>5642</v>
      </c>
      <c r="CN126" s="135" t="s">
        <v>1978</v>
      </c>
      <c r="CO126" s="177" t="s">
        <v>1923</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2676</v>
      </c>
      <c r="G127" s="82" t="s">
        <v>2154</v>
      </c>
      <c r="H127" s="102"/>
      <c r="I127" s="98" t="s">
        <v>5655</v>
      </c>
      <c r="J127" s="93" t="s">
        <v>4695</v>
      </c>
      <c r="K127" s="88" t="s">
        <v>2279</v>
      </c>
      <c r="L127" s="93" t="s">
        <v>929</v>
      </c>
      <c r="M127" s="88" t="s">
        <v>5656</v>
      </c>
      <c r="N127" s="88" t="s">
        <v>4360</v>
      </c>
      <c r="O127" s="88" t="s">
        <v>5657</v>
      </c>
      <c r="P127" s="88" t="s">
        <v>4401</v>
      </c>
      <c r="Q127" s="99"/>
      <c r="R127" s="99"/>
      <c r="S127" s="99"/>
      <c r="T127" s="99"/>
      <c r="U127" s="99"/>
      <c r="V127" s="99"/>
      <c r="W127" s="92"/>
      <c r="X127" s="93" t="s">
        <v>1412</v>
      </c>
      <c r="Y127" s="93"/>
      <c r="Z127" s="88" t="s">
        <v>5658</v>
      </c>
      <c r="AA127" s="93" t="s">
        <v>963</v>
      </c>
      <c r="AB127" s="88" t="s">
        <v>1922</v>
      </c>
      <c r="AC127" s="88" t="s">
        <v>2983</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3061</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2720</v>
      </c>
      <c r="CL127" s="102" t="s">
        <v>5676</v>
      </c>
      <c r="CM127" s="102" t="s">
        <v>3304</v>
      </c>
      <c r="CN127" s="102" t="s">
        <v>1588</v>
      </c>
      <c r="CO127" s="102" t="s">
        <v>3351</v>
      </c>
      <c r="CP127" s="221"/>
      <c r="CQ127" s="99"/>
      <c r="CR127" s="99"/>
      <c r="CS127" s="99"/>
      <c r="CT127" s="99"/>
      <c r="CU127" s="92"/>
      <c r="CV127" s="102" t="s">
        <v>4278</v>
      </c>
      <c r="CW127" s="102" t="s">
        <v>5677</v>
      </c>
      <c r="CX127" s="102" t="s">
        <v>2629</v>
      </c>
      <c r="CY127" s="102" t="s">
        <v>5678</v>
      </c>
      <c r="CZ127" s="102" t="s">
        <v>1091</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1882</v>
      </c>
      <c r="H128" s="243"/>
      <c r="I128" s="243"/>
      <c r="J128" s="167" t="s">
        <v>5684</v>
      </c>
      <c r="K128" s="167" t="s">
        <v>4592</v>
      </c>
      <c r="L128" s="167" t="s">
        <v>839</v>
      </c>
      <c r="M128" s="243"/>
      <c r="N128" s="167" t="s">
        <v>4945</v>
      </c>
      <c r="O128" s="167" t="s">
        <v>2924</v>
      </c>
      <c r="P128" s="167" t="s">
        <v>3568</v>
      </c>
      <c r="Q128" s="243"/>
      <c r="R128" s="243"/>
      <c r="S128" s="243"/>
      <c r="T128" s="243"/>
      <c r="U128" s="243"/>
      <c r="V128" s="243"/>
      <c r="W128" s="92"/>
      <c r="X128" s="197" t="s">
        <v>4574</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5685</v>
      </c>
      <c r="BG128" s="173"/>
      <c r="BH128" s="173"/>
      <c r="BI128" s="174" t="s">
        <v>3377</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1248</v>
      </c>
      <c r="CP128" s="254"/>
      <c r="CQ128" s="254"/>
      <c r="CR128" s="254"/>
      <c r="CS128" s="254"/>
      <c r="CT128" s="254"/>
      <c r="CU128" s="92"/>
      <c r="CV128" s="203" t="s">
        <v>5531</v>
      </c>
      <c r="CW128" s="255"/>
      <c r="CX128" s="255"/>
      <c r="CY128" s="255"/>
      <c r="CZ128" s="255"/>
      <c r="DA128" s="203" t="s">
        <v>1249</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2903</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1235</v>
      </c>
      <c r="BF129" s="102"/>
      <c r="BG129" s="102"/>
      <c r="BH129" s="99"/>
      <c r="BI129" s="102" t="s">
        <v>1447</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3283</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1321</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1935</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4042</v>
      </c>
      <c r="H131" s="99"/>
      <c r="I131" s="94" t="s">
        <v>5715</v>
      </c>
      <c r="J131" s="99"/>
      <c r="K131" s="99"/>
      <c r="L131" s="94" t="s">
        <v>3550</v>
      </c>
      <c r="M131" s="99"/>
      <c r="N131" s="94" t="s">
        <v>5377</v>
      </c>
      <c r="O131" s="94" t="s">
        <v>854</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2553</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5127</v>
      </c>
      <c r="K132" s="345" t="s">
        <v>4937</v>
      </c>
      <c r="L132" s="345" t="s">
        <v>241</v>
      </c>
      <c r="M132" s="345" t="s">
        <v>5726</v>
      </c>
      <c r="N132" s="345" t="s">
        <v>5727</v>
      </c>
      <c r="O132" s="345" t="s">
        <v>967</v>
      </c>
      <c r="P132" s="345"/>
      <c r="Q132" s="544"/>
      <c r="R132" s="544"/>
      <c r="S132" s="274" t="s">
        <v>4803</v>
      </c>
      <c r="T132" s="544"/>
      <c r="U132" s="274" t="s">
        <v>678</v>
      </c>
      <c r="V132" s="544"/>
      <c r="W132" s="558"/>
      <c r="X132" s="300" t="s">
        <v>5728</v>
      </c>
      <c r="Y132" s="300"/>
      <c r="Z132" s="300"/>
      <c r="AA132" s="300" t="s">
        <v>5117</v>
      </c>
      <c r="AB132" s="300"/>
      <c r="AC132" s="300" t="s">
        <v>4214</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3859</v>
      </c>
      <c r="BD132" s="200"/>
      <c r="BE132" s="200"/>
      <c r="BF132" s="200"/>
      <c r="BG132" s="200"/>
      <c r="BH132" s="549"/>
      <c r="BI132" s="200" t="s">
        <v>3061</v>
      </c>
      <c r="BJ132" s="549"/>
      <c r="BK132" s="200" t="s">
        <v>5731</v>
      </c>
      <c r="BL132" s="200"/>
      <c r="BM132" s="549"/>
      <c r="BN132" s="549"/>
      <c r="BO132" s="200" t="s">
        <v>5732</v>
      </c>
      <c r="BP132" s="549"/>
      <c r="BQ132" s="552"/>
      <c r="BR132" s="370"/>
      <c r="BS132" s="370" t="s">
        <v>5733</v>
      </c>
      <c r="BT132" s="370" t="s">
        <v>304</v>
      </c>
      <c r="BU132" s="370" t="s">
        <v>1499</v>
      </c>
      <c r="BV132" s="370" t="s">
        <v>5500</v>
      </c>
      <c r="BW132" s="370" t="s">
        <v>1723</v>
      </c>
      <c r="BX132" s="553"/>
      <c r="BY132" s="370"/>
      <c r="BZ132" s="370"/>
      <c r="CA132" s="370"/>
      <c r="CB132" s="594" t="s">
        <v>5734</v>
      </c>
      <c r="CC132" s="553"/>
      <c r="CD132" s="594"/>
      <c r="CE132" s="553"/>
      <c r="CF132" s="554"/>
      <c r="CG132" s="363" t="s">
        <v>3473</v>
      </c>
      <c r="CH132" s="363" t="s">
        <v>5735</v>
      </c>
      <c r="CI132" s="363" t="s">
        <v>5736</v>
      </c>
      <c r="CJ132" s="363"/>
      <c r="CK132" s="363"/>
      <c r="CL132" s="363"/>
      <c r="CM132" s="363"/>
      <c r="CN132" s="363" t="s">
        <v>5032</v>
      </c>
      <c r="CO132" s="595">
        <v>19.7</v>
      </c>
      <c r="CP132" s="556"/>
      <c r="CQ132" s="557"/>
      <c r="CR132" s="557"/>
      <c r="CS132" s="557"/>
      <c r="CT132" s="557"/>
      <c r="CU132" s="558"/>
      <c r="CV132" s="283" t="s">
        <v>4118</v>
      </c>
      <c r="CW132" s="283" t="s">
        <v>4536</v>
      </c>
      <c r="CX132" s="283" t="s">
        <v>5737</v>
      </c>
      <c r="CY132" s="283" t="s">
        <v>5738</v>
      </c>
      <c r="CZ132" s="283"/>
      <c r="DA132" s="283"/>
      <c r="DB132" s="283"/>
      <c r="DC132" s="283"/>
      <c r="DD132" s="559"/>
      <c r="DE132" s="596" t="s">
        <v>3425</v>
      </c>
      <c r="DF132" s="596" t="s">
        <v>1134</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5739</v>
      </c>
      <c r="B133" s="82" t="s">
        <v>5740</v>
      </c>
      <c r="C133" s="83" t="s">
        <v>1260</v>
      </c>
      <c r="D133" s="84" t="s">
        <v>1260</v>
      </c>
      <c r="E133" s="85" t="s">
        <v>1260</v>
      </c>
      <c r="F133" s="86" t="s">
        <v>1260</v>
      </c>
      <c r="G133" s="82" t="s">
        <v>2988</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2383</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915</v>
      </c>
      <c r="BJ133" s="99"/>
      <c r="BK133" s="99"/>
      <c r="BL133" s="99"/>
      <c r="BM133" s="99"/>
      <c r="BN133" s="99"/>
      <c r="BO133" s="99"/>
      <c r="BP133" s="99"/>
      <c r="BQ133" s="236"/>
      <c r="BR133" s="94"/>
      <c r="BS133" s="94" t="s">
        <v>3262</v>
      </c>
      <c r="BT133" s="94" t="s">
        <v>4811</v>
      </c>
      <c r="BU133" s="94" t="s">
        <v>2051</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4658</v>
      </c>
      <c r="CW133" s="94" t="s">
        <v>5751</v>
      </c>
      <c r="CX133" s="94" t="s">
        <v>2638</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3961</v>
      </c>
      <c r="G134" s="104" t="s">
        <v>3961</v>
      </c>
      <c r="H134" s="112" t="s">
        <v>5756</v>
      </c>
      <c r="I134" s="112" t="s">
        <v>5757</v>
      </c>
      <c r="J134" s="112" t="s">
        <v>4651</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2370</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3092</v>
      </c>
      <c r="H135" s="94" t="s">
        <v>4194</v>
      </c>
      <c r="I135" s="94" t="s">
        <v>5768</v>
      </c>
      <c r="J135" s="94" t="s">
        <v>3352</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2003</v>
      </c>
      <c r="AB135" s="94" t="s">
        <v>5774</v>
      </c>
      <c r="AC135" s="94" t="s">
        <v>3893</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1015</v>
      </c>
      <c r="BE135" s="99"/>
      <c r="BF135" s="99"/>
      <c r="BG135" s="99"/>
      <c r="BH135" s="99"/>
      <c r="BI135" s="94" t="s">
        <v>2414</v>
      </c>
      <c r="BJ135" s="99"/>
      <c r="BK135" s="99"/>
      <c r="BL135" s="94" t="s">
        <v>4809</v>
      </c>
      <c r="BM135" s="99"/>
      <c r="BN135" s="99"/>
      <c r="BO135" s="99"/>
      <c r="BP135" s="99"/>
      <c r="BQ135" s="236"/>
      <c r="BR135" s="94"/>
      <c r="BS135" s="99"/>
      <c r="BT135" s="99"/>
      <c r="BU135" s="94" t="s">
        <v>2487</v>
      </c>
      <c r="BV135" s="99"/>
      <c r="BW135" s="94" t="s">
        <v>5777</v>
      </c>
      <c r="BX135" s="99"/>
      <c r="BY135" s="99"/>
      <c r="BZ135" s="99"/>
      <c r="CA135" s="94" t="s">
        <v>825</v>
      </c>
      <c r="CB135" s="99"/>
      <c r="CC135" s="99"/>
      <c r="CD135" s="99"/>
      <c r="CE135" s="99"/>
      <c r="CF135" s="236"/>
      <c r="CG135" s="94" t="s">
        <v>5778</v>
      </c>
      <c r="CH135" s="94" t="s">
        <v>4256</v>
      </c>
      <c r="CI135" s="94" t="s">
        <v>2600</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2661</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3101</v>
      </c>
      <c r="L136" s="452" t="s">
        <v>5187</v>
      </c>
      <c r="M136" s="453"/>
      <c r="N136" s="404" t="s">
        <v>5788</v>
      </c>
      <c r="O136" s="404" t="s">
        <v>5708</v>
      </c>
      <c r="P136" s="452" t="s">
        <v>3255</v>
      </c>
      <c r="Q136" s="453"/>
      <c r="R136" s="453"/>
      <c r="S136" s="453" t="s">
        <v>4089</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3426</v>
      </c>
      <c r="AW136" s="460" t="s">
        <v>5399</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2592</v>
      </c>
      <c r="BW136" s="129" t="s">
        <v>5426</v>
      </c>
      <c r="BX136" s="463"/>
      <c r="BY136" s="463"/>
      <c r="BZ136" s="463"/>
      <c r="CA136" s="129" t="s">
        <v>3730</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1504</v>
      </c>
      <c r="H137" s="608" t="s">
        <v>4563</v>
      </c>
      <c r="I137" s="259" t="s">
        <v>5806</v>
      </c>
      <c r="J137" s="259" t="s">
        <v>5807</v>
      </c>
      <c r="K137" s="259" t="s">
        <v>2910</v>
      </c>
      <c r="L137" s="259" t="s">
        <v>2099</v>
      </c>
      <c r="M137" s="259" t="s">
        <v>5808</v>
      </c>
      <c r="N137" s="259" t="s">
        <v>5809</v>
      </c>
      <c r="O137" s="259" t="s">
        <v>3915</v>
      </c>
      <c r="P137" s="259" t="s">
        <v>4952</v>
      </c>
      <c r="Q137" s="94" t="s">
        <v>5810</v>
      </c>
      <c r="R137" s="99"/>
      <c r="S137" s="94" t="s">
        <v>3800</v>
      </c>
      <c r="T137" s="99"/>
      <c r="U137" s="94" t="s">
        <v>1268</v>
      </c>
      <c r="V137" s="94" t="s">
        <v>5811</v>
      </c>
      <c r="W137" s="92"/>
      <c r="X137" s="259" t="s">
        <v>5019</v>
      </c>
      <c r="Y137" s="259"/>
      <c r="Z137" s="259" t="s">
        <v>3589</v>
      </c>
      <c r="AA137" s="259" t="s">
        <v>5136</v>
      </c>
      <c r="AB137" s="265" t="s">
        <v>5812</v>
      </c>
      <c r="AC137" s="259" t="s">
        <v>4482</v>
      </c>
      <c r="AD137" s="259" t="s">
        <v>4975</v>
      </c>
      <c r="AE137" s="99"/>
      <c r="AF137" s="259" t="s">
        <v>2421</v>
      </c>
      <c r="AG137" s="259" t="s">
        <v>5383</v>
      </c>
      <c r="AH137" s="94" t="s">
        <v>1659</v>
      </c>
      <c r="AI137" s="99"/>
      <c r="AJ137" s="259" t="s">
        <v>2436</v>
      </c>
      <c r="AK137" s="94" t="s">
        <v>5813</v>
      </c>
      <c r="AL137" s="97"/>
      <c r="AM137" s="259" t="s">
        <v>1375</v>
      </c>
      <c r="AN137" s="259" t="s">
        <v>1014</v>
      </c>
      <c r="AO137" s="99"/>
      <c r="AP137" s="99"/>
      <c r="AQ137" s="94" t="s">
        <v>5814</v>
      </c>
      <c r="AR137" s="94" t="s">
        <v>1030</v>
      </c>
      <c r="AS137" s="94" t="s">
        <v>1142</v>
      </c>
      <c r="AT137" s="99"/>
      <c r="AU137" s="259" t="s">
        <v>5583</v>
      </c>
      <c r="AV137" s="259" t="s">
        <v>4766</v>
      </c>
      <c r="AW137" s="102"/>
      <c r="AX137" s="99"/>
      <c r="AY137" s="94" t="s">
        <v>954</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1017</v>
      </c>
      <c r="CO137" s="259" t="s">
        <v>1415</v>
      </c>
      <c r="CP137" s="221"/>
      <c r="CQ137" s="99"/>
      <c r="CR137" s="99"/>
      <c r="CS137" s="99"/>
      <c r="CT137" s="94" t="s">
        <v>5835</v>
      </c>
      <c r="CU137" s="92"/>
      <c r="CV137" s="259" t="s">
        <v>2611</v>
      </c>
      <c r="CW137" s="259" t="s">
        <v>5836</v>
      </c>
      <c r="CX137" s="609"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1260</v>
      </c>
      <c r="D138" s="106" t="s">
        <v>1260</v>
      </c>
      <c r="E138" s="107" t="s">
        <v>1260</v>
      </c>
      <c r="F138" s="108" t="s">
        <v>439</v>
      </c>
      <c r="G138" s="104" t="s">
        <v>3371</v>
      </c>
      <c r="H138" s="167" t="s">
        <v>3825</v>
      </c>
      <c r="I138" s="167" t="s">
        <v>2129</v>
      </c>
      <c r="J138" s="167" t="s">
        <v>5736</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4752</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3774</v>
      </c>
      <c r="I139" s="265" t="s">
        <v>5860</v>
      </c>
      <c r="J139" s="265" t="s">
        <v>1644</v>
      </c>
      <c r="K139" s="259" t="s">
        <v>353</v>
      </c>
      <c r="L139" s="259" t="s">
        <v>611</v>
      </c>
      <c r="M139" s="259" t="s">
        <v>5861</v>
      </c>
      <c r="N139" s="259" t="s">
        <v>5862</v>
      </c>
      <c r="O139" s="93" t="s">
        <v>244</v>
      </c>
      <c r="P139" s="259" t="s">
        <v>4891</v>
      </c>
      <c r="Q139" s="94" t="s">
        <v>5863</v>
      </c>
      <c r="R139" s="99"/>
      <c r="S139" s="94" t="s">
        <v>4089</v>
      </c>
      <c r="T139" s="99"/>
      <c r="U139" s="94" t="s">
        <v>2097</v>
      </c>
      <c r="V139" s="94" t="s">
        <v>5864</v>
      </c>
      <c r="W139" s="92"/>
      <c r="X139" s="426" t="s">
        <v>5016</v>
      </c>
      <c r="Y139" s="162"/>
      <c r="Z139" s="162" t="s">
        <v>5439</v>
      </c>
      <c r="AA139" s="88" t="s">
        <v>416</v>
      </c>
      <c r="AB139" s="265" t="s">
        <v>4149</v>
      </c>
      <c r="AC139" s="265" t="s">
        <v>3940</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3435</v>
      </c>
      <c r="AW139" s="259" t="s">
        <v>4177</v>
      </c>
      <c r="AX139" s="99"/>
      <c r="AY139" s="99"/>
      <c r="AZ139" s="99"/>
      <c r="BA139" s="99"/>
      <c r="BB139" s="259" t="s">
        <v>5872</v>
      </c>
      <c r="BC139" s="259" t="s">
        <v>1997</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979</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1912</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2526</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2643</v>
      </c>
      <c r="H141" s="94" t="s">
        <v>5894</v>
      </c>
      <c r="I141" s="265" t="s">
        <v>1596</v>
      </c>
      <c r="J141" s="94" t="s">
        <v>5895</v>
      </c>
      <c r="K141" s="94" t="s">
        <v>5896</v>
      </c>
      <c r="L141" s="94" t="s">
        <v>5897</v>
      </c>
      <c r="M141" s="99"/>
      <c r="N141" s="94" t="s">
        <v>5898</v>
      </c>
      <c r="O141" s="94" t="s">
        <v>3580</v>
      </c>
      <c r="P141" s="94" t="s">
        <v>1080</v>
      </c>
      <c r="Q141" s="99"/>
      <c r="R141" s="94" t="s">
        <v>326</v>
      </c>
      <c r="S141" s="94" t="s">
        <v>2218</v>
      </c>
      <c r="T141" s="99"/>
      <c r="U141" s="94" t="s">
        <v>3217</v>
      </c>
      <c r="V141" s="99"/>
      <c r="W141" s="92"/>
      <c r="X141" s="94" t="s">
        <v>5899</v>
      </c>
      <c r="Y141" s="102"/>
      <c r="Z141" s="88" t="s">
        <v>2393</v>
      </c>
      <c r="AA141" s="94" t="s">
        <v>4509</v>
      </c>
      <c r="AB141" s="94" t="s">
        <v>1768</v>
      </c>
      <c r="AC141" s="94" t="s">
        <v>3941</v>
      </c>
      <c r="AD141" s="94" t="s">
        <v>2391</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1894</v>
      </c>
      <c r="BD141" s="94" t="s">
        <v>5902</v>
      </c>
      <c r="BE141" s="94" t="s">
        <v>3570</v>
      </c>
      <c r="BF141" s="94" t="s">
        <v>5718</v>
      </c>
      <c r="BG141" s="99"/>
      <c r="BH141" s="99"/>
      <c r="BI141" s="94" t="s">
        <v>4010</v>
      </c>
      <c r="BJ141" s="94" t="s">
        <v>5903</v>
      </c>
      <c r="BK141" s="94"/>
      <c r="BL141" s="94" t="s">
        <v>2619</v>
      </c>
      <c r="BM141" s="99"/>
      <c r="BN141" s="94" t="s">
        <v>4215</v>
      </c>
      <c r="BO141" s="99"/>
      <c r="BP141" s="99"/>
      <c r="BQ141" s="236"/>
      <c r="BR141" s="94" t="s">
        <v>5904</v>
      </c>
      <c r="BS141" s="94" t="s">
        <v>4222</v>
      </c>
      <c r="BT141" s="94" t="s">
        <v>3397</v>
      </c>
      <c r="BU141" s="94" t="s">
        <v>5905</v>
      </c>
      <c r="BV141" s="94" t="s">
        <v>5906</v>
      </c>
      <c r="BW141" s="94" t="s">
        <v>5180</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1644</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1260</v>
      </c>
      <c r="D142" s="106" t="s">
        <v>1260</v>
      </c>
      <c r="E142" s="107" t="s">
        <v>1260</v>
      </c>
      <c r="F142" s="108" t="s">
        <v>439</v>
      </c>
      <c r="G142" s="104" t="s">
        <v>4771</v>
      </c>
      <c r="H142" s="167"/>
      <c r="I142" s="167" t="s">
        <v>5923</v>
      </c>
      <c r="J142" s="167" t="s">
        <v>2768</v>
      </c>
      <c r="K142" s="112" t="s">
        <v>2279</v>
      </c>
      <c r="L142" s="167" t="s">
        <v>2475</v>
      </c>
      <c r="M142" s="167" t="s">
        <v>5924</v>
      </c>
      <c r="N142" s="167" t="s">
        <v>5925</v>
      </c>
      <c r="O142" s="167" t="s">
        <v>5128</v>
      </c>
      <c r="P142" s="167" t="s">
        <v>565</v>
      </c>
      <c r="Q142" s="243"/>
      <c r="R142" s="243"/>
      <c r="S142" s="243"/>
      <c r="T142" s="243"/>
      <c r="U142" s="243"/>
      <c r="V142" s="243"/>
      <c r="W142" s="92"/>
      <c r="X142" s="197" t="s">
        <v>4608</v>
      </c>
      <c r="Y142" s="197"/>
      <c r="Z142" s="197" t="s">
        <v>5748</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2385</v>
      </c>
      <c r="CM142" s="177" t="s">
        <v>5940</v>
      </c>
      <c r="CN142" s="177" t="s">
        <v>2526</v>
      </c>
      <c r="CO142" s="177" t="s">
        <v>3697</v>
      </c>
      <c r="CP142" s="254"/>
      <c r="CQ142" s="254"/>
      <c r="CR142" s="254"/>
      <c r="CS142" s="254"/>
      <c r="CT142" s="254"/>
      <c r="CU142" s="92"/>
      <c r="CV142" s="203" t="s">
        <v>2880</v>
      </c>
      <c r="CW142" s="203" t="s">
        <v>3662</v>
      </c>
      <c r="CX142" s="203" t="s">
        <v>2710</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2928</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1886</v>
      </c>
      <c r="L144" s="614" t="s">
        <v>3676</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3030</v>
      </c>
      <c r="AB144" s="619"/>
      <c r="AC144" s="300" t="s">
        <v>3546</v>
      </c>
      <c r="AD144" s="618"/>
      <c r="AE144" s="620"/>
      <c r="AF144" s="618"/>
      <c r="AG144" s="618"/>
      <c r="AH144" s="620"/>
      <c r="AI144" s="620"/>
      <c r="AJ144" s="117" t="s">
        <v>2300</v>
      </c>
      <c r="AK144" s="620"/>
      <c r="AL144" s="621"/>
      <c r="AM144" s="622"/>
      <c r="AN144" s="124" t="s">
        <v>2503</v>
      </c>
      <c r="AO144" s="623"/>
      <c r="AP144" s="623"/>
      <c r="AQ144" s="624"/>
      <c r="AR144" s="624"/>
      <c r="AS144" s="623"/>
      <c r="AT144" s="623"/>
      <c r="AU144" s="424" t="s">
        <v>5748</v>
      </c>
      <c r="AV144" s="424" t="s">
        <v>5943</v>
      </c>
      <c r="AW144" s="424" t="s">
        <v>484</v>
      </c>
      <c r="AX144" s="623"/>
      <c r="AY144" s="623"/>
      <c r="AZ144" s="623"/>
      <c r="BA144" s="623"/>
      <c r="BB144" s="625"/>
      <c r="BC144" s="625"/>
      <c r="BD144" s="381" t="s">
        <v>1740</v>
      </c>
      <c r="BE144" s="200" t="s">
        <v>373</v>
      </c>
      <c r="BF144" s="625"/>
      <c r="BG144" s="625"/>
      <c r="BH144" s="626"/>
      <c r="BI144" s="200" t="s">
        <v>3061</v>
      </c>
      <c r="BJ144" s="626"/>
      <c r="BK144" s="381" t="s">
        <v>5962</v>
      </c>
      <c r="BL144" s="200" t="s">
        <v>3770</v>
      </c>
      <c r="BM144" s="626"/>
      <c r="BN144" s="627">
        <v>35.32</v>
      </c>
      <c r="BO144" s="625"/>
      <c r="BP144" s="626"/>
      <c r="BQ144" s="628"/>
      <c r="BR144" s="629"/>
      <c r="BS144" s="629"/>
      <c r="BT144" s="370" t="s">
        <v>2679</v>
      </c>
      <c r="BU144" s="370" t="s">
        <v>5963</v>
      </c>
      <c r="BV144" s="629"/>
      <c r="BW144" s="370" t="s">
        <v>3110</v>
      </c>
      <c r="BX144" s="630"/>
      <c r="BY144" s="629"/>
      <c r="BZ144" s="629"/>
      <c r="CA144" s="131" t="s">
        <v>5487</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2983</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2061</v>
      </c>
      <c r="I145" s="94" t="s">
        <v>3706</v>
      </c>
      <c r="J145" s="94" t="s">
        <v>574</v>
      </c>
      <c r="K145" s="94" t="s">
        <v>2910</v>
      </c>
      <c r="L145" s="94" t="s">
        <v>4105</v>
      </c>
      <c r="M145" s="94" t="s">
        <v>5971</v>
      </c>
      <c r="N145" s="94" t="s">
        <v>5732</v>
      </c>
      <c r="O145" s="94" t="s">
        <v>447</v>
      </c>
      <c r="P145" s="94" t="s">
        <v>3913</v>
      </c>
      <c r="Q145" s="99"/>
      <c r="R145" s="99"/>
      <c r="S145" s="99"/>
      <c r="T145" s="99"/>
      <c r="U145" s="99"/>
      <c r="V145" s="99"/>
      <c r="W145" s="92"/>
      <c r="X145" s="94" t="s">
        <v>5019</v>
      </c>
      <c r="Y145" s="94"/>
      <c r="Z145" s="94" t="s">
        <v>4226</v>
      </c>
      <c r="AA145" s="94" t="s">
        <v>5600</v>
      </c>
      <c r="AB145" s="94" t="s">
        <v>786</v>
      </c>
      <c r="AC145" s="94" t="s">
        <v>4311</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2701</v>
      </c>
      <c r="CO145" s="94" t="s">
        <v>2858</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1260</v>
      </c>
      <c r="D146" s="106" t="s">
        <v>1260</v>
      </c>
      <c r="E146" s="107" t="s">
        <v>1260</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1104</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1010</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3888</v>
      </c>
      <c r="I149" s="94" t="s">
        <v>4069</v>
      </c>
      <c r="J149" s="94" t="s">
        <v>677</v>
      </c>
      <c r="K149" s="94" t="s">
        <v>5991</v>
      </c>
      <c r="L149" s="94" t="s">
        <v>6007</v>
      </c>
      <c r="M149" s="94" t="s">
        <v>6008</v>
      </c>
      <c r="N149" s="94" t="s">
        <v>6009</v>
      </c>
      <c r="O149" s="94" t="s">
        <v>3128</v>
      </c>
      <c r="P149" s="94" t="s">
        <v>4146</v>
      </c>
      <c r="Q149" s="94" t="s">
        <v>6010</v>
      </c>
      <c r="R149" s="99"/>
      <c r="S149" s="94" t="s">
        <v>977</v>
      </c>
      <c r="T149" s="99"/>
      <c r="U149" s="94" t="s">
        <v>6011</v>
      </c>
      <c r="V149" s="94" t="s">
        <v>6012</v>
      </c>
      <c r="W149" s="92"/>
      <c r="X149" s="94" t="s">
        <v>6013</v>
      </c>
      <c r="Y149" s="94"/>
      <c r="Z149" s="94" t="s">
        <v>2021</v>
      </c>
      <c r="AA149" s="94" t="s">
        <v>3629</v>
      </c>
      <c r="AB149" s="94" t="s">
        <v>3676</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1991</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2561</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1160</v>
      </c>
      <c r="BT149" s="94" t="s">
        <v>953</v>
      </c>
      <c r="BU149" s="94" t="s">
        <v>2355</v>
      </c>
      <c r="BV149" s="94" t="s">
        <v>6037</v>
      </c>
      <c r="BW149" s="94" t="s">
        <v>6038</v>
      </c>
      <c r="BX149" s="94" t="s">
        <v>1589</v>
      </c>
      <c r="BY149" s="94" t="s">
        <v>1251</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5029</v>
      </c>
      <c r="CM149" s="94" t="s">
        <v>6044</v>
      </c>
      <c r="CN149" s="94" t="s">
        <v>3801</v>
      </c>
      <c r="CO149" s="94" t="s">
        <v>2122</v>
      </c>
      <c r="CP149" s="94" t="s">
        <v>6045</v>
      </c>
      <c r="CQ149" s="94" t="s">
        <v>6046</v>
      </c>
      <c r="CR149" s="99"/>
      <c r="CS149" s="94" t="s">
        <v>6047</v>
      </c>
      <c r="CT149" s="94" t="s">
        <v>6048</v>
      </c>
      <c r="CU149" s="92"/>
      <c r="CV149" s="94" t="s">
        <v>2864</v>
      </c>
      <c r="CW149" s="94" t="s">
        <v>6049</v>
      </c>
      <c r="CX149" s="94" t="s">
        <v>2440</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2700</v>
      </c>
      <c r="DL149" s="94" t="s">
        <v>2113</v>
      </c>
      <c r="DM149" s="94" t="s">
        <v>3243</v>
      </c>
      <c r="DN149" s="94" t="s">
        <v>2416</v>
      </c>
      <c r="DO149" s="94" t="s">
        <v>4120</v>
      </c>
      <c r="DP149" s="94" t="s">
        <v>6055</v>
      </c>
      <c r="DQ149" s="94" t="s">
        <v>180</v>
      </c>
      <c r="DR149" s="94" t="s">
        <v>5586</v>
      </c>
      <c r="DS149" s="94" t="s">
        <v>3129</v>
      </c>
      <c r="DT149" s="94" t="s">
        <v>4821</v>
      </c>
      <c r="DU149" s="94" t="s">
        <v>6056</v>
      </c>
      <c r="DV149" s="94" t="s">
        <v>6057</v>
      </c>
      <c r="DW149" s="94" t="s">
        <v>1124</v>
      </c>
      <c r="DX149" s="94" t="s">
        <v>3941</v>
      </c>
      <c r="DY149" s="94" t="s">
        <v>6058</v>
      </c>
      <c r="DZ149" s="94" t="s">
        <v>4448</v>
      </c>
      <c r="EA149" s="94" t="s">
        <v>2575</v>
      </c>
      <c r="EB149" s="94" t="s">
        <v>4996</v>
      </c>
      <c r="EC149" s="94" t="s">
        <v>2319</v>
      </c>
      <c r="ED149" s="307" t="s">
        <v>4427</v>
      </c>
    </row>
    <row r="150">
      <c r="A150" s="647" t="s">
        <v>6059</v>
      </c>
      <c r="B150" s="104" t="s">
        <v>6060</v>
      </c>
      <c r="C150" s="105" t="s">
        <v>1260</v>
      </c>
      <c r="D150" s="106" t="s">
        <v>548</v>
      </c>
      <c r="E150" s="107" t="s">
        <v>1260</v>
      </c>
      <c r="F150" s="108" t="s">
        <v>987</v>
      </c>
      <c r="G150" s="104" t="s">
        <v>1062</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2627</v>
      </c>
      <c r="AV150" s="168" t="s">
        <v>3381</v>
      </c>
      <c r="AW150" s="121" t="s">
        <v>3006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2983</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4695</v>
      </c>
      <c r="K151" s="88" t="s">
        <v>6071</v>
      </c>
      <c r="L151" s="88" t="s">
        <v>2099</v>
      </c>
      <c r="M151" s="102"/>
      <c r="N151" s="88" t="s">
        <v>713</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1543</v>
      </c>
      <c r="BF151" s="88" t="s">
        <v>4556</v>
      </c>
      <c r="BG151" s="102"/>
      <c r="BH151" s="99"/>
      <c r="BI151" s="88" t="s">
        <v>3050</v>
      </c>
      <c r="BJ151" s="265" t="s">
        <v>5809</v>
      </c>
      <c r="BK151" s="102"/>
      <c r="BL151" s="102"/>
      <c r="BM151" s="99"/>
      <c r="BN151" s="99"/>
      <c r="BO151" s="102"/>
      <c r="BP151" s="99"/>
      <c r="BQ151" s="236"/>
      <c r="BR151" s="102" t="s">
        <v>2505</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5275</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2931</v>
      </c>
      <c r="H152" s="345"/>
      <c r="I152" s="345" t="s">
        <v>2720</v>
      </c>
      <c r="J152" s="110" t="s">
        <v>6092</v>
      </c>
      <c r="K152" s="345" t="s">
        <v>6093</v>
      </c>
      <c r="L152" s="413" t="s">
        <v>4135</v>
      </c>
      <c r="M152" s="413" t="s">
        <v>6094</v>
      </c>
      <c r="N152" s="413" t="s">
        <v>5761</v>
      </c>
      <c r="O152" s="413" t="s">
        <v>6095</v>
      </c>
      <c r="P152" s="413" t="s">
        <v>3098</v>
      </c>
      <c r="Q152" s="243"/>
      <c r="R152" s="243"/>
      <c r="S152" s="243"/>
      <c r="T152" s="243"/>
      <c r="U152" s="243"/>
      <c r="V152" s="243"/>
      <c r="W152" s="92"/>
      <c r="X152" s="117"/>
      <c r="Y152" s="269"/>
      <c r="Z152" s="116" t="s">
        <v>2804</v>
      </c>
      <c r="AA152" s="117" t="s">
        <v>5117</v>
      </c>
      <c r="AB152" s="380"/>
      <c r="AC152" s="117" t="s">
        <v>4349</v>
      </c>
      <c r="AD152" s="117"/>
      <c r="AE152" s="245"/>
      <c r="AF152" s="117" t="s">
        <v>6096</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2483</v>
      </c>
      <c r="CI152" s="136"/>
      <c r="CJ152" s="136"/>
      <c r="CK152" s="136"/>
      <c r="CL152" s="136"/>
      <c r="CM152" s="136"/>
      <c r="CN152" s="136"/>
      <c r="CO152" s="136" t="s">
        <v>458</v>
      </c>
      <c r="CP152" s="515"/>
      <c r="CQ152" s="254"/>
      <c r="CR152" s="254"/>
      <c r="CS152" s="254"/>
      <c r="CT152" s="254"/>
      <c r="CU152" s="92"/>
      <c r="CV152" s="284"/>
      <c r="CW152" s="284"/>
      <c r="CX152" s="651" t="s">
        <v>5390</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2593</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3008</v>
      </c>
      <c r="T154" s="544"/>
      <c r="U154" s="544"/>
      <c r="V154" s="544"/>
      <c r="W154" s="558"/>
      <c r="X154" s="300" t="s">
        <v>6113</v>
      </c>
      <c r="Y154" s="300"/>
      <c r="Z154" s="300" t="s">
        <v>2804</v>
      </c>
      <c r="AA154" s="300" t="s">
        <v>131</v>
      </c>
      <c r="AB154" s="300" t="s">
        <v>6114</v>
      </c>
      <c r="AC154" s="300" t="s">
        <v>3940</v>
      </c>
      <c r="AD154" s="300" t="s">
        <v>6115</v>
      </c>
      <c r="AE154" s="545"/>
      <c r="AF154" s="300" t="s">
        <v>6116</v>
      </c>
      <c r="AG154" s="300" t="s">
        <v>4705</v>
      </c>
      <c r="AH154" s="545"/>
      <c r="AI154" s="545"/>
      <c r="AJ154" s="300"/>
      <c r="AK154" s="654"/>
      <c r="AL154" s="546"/>
      <c r="AM154" s="424"/>
      <c r="AN154" s="424" t="s">
        <v>1619</v>
      </c>
      <c r="AO154" s="547"/>
      <c r="AP154" s="547"/>
      <c r="AQ154" s="548"/>
      <c r="AR154" s="548"/>
      <c r="AS154" s="547"/>
      <c r="AT154" s="547"/>
      <c r="AU154" s="424" t="s">
        <v>3633</v>
      </c>
      <c r="AV154" s="424" t="s">
        <v>772</v>
      </c>
      <c r="AW154" s="424"/>
      <c r="AX154" s="547"/>
      <c r="AY154" s="547"/>
      <c r="AZ154" s="547"/>
      <c r="BA154" s="547"/>
      <c r="BB154" s="200"/>
      <c r="BC154" s="200" t="s">
        <v>6117</v>
      </c>
      <c r="BD154" s="200" t="s">
        <v>3329</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2011</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2542</v>
      </c>
      <c r="H155" s="102"/>
      <c r="I155" s="95" t="s">
        <v>5151</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4348</v>
      </c>
      <c r="Y155" s="102"/>
      <c r="Z155" s="102" t="s">
        <v>2021</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4955</v>
      </c>
      <c r="BD155" s="102" t="s">
        <v>1078</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5533</v>
      </c>
      <c r="BU155" s="102" t="s">
        <v>6144</v>
      </c>
      <c r="BV155" s="102" t="s">
        <v>6145</v>
      </c>
      <c r="BW155" s="102" t="s">
        <v>1523</v>
      </c>
      <c r="BX155" s="94" t="s">
        <v>4192</v>
      </c>
      <c r="BY155" s="102" t="s">
        <v>6146</v>
      </c>
      <c r="BZ155" s="102"/>
      <c r="CA155" s="102" t="s">
        <v>1446</v>
      </c>
      <c r="CB155" s="99"/>
      <c r="CC155" s="99"/>
      <c r="CD155" s="99"/>
      <c r="CE155" s="99"/>
      <c r="CF155" s="236"/>
      <c r="CG155" s="102" t="s">
        <v>6147</v>
      </c>
      <c r="CH155" s="102" t="s">
        <v>2127</v>
      </c>
      <c r="CI155" s="102" t="s">
        <v>2547</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4212</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1656</v>
      </c>
      <c r="K156" s="112" t="s">
        <v>1828</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5728</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2044</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2903</v>
      </c>
      <c r="H158" s="243"/>
      <c r="I158" s="167" t="s">
        <v>1915</v>
      </c>
      <c r="J158" s="167" t="s">
        <v>2589</v>
      </c>
      <c r="K158" s="167" t="s">
        <v>3101</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1021</v>
      </c>
      <c r="DD158" s="255"/>
      <c r="DE158" s="255"/>
      <c r="DF158" s="255"/>
      <c r="DG158" s="255"/>
      <c r="DH158" s="256"/>
      <c r="DI158" s="204" t="s">
        <v>6183</v>
      </c>
      <c r="DJ158" s="257"/>
      <c r="DK158" s="257"/>
      <c r="DL158" s="204"/>
      <c r="DM158" s="257"/>
      <c r="DN158" s="204" t="s">
        <v>2055</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1260</v>
      </c>
      <c r="D159" s="84" t="s">
        <v>1260</v>
      </c>
      <c r="E159" s="85" t="s">
        <v>1260</v>
      </c>
      <c r="F159" s="86" t="s">
        <v>1260</v>
      </c>
      <c r="G159" s="82" t="s">
        <v>2931</v>
      </c>
      <c r="H159" s="94" t="s">
        <v>2698</v>
      </c>
      <c r="I159" s="94" t="s">
        <v>6188</v>
      </c>
      <c r="J159" s="94" t="s">
        <v>4833</v>
      </c>
      <c r="K159" s="94" t="s">
        <v>553</v>
      </c>
      <c r="L159" s="94" t="s">
        <v>6189</v>
      </c>
      <c r="M159" s="99"/>
      <c r="N159" s="99"/>
      <c r="O159" s="94" t="s">
        <v>1838</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1260</v>
      </c>
      <c r="D160" s="106" t="s">
        <v>1260</v>
      </c>
      <c r="E160" s="107" t="s">
        <v>1260</v>
      </c>
      <c r="F160" s="108" t="s">
        <v>1201</v>
      </c>
      <c r="G160" s="104" t="s">
        <v>4219</v>
      </c>
      <c r="H160" s="243"/>
      <c r="I160" s="243"/>
      <c r="J160" s="167" t="s">
        <v>6200</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3961</v>
      </c>
      <c r="H161" s="94" t="s">
        <v>6206</v>
      </c>
      <c r="I161" s="94" t="s">
        <v>4931</v>
      </c>
      <c r="J161" s="94" t="s">
        <v>2392</v>
      </c>
      <c r="K161" s="94" t="s">
        <v>1432</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4045</v>
      </c>
      <c r="L162" s="413"/>
      <c r="M162" s="413"/>
      <c r="N162" s="413"/>
      <c r="O162" s="413"/>
      <c r="P162" s="345" t="s">
        <v>4865</v>
      </c>
      <c r="Q162" s="243"/>
      <c r="R162" s="243"/>
      <c r="S162" s="243"/>
      <c r="T162" s="243"/>
      <c r="U162" s="243"/>
      <c r="V162" s="243"/>
      <c r="W162" s="92"/>
      <c r="X162" s="300" t="s">
        <v>6215</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1548</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3371</v>
      </c>
      <c r="H164" s="167" t="s">
        <v>3715</v>
      </c>
      <c r="I164" s="243"/>
      <c r="J164" s="167" t="s">
        <v>5292</v>
      </c>
      <c r="K164" s="167" t="s">
        <v>4045</v>
      </c>
      <c r="L164" s="167" t="s">
        <v>5073</v>
      </c>
      <c r="M164" s="243"/>
      <c r="N164" s="243"/>
      <c r="O164" s="167" t="s">
        <v>1863</v>
      </c>
      <c r="P164" s="243"/>
      <c r="Q164" s="243"/>
      <c r="R164" s="243"/>
      <c r="S164" s="243"/>
      <c r="T164" s="243"/>
      <c r="U164" s="243"/>
      <c r="V164" s="243"/>
      <c r="W164" s="92"/>
      <c r="X164" s="197" t="s">
        <v>6228</v>
      </c>
      <c r="Y164" s="197"/>
      <c r="Z164" s="197" t="s">
        <v>3815</v>
      </c>
      <c r="AA164" s="197" t="s">
        <v>6229</v>
      </c>
      <c r="AB164" s="245"/>
      <c r="AC164" s="197" t="s">
        <v>1377</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3530</v>
      </c>
      <c r="I165" s="93" t="s">
        <v>6234</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1260</v>
      </c>
      <c r="D166" s="106" t="s">
        <v>1260</v>
      </c>
      <c r="E166" s="107" t="s">
        <v>1260</v>
      </c>
      <c r="F166" s="108" t="s">
        <v>1260</v>
      </c>
      <c r="G166" s="104" t="s">
        <v>3371</v>
      </c>
      <c r="H166" s="167" t="s">
        <v>1912</v>
      </c>
      <c r="I166" s="167" t="s">
        <v>2177</v>
      </c>
      <c r="J166" s="243"/>
      <c r="K166" s="167" t="s">
        <v>2910</v>
      </c>
      <c r="L166" s="243"/>
      <c r="M166" s="243"/>
      <c r="N166" s="243"/>
      <c r="O166" s="167" t="s">
        <v>6236</v>
      </c>
      <c r="P166" s="167" t="s">
        <v>2039</v>
      </c>
      <c r="Q166" s="243"/>
      <c r="R166" s="243"/>
      <c r="S166" s="243"/>
      <c r="T166" s="243"/>
      <c r="U166" s="243"/>
      <c r="V166" s="243"/>
      <c r="W166" s="92"/>
      <c r="X166" s="197" t="s">
        <v>3437</v>
      </c>
      <c r="Y166" s="245"/>
      <c r="Z166" s="245"/>
      <c r="AA166" s="197" t="s">
        <v>4662</v>
      </c>
      <c r="AB166" s="245"/>
      <c r="AC166" s="197" t="s">
        <v>2483</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1260</v>
      </c>
      <c r="D167" s="84" t="s">
        <v>1260</v>
      </c>
      <c r="E167" s="85" t="s">
        <v>1260</v>
      </c>
      <c r="F167" s="86" t="s">
        <v>6244</v>
      </c>
      <c r="G167" s="82" t="s">
        <v>5724</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2480</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3246</v>
      </c>
      <c r="BE167" s="88" t="s">
        <v>960</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1328</v>
      </c>
      <c r="CB167" s="99"/>
      <c r="CC167" s="99"/>
      <c r="CD167" s="94"/>
      <c r="CE167" s="99"/>
      <c r="CF167" s="236"/>
      <c r="CG167" s="88" t="s">
        <v>6259</v>
      </c>
      <c r="CH167" s="88" t="s">
        <v>1860</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908</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1260</v>
      </c>
      <c r="D168" s="106" t="s">
        <v>1260</v>
      </c>
      <c r="E168" s="107" t="s">
        <v>1260</v>
      </c>
      <c r="F168" s="108" t="s">
        <v>335</v>
      </c>
      <c r="G168" s="104" t="s">
        <v>6214</v>
      </c>
      <c r="H168" s="653" t="s">
        <v>3573</v>
      </c>
      <c r="I168" s="243" t="s">
        <v>6268</v>
      </c>
      <c r="J168" s="243" t="s">
        <v>453</v>
      </c>
      <c r="K168" s="243" t="s">
        <v>4369</v>
      </c>
      <c r="L168" s="243" t="s">
        <v>2807</v>
      </c>
      <c r="M168" s="243" t="s">
        <v>6269</v>
      </c>
      <c r="N168" s="243"/>
      <c r="O168" s="243"/>
      <c r="P168" s="243" t="s">
        <v>2203</v>
      </c>
      <c r="Q168" s="243"/>
      <c r="R168" s="243"/>
      <c r="S168" s="243"/>
      <c r="T168" s="243"/>
      <c r="U168" s="243"/>
      <c r="V168" s="243"/>
      <c r="W168" s="92"/>
      <c r="X168" s="115"/>
      <c r="Y168" s="245"/>
      <c r="Z168" s="245"/>
      <c r="AA168" s="245" t="s">
        <v>1771</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6270</v>
      </c>
      <c r="CP168" s="254"/>
      <c r="CQ168" s="262"/>
      <c r="CR168" s="254"/>
      <c r="CS168" s="254"/>
      <c r="CT168" s="254"/>
      <c r="CU168" s="92"/>
      <c r="CV168" s="255"/>
      <c r="CW168" s="255"/>
      <c r="CX168" s="255" t="s">
        <v>5173</v>
      </c>
      <c r="CY168" s="255" t="s">
        <v>3526</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1260</v>
      </c>
      <c r="D169" s="84" t="s">
        <v>1260</v>
      </c>
      <c r="E169" s="85" t="s">
        <v>1260</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1260</v>
      </c>
      <c r="D170" s="106" t="s">
        <v>1260</v>
      </c>
      <c r="E170" s="107" t="s">
        <v>1260</v>
      </c>
      <c r="F170" s="108" t="s">
        <v>548</v>
      </c>
      <c r="G170" s="104" t="s">
        <v>6281</v>
      </c>
      <c r="H170" s="243"/>
      <c r="I170" s="195" t="s">
        <v>6282</v>
      </c>
      <c r="J170" s="167" t="s">
        <v>6200</v>
      </c>
      <c r="K170" s="167" t="s">
        <v>3101</v>
      </c>
      <c r="L170" s="167" t="s">
        <v>5678</v>
      </c>
      <c r="M170" s="243"/>
      <c r="N170" s="243"/>
      <c r="O170" s="243"/>
      <c r="P170" s="167" t="s">
        <v>2736</v>
      </c>
      <c r="Q170" s="243"/>
      <c r="R170" s="243"/>
      <c r="S170" s="243"/>
      <c r="T170" s="243"/>
      <c r="U170" s="243"/>
      <c r="V170" s="243"/>
      <c r="W170" s="92"/>
      <c r="X170" s="662" t="s">
        <v>1906</v>
      </c>
      <c r="Y170" s="245"/>
      <c r="Z170" s="245"/>
      <c r="AA170" s="197" t="s">
        <v>3197</v>
      </c>
      <c r="AB170" s="114" t="str">
        <f>HYPERLINK("https://clips.twitch.tv/DeliciousHomelyChoughMingLee","53.66")</f>
        <v>53.66</v>
      </c>
      <c r="AC170" s="197" t="s">
        <v>4873</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1993</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2693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1260</v>
      </c>
      <c r="D174" s="106" t="s">
        <v>1260</v>
      </c>
      <c r="E174" s="107" t="s">
        <v>1260</v>
      </c>
      <c r="F174" s="108" t="s">
        <v>1260</v>
      </c>
      <c r="G174" s="104" t="s">
        <v>4668</v>
      </c>
      <c r="H174" s="167"/>
      <c r="I174" s="167" t="s">
        <v>6297</v>
      </c>
      <c r="J174" s="167" t="s">
        <v>3014</v>
      </c>
      <c r="K174" s="167" t="s">
        <v>755</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3664</v>
      </c>
      <c r="BF174" s="174" t="s">
        <v>6305</v>
      </c>
      <c r="BG174" s="173"/>
      <c r="BH174" s="173"/>
      <c r="BI174" s="174" t="s">
        <v>3261</v>
      </c>
      <c r="BJ174" s="173"/>
      <c r="BK174" s="173"/>
      <c r="BL174" s="174" t="s">
        <v>531</v>
      </c>
      <c r="BM174" s="173"/>
      <c r="BN174" s="173"/>
      <c r="BO174" s="173"/>
      <c r="BP174" s="173"/>
      <c r="BQ174" s="248"/>
      <c r="BR174" s="175" t="s">
        <v>6306</v>
      </c>
      <c r="BS174" s="175" t="s">
        <v>6307</v>
      </c>
      <c r="BT174" s="175" t="s">
        <v>953</v>
      </c>
      <c r="BU174" s="175" t="s">
        <v>537</v>
      </c>
      <c r="BV174" s="175" t="s">
        <v>6308</v>
      </c>
      <c r="BW174" s="175" t="s">
        <v>1290</v>
      </c>
      <c r="BX174" s="251"/>
      <c r="BY174" s="251"/>
      <c r="BZ174" s="251"/>
      <c r="CA174" s="175" t="s">
        <v>893</v>
      </c>
      <c r="CB174" s="251"/>
      <c r="CC174" s="251"/>
      <c r="CD174" s="251"/>
      <c r="CE174" s="251"/>
      <c r="CF174" s="252"/>
      <c r="CG174" s="177" t="s">
        <v>4751</v>
      </c>
      <c r="CH174" s="177" t="s">
        <v>2070</v>
      </c>
      <c r="CI174" s="254"/>
      <c r="CJ174" s="254"/>
      <c r="CK174" s="254"/>
      <c r="CL174" s="254"/>
      <c r="CM174" s="254"/>
      <c r="CN174" s="177" t="s">
        <v>4632</v>
      </c>
      <c r="CO174" s="177" t="s">
        <v>1500</v>
      </c>
      <c r="CP174" s="254"/>
      <c r="CQ174" s="254"/>
      <c r="CR174" s="254"/>
      <c r="CS174" s="254"/>
      <c r="CT174" s="254"/>
      <c r="CU174" s="92"/>
      <c r="CV174" s="203" t="s">
        <v>5177</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1260</v>
      </c>
      <c r="E175" s="85" t="s">
        <v>1260</v>
      </c>
      <c r="F175" s="86" t="s">
        <v>548</v>
      </c>
      <c r="G175" s="82" t="s">
        <v>4042</v>
      </c>
      <c r="H175" s="669" t="s">
        <v>3000</v>
      </c>
      <c r="I175" s="669" t="s">
        <v>6315</v>
      </c>
      <c r="J175" s="669" t="s">
        <v>6316</v>
      </c>
      <c r="K175" s="669" t="s">
        <v>755</v>
      </c>
      <c r="L175" s="669" t="s">
        <v>910</v>
      </c>
      <c r="M175" s="670"/>
      <c r="N175" s="669" t="s">
        <v>6317</v>
      </c>
      <c r="O175" s="669" t="s">
        <v>6318</v>
      </c>
      <c r="P175" s="669" t="s">
        <v>5413</v>
      </c>
      <c r="Q175" s="670"/>
      <c r="R175" s="670"/>
      <c r="S175" s="670"/>
      <c r="T175" s="670"/>
      <c r="U175" s="670"/>
      <c r="V175" s="670"/>
      <c r="W175" s="671"/>
      <c r="X175" s="669" t="s">
        <v>6319</v>
      </c>
      <c r="Y175" s="669"/>
      <c r="Z175" s="672" t="s">
        <v>381</v>
      </c>
      <c r="AA175" s="672" t="s">
        <v>869</v>
      </c>
      <c r="AB175" s="672" t="s">
        <v>3954</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2038</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2962</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5235</v>
      </c>
      <c r="CW175" s="669" t="s">
        <v>2470</v>
      </c>
      <c r="CX175" s="669" t="s">
        <v>5174</v>
      </c>
      <c r="CY175" s="670"/>
      <c r="CZ175" s="670"/>
      <c r="DA175" s="670"/>
      <c r="DB175" s="669" t="s">
        <v>6323</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1260</v>
      </c>
      <c r="D177" s="84" t="s">
        <v>1260</v>
      </c>
      <c r="E177" s="85" t="s">
        <v>1260</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2694</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1260</v>
      </c>
      <c r="D179" s="84" t="s">
        <v>1260</v>
      </c>
      <c r="E179" s="85" t="s">
        <v>1260</v>
      </c>
      <c r="F179" s="86" t="s">
        <v>1260</v>
      </c>
      <c r="G179" s="82" t="s">
        <v>223</v>
      </c>
      <c r="H179" s="99"/>
      <c r="I179" s="99"/>
      <c r="J179" s="162" t="s">
        <v>6092</v>
      </c>
      <c r="K179" s="99"/>
      <c r="L179" s="94" t="s">
        <v>6335</v>
      </c>
      <c r="M179" s="99"/>
      <c r="N179" s="94" t="s">
        <v>5137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1260</v>
      </c>
      <c r="D180" s="106" t="s">
        <v>1260</v>
      </c>
      <c r="E180" s="107" t="s">
        <v>1260</v>
      </c>
      <c r="F180" s="108" t="s">
        <v>1260</v>
      </c>
      <c r="G180" s="104" t="s">
        <v>1726</v>
      </c>
      <c r="H180" s="243"/>
      <c r="I180" s="167" t="s">
        <v>6341</v>
      </c>
      <c r="J180" s="167" t="s">
        <v>5107</v>
      </c>
      <c r="K180" s="167" t="s">
        <v>2386</v>
      </c>
      <c r="L180" s="167" t="s">
        <v>4093</v>
      </c>
      <c r="M180" s="167" t="s">
        <v>6342</v>
      </c>
      <c r="N180" s="243"/>
      <c r="O180" s="167" t="s">
        <v>1862</v>
      </c>
      <c r="P180" s="167" t="s">
        <v>6343</v>
      </c>
      <c r="Q180" s="243"/>
      <c r="R180" s="243"/>
      <c r="S180" s="243"/>
      <c r="T180" s="243"/>
      <c r="U180" s="243"/>
      <c r="V180" s="243"/>
      <c r="W180" s="92"/>
      <c r="X180" s="197" t="s">
        <v>4435</v>
      </c>
      <c r="Y180" s="197"/>
      <c r="Z180" s="197" t="s">
        <v>5672</v>
      </c>
      <c r="AA180" s="197" t="s">
        <v>4468</v>
      </c>
      <c r="AB180" s="197" t="s">
        <v>6344</v>
      </c>
      <c r="AC180" s="197" t="s">
        <v>6345</v>
      </c>
      <c r="AD180" s="197" t="s">
        <v>4751</v>
      </c>
      <c r="AE180" s="245"/>
      <c r="AF180" s="197" t="s">
        <v>6346</v>
      </c>
      <c r="AG180" s="197" t="s">
        <v>1620</v>
      </c>
      <c r="AH180" s="245"/>
      <c r="AI180" s="245"/>
      <c r="AJ180" s="245"/>
      <c r="AK180" s="245"/>
      <c r="AL180" s="97"/>
      <c r="AM180" s="246"/>
      <c r="AN180" s="246"/>
      <c r="AO180" s="246"/>
      <c r="AP180" s="246"/>
      <c r="AQ180" s="246"/>
      <c r="AR180" s="246"/>
      <c r="AS180" s="246"/>
      <c r="AT180" s="246"/>
      <c r="AU180" s="168" t="s">
        <v>2529</v>
      </c>
      <c r="AV180" s="168" t="s">
        <v>1668</v>
      </c>
      <c r="AW180" s="246"/>
      <c r="AX180" s="246"/>
      <c r="AY180" s="246"/>
      <c r="AZ180" s="246"/>
      <c r="BA180" s="246"/>
      <c r="BB180" s="173"/>
      <c r="BC180" s="174" t="s">
        <v>774</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2018</v>
      </c>
      <c r="CB180" s="251"/>
      <c r="CC180" s="251"/>
      <c r="CD180" s="251"/>
      <c r="CE180" s="251"/>
      <c r="CF180" s="252"/>
      <c r="CG180" s="177" t="s">
        <v>4946</v>
      </c>
      <c r="CH180" s="177" t="s">
        <v>2521</v>
      </c>
      <c r="CI180" s="177" t="s">
        <v>2617</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1260</v>
      </c>
      <c r="D181" s="84" t="s">
        <v>1260</v>
      </c>
      <c r="E181" s="85" t="s">
        <v>1260</v>
      </c>
      <c r="F181" s="86" t="s">
        <v>1260</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1260</v>
      </c>
      <c r="D182" s="106" t="s">
        <v>1260</v>
      </c>
      <c r="E182" s="107" t="s">
        <v>1260</v>
      </c>
      <c r="F182" s="108" t="s">
        <v>986</v>
      </c>
      <c r="G182" s="104" t="s">
        <v>1062</v>
      </c>
      <c r="H182" s="167" t="s">
        <v>2625</v>
      </c>
      <c r="I182" s="243"/>
      <c r="J182" s="167" t="s">
        <v>6360</v>
      </c>
      <c r="K182" s="112" t="s">
        <v>4986</v>
      </c>
      <c r="L182" s="273" t="s">
        <v>3479</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855</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1260</v>
      </c>
      <c r="D184" s="106" t="s">
        <v>1260</v>
      </c>
      <c r="E184" s="107" t="s">
        <v>1260</v>
      </c>
      <c r="F184" s="108" t="s">
        <v>1260</v>
      </c>
      <c r="G184" s="104" t="s">
        <v>1812</v>
      </c>
      <c r="H184" s="167" t="s">
        <v>6378</v>
      </c>
      <c r="I184" s="167" t="s">
        <v>6379</v>
      </c>
      <c r="J184" s="167" t="s">
        <v>619</v>
      </c>
      <c r="K184" s="167" t="s">
        <v>2910</v>
      </c>
      <c r="L184" s="167" t="s">
        <v>2942</v>
      </c>
      <c r="M184" s="167" t="s">
        <v>6380</v>
      </c>
      <c r="N184" s="167" t="s">
        <v>6381</v>
      </c>
      <c r="O184" s="167" t="s">
        <v>850</v>
      </c>
      <c r="P184" s="167" t="s">
        <v>497</v>
      </c>
      <c r="Q184" s="167"/>
      <c r="R184" s="167"/>
      <c r="S184" s="167"/>
      <c r="T184" s="167"/>
      <c r="U184" s="167"/>
      <c r="V184" s="167"/>
      <c r="W184" s="92"/>
      <c r="X184" s="197" t="s">
        <v>6382</v>
      </c>
      <c r="Y184" s="197"/>
      <c r="Z184" s="197" t="s">
        <v>5207</v>
      </c>
      <c r="AA184" s="197" t="s">
        <v>138</v>
      </c>
      <c r="AB184" s="197" t="s">
        <v>2653</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3761</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1572</v>
      </c>
      <c r="CX184" s="203" t="s">
        <v>6178</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1260</v>
      </c>
      <c r="D185" s="84" t="s">
        <v>1260</v>
      </c>
      <c r="E185" s="85" t="s">
        <v>1260</v>
      </c>
      <c r="F185" s="86" t="s">
        <v>1260</v>
      </c>
      <c r="G185" s="82" t="s">
        <v>5724</v>
      </c>
      <c r="H185" s="99"/>
      <c r="I185" s="94" t="s">
        <v>6398</v>
      </c>
      <c r="J185" s="94" t="s">
        <v>304</v>
      </c>
      <c r="K185" s="94" t="s">
        <v>125</v>
      </c>
      <c r="L185" s="94" t="s">
        <v>4015</v>
      </c>
      <c r="M185" s="94" t="s">
        <v>6399</v>
      </c>
      <c r="N185" s="99"/>
      <c r="O185" s="94" t="s">
        <v>3590</v>
      </c>
      <c r="P185" s="94" t="s">
        <v>1620</v>
      </c>
      <c r="Q185" s="99"/>
      <c r="R185" s="99"/>
      <c r="S185" s="99"/>
      <c r="T185" s="99"/>
      <c r="U185" s="99"/>
      <c r="V185" s="99"/>
      <c r="W185" s="92"/>
      <c r="X185" s="94" t="s">
        <v>6400</v>
      </c>
      <c r="Y185" s="94"/>
      <c r="Z185" s="94" t="s">
        <v>3614</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2933</v>
      </c>
      <c r="AW185" s="99"/>
      <c r="AX185" s="99"/>
      <c r="AY185" s="99"/>
      <c r="AZ185" s="99"/>
      <c r="BA185" s="99"/>
      <c r="BB185" s="94" t="s">
        <v>3819</v>
      </c>
      <c r="BC185" s="94" t="s">
        <v>5036</v>
      </c>
      <c r="BD185" s="99"/>
      <c r="BE185" s="94" t="s">
        <v>5647</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3854</v>
      </c>
      <c r="CB185" s="99"/>
      <c r="CC185" s="99"/>
      <c r="CD185" s="99"/>
      <c r="CE185" s="99"/>
      <c r="CF185" s="236"/>
      <c r="CG185" s="94" t="s">
        <v>6405</v>
      </c>
      <c r="CH185" s="94" t="s">
        <v>3525</v>
      </c>
      <c r="CI185" s="94" t="s">
        <v>756</v>
      </c>
      <c r="CJ185" s="94" t="s">
        <v>6406</v>
      </c>
      <c r="CK185" s="94"/>
      <c r="CL185" s="94"/>
      <c r="CM185" s="99"/>
      <c r="CN185" s="94" t="s">
        <v>3810</v>
      </c>
      <c r="CO185" s="94" t="s">
        <v>6283</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1260</v>
      </c>
      <c r="D186" s="106" t="s">
        <v>1260</v>
      </c>
      <c r="E186" s="107" t="s">
        <v>1260</v>
      </c>
      <c r="F186" s="108" t="s">
        <v>1260</v>
      </c>
      <c r="G186" s="104" t="s">
        <v>2676</v>
      </c>
      <c r="H186" s="167" t="s">
        <v>6414</v>
      </c>
      <c r="I186" s="167" t="s">
        <v>6415</v>
      </c>
      <c r="J186" s="167" t="s">
        <v>2027</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6419</v>
      </c>
      <c r="B187" s="82" t="s">
        <v>6420</v>
      </c>
      <c r="C187" s="83" t="s">
        <v>1260</v>
      </c>
      <c r="D187" s="84" t="s">
        <v>1260</v>
      </c>
      <c r="E187" s="85" t="s">
        <v>1260</v>
      </c>
      <c r="F187" s="86" t="s">
        <v>1260</v>
      </c>
      <c r="G187" s="82" t="s">
        <v>335</v>
      </c>
      <c r="H187" s="99"/>
      <c r="I187" s="99"/>
      <c r="J187" s="99"/>
      <c r="K187" s="94" t="s">
        <v>6093</v>
      </c>
      <c r="L187" s="99"/>
      <c r="M187" s="99"/>
      <c r="N187" s="99"/>
      <c r="O187" s="94" t="s">
        <v>5396</v>
      </c>
      <c r="P187" s="99"/>
      <c r="Q187" s="99"/>
      <c r="R187" s="99"/>
      <c r="S187" s="99"/>
      <c r="T187" s="99"/>
      <c r="U187" s="99"/>
      <c r="V187" s="99"/>
      <c r="W187" s="92"/>
      <c r="X187" s="94" t="s">
        <v>1289</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1260</v>
      </c>
      <c r="D189" s="84" t="s">
        <v>1260</v>
      </c>
      <c r="E189" s="85" t="s">
        <v>1260</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1260</v>
      </c>
      <c r="D192" s="106" t="s">
        <v>1260</v>
      </c>
      <c r="E192" s="107" t="s">
        <v>1260</v>
      </c>
      <c r="F192" s="108" t="s">
        <v>1260</v>
      </c>
      <c r="G192" s="104" t="s">
        <v>6214</v>
      </c>
      <c r="H192" s="243"/>
      <c r="I192" s="167" t="s">
        <v>6433</v>
      </c>
      <c r="J192" s="167" t="s">
        <v>4225</v>
      </c>
      <c r="K192" s="167" t="s">
        <v>4369</v>
      </c>
      <c r="L192" s="167" t="s">
        <v>6434</v>
      </c>
      <c r="M192" s="243"/>
      <c r="N192" s="243"/>
      <c r="O192" s="167" t="s">
        <v>1224</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6435</v>
      </c>
      <c r="BD192" s="172" t="s">
        <v>5343</v>
      </c>
      <c r="BE192" s="173"/>
      <c r="BF192" s="173"/>
      <c r="BG192" s="173"/>
      <c r="BH192" s="173"/>
      <c r="BI192" s="173"/>
      <c r="BJ192" s="173"/>
      <c r="BK192" s="174" t="s">
        <v>2450</v>
      </c>
      <c r="BL192" s="173"/>
      <c r="BM192" s="173"/>
      <c r="BN192" s="173"/>
      <c r="BO192" s="173"/>
      <c r="BP192" s="173"/>
      <c r="BQ192" s="248"/>
      <c r="BR192" s="251"/>
      <c r="BS192" s="251"/>
      <c r="BT192" s="251"/>
      <c r="BU192" s="175" t="s">
        <v>5598</v>
      </c>
      <c r="BV192" s="251"/>
      <c r="BW192" s="175" t="s">
        <v>6436</v>
      </c>
      <c r="BX192" s="251"/>
      <c r="BY192" s="251"/>
      <c r="BZ192" s="251"/>
      <c r="CA192" s="251"/>
      <c r="CB192" s="251"/>
      <c r="CC192" s="251"/>
      <c r="CD192" s="175" t="s">
        <v>2048</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4664</v>
      </c>
      <c r="DU192" s="257"/>
      <c r="DV192" s="257"/>
      <c r="DW192" s="257"/>
      <c r="DX192" s="257"/>
      <c r="DY192" s="257"/>
      <c r="DZ192" s="257"/>
      <c r="EA192" s="257"/>
      <c r="EB192" s="257"/>
      <c r="EC192" s="257"/>
      <c r="ED192" s="286" t="s">
        <v>6439</v>
      </c>
    </row>
    <row r="193">
      <c r="A193" s="81" t="s">
        <v>6440</v>
      </c>
      <c r="B193" s="82" t="s">
        <v>6441</v>
      </c>
      <c r="C193" s="83" t="s">
        <v>1260</v>
      </c>
      <c r="D193" s="84" t="s">
        <v>1260</v>
      </c>
      <c r="E193" s="85" t="s">
        <v>1260</v>
      </c>
      <c r="F193" s="86" t="s">
        <v>548</v>
      </c>
      <c r="G193" s="82" t="s">
        <v>2676</v>
      </c>
      <c r="H193" s="99"/>
      <c r="I193" s="99"/>
      <c r="J193" s="99"/>
      <c r="K193" s="94" t="s">
        <v>3101</v>
      </c>
      <c r="L193" s="99"/>
      <c r="M193" s="99"/>
      <c r="N193" s="99"/>
      <c r="O193" s="99"/>
      <c r="P193" s="99"/>
      <c r="Q193" s="99"/>
      <c r="R193" s="99"/>
      <c r="S193" s="99"/>
      <c r="T193" s="99"/>
      <c r="U193" s="99"/>
      <c r="V193" s="99"/>
      <c r="W193" s="92"/>
      <c r="X193" s="94" t="s">
        <v>3954</v>
      </c>
      <c r="Y193" s="99"/>
      <c r="Z193" s="99"/>
      <c r="AA193" s="94" t="s">
        <v>1790</v>
      </c>
      <c r="AB193" s="99"/>
      <c r="AC193" s="88" t="s">
        <v>4763</v>
      </c>
      <c r="AD193" s="94" t="s">
        <v>3081</v>
      </c>
      <c r="AE193" s="99"/>
      <c r="AF193" s="99"/>
      <c r="AG193" s="94" t="s">
        <v>1118</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2017</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4805</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1260</v>
      </c>
      <c r="D194" s="106" t="s">
        <v>548</v>
      </c>
      <c r="E194" s="107" t="s">
        <v>1260</v>
      </c>
      <c r="F194" s="108" t="s">
        <v>334</v>
      </c>
      <c r="G194" s="104" t="s">
        <v>222</v>
      </c>
      <c r="H194" s="413"/>
      <c r="I194" s="514"/>
      <c r="J194" s="413"/>
      <c r="K194" s="413" t="s">
        <v>1893</v>
      </c>
      <c r="L194" s="413" t="s">
        <v>5688</v>
      </c>
      <c r="M194" s="413"/>
      <c r="N194" s="413"/>
      <c r="O194" s="413" t="s">
        <v>2942</v>
      </c>
      <c r="P194" s="413"/>
      <c r="Q194" s="243"/>
      <c r="R194" s="243"/>
      <c r="S194" s="243"/>
      <c r="T194" s="243"/>
      <c r="U194" s="243"/>
      <c r="V194" s="243"/>
      <c r="W194" s="92"/>
      <c r="X194" s="116" t="s">
        <v>3631</v>
      </c>
      <c r="Y194" s="117"/>
      <c r="Z194" s="117" t="s">
        <v>6447</v>
      </c>
      <c r="AA194" s="117"/>
      <c r="AB194" s="380"/>
      <c r="AC194" s="117"/>
      <c r="AD194" s="117"/>
      <c r="AE194" s="116" t="s">
        <v>2651</v>
      </c>
      <c r="AF194" s="117" t="s">
        <v>313</v>
      </c>
      <c r="AG194" s="117"/>
      <c r="AH194" s="245"/>
      <c r="AI194" s="245"/>
      <c r="AJ194" s="117"/>
      <c r="AK194" s="245"/>
      <c r="AL194" s="97"/>
      <c r="AM194" s="124"/>
      <c r="AN194" s="124" t="s">
        <v>5099</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1260</v>
      </c>
      <c r="D195" s="84" t="s">
        <v>1260</v>
      </c>
      <c r="E195" s="85" t="s">
        <v>1260</v>
      </c>
      <c r="F195" s="86" t="s">
        <v>548</v>
      </c>
      <c r="G195" s="82" t="s">
        <v>2676</v>
      </c>
      <c r="H195" s="102"/>
      <c r="I195" s="95" t="s">
        <v>6453</v>
      </c>
      <c r="J195" s="102" t="s">
        <v>237</v>
      </c>
      <c r="K195" s="88" t="s">
        <v>5896</v>
      </c>
      <c r="L195" s="102"/>
      <c r="M195" s="102"/>
      <c r="N195" s="102"/>
      <c r="O195" s="102" t="s">
        <v>3152</v>
      </c>
      <c r="P195" s="102" t="s">
        <v>1445</v>
      </c>
      <c r="Q195" s="99"/>
      <c r="R195" s="99"/>
      <c r="S195" s="99"/>
      <c r="T195" s="99"/>
      <c r="U195" s="99"/>
      <c r="V195" s="99"/>
      <c r="W195" s="92"/>
      <c r="X195" s="102"/>
      <c r="Y195" s="102"/>
      <c r="Z195" s="102"/>
      <c r="AA195" s="102"/>
      <c r="AB195" s="265" t="s">
        <v>6454</v>
      </c>
      <c r="AC195" s="102" t="s">
        <v>2636</v>
      </c>
      <c r="AD195" s="102"/>
      <c r="AE195" s="99"/>
      <c r="AF195" s="102"/>
      <c r="AG195" s="102" t="s">
        <v>5413</v>
      </c>
      <c r="AH195" s="99"/>
      <c r="AI195" s="99"/>
      <c r="AJ195" s="102"/>
      <c r="AK195" s="99"/>
      <c r="AL195" s="97"/>
      <c r="AM195" s="102"/>
      <c r="AN195" s="102" t="s">
        <v>3244</v>
      </c>
      <c r="AO195" s="99"/>
      <c r="AP195" s="99"/>
      <c r="AQ195" s="94"/>
      <c r="AR195" s="94"/>
      <c r="AS195" s="99"/>
      <c r="AT195" s="99"/>
      <c r="AU195" s="102" t="s">
        <v>2313</v>
      </c>
      <c r="AV195" s="102" t="s">
        <v>2637</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1260</v>
      </c>
      <c r="D196" s="106" t="s">
        <v>1260</v>
      </c>
      <c r="E196" s="107" t="s">
        <v>1260</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1260</v>
      </c>
      <c r="D197" s="84" t="s">
        <v>1260</v>
      </c>
      <c r="E197" s="85" t="s">
        <v>1260</v>
      </c>
      <c r="F197" s="86" t="s">
        <v>1260</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1260</v>
      </c>
      <c r="D198" s="106" t="s">
        <v>1260</v>
      </c>
      <c r="E198" s="107" t="s">
        <v>1260</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1260</v>
      </c>
      <c r="D199" s="84" t="s">
        <v>1260</v>
      </c>
      <c r="E199" s="85" t="s">
        <v>1260</v>
      </c>
      <c r="F199" s="86" t="s">
        <v>1260</v>
      </c>
      <c r="G199" s="82" t="s">
        <v>4589</v>
      </c>
      <c r="H199" s="94" t="s">
        <v>6466</v>
      </c>
      <c r="I199" s="94" t="s">
        <v>2478</v>
      </c>
      <c r="J199" s="94" t="s">
        <v>1209</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6163</v>
      </c>
      <c r="BV199" s="99" t="s">
        <v>6487</v>
      </c>
      <c r="BW199" s="99" t="s">
        <v>6488</v>
      </c>
      <c r="BX199" s="94" t="s">
        <v>6489</v>
      </c>
      <c r="BY199" s="94" t="s">
        <v>6490</v>
      </c>
      <c r="BZ199" s="99"/>
      <c r="CA199" s="94" t="s">
        <v>4753</v>
      </c>
      <c r="CB199" s="99"/>
      <c r="CC199" s="99"/>
      <c r="CD199" s="99"/>
      <c r="CE199" s="99"/>
      <c r="CF199" s="236"/>
      <c r="CG199" s="94" t="s">
        <v>5633</v>
      </c>
      <c r="CH199" s="94" t="s">
        <v>1566</v>
      </c>
      <c r="CI199" s="94" t="s">
        <v>2477</v>
      </c>
      <c r="CJ199" s="94" t="s">
        <v>3628</v>
      </c>
      <c r="CK199" s="94"/>
      <c r="CL199" s="94" t="s">
        <v>372</v>
      </c>
      <c r="CM199" s="94" t="s">
        <v>6491</v>
      </c>
      <c r="CN199" s="94" t="s">
        <v>6492</v>
      </c>
      <c r="CO199" s="94" t="s">
        <v>3944</v>
      </c>
      <c r="CP199" s="99"/>
      <c r="CQ199" s="99"/>
      <c r="CR199" s="99"/>
      <c r="CS199" s="99"/>
      <c r="CT199" s="99"/>
      <c r="CU199" s="92"/>
      <c r="CV199" s="99" t="s">
        <v>6493</v>
      </c>
      <c r="CW199" s="99" t="s">
        <v>2186</v>
      </c>
      <c r="CX199" s="99" t="s">
        <v>1103</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3005</v>
      </c>
      <c r="DR199" s="99"/>
      <c r="DS199" s="99"/>
      <c r="DT199" s="99"/>
      <c r="DU199" s="99"/>
      <c r="DV199" s="99"/>
      <c r="DW199" s="99"/>
      <c r="DX199" s="99"/>
      <c r="DY199" s="99"/>
      <c r="DZ199" s="99"/>
      <c r="EA199" s="99"/>
      <c r="EB199" s="99"/>
      <c r="EC199" s="99"/>
      <c r="ED199" s="259"/>
    </row>
    <row r="200">
      <c r="A200" s="685" t="s">
        <v>6498</v>
      </c>
      <c r="B200" s="104" t="s">
        <v>6499</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2028</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2563</v>
      </c>
      <c r="BM200" s="173"/>
      <c r="BN200" s="173"/>
      <c r="BO200" s="381"/>
      <c r="BP200" s="173"/>
      <c r="BQ200" s="248"/>
      <c r="BR200" s="370" t="s">
        <v>6503</v>
      </c>
      <c r="BS200" s="370" t="s">
        <v>6504</v>
      </c>
      <c r="BT200" s="131"/>
      <c r="BU200" s="370" t="s">
        <v>2576</v>
      </c>
      <c r="BV200" s="370" t="s">
        <v>6505</v>
      </c>
      <c r="BW200" s="370" t="s">
        <v>1096</v>
      </c>
      <c r="BX200" s="251"/>
      <c r="BY200" s="131"/>
      <c r="BZ200" s="370" t="s">
        <v>6506</v>
      </c>
      <c r="CA200" s="370" t="s">
        <v>1854</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2021</v>
      </c>
      <c r="DU200" s="205"/>
      <c r="DV200" s="257"/>
      <c r="DW200" s="204" t="s">
        <v>280</v>
      </c>
      <c r="DX200" s="257"/>
      <c r="DY200" s="257"/>
      <c r="DZ200" s="257"/>
      <c r="EA200" s="205" t="s">
        <v>5837</v>
      </c>
      <c r="EB200" s="257"/>
      <c r="EC200" s="257"/>
      <c r="ED200" s="286"/>
    </row>
    <row r="201">
      <c r="A201" s="540" t="s">
        <v>6510</v>
      </c>
      <c r="B201" s="82" t="s">
        <v>6511</v>
      </c>
      <c r="C201" s="83" t="s">
        <v>1260</v>
      </c>
      <c r="D201" s="84" t="s">
        <v>1260</v>
      </c>
      <c r="E201" s="85" t="s">
        <v>1260</v>
      </c>
      <c r="F201" s="86" t="s">
        <v>1260</v>
      </c>
      <c r="G201" s="82" t="s">
        <v>1200</v>
      </c>
      <c r="H201" s="99"/>
      <c r="I201" s="94" t="s">
        <v>6512</v>
      </c>
      <c r="J201" s="94" t="s">
        <v>6513</v>
      </c>
      <c r="K201" s="94" t="s">
        <v>1974</v>
      </c>
      <c r="L201" s="94" t="s">
        <v>6514</v>
      </c>
      <c r="M201" s="94" t="s">
        <v>6515</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1260</v>
      </c>
      <c r="D202" s="106" t="s">
        <v>1260</v>
      </c>
      <c r="E202" s="107" t="s">
        <v>1260</v>
      </c>
      <c r="F202" s="108" t="s">
        <v>1260</v>
      </c>
      <c r="G202" s="104" t="s">
        <v>3432</v>
      </c>
      <c r="H202" s="243"/>
      <c r="I202" s="167" t="s">
        <v>6520</v>
      </c>
      <c r="J202" s="167" t="s">
        <v>1299</v>
      </c>
      <c r="K202" s="167" t="s">
        <v>1059</v>
      </c>
      <c r="L202" s="167" t="s">
        <v>6521</v>
      </c>
      <c r="M202" s="167" t="s">
        <v>6522</v>
      </c>
      <c r="N202" s="167" t="s">
        <v>6523</v>
      </c>
      <c r="O202" s="167" t="s">
        <v>6524</v>
      </c>
      <c r="P202" s="167" t="s">
        <v>4603</v>
      </c>
      <c r="Q202" s="243"/>
      <c r="R202" s="243"/>
      <c r="S202" s="243"/>
      <c r="T202" s="243"/>
      <c r="U202" s="243"/>
      <c r="V202" s="243"/>
      <c r="W202" s="92"/>
      <c r="X202" s="197" t="s">
        <v>337</v>
      </c>
      <c r="Y202" s="197"/>
      <c r="Z202" s="197" t="s">
        <v>2212</v>
      </c>
      <c r="AA202" s="197" t="s">
        <v>3239</v>
      </c>
      <c r="AB202" s="197" t="s">
        <v>6525</v>
      </c>
      <c r="AC202" s="197" t="s">
        <v>6526</v>
      </c>
      <c r="AD202" s="197" t="s">
        <v>3201</v>
      </c>
      <c r="AE202" s="245"/>
      <c r="AF202" s="197" t="s">
        <v>6527</v>
      </c>
      <c r="AG202" s="197" t="s">
        <v>1357</v>
      </c>
      <c r="AH202" s="245"/>
      <c r="AI202" s="245"/>
      <c r="AJ202" s="245"/>
      <c r="AK202" s="245"/>
      <c r="AL202" s="97"/>
      <c r="AM202" s="168" t="s">
        <v>5115</v>
      </c>
      <c r="AN202" s="168" t="s">
        <v>1373</v>
      </c>
      <c r="AO202" s="168" t="s">
        <v>6528</v>
      </c>
      <c r="AP202" s="168" t="s">
        <v>6529</v>
      </c>
      <c r="AQ202" s="168" t="s">
        <v>6530</v>
      </c>
      <c r="AR202" s="168"/>
      <c r="AS202" s="168" t="s">
        <v>2178</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4224</v>
      </c>
      <c r="CM202" s="177" t="s">
        <v>6546</v>
      </c>
      <c r="CN202" s="177" t="s">
        <v>969</v>
      </c>
      <c r="CO202" s="177" t="s">
        <v>1433</v>
      </c>
      <c r="CP202" s="254"/>
      <c r="CQ202" s="254"/>
      <c r="CR202" s="254"/>
      <c r="CS202" s="254"/>
      <c r="CT202" s="254"/>
      <c r="CU202" s="92"/>
      <c r="CV202" s="203" t="s">
        <v>6547</v>
      </c>
      <c r="CW202" s="203" t="s">
        <v>2032</v>
      </c>
      <c r="CX202" s="203" t="s">
        <v>1739</v>
      </c>
      <c r="CY202" s="203" t="s">
        <v>6548</v>
      </c>
      <c r="CZ202" s="203" t="s">
        <v>6549</v>
      </c>
      <c r="DA202" s="203" t="s">
        <v>6550</v>
      </c>
      <c r="DB202" s="203" t="s">
        <v>1514</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1260</v>
      </c>
      <c r="D203" s="84" t="s">
        <v>1260</v>
      </c>
      <c r="E203" s="85" t="s">
        <v>1260</v>
      </c>
      <c r="F203" s="86" t="s">
        <v>1260</v>
      </c>
      <c r="G203" s="82" t="s">
        <v>4042</v>
      </c>
      <c r="H203" s="94" t="s">
        <v>6555</v>
      </c>
      <c r="I203" s="94" t="s">
        <v>6556</v>
      </c>
      <c r="J203" s="94" t="s">
        <v>6557</v>
      </c>
      <c r="K203" s="94" t="s">
        <v>1620</v>
      </c>
      <c r="L203" s="94" t="s">
        <v>4060</v>
      </c>
      <c r="M203" s="94" t="s">
        <v>6558</v>
      </c>
      <c r="N203" s="94" t="s">
        <v>6559</v>
      </c>
      <c r="O203" s="94" t="s">
        <v>4421</v>
      </c>
      <c r="P203" s="94" t="s">
        <v>4662</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2531</v>
      </c>
      <c r="BE203" s="99"/>
      <c r="BF203" s="99"/>
      <c r="BG203" s="99"/>
      <c r="BH203" s="99"/>
      <c r="BI203" s="94" t="s">
        <v>3974</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5728</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2004</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1260</v>
      </c>
      <c r="D208" s="106" t="s">
        <v>1260</v>
      </c>
      <c r="E208" s="107" t="s">
        <v>1260</v>
      </c>
      <c r="F208" s="108" t="s">
        <v>1260</v>
      </c>
      <c r="G208" s="104" t="s">
        <v>2837</v>
      </c>
      <c r="H208" s="167"/>
      <c r="I208" s="167" t="s">
        <v>6575</v>
      </c>
      <c r="J208" s="167" t="s">
        <v>3277</v>
      </c>
      <c r="K208" s="167" t="s">
        <v>1893</v>
      </c>
      <c r="L208" s="243"/>
      <c r="M208" s="243"/>
      <c r="N208" s="243"/>
      <c r="O208" s="243"/>
      <c r="P208" s="167" t="s">
        <v>945</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1"/>
    </row>
    <row r="209">
      <c r="A209" s="366" t="s">
        <v>6581</v>
      </c>
      <c r="B209" s="82" t="s">
        <v>1504</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2089</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3929</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6587</v>
      </c>
      <c r="B213" s="82" t="s">
        <v>2155</v>
      </c>
      <c r="C213" s="83" t="s">
        <v>1260</v>
      </c>
      <c r="D213" s="84" t="s">
        <v>1260</v>
      </c>
      <c r="E213" s="85" t="s">
        <v>1260</v>
      </c>
      <c r="F213" s="86" t="s">
        <v>2676</v>
      </c>
      <c r="G213" s="82" t="s">
        <v>2676</v>
      </c>
      <c r="H213" s="419" t="s">
        <v>6588</v>
      </c>
      <c r="I213" s="94"/>
      <c r="J213" s="99"/>
      <c r="K213" s="415" t="s">
        <v>4273</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4735</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6592</v>
      </c>
      <c r="DR213" s="99"/>
      <c r="DS213" s="99"/>
      <c r="DT213" s="99"/>
      <c r="DU213" s="99"/>
      <c r="DV213" s="99"/>
      <c r="DW213" s="99"/>
      <c r="DX213" s="99"/>
      <c r="DY213" s="99"/>
      <c r="DZ213" s="99"/>
      <c r="EA213" s="99"/>
      <c r="EB213" s="99"/>
      <c r="EC213" s="99"/>
      <c r="ED213" s="666" t="s">
        <v>1843</v>
      </c>
    </row>
    <row r="214">
      <c r="A214" s="103" t="s">
        <v>6593</v>
      </c>
      <c r="B214" s="104" t="s">
        <v>2430</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1260</v>
      </c>
      <c r="D215" s="84" t="s">
        <v>1260</v>
      </c>
      <c r="E215" s="85" t="s">
        <v>1260</v>
      </c>
      <c r="F215" s="86" t="s">
        <v>1260</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1260</v>
      </c>
      <c r="D217" s="84" t="s">
        <v>1260</v>
      </c>
      <c r="E217" s="85" t="s">
        <v>1260</v>
      </c>
      <c r="F217" s="86" t="s">
        <v>1260</v>
      </c>
      <c r="G217" s="82" t="s">
        <v>334</v>
      </c>
      <c r="H217" s="99"/>
      <c r="I217" s="94"/>
      <c r="J217" s="99"/>
      <c r="K217" s="94" t="s">
        <v>4986</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1"/>
    </row>
    <row r="219">
      <c r="A219" s="81" t="s">
        <v>6603</v>
      </c>
      <c r="B219" s="82" t="s">
        <v>2931</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1260</v>
      </c>
      <c r="D222" s="106" t="s">
        <v>1260</v>
      </c>
      <c r="E222" s="107" t="s">
        <v>1260</v>
      </c>
      <c r="F222" s="108" t="s">
        <v>439</v>
      </c>
      <c r="G222" s="104" t="s">
        <v>439</v>
      </c>
      <c r="H222" s="112" t="s">
        <v>6607</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1260</v>
      </c>
      <c r="D223" s="84" t="s">
        <v>1260</v>
      </c>
      <c r="E223" s="85" t="s">
        <v>1260</v>
      </c>
      <c r="F223" s="86" t="s">
        <v>1260</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1260</v>
      </c>
      <c r="D224" s="106" t="s">
        <v>1260</v>
      </c>
      <c r="E224" s="107" t="s">
        <v>1260</v>
      </c>
      <c r="F224" s="108" t="s">
        <v>1260</v>
      </c>
      <c r="G224" s="104" t="s">
        <v>441</v>
      </c>
      <c r="H224" s="243"/>
      <c r="I224" s="243"/>
      <c r="J224" s="243"/>
      <c r="K224" s="167" t="s">
        <v>2939</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T44"/>
    <hyperlink r:id="rId2626" ref="BX44"/>
    <hyperlink r:id="rId2627" ref="BY44"/>
    <hyperlink r:id="rId2628" ref="CG44"/>
    <hyperlink r:id="rId2629" ref="CI44"/>
    <hyperlink r:id="rId2630" ref="CJ44"/>
    <hyperlink r:id="rId2631" ref="CM44"/>
    <hyperlink r:id="rId2632" ref="CN44"/>
    <hyperlink r:id="rId2633" ref="CV44"/>
    <hyperlink r:id="rId2634" ref="CX44"/>
    <hyperlink r:id="rId2635" ref="CY44"/>
    <hyperlink r:id="rId2636" ref="CZ44"/>
    <hyperlink r:id="rId2637" ref="DB44"/>
    <hyperlink r:id="rId2638" ref="DR44"/>
    <hyperlink r:id="rId2639" ref="Q45"/>
    <hyperlink r:id="rId2640" ref="V45"/>
    <hyperlink r:id="rId2641" ref="AK45"/>
    <hyperlink r:id="rId2642" ref="AQ45"/>
    <hyperlink r:id="rId2643" ref="AR45"/>
    <hyperlink r:id="rId2644" ref="AT45"/>
    <hyperlink r:id="rId2645" ref="AX45"/>
    <hyperlink r:id="rId2646" ref="AY45"/>
    <hyperlink r:id="rId2647" ref="AZ45"/>
    <hyperlink r:id="rId2648" ref="BP45"/>
    <hyperlink r:id="rId2649" ref="BU45"/>
    <hyperlink r:id="rId2650" ref="CA45"/>
    <hyperlink r:id="rId2651" ref="CE45"/>
    <hyperlink r:id="rId2652" ref="CQ45"/>
    <hyperlink r:id="rId2653" ref="CS45"/>
    <hyperlink r:id="rId2654" ref="CT45"/>
    <hyperlink r:id="rId2655" ref="DG45"/>
    <hyperlink r:id="rId2656" ref="DL45"/>
    <hyperlink r:id="rId2657" ref="DY45"/>
    <hyperlink r:id="rId2658" ref="EA45"/>
    <hyperlink r:id="rId2659" ref="K46"/>
    <hyperlink r:id="rId2660" ref="M46"/>
    <hyperlink r:id="rId2661" ref="N46"/>
    <hyperlink r:id="rId2662" ref="O46"/>
    <hyperlink r:id="rId2663" ref="P46"/>
    <hyperlink r:id="rId2664" ref="S46"/>
    <hyperlink r:id="rId2665" ref="X46"/>
    <hyperlink r:id="rId2666" ref="AD46"/>
    <hyperlink r:id="rId2667" ref="AG46"/>
    <hyperlink r:id="rId2668" ref="AN46"/>
    <hyperlink r:id="rId2669" ref="AT46"/>
    <hyperlink r:id="rId2670" ref="BB46"/>
    <hyperlink r:id="rId2671" ref="BD46"/>
    <hyperlink r:id="rId2672" ref="BE46"/>
    <hyperlink r:id="rId2673" ref="BI46"/>
    <hyperlink r:id="rId2674" ref="BL46"/>
    <hyperlink r:id="rId2675" ref="BR46"/>
    <hyperlink r:id="rId2676" ref="BS46"/>
    <hyperlink r:id="rId2677" ref="BT46"/>
    <hyperlink r:id="rId2678" ref="BU46"/>
    <hyperlink r:id="rId2679" ref="BV46"/>
    <hyperlink r:id="rId2680" ref="BW46"/>
    <hyperlink r:id="rId2681" ref="CB46"/>
    <hyperlink r:id="rId2682" ref="CD46"/>
    <hyperlink r:id="rId2683" ref="CE46"/>
    <hyperlink r:id="rId2684" ref="CN46"/>
    <hyperlink r:id="rId2685" ref="CQ46"/>
    <hyperlink r:id="rId2686" ref="CY46"/>
    <hyperlink r:id="rId2687" ref="DB46"/>
    <hyperlink r:id="rId2688" ref="DM46"/>
    <hyperlink r:id="rId2689" ref="DS46"/>
    <hyperlink r:id="rId2690" ref="DZ46"/>
    <hyperlink r:id="rId2691" ref="P47"/>
    <hyperlink r:id="rId2692" ref="Z47"/>
    <hyperlink r:id="rId2693" ref="AA47"/>
    <hyperlink r:id="rId2694" ref="AV47"/>
    <hyperlink r:id="rId2695" ref="BD47"/>
    <hyperlink r:id="rId2696" ref="BE47"/>
    <hyperlink r:id="rId2697" ref="CH47"/>
    <hyperlink r:id="rId2698" ref="CO47"/>
    <hyperlink r:id="rId2699" ref="CX47"/>
    <hyperlink r:id="rId2700" ref="DB47"/>
    <hyperlink r:id="rId2701" ref="DZ47"/>
    <hyperlink r:id="rId2702" ref="I48"/>
    <hyperlink r:id="rId2703" ref="J48"/>
    <hyperlink r:id="rId2704" ref="K48"/>
    <hyperlink r:id="rId2705" ref="L48"/>
    <hyperlink r:id="rId2706" ref="M48"/>
    <hyperlink r:id="rId2707" ref="N48"/>
    <hyperlink r:id="rId2708" ref="O48"/>
    <hyperlink r:id="rId2709" ref="X48"/>
    <hyperlink r:id="rId2710" ref="AA48"/>
    <hyperlink r:id="rId2711" ref="AB48"/>
    <hyperlink r:id="rId2712" ref="AC48"/>
    <hyperlink r:id="rId2713" ref="AG48"/>
    <hyperlink r:id="rId2714" ref="AN48"/>
    <hyperlink r:id="rId2715" ref="AV48"/>
    <hyperlink r:id="rId2716" ref="BB48"/>
    <hyperlink r:id="rId2717" ref="BC48"/>
    <hyperlink r:id="rId2718" ref="BE48"/>
    <hyperlink r:id="rId2719" ref="BI48"/>
    <hyperlink r:id="rId2720" ref="BJ48"/>
    <hyperlink r:id="rId2721" ref="BK48"/>
    <hyperlink r:id="rId2722" ref="BR48"/>
    <hyperlink r:id="rId2723" ref="BT48"/>
    <hyperlink r:id="rId2724" ref="BW48"/>
    <hyperlink r:id="rId2725" ref="BY48"/>
    <hyperlink r:id="rId2726" ref="BZ48"/>
    <hyperlink r:id="rId2727" ref="CA48"/>
    <hyperlink r:id="rId2728" ref="CH48"/>
    <hyperlink r:id="rId2729" ref="CI48"/>
    <hyperlink r:id="rId2730" ref="CJ48"/>
    <hyperlink r:id="rId2731" ref="CM48"/>
    <hyperlink r:id="rId2732" ref="CN48"/>
    <hyperlink r:id="rId2733" ref="CO48"/>
    <hyperlink r:id="rId2734" ref="CV48"/>
    <hyperlink r:id="rId2735" ref="CX48"/>
    <hyperlink r:id="rId2736" ref="CY48"/>
    <hyperlink r:id="rId2737" ref="DB48"/>
    <hyperlink r:id="rId2738" ref="DC48"/>
    <hyperlink r:id="rId2739" ref="DR48"/>
    <hyperlink r:id="rId2740" ref="H50"/>
    <hyperlink r:id="rId2741" ref="J50"/>
    <hyperlink r:id="rId2742" ref="M50"/>
    <hyperlink r:id="rId2743" ref="P50"/>
    <hyperlink r:id="rId2744" ref="X50"/>
    <hyperlink r:id="rId2745" ref="Z50"/>
    <hyperlink r:id="rId2746" ref="AB50"/>
    <hyperlink r:id="rId2747" ref="AC50"/>
    <hyperlink r:id="rId2748" ref="AD50"/>
    <hyperlink r:id="rId2749" ref="AF50"/>
    <hyperlink r:id="rId2750" ref="AG50"/>
    <hyperlink r:id="rId2751" ref="AJ50"/>
    <hyperlink r:id="rId2752" ref="AN50"/>
    <hyperlink r:id="rId2753" ref="AP50"/>
    <hyperlink r:id="rId2754" ref="AU50"/>
    <hyperlink r:id="rId2755" ref="AY50"/>
    <hyperlink r:id="rId2756" ref="AZ50"/>
    <hyperlink r:id="rId2757" ref="BC50"/>
    <hyperlink r:id="rId2758" ref="BF50"/>
    <hyperlink r:id="rId2759" ref="BJ50"/>
    <hyperlink r:id="rId2760" ref="BL50"/>
    <hyperlink r:id="rId2761" ref="BP50"/>
    <hyperlink r:id="rId2762" ref="BU50"/>
    <hyperlink r:id="rId2763" ref="BW50"/>
    <hyperlink r:id="rId2764" ref="BX50"/>
    <hyperlink r:id="rId2765" ref="BY50"/>
    <hyperlink r:id="rId2766" ref="CA50"/>
    <hyperlink r:id="rId2767" ref="CB50"/>
    <hyperlink r:id="rId2768" ref="CC50"/>
    <hyperlink r:id="rId2769" ref="CD50"/>
    <hyperlink r:id="rId2770" ref="CE50"/>
    <hyperlink r:id="rId2771" ref="CG50"/>
    <hyperlink r:id="rId2772" ref="CI50"/>
    <hyperlink r:id="rId2773" ref="CJ50"/>
    <hyperlink r:id="rId2774" ref="CN50"/>
    <hyperlink r:id="rId2775" ref="CO50"/>
    <hyperlink r:id="rId2776" ref="CS50"/>
    <hyperlink r:id="rId2777" ref="CY50"/>
    <hyperlink r:id="rId2778" ref="DC50"/>
    <hyperlink r:id="rId2779" ref="DR50"/>
    <hyperlink r:id="rId2780" ref="DV50"/>
    <hyperlink r:id="rId2781" ref="EC50"/>
    <hyperlink r:id="rId2782" ref="K51"/>
    <hyperlink r:id="rId2783" ref="N51"/>
    <hyperlink r:id="rId2784" ref="O51"/>
    <hyperlink r:id="rId2785" ref="P51"/>
    <hyperlink r:id="rId2786" ref="AD51"/>
    <hyperlink r:id="rId2787" ref="BI51"/>
    <hyperlink r:id="rId2788" ref="BT51"/>
    <hyperlink r:id="rId2789" ref="BU51"/>
    <hyperlink r:id="rId2790" ref="CH51"/>
    <hyperlink r:id="rId2791" ref="CL51"/>
    <hyperlink r:id="rId2792" ref="CM51"/>
    <hyperlink r:id="rId2793" ref="CN51"/>
    <hyperlink r:id="rId2794" ref="DC51"/>
    <hyperlink r:id="rId2795" ref="DM51"/>
    <hyperlink r:id="rId2796" ref="DP51"/>
    <hyperlink r:id="rId2797" ref="DR51"/>
    <hyperlink r:id="rId2798" ref="ED51"/>
    <hyperlink r:id="rId2799" ref="R52"/>
    <hyperlink r:id="rId2800" ref="AE52"/>
    <hyperlink r:id="rId2801" ref="AH52"/>
    <hyperlink r:id="rId2802" ref="AI52"/>
    <hyperlink r:id="rId2803" ref="AN52"/>
    <hyperlink r:id="rId2804" ref="AP52"/>
    <hyperlink r:id="rId2805" ref="J53"/>
    <hyperlink r:id="rId2806" ref="K53"/>
    <hyperlink r:id="rId2807" ref="L53"/>
    <hyperlink r:id="rId2808" ref="N53"/>
    <hyperlink r:id="rId2809" ref="O53"/>
    <hyperlink r:id="rId2810" ref="P53"/>
    <hyperlink r:id="rId2811" ref="X53"/>
    <hyperlink r:id="rId2812" ref="Z53"/>
    <hyperlink r:id="rId2813" ref="AB53"/>
    <hyperlink r:id="rId2814" ref="AC53"/>
    <hyperlink r:id="rId2815" ref="AD53"/>
    <hyperlink r:id="rId2816" ref="AN53"/>
    <hyperlink r:id="rId2817" ref="AV53"/>
    <hyperlink r:id="rId2818" ref="BB53"/>
    <hyperlink r:id="rId2819" ref="BC53"/>
    <hyperlink r:id="rId2820" ref="BD53"/>
    <hyperlink r:id="rId2821" ref="BI53"/>
    <hyperlink r:id="rId2822" ref="BK53"/>
    <hyperlink r:id="rId2823" ref="BS53"/>
    <hyperlink r:id="rId2824" ref="BT53"/>
    <hyperlink r:id="rId2825" ref="BV53"/>
    <hyperlink r:id="rId2826" ref="BW53"/>
    <hyperlink r:id="rId2827" ref="CA53"/>
    <hyperlink r:id="rId2828" ref="CG53"/>
    <hyperlink r:id="rId2829" ref="CI53"/>
    <hyperlink r:id="rId2830" ref="CN53"/>
    <hyperlink r:id="rId2831" ref="CV53"/>
    <hyperlink r:id="rId2832" ref="CX53"/>
    <hyperlink r:id="rId2833" ref="CY53"/>
    <hyperlink r:id="rId2834" ref="CZ53"/>
    <hyperlink r:id="rId2835" ref="DA53"/>
    <hyperlink r:id="rId2836" ref="DB53"/>
    <hyperlink r:id="rId2837" ref="DR53"/>
    <hyperlink r:id="rId2838" ref="H54"/>
    <hyperlink r:id="rId2839" ref="I54"/>
    <hyperlink r:id="rId2840" ref="J54"/>
    <hyperlink r:id="rId2841" ref="K54"/>
    <hyperlink r:id="rId2842" ref="P54"/>
    <hyperlink r:id="rId2843" ref="AN54"/>
    <hyperlink r:id="rId2844" ref="BF54"/>
    <hyperlink r:id="rId2845" ref="CG54"/>
    <hyperlink r:id="rId2846" ref="H55"/>
    <hyperlink r:id="rId2847" ref="I55"/>
    <hyperlink r:id="rId2848" ref="M55"/>
    <hyperlink r:id="rId2849" ref="O55"/>
    <hyperlink r:id="rId2850" ref="AB55"/>
    <hyperlink r:id="rId2851" ref="AE55"/>
    <hyperlink r:id="rId2852" ref="AF55"/>
    <hyperlink r:id="rId2853" ref="AM55"/>
    <hyperlink r:id="rId2854" ref="AN55"/>
    <hyperlink r:id="rId2855" ref="AQ55"/>
    <hyperlink r:id="rId2856" ref="AR55"/>
    <hyperlink r:id="rId2857" ref="AV55"/>
    <hyperlink r:id="rId2858" ref="BE55"/>
    <hyperlink r:id="rId2859" ref="BW55"/>
    <hyperlink r:id="rId2860" ref="CD55"/>
    <hyperlink r:id="rId2861" ref="CV55"/>
    <hyperlink r:id="rId2862" ref="CX55"/>
    <hyperlink r:id="rId2863" ref="CY55"/>
    <hyperlink r:id="rId2864" ref="DB55"/>
    <hyperlink r:id="rId2865" ref="DN55"/>
    <hyperlink r:id="rId2866" ref="K56"/>
    <hyperlink r:id="rId2867" ref="O56"/>
    <hyperlink r:id="rId2868" ref="X56"/>
    <hyperlink r:id="rId2869" ref="BG56"/>
    <hyperlink r:id="rId2870" ref="BU56"/>
    <hyperlink r:id="rId2871" ref="DM56"/>
    <hyperlink r:id="rId2872" ref="L57"/>
    <hyperlink r:id="rId2873" ref="AB57"/>
    <hyperlink r:id="rId2874" ref="BS57"/>
    <hyperlink r:id="rId2875" ref="BV57"/>
    <hyperlink r:id="rId2876" ref="CJ57"/>
    <hyperlink r:id="rId2877" ref="CX57"/>
    <hyperlink r:id="rId2878" ref="DD57"/>
    <hyperlink r:id="rId2879" ref="DG57"/>
    <hyperlink r:id="rId2880" ref="K58"/>
    <hyperlink r:id="rId2881" ref="O58"/>
    <hyperlink r:id="rId2882" ref="P58"/>
    <hyperlink r:id="rId2883" ref="Q58"/>
    <hyperlink r:id="rId2884" ref="U58"/>
    <hyperlink r:id="rId2885" ref="X58"/>
    <hyperlink r:id="rId2886" ref="AC58"/>
    <hyperlink r:id="rId2887" ref="BF58"/>
    <hyperlink r:id="rId2888" ref="BG58"/>
    <hyperlink r:id="rId2889" ref="BW58"/>
    <hyperlink r:id="rId2890" ref="CC58"/>
    <hyperlink r:id="rId2891" ref="CD58"/>
    <hyperlink r:id="rId2892" ref="DA58"/>
    <hyperlink r:id="rId2893" ref="DM58"/>
    <hyperlink r:id="rId2894" ref="DZ58"/>
    <hyperlink r:id="rId2895" ref="H59"/>
    <hyperlink r:id="rId2896" ref="I59"/>
    <hyperlink r:id="rId2897" ref="J59"/>
    <hyperlink r:id="rId2898" ref="K59"/>
    <hyperlink r:id="rId2899" ref="L59"/>
    <hyperlink r:id="rId2900" ref="N59"/>
    <hyperlink r:id="rId2901" ref="O59"/>
    <hyperlink r:id="rId2902" ref="P59"/>
    <hyperlink r:id="rId2903" ref="AA59"/>
    <hyperlink r:id="rId2904" ref="AD59"/>
    <hyperlink r:id="rId2905" ref="AF59"/>
    <hyperlink r:id="rId2906" ref="AG59"/>
    <hyperlink r:id="rId2907" ref="AZ59"/>
    <hyperlink r:id="rId2908" ref="BB59"/>
    <hyperlink r:id="rId2909" ref="BC59"/>
    <hyperlink r:id="rId2910" ref="BD59"/>
    <hyperlink r:id="rId2911" ref="BF59"/>
    <hyperlink r:id="rId2912" ref="BL59"/>
    <hyperlink r:id="rId2913" ref="BM59"/>
    <hyperlink r:id="rId2914" ref="BR59"/>
    <hyperlink r:id="rId2915" ref="BS59"/>
    <hyperlink r:id="rId2916" ref="BT59"/>
    <hyperlink r:id="rId2917" ref="BV59"/>
    <hyperlink r:id="rId2918" ref="BW59"/>
    <hyperlink r:id="rId2919" ref="BZ59"/>
    <hyperlink r:id="rId2920" ref="CA59"/>
    <hyperlink r:id="rId2921" ref="CB59"/>
    <hyperlink r:id="rId2922" ref="CC59"/>
    <hyperlink r:id="rId2923" ref="CD59"/>
    <hyperlink r:id="rId2924" ref="CH59"/>
    <hyperlink r:id="rId2925" ref="CQ59"/>
    <hyperlink r:id="rId2926" ref="CS59"/>
    <hyperlink r:id="rId2927" ref="CW59"/>
    <hyperlink r:id="rId2928" ref="DC59"/>
    <hyperlink r:id="rId2929" ref="DM59"/>
    <hyperlink r:id="rId2930" ref="DU59"/>
    <hyperlink r:id="rId2931" ref="H60"/>
    <hyperlink r:id="rId2932" ref="I60"/>
    <hyperlink r:id="rId2933" ref="J60"/>
    <hyperlink r:id="rId2934" ref="K60"/>
    <hyperlink r:id="rId2935" ref="L60"/>
    <hyperlink r:id="rId2936" ref="M60"/>
    <hyperlink r:id="rId2937" ref="N60"/>
    <hyperlink r:id="rId2938" ref="O60"/>
    <hyperlink r:id="rId2939" ref="P60"/>
    <hyperlink r:id="rId2940" ref="S60"/>
    <hyperlink r:id="rId2941" ref="U60"/>
    <hyperlink r:id="rId2942" ref="X60"/>
    <hyperlink r:id="rId2943" ref="Z60"/>
    <hyperlink r:id="rId2944" ref="AA60"/>
    <hyperlink r:id="rId2945" ref="AB60"/>
    <hyperlink r:id="rId2946" ref="AC60"/>
    <hyperlink r:id="rId2947" ref="AD60"/>
    <hyperlink r:id="rId2948" ref="AF60"/>
    <hyperlink r:id="rId2949" ref="AG60"/>
    <hyperlink r:id="rId2950" ref="AJ60"/>
    <hyperlink r:id="rId2951" ref="AN60"/>
    <hyperlink r:id="rId2952" ref="AP60"/>
    <hyperlink r:id="rId2953" ref="AU60"/>
    <hyperlink r:id="rId2954" ref="AV60"/>
    <hyperlink r:id="rId2955" ref="AY60"/>
    <hyperlink r:id="rId2956" ref="BB60"/>
    <hyperlink r:id="rId2957" ref="BC60"/>
    <hyperlink r:id="rId2958" ref="BD60"/>
    <hyperlink r:id="rId2959" ref="BF60"/>
    <hyperlink r:id="rId2960" ref="BG60"/>
    <hyperlink r:id="rId2961" ref="BI60"/>
    <hyperlink r:id="rId2962" ref="BJ60"/>
    <hyperlink r:id="rId2963" ref="BK60"/>
    <hyperlink r:id="rId2964" ref="BL60"/>
    <hyperlink r:id="rId2965" ref="BN60"/>
    <hyperlink r:id="rId2966" ref="BO60"/>
    <hyperlink r:id="rId2967" ref="BR60"/>
    <hyperlink r:id="rId2968" ref="BS60"/>
    <hyperlink r:id="rId2969" ref="BT60"/>
    <hyperlink r:id="rId2970" ref="BU60"/>
    <hyperlink r:id="rId2971" ref="BV60"/>
    <hyperlink r:id="rId2972" ref="BW60"/>
    <hyperlink r:id="rId2973" ref="BY60"/>
    <hyperlink r:id="rId2974" ref="BZ60"/>
    <hyperlink r:id="rId2975" ref="CA60"/>
    <hyperlink r:id="rId2976" ref="CB60"/>
    <hyperlink r:id="rId2977" ref="CC60"/>
    <hyperlink r:id="rId2978" ref="CD60"/>
    <hyperlink r:id="rId2979" ref="CG60"/>
    <hyperlink r:id="rId2980" ref="CH60"/>
    <hyperlink r:id="rId2981" ref="CI60"/>
    <hyperlink r:id="rId2982" ref="CJ60"/>
    <hyperlink r:id="rId2983" ref="CL60"/>
    <hyperlink r:id="rId2984" ref="CM60"/>
    <hyperlink r:id="rId2985" ref="CN60"/>
    <hyperlink r:id="rId2986" ref="CO60"/>
    <hyperlink r:id="rId2987" ref="CS60"/>
    <hyperlink r:id="rId2988" ref="CV60"/>
    <hyperlink r:id="rId2989" ref="CW60"/>
    <hyperlink r:id="rId2990" ref="CX60"/>
    <hyperlink r:id="rId2991" ref="CY60"/>
    <hyperlink r:id="rId2992" ref="CZ60"/>
    <hyperlink r:id="rId2993" ref="DB60"/>
    <hyperlink r:id="rId2994" ref="DC60"/>
    <hyperlink r:id="rId2995" ref="DI60"/>
    <hyperlink r:id="rId2996" ref="DM60"/>
    <hyperlink r:id="rId2997" ref="DP60"/>
    <hyperlink r:id="rId2998" ref="DR60"/>
    <hyperlink r:id="rId2999" ref="DW60"/>
    <hyperlink r:id="rId3000" ref="EA60"/>
    <hyperlink r:id="rId3001" ref="EC60"/>
    <hyperlink r:id="rId3002" ref="ED60"/>
    <hyperlink r:id="rId3003" ref="K61"/>
    <hyperlink r:id="rId3004" ref="L61"/>
    <hyperlink r:id="rId3005" ref="N61"/>
    <hyperlink r:id="rId3006" ref="R61"/>
    <hyperlink r:id="rId3007" ref="U61"/>
    <hyperlink r:id="rId3008" ref="AV61"/>
    <hyperlink r:id="rId3009" ref="BC61"/>
    <hyperlink r:id="rId3010" ref="BD61"/>
    <hyperlink r:id="rId3011" ref="BI61"/>
    <hyperlink r:id="rId3012" ref="BN61"/>
    <hyperlink r:id="rId3013" ref="BR61"/>
    <hyperlink r:id="rId3014" ref="CQ61"/>
    <hyperlink r:id="rId3015" ref="CX61"/>
    <hyperlink r:id="rId3016" ref="DC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J96"/>
    <hyperlink r:id="rId3563" ref="K96"/>
    <hyperlink r:id="rId3564" ref="AN96"/>
    <hyperlink r:id="rId3565" ref="BS96"/>
    <hyperlink r:id="rId3566" ref="BT96"/>
    <hyperlink r:id="rId3567" ref="BW96"/>
    <hyperlink r:id="rId3568" ref="CA96"/>
    <hyperlink r:id="rId3569" ref="CC96"/>
    <hyperlink r:id="rId3570" ref="CD96"/>
    <hyperlink r:id="rId3571" ref="L97"/>
    <hyperlink r:id="rId3572" ref="P97"/>
    <hyperlink r:id="rId3573" ref="S97"/>
    <hyperlink r:id="rId3574" ref="V97"/>
    <hyperlink r:id="rId3575" ref="X97"/>
    <hyperlink r:id="rId3576" ref="Z97"/>
    <hyperlink r:id="rId3577" ref="AA97"/>
    <hyperlink r:id="rId3578" ref="AB97"/>
    <hyperlink r:id="rId3579" ref="AC97"/>
    <hyperlink r:id="rId3580" ref="AG97"/>
    <hyperlink r:id="rId3581" ref="AP97"/>
    <hyperlink r:id="rId3582" ref="AR97"/>
    <hyperlink r:id="rId3583" ref="AW97"/>
    <hyperlink r:id="rId3584" ref="BD97"/>
    <hyperlink r:id="rId3585" ref="BE97"/>
    <hyperlink r:id="rId3586" ref="BI97"/>
    <hyperlink r:id="rId3587" ref="BN97"/>
    <hyperlink r:id="rId3588" ref="BP97"/>
    <hyperlink r:id="rId3589" ref="BR97"/>
    <hyperlink r:id="rId3590" ref="BU97"/>
    <hyperlink r:id="rId3591" ref="BY97"/>
    <hyperlink r:id="rId3592" ref="CB97"/>
    <hyperlink r:id="rId3593" ref="CE97"/>
    <hyperlink r:id="rId3594" ref="CH97"/>
    <hyperlink r:id="rId3595" ref="CO97"/>
    <hyperlink r:id="rId3596" ref="CT97"/>
    <hyperlink r:id="rId3597" ref="DB97"/>
    <hyperlink r:id="rId3598" ref="DL97"/>
    <hyperlink r:id="rId3599" ref="DM97"/>
    <hyperlink r:id="rId3600" ref="DO97"/>
    <hyperlink r:id="rId3601" ref="DP97"/>
    <hyperlink r:id="rId3602" ref="DQ97"/>
    <hyperlink r:id="rId3603" ref="H98"/>
    <hyperlink r:id="rId3604" ref="K98"/>
    <hyperlink r:id="rId3605" ref="M98"/>
    <hyperlink r:id="rId3606" ref="R98"/>
    <hyperlink r:id="rId3607" ref="S98"/>
    <hyperlink r:id="rId3608" ref="U98"/>
    <hyperlink r:id="rId3609" ref="V98"/>
    <hyperlink r:id="rId3610" ref="AF98"/>
    <hyperlink r:id="rId3611" ref="AG98"/>
    <hyperlink r:id="rId3612" ref="AH98"/>
    <hyperlink r:id="rId3613" ref="AJ98"/>
    <hyperlink r:id="rId3614" ref="AK98"/>
    <hyperlink r:id="rId3615" ref="AM98"/>
    <hyperlink r:id="rId3616" ref="AN98"/>
    <hyperlink r:id="rId3617" ref="AV98"/>
    <hyperlink r:id="rId3618" ref="AW98"/>
    <hyperlink r:id="rId3619" ref="AX98"/>
    <hyperlink r:id="rId3620" ref="AY98"/>
    <hyperlink r:id="rId3621" ref="BC98"/>
    <hyperlink r:id="rId3622" ref="BF98"/>
    <hyperlink r:id="rId3623" ref="BG98"/>
    <hyperlink r:id="rId3624" ref="BH98"/>
    <hyperlink r:id="rId3625" ref="BN98"/>
    <hyperlink r:id="rId3626" ref="BR98"/>
    <hyperlink r:id="rId3627" ref="BU98"/>
    <hyperlink r:id="rId3628" ref="BX98"/>
    <hyperlink r:id="rId3629" ref="CB98"/>
    <hyperlink r:id="rId3630" ref="CG98"/>
    <hyperlink r:id="rId3631" ref="CH98"/>
    <hyperlink r:id="rId3632" ref="CI98"/>
    <hyperlink r:id="rId3633" ref="CL98"/>
    <hyperlink r:id="rId3634" ref="CN98"/>
    <hyperlink r:id="rId3635" ref="CO98"/>
    <hyperlink r:id="rId3636" ref="CT98"/>
    <hyperlink r:id="rId3637" ref="CV98"/>
    <hyperlink r:id="rId3638" ref="CZ98"/>
    <hyperlink r:id="rId3639" ref="DG98"/>
    <hyperlink r:id="rId3640" ref="DM98"/>
    <hyperlink r:id="rId3641" ref="DN98"/>
    <hyperlink r:id="rId3642" ref="DU98"/>
    <hyperlink r:id="rId3643" ref="DY98"/>
    <hyperlink r:id="rId3644" ref="E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DM129"/>
    <hyperlink r:id="rId3822" ref="K130"/>
    <hyperlink r:id="rId3823" ref="O130"/>
    <hyperlink r:id="rId3824" ref="P130"/>
    <hyperlink r:id="rId3825" ref="Z130"/>
    <hyperlink r:id="rId3826" ref="AA130"/>
    <hyperlink r:id="rId3827" ref="AC130"/>
    <hyperlink r:id="rId3828" ref="BW130"/>
    <hyperlink r:id="rId3829" ref="CO130"/>
    <hyperlink r:id="rId3830" ref="CX130"/>
    <hyperlink r:id="rId3831" ref="DB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6"/>
    <hyperlink r:id="rId3941" ref="J156"/>
    <hyperlink r:id="rId3942" ref="K156"/>
    <hyperlink r:id="rId3943" ref="L156"/>
    <hyperlink r:id="rId3944" ref="AC156"/>
    <hyperlink r:id="rId3945" ref="BI156"/>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4"/>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K195"/>
    <hyperlink r:id="rId4041" ref="P196"/>
    <hyperlink r:id="rId4042" ref="AG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1556</v>
      </c>
      <c r="E1" s="704" t="s">
        <v>6615</v>
      </c>
      <c r="F1" s="705" t="s">
        <v>2540</v>
      </c>
      <c r="G1" s="703" t="s">
        <v>6616</v>
      </c>
      <c r="H1" s="703" t="s">
        <v>1060</v>
      </c>
      <c r="I1" s="704" t="s">
        <v>6617</v>
      </c>
      <c r="J1" s="703" t="s">
        <v>6618</v>
      </c>
      <c r="K1" s="703" t="s">
        <v>6619</v>
      </c>
      <c r="L1" s="704" t="s">
        <v>6620</v>
      </c>
      <c r="M1" s="703" t="s">
        <v>741</v>
      </c>
      <c r="N1" s="703" t="s">
        <v>6621</v>
      </c>
      <c r="O1" s="703" t="s">
        <v>984</v>
      </c>
      <c r="P1" s="706" t="s">
        <v>6622</v>
      </c>
      <c r="Q1" s="703" t="s">
        <v>1810</v>
      </c>
      <c r="R1" s="703" t="s">
        <v>6623</v>
      </c>
      <c r="S1" s="703" t="s">
        <v>6624</v>
      </c>
      <c r="T1" s="704" t="s">
        <v>6625</v>
      </c>
      <c r="U1" s="703" t="s">
        <v>2727</v>
      </c>
      <c r="V1" s="703" t="s">
        <v>6626</v>
      </c>
      <c r="W1" s="703" t="s">
        <v>6627</v>
      </c>
      <c r="X1" s="703" t="s">
        <v>4040</v>
      </c>
      <c r="Y1" s="703" t="s">
        <v>6628</v>
      </c>
      <c r="Z1" s="703" t="s">
        <v>6629</v>
      </c>
      <c r="AA1" s="703" t="s">
        <v>3561</v>
      </c>
      <c r="AB1" s="703" t="s">
        <v>6630</v>
      </c>
      <c r="AC1" s="703" t="s">
        <v>6631</v>
      </c>
      <c r="AD1" s="703" t="s">
        <v>6632</v>
      </c>
      <c r="AE1" s="703" t="s">
        <v>1198</v>
      </c>
      <c r="AF1" s="703" t="s">
        <v>219</v>
      </c>
      <c r="AG1" s="703" t="s">
        <v>1724</v>
      </c>
      <c r="AH1" s="703" t="s">
        <v>2087</v>
      </c>
      <c r="AI1" s="703" t="s">
        <v>6633</v>
      </c>
      <c r="AJ1" s="703" t="s">
        <v>6634</v>
      </c>
      <c r="AK1" s="703" t="s">
        <v>6635</v>
      </c>
      <c r="AL1" s="703" t="s">
        <v>1960</v>
      </c>
      <c r="AM1" s="703" t="s">
        <v>6636</v>
      </c>
      <c r="AN1" s="703" t="s">
        <v>6637</v>
      </c>
      <c r="AO1" s="703" t="s">
        <v>5986</v>
      </c>
      <c r="AP1" s="703" t="s">
        <v>6638</v>
      </c>
      <c r="AQ1" s="703" t="s">
        <v>6639</v>
      </c>
      <c r="AR1" s="703" t="s">
        <v>6640</v>
      </c>
      <c r="AS1" s="703" t="s">
        <v>6641</v>
      </c>
      <c r="AT1" s="707" t="s">
        <v>6642</v>
      </c>
      <c r="AU1" s="703" t="s">
        <v>3188</v>
      </c>
      <c r="AV1" s="703" t="s">
        <v>3860</v>
      </c>
      <c r="AW1" s="703" t="s">
        <v>5857</v>
      </c>
      <c r="AX1" s="703" t="s">
        <v>6643</v>
      </c>
      <c r="AY1" s="703" t="s">
        <v>5238</v>
      </c>
      <c r="AZ1" s="707" t="s">
        <v>4666</v>
      </c>
      <c r="BA1" s="703" t="s">
        <v>828</v>
      </c>
      <c r="BB1" s="707" t="s">
        <v>6644</v>
      </c>
      <c r="BC1" s="703" t="s">
        <v>646</v>
      </c>
      <c r="BD1" s="703" t="s">
        <v>6645</v>
      </c>
      <c r="BE1" s="704" t="s">
        <v>6646</v>
      </c>
      <c r="BF1" s="703" t="s">
        <v>6647</v>
      </c>
      <c r="BG1" s="703" t="s">
        <v>6648</v>
      </c>
      <c r="BH1" s="703" t="s">
        <v>1635</v>
      </c>
      <c r="BI1" s="707" t="s">
        <v>6611</v>
      </c>
      <c r="BJ1" s="707" t="s">
        <v>6573</v>
      </c>
      <c r="BK1" s="707" t="s">
        <v>2022</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1261</v>
      </c>
      <c r="H4" s="725" t="s">
        <v>5738</v>
      </c>
      <c r="I4" s="725" t="str">
        <f>HYPERLINK("https://youtu.be/BAG8a3WI9KM","52.27")</f>
        <v>52.27</v>
      </c>
      <c r="J4" s="725" t="s">
        <v>2611</v>
      </c>
      <c r="K4" s="726" t="s">
        <v>1999</v>
      </c>
      <c r="L4" s="725" t="s">
        <v>444</v>
      </c>
      <c r="M4" s="726" t="s">
        <v>745</v>
      </c>
      <c r="N4" s="725" t="str">
        <f>HYPERLINK("https://youtu.be/qv_H1NgDIQ8","53.73")</f>
        <v>53.73</v>
      </c>
      <c r="O4" s="725" t="s">
        <v>2981</v>
      </c>
      <c r="P4" s="727" t="s">
        <v>1306</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3644</v>
      </c>
      <c r="L5" s="729"/>
      <c r="M5" s="729"/>
      <c r="N5" s="729" t="s">
        <v>6659</v>
      </c>
      <c r="O5" s="729" t="str">
        <f>HYPERLINK("https://youtu.be/y9FQ4EcrohI", "1:21.52")</f>
        <v>1:21.52</v>
      </c>
      <c r="P5" s="727" t="s">
        <v>6660</v>
      </c>
      <c r="Q5" s="729"/>
      <c r="R5" s="729" t="s">
        <v>6654</v>
      </c>
      <c r="S5" s="729" t="s">
        <v>2575</v>
      </c>
      <c r="T5" s="729"/>
      <c r="U5" s="729"/>
      <c r="V5" s="729"/>
      <c r="W5" s="729"/>
      <c r="X5" s="729"/>
      <c r="Y5" s="729"/>
      <c r="Z5" s="729"/>
      <c r="AA5" s="729" t="s">
        <v>6661</v>
      </c>
      <c r="AB5" s="729"/>
      <c r="AC5" s="729"/>
      <c r="AD5" s="729" t="s">
        <v>6662</v>
      </c>
      <c r="AE5" s="729"/>
      <c r="AF5" s="729"/>
      <c r="AG5" s="729"/>
      <c r="AH5" s="729"/>
      <c r="AI5" s="729"/>
      <c r="AJ5" s="725" t="s">
        <v>4408</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1561</v>
      </c>
      <c r="E6" s="725" t="s">
        <v>337</v>
      </c>
      <c r="F6" s="735" t="s">
        <v>2543</v>
      </c>
      <c r="G6" s="724" t="s">
        <v>1262</v>
      </c>
      <c r="H6" s="725" t="s">
        <v>2915</v>
      </c>
      <c r="I6" s="725" t="str">
        <f>HYPERLINK("https://youtu.be/ZP_d48CVxG0","1:19.30")</f>
        <v>1:19.30</v>
      </c>
      <c r="J6" s="726"/>
      <c r="K6" s="726"/>
      <c r="L6" s="726" t="s">
        <v>102</v>
      </c>
      <c r="M6" s="726" t="s">
        <v>746</v>
      </c>
      <c r="N6" s="726" t="s">
        <v>4590</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2913</v>
      </c>
      <c r="E8" s="729" t="s">
        <v>4914</v>
      </c>
      <c r="F8" s="743" t="s">
        <v>1155</v>
      </c>
      <c r="G8" s="740"/>
      <c r="H8" s="725" t="s">
        <v>680</v>
      </c>
      <c r="I8" s="729" t="s">
        <v>1375</v>
      </c>
      <c r="J8" s="729"/>
      <c r="K8" s="729"/>
      <c r="L8" s="729" t="s">
        <v>1140</v>
      </c>
      <c r="M8" s="729" t="s">
        <v>1140</v>
      </c>
      <c r="N8" s="729" t="s">
        <v>6669</v>
      </c>
      <c r="O8" s="729"/>
      <c r="P8" s="727"/>
      <c r="Q8" s="729" t="s">
        <v>5771</v>
      </c>
      <c r="R8" s="729" t="s">
        <v>3844</v>
      </c>
      <c r="S8" s="729" t="s">
        <v>6670</v>
      </c>
      <c r="T8" s="729" t="s">
        <v>6671</v>
      </c>
      <c r="U8" s="729"/>
      <c r="V8" s="729"/>
      <c r="W8" s="729" t="s">
        <v>5771</v>
      </c>
      <c r="X8" s="729"/>
      <c r="Y8" s="729" t="s">
        <v>3643</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2620</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2535</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2535</v>
      </c>
      <c r="BL10" s="731"/>
      <c r="BM10" s="731"/>
      <c r="BN10" s="731"/>
      <c r="BO10" s="731"/>
    </row>
    <row r="11" ht="15.75" customHeight="1">
      <c r="A11" s="732"/>
      <c r="B11" s="733" t="s">
        <v>6663</v>
      </c>
      <c r="C11" s="720" t="s">
        <v>6676</v>
      </c>
      <c r="D11" s="726"/>
      <c r="E11" s="725" t="s">
        <v>1243</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1706</v>
      </c>
      <c r="E12" s="729" t="s">
        <v>2792</v>
      </c>
      <c r="F12" s="749" t="s">
        <v>2346</v>
      </c>
      <c r="G12" s="724" t="s">
        <v>6680</v>
      </c>
      <c r="H12" s="729"/>
      <c r="I12" s="729" t="s">
        <v>6681</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1968</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1562</v>
      </c>
      <c r="E13" s="725" t="s">
        <v>338</v>
      </c>
      <c r="F13" s="735" t="s">
        <v>2544</v>
      </c>
      <c r="G13" s="724" t="s">
        <v>1263</v>
      </c>
      <c r="H13" s="725" t="s">
        <v>4251</v>
      </c>
      <c r="I13" s="726" t="s">
        <v>6684</v>
      </c>
      <c r="J13" s="725" t="s">
        <v>725</v>
      </c>
      <c r="K13" s="726"/>
      <c r="L13" s="726" t="s">
        <v>2346</v>
      </c>
      <c r="M13" s="725" t="s">
        <v>2110</v>
      </c>
      <c r="N13" s="726" t="s">
        <v>6685</v>
      </c>
      <c r="O13" s="725" t="s">
        <v>6686</v>
      </c>
      <c r="P13" s="727" t="s">
        <v>2792</v>
      </c>
      <c r="Q13" s="726" t="s">
        <v>3931</v>
      </c>
      <c r="R13" s="726"/>
      <c r="S13" s="725" t="s">
        <v>6687</v>
      </c>
      <c r="T13" s="726" t="s">
        <v>1506</v>
      </c>
      <c r="U13" s="726"/>
      <c r="V13" s="726"/>
      <c r="W13" s="726"/>
      <c r="X13" s="726"/>
      <c r="Y13" s="726"/>
      <c r="Z13" s="726"/>
      <c r="AA13" s="726"/>
      <c r="AB13" s="726"/>
      <c r="AC13" s="726"/>
      <c r="AD13" s="725" t="s">
        <v>1071</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6093</v>
      </c>
      <c r="AB14" s="729"/>
      <c r="AC14" s="729"/>
      <c r="AD14" s="729" t="s">
        <v>662</v>
      </c>
      <c r="AE14" s="729" t="s">
        <v>6688</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1563</v>
      </c>
      <c r="E15" s="729" t="s">
        <v>446</v>
      </c>
      <c r="F15" s="754" t="s">
        <v>104</v>
      </c>
      <c r="G15" s="724" t="s">
        <v>1264</v>
      </c>
      <c r="H15" s="726" t="s">
        <v>992</v>
      </c>
      <c r="I15" s="729" t="str">
        <f>HYPERLINK("https://clips.twitch.tv/BusyTriangularAlmondRuleFive","13.97")</f>
        <v>13.97</v>
      </c>
      <c r="J15" s="729" t="s">
        <v>1264</v>
      </c>
      <c r="K15" s="729" t="s">
        <v>1886</v>
      </c>
      <c r="L15" s="729" t="s">
        <v>446</v>
      </c>
      <c r="M15" s="729" t="str">
        <f>HYPERLINK("https://youtu.be/v-0tSrJ8Kf0","13.80")</f>
        <v>13.80</v>
      </c>
      <c r="N15" s="729" t="str">
        <f>HYPERLINK("https://youtu.be/Kv9otnDdZKc","13.93")</f>
        <v>13.93</v>
      </c>
      <c r="O15" s="729" t="s">
        <v>992</v>
      </c>
      <c r="P15" s="727" t="s">
        <v>2379</v>
      </c>
      <c r="Q15" s="729" t="s">
        <v>1886</v>
      </c>
      <c r="R15" s="729"/>
      <c r="S15" s="725" t="s">
        <v>2577</v>
      </c>
      <c r="T15" s="729"/>
      <c r="U15" s="729"/>
      <c r="V15" s="729" t="s">
        <v>2619</v>
      </c>
      <c r="W15" s="729"/>
      <c r="X15" s="729"/>
      <c r="Y15" s="729"/>
      <c r="Z15" s="729"/>
      <c r="AA15" s="729" t="s">
        <v>1423</v>
      </c>
      <c r="AB15" s="729"/>
      <c r="AC15" s="729"/>
      <c r="AD15" s="729" t="s">
        <v>1730</v>
      </c>
      <c r="AE15" s="729"/>
      <c r="AF15" s="729"/>
      <c r="AG15" s="729" t="s">
        <v>1730</v>
      </c>
      <c r="AH15" s="729" t="s">
        <v>992</v>
      </c>
      <c r="AI15" s="729"/>
      <c r="AJ15" s="725" t="s">
        <v>1886</v>
      </c>
      <c r="AK15" s="729" t="s">
        <v>2680</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5462</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2258</v>
      </c>
      <c r="H17" s="726" t="s">
        <v>6695</v>
      </c>
      <c r="I17" s="726"/>
      <c r="J17" s="725" t="s">
        <v>6696</v>
      </c>
      <c r="K17" s="726"/>
      <c r="L17" s="726" t="s">
        <v>6696</v>
      </c>
      <c r="M17" s="726"/>
      <c r="N17" s="726"/>
      <c r="O17" s="725" t="s">
        <v>1923</v>
      </c>
      <c r="P17" s="727" t="s">
        <v>6697</v>
      </c>
      <c r="Q17" s="726" t="s">
        <v>6698</v>
      </c>
      <c r="R17" s="726"/>
      <c r="S17" s="726"/>
      <c r="T17" s="726" t="s">
        <v>6690</v>
      </c>
      <c r="U17" s="726"/>
      <c r="V17" s="726"/>
      <c r="W17" s="726" t="s">
        <v>6696</v>
      </c>
      <c r="X17" s="726"/>
      <c r="Y17" s="725" t="s">
        <v>1923</v>
      </c>
      <c r="Z17" s="726"/>
      <c r="AA17" s="726"/>
      <c r="AB17" s="726"/>
      <c r="AC17" s="726"/>
      <c r="AD17" s="726"/>
      <c r="AE17" s="726"/>
      <c r="AF17" s="725" t="s">
        <v>6693</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1787</v>
      </c>
      <c r="D18" s="729" t="s">
        <v>3605</v>
      </c>
      <c r="E18" s="729" t="s">
        <v>1173</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1564</v>
      </c>
      <c r="E20" s="729" t="s">
        <v>6709</v>
      </c>
      <c r="F20" s="754" t="s">
        <v>2545</v>
      </c>
      <c r="G20" s="724" t="s">
        <v>1265</v>
      </c>
      <c r="H20" s="729" t="s">
        <v>4370</v>
      </c>
      <c r="I20" s="729" t="str">
        <f>HYPERLINK("https://clips.twitch.tv/EnergeticBeautifulMallardRalpherZ","42.96")</f>
        <v>42.96</v>
      </c>
      <c r="J20" s="729" t="s">
        <v>141</v>
      </c>
      <c r="K20" s="725" t="s">
        <v>2793</v>
      </c>
      <c r="L20" s="729" t="s">
        <v>628</v>
      </c>
      <c r="M20" s="729" t="s">
        <v>592</v>
      </c>
      <c r="N20" s="729" t="s">
        <v>1825</v>
      </c>
      <c r="O20" s="729" t="s">
        <v>657</v>
      </c>
      <c r="P20" s="727" t="s">
        <v>3287</v>
      </c>
      <c r="Q20" s="729" t="s">
        <v>1564</v>
      </c>
      <c r="R20" s="729"/>
      <c r="S20" s="729" t="s">
        <v>2578</v>
      </c>
      <c r="T20" s="729"/>
      <c r="U20" s="725" t="s">
        <v>5650</v>
      </c>
      <c r="V20" s="729" t="s">
        <v>6710</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3944</v>
      </c>
      <c r="F24" s="747" t="s">
        <v>4232</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3471</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1566</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2546</v>
      </c>
      <c r="G28" s="724" t="s">
        <v>1267</v>
      </c>
      <c r="H28" s="729"/>
      <c r="I28" s="729"/>
      <c r="J28" s="729" t="s">
        <v>6734</v>
      </c>
      <c r="K28" s="729" t="s">
        <v>6735</v>
      </c>
      <c r="L28" s="729"/>
      <c r="M28" s="729"/>
      <c r="N28" s="729"/>
      <c r="O28" s="729" t="s">
        <v>6736</v>
      </c>
      <c r="P28" s="727" t="s">
        <v>6737</v>
      </c>
      <c r="Q28" s="729" t="s">
        <v>6738</v>
      </c>
      <c r="R28" s="729"/>
      <c r="S28" s="729" t="s">
        <v>2580</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2952</v>
      </c>
      <c r="D30" s="729"/>
      <c r="E30" s="729" t="s">
        <v>2952</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6742</v>
      </c>
      <c r="C31" s="720" t="s">
        <v>4242</v>
      </c>
      <c r="D31" s="729"/>
      <c r="E31" s="729" t="s">
        <v>1901</v>
      </c>
      <c r="F31" s="766" t="s">
        <v>5667</v>
      </c>
      <c r="G31" s="740"/>
      <c r="H31" s="729"/>
      <c r="I31" s="729" t="s">
        <v>4892</v>
      </c>
      <c r="J31" s="729" t="s">
        <v>772</v>
      </c>
      <c r="K31" s="729" t="s">
        <v>3472</v>
      </c>
      <c r="L31" s="729"/>
      <c r="M31" s="729" t="s">
        <v>1449</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6744</v>
      </c>
      <c r="C32" s="720" t="s">
        <v>1978</v>
      </c>
      <c r="D32" s="729"/>
      <c r="E32" s="729" t="s">
        <v>1427</v>
      </c>
      <c r="F32" s="730"/>
      <c r="G32" s="724" t="s">
        <v>4926</v>
      </c>
      <c r="H32" s="729"/>
      <c r="I32" s="729" t="s">
        <v>1901</v>
      </c>
      <c r="J32" s="729" t="s">
        <v>1978</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2392</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6745</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6746</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3737</v>
      </c>
      <c r="D35" s="729"/>
      <c r="E35" s="729" t="s">
        <v>3472</v>
      </c>
      <c r="F35" s="723"/>
      <c r="G35" s="740"/>
      <c r="H35" s="729"/>
      <c r="I35" s="729"/>
      <c r="J35" s="729" t="s">
        <v>3737</v>
      </c>
      <c r="K35" s="729" t="s">
        <v>3934</v>
      </c>
      <c r="L35" s="729"/>
      <c r="M35" s="729" t="s">
        <v>5364</v>
      </c>
      <c r="N35" s="729"/>
      <c r="O35" s="729"/>
      <c r="P35" s="727"/>
      <c r="Q35" s="729" t="s">
        <v>6748</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3838</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6751</v>
      </c>
      <c r="C37" s="720" t="s">
        <v>2316</v>
      </c>
      <c r="D37" s="729" t="s">
        <v>1567</v>
      </c>
      <c r="E37" s="729" t="s">
        <v>3737</v>
      </c>
      <c r="F37" s="749" t="s">
        <v>3151</v>
      </c>
      <c r="G37" s="740"/>
      <c r="H37" s="729"/>
      <c r="I37" s="729" t="s">
        <v>6752</v>
      </c>
      <c r="J37" s="729" t="s">
        <v>2316</v>
      </c>
      <c r="K37" s="729" t="s">
        <v>2272</v>
      </c>
      <c r="L37" s="729"/>
      <c r="M37" s="729" t="s">
        <v>6750</v>
      </c>
      <c r="N37" s="729"/>
      <c r="O37" s="729"/>
      <c r="P37" s="727"/>
      <c r="Q37" s="729" t="s">
        <v>1747</v>
      </c>
      <c r="R37" s="729"/>
      <c r="S37" s="729"/>
      <c r="T37" s="729"/>
      <c r="U37" s="725" t="s">
        <v>3737</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3998</v>
      </c>
      <c r="F38" s="735" t="s">
        <v>2547</v>
      </c>
      <c r="G38" s="724" t="s">
        <v>3814</v>
      </c>
      <c r="H38" s="729" t="s">
        <v>763</v>
      </c>
      <c r="I38" s="729" t="s">
        <v>1968</v>
      </c>
      <c r="J38" s="729" t="s">
        <v>1137</v>
      </c>
      <c r="K38" s="729" t="s">
        <v>4863</v>
      </c>
      <c r="L38" s="729"/>
      <c r="M38" s="729"/>
      <c r="N38" s="729"/>
      <c r="O38" s="729" t="s">
        <v>1968</v>
      </c>
      <c r="P38" s="727" t="s">
        <v>2488</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1806</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6758</v>
      </c>
      <c r="C40" s="720" t="s">
        <v>2536</v>
      </c>
      <c r="D40" s="729" t="s">
        <v>2771</v>
      </c>
      <c r="E40" s="729" t="s">
        <v>3657</v>
      </c>
      <c r="F40" s="747" t="s">
        <v>5037</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2536</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5233</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999</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1568</v>
      </c>
      <c r="E42" s="725" t="s">
        <v>344</v>
      </c>
      <c r="F42" s="730"/>
      <c r="G42" s="724" t="s">
        <v>558</v>
      </c>
      <c r="H42" s="725" t="s">
        <v>234</v>
      </c>
      <c r="I42" s="725" t="s">
        <v>109</v>
      </c>
      <c r="J42" s="725" t="s">
        <v>558</v>
      </c>
      <c r="K42" s="725" t="s">
        <v>2684</v>
      </c>
      <c r="L42" s="726" t="s">
        <v>558</v>
      </c>
      <c r="M42" s="725" t="s">
        <v>109</v>
      </c>
      <c r="N42" s="726" t="s">
        <v>458</v>
      </c>
      <c r="O42" s="725" t="s">
        <v>558</v>
      </c>
      <c r="P42" s="727" t="s">
        <v>344</v>
      </c>
      <c r="Q42" s="726"/>
      <c r="R42" s="726"/>
      <c r="S42" s="726"/>
      <c r="T42" s="726"/>
      <c r="U42" s="725" t="s">
        <v>2548</v>
      </c>
      <c r="V42" s="726" t="s">
        <v>3547</v>
      </c>
      <c r="W42" s="726"/>
      <c r="X42" s="726"/>
      <c r="Y42" s="726"/>
      <c r="Z42" s="726"/>
      <c r="AA42" s="726"/>
      <c r="AB42" s="726"/>
      <c r="AC42" s="726"/>
      <c r="AD42" s="726"/>
      <c r="AE42" s="726"/>
      <c r="AF42" s="726"/>
      <c r="AG42" s="726"/>
      <c r="AH42" s="726"/>
      <c r="AI42" s="726"/>
      <c r="AJ42" s="767"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4951</v>
      </c>
      <c r="D43" s="734" t="s">
        <v>1569</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2403</v>
      </c>
      <c r="D44" s="773" t="s">
        <v>1357</v>
      </c>
      <c r="E44" s="729" t="s">
        <v>2403</v>
      </c>
      <c r="F44" s="723"/>
      <c r="G44" s="740"/>
      <c r="H44" s="729"/>
      <c r="I44" s="729" t="str">
        <f>HYPERLINK("https://youtu.be/t-1yqXLdZMA","38.05")</f>
        <v>38.05</v>
      </c>
      <c r="J44" s="729" t="s">
        <v>6768</v>
      </c>
      <c r="K44" s="729" t="s">
        <v>2274</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1727</v>
      </c>
      <c r="J46" s="729"/>
      <c r="K46" s="729" t="s">
        <v>2174</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6773</v>
      </c>
      <c r="C47" s="738" t="s">
        <v>2628</v>
      </c>
      <c r="D47" s="727"/>
      <c r="E47" s="727"/>
      <c r="F47" s="730"/>
      <c r="G47" s="740"/>
      <c r="H47" s="727"/>
      <c r="I47" s="725" t="s">
        <v>2628</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6775</v>
      </c>
      <c r="C49" s="720" t="s">
        <v>5394</v>
      </c>
      <c r="D49" s="775" t="s">
        <v>6115</v>
      </c>
      <c r="E49" s="727"/>
      <c r="F49" s="730"/>
      <c r="G49" s="740"/>
      <c r="H49" s="727" t="s">
        <v>1946</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1482</v>
      </c>
      <c r="F55" s="723"/>
      <c r="G55" s="724" t="s">
        <v>1953</v>
      </c>
      <c r="H55" s="729"/>
      <c r="I55" s="729" t="s">
        <v>5678</v>
      </c>
      <c r="J55" s="729" t="s">
        <v>1847</v>
      </c>
      <c r="K55" s="729" t="s">
        <v>6786</v>
      </c>
      <c r="L55" s="729" t="s">
        <v>912</v>
      </c>
      <c r="M55" s="729" t="s">
        <v>754</v>
      </c>
      <c r="N55" s="729" t="s">
        <v>2990</v>
      </c>
      <c r="O55" s="729"/>
      <c r="P55" s="727" t="s">
        <v>3417</v>
      </c>
      <c r="Q55" s="729" t="s">
        <v>122</v>
      </c>
      <c r="R55" s="729" t="s">
        <v>6787</v>
      </c>
      <c r="S55" s="729"/>
      <c r="T55" s="729"/>
      <c r="U55" s="729" t="s">
        <v>3539</v>
      </c>
      <c r="V55" s="729" t="s">
        <v>2687</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67" t="s">
        <v>3579</v>
      </c>
      <c r="E57" s="796"/>
      <c r="F57" s="723"/>
      <c r="G57" s="740"/>
      <c r="H57" s="796"/>
      <c r="I57" s="796"/>
      <c r="J57" s="796"/>
      <c r="K57" s="796"/>
      <c r="L57" s="796"/>
      <c r="M57" s="796"/>
      <c r="N57" s="797" t="s">
        <v>6790</v>
      </c>
      <c r="O57" s="796"/>
      <c r="P57" s="727"/>
      <c r="Q57" s="796"/>
      <c r="R57" s="796"/>
      <c r="S57" s="796"/>
      <c r="T57" s="796"/>
      <c r="U57" s="767" t="s">
        <v>1934</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67" t="s">
        <v>351</v>
      </c>
      <c r="F58" s="749" t="s">
        <v>5703</v>
      </c>
      <c r="G58" s="724" t="s">
        <v>1273</v>
      </c>
      <c r="H58" s="724" t="s">
        <v>367</v>
      </c>
      <c r="I58" s="767"/>
      <c r="J58" s="767"/>
      <c r="K58" s="767"/>
      <c r="L58" s="767"/>
      <c r="M58" s="767"/>
      <c r="N58" s="767"/>
      <c r="O58" s="767" t="s">
        <v>5703</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6792</v>
      </c>
      <c r="C59" s="748" t="s">
        <v>413</v>
      </c>
      <c r="D59" s="767"/>
      <c r="E59" s="767"/>
      <c r="F59" s="749" t="s">
        <v>1030</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6672</v>
      </c>
      <c r="B60" s="800" t="s">
        <v>6785</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6788</v>
      </c>
      <c r="C61" s="774" t="s">
        <v>470</v>
      </c>
      <c r="D61" s="767"/>
      <c r="E61" s="767" t="s">
        <v>6793</v>
      </c>
      <c r="F61" s="801"/>
      <c r="G61" s="740"/>
      <c r="H61" s="767" t="s">
        <v>470</v>
      </c>
      <c r="I61" s="767"/>
      <c r="J61" s="767"/>
      <c r="K61" s="767"/>
      <c r="L61" s="767"/>
      <c r="M61" s="767"/>
      <c r="N61" s="767"/>
      <c r="O61" s="767"/>
      <c r="P61" s="727" t="s">
        <v>6794</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6789</v>
      </c>
      <c r="C62" s="774" t="s">
        <v>1368</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67"/>
      <c r="E63" s="767" t="s">
        <v>2912</v>
      </c>
      <c r="F63" s="802" t="s">
        <v>194</v>
      </c>
      <c r="G63" s="724" t="s">
        <v>6795</v>
      </c>
      <c r="H63" s="724" t="s">
        <v>623</v>
      </c>
      <c r="I63" s="767"/>
      <c r="J63" s="767"/>
      <c r="K63" s="767"/>
      <c r="L63" s="767"/>
      <c r="M63" s="767"/>
      <c r="N63" s="767"/>
      <c r="O63" s="724" t="s">
        <v>3972</v>
      </c>
      <c r="P63" s="727" t="s">
        <v>6796</v>
      </c>
      <c r="Q63" s="767" t="s">
        <v>6706</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6666</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6652</v>
      </c>
      <c r="B66" s="788" t="s">
        <v>6651</v>
      </c>
      <c r="C66" s="806" t="s">
        <v>2549</v>
      </c>
      <c r="D66" s="771" t="s">
        <v>6800</v>
      </c>
      <c r="E66" s="771"/>
      <c r="F66" s="802" t="s">
        <v>2549</v>
      </c>
      <c r="G66" s="740"/>
      <c r="H66" s="771" t="s">
        <v>2261</v>
      </c>
      <c r="I66" s="771"/>
      <c r="J66" s="771"/>
      <c r="K66" s="771"/>
      <c r="L66" s="771"/>
      <c r="M66" s="771"/>
      <c r="N66" s="771"/>
      <c r="O66" s="771"/>
      <c r="P66" s="772"/>
      <c r="Q66" s="771"/>
      <c r="R66" s="771"/>
      <c r="S66" s="771"/>
      <c r="T66" s="771"/>
      <c r="U66" s="771"/>
      <c r="V66" s="771"/>
      <c r="W66" s="771"/>
      <c r="X66" s="771"/>
      <c r="Y66" s="771" t="s">
        <v>2094</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3734</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2750</v>
      </c>
      <c r="D69" s="727" t="s">
        <v>6706</v>
      </c>
      <c r="E69" s="727"/>
      <c r="F69" s="749" t="s">
        <v>2750</v>
      </c>
      <c r="G69" s="740"/>
      <c r="H69" s="777" t="s">
        <v>1255</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4209</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3506</v>
      </c>
      <c r="F71" s="802" t="s">
        <v>6808</v>
      </c>
      <c r="G71" s="740"/>
      <c r="H71" s="729" t="s">
        <v>575</v>
      </c>
      <c r="I71" s="729"/>
      <c r="J71" s="729" t="s">
        <v>6808</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6811</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3572</v>
      </c>
      <c r="D73" s="729" t="s">
        <v>531</v>
      </c>
      <c r="E73" s="729"/>
      <c r="F73" s="749" t="s">
        <v>344</v>
      </c>
      <c r="G73" s="724" t="s">
        <v>2216</v>
      </c>
      <c r="H73" s="729" t="s">
        <v>3903</v>
      </c>
      <c r="I73" s="729" t="s">
        <v>406</v>
      </c>
      <c r="J73" s="729" t="s">
        <v>3257</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1275</v>
      </c>
      <c r="E74" s="771" t="s">
        <v>913</v>
      </c>
      <c r="F74" s="802" t="s">
        <v>2033</v>
      </c>
      <c r="G74" s="724" t="s">
        <v>1275</v>
      </c>
      <c r="H74" s="771" t="s">
        <v>1211</v>
      </c>
      <c r="I74" s="771" t="s">
        <v>1432</v>
      </c>
      <c r="J74" s="771" t="s">
        <v>4369</v>
      </c>
      <c r="K74" s="771" t="s">
        <v>3100</v>
      </c>
      <c r="L74" s="771" t="s">
        <v>6814</v>
      </c>
      <c r="M74" s="771" t="s">
        <v>5896</v>
      </c>
      <c r="N74" s="771" t="s">
        <v>359</v>
      </c>
      <c r="O74" s="771" t="s">
        <v>6132</v>
      </c>
      <c r="P74" s="772"/>
      <c r="Q74" s="771" t="s">
        <v>1893</v>
      </c>
      <c r="R74" s="771"/>
      <c r="S74" s="771" t="s">
        <v>1611</v>
      </c>
      <c r="T74" s="771"/>
      <c r="U74" s="771"/>
      <c r="V74" s="771"/>
      <c r="W74" s="771"/>
      <c r="X74" s="771"/>
      <c r="Y74" s="771"/>
      <c r="Z74" s="771"/>
      <c r="AA74" s="771" t="s">
        <v>3572</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6579</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1481</v>
      </c>
      <c r="E76" s="729" t="s">
        <v>354</v>
      </c>
      <c r="F76" s="735" t="s">
        <v>360</v>
      </c>
      <c r="G76" s="724" t="s">
        <v>1276</v>
      </c>
      <c r="H76" s="729" t="s">
        <v>1542</v>
      </c>
      <c r="I76" s="729" t="s">
        <v>1433</v>
      </c>
      <c r="J76" s="729" t="s">
        <v>4987</v>
      </c>
      <c r="K76" s="729" t="s">
        <v>6821</v>
      </c>
      <c r="L76" s="729" t="s">
        <v>914</v>
      </c>
      <c r="M76" s="729" t="s">
        <v>756</v>
      </c>
      <c r="N76" s="729" t="s">
        <v>1361</v>
      </c>
      <c r="O76" s="729" t="s">
        <v>2324</v>
      </c>
      <c r="P76" s="727" t="s">
        <v>3938</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4053</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1573</v>
      </c>
      <c r="E79" s="729" t="s">
        <v>757</v>
      </c>
      <c r="F79" s="754" t="s">
        <v>1055</v>
      </c>
      <c r="G79" s="724" t="s">
        <v>1277</v>
      </c>
      <c r="H79" s="729" t="s">
        <v>6195</v>
      </c>
      <c r="I79" s="729" t="str">
        <f>HYPERLINK("https://www.youtube.com/watch?v=Imyo7x5mfG4&amp;feature=youtu.be","30.15")</f>
        <v>30.15</v>
      </c>
      <c r="J79" s="729" t="s">
        <v>1650</v>
      </c>
      <c r="K79" s="729" t="s">
        <v>1898</v>
      </c>
      <c r="L79" s="729" t="s">
        <v>121</v>
      </c>
      <c r="M79" s="729" t="s">
        <v>757</v>
      </c>
      <c r="N79" s="729" t="s">
        <v>121</v>
      </c>
      <c r="O79" s="729" t="s">
        <v>1002</v>
      </c>
      <c r="P79" s="727" t="s">
        <v>3329</v>
      </c>
      <c r="Q79" s="729" t="s">
        <v>5004</v>
      </c>
      <c r="R79" s="729"/>
      <c r="S79" s="729"/>
      <c r="T79" s="729"/>
      <c r="U79" s="725" t="s">
        <v>1610</v>
      </c>
      <c r="V79" s="729" t="s">
        <v>973</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4045</v>
      </c>
      <c r="D80" s="729"/>
      <c r="E80" s="729" t="s">
        <v>4045</v>
      </c>
      <c r="F80" s="793"/>
      <c r="G80" s="724" t="s">
        <v>2474</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2532</v>
      </c>
      <c r="E81" s="729" t="s">
        <v>2401</v>
      </c>
      <c r="F81" s="749" t="s">
        <v>6830</v>
      </c>
      <c r="G81" s="724" t="s">
        <v>6831</v>
      </c>
      <c r="H81" s="729"/>
      <c r="I81" s="729"/>
      <c r="J81" s="729"/>
      <c r="K81" s="729"/>
      <c r="L81" s="729"/>
      <c r="M81" s="729" t="s">
        <v>6832</v>
      </c>
      <c r="N81" s="729"/>
      <c r="O81" s="729"/>
      <c r="P81" s="727" t="s">
        <v>6833</v>
      </c>
      <c r="Q81" s="729"/>
      <c r="R81" s="729"/>
      <c r="S81" s="729" t="s">
        <v>4035</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3012</v>
      </c>
      <c r="D82" s="767"/>
      <c r="E82" s="767"/>
      <c r="F82" s="802" t="s">
        <v>1843</v>
      </c>
      <c r="G82" s="740"/>
      <c r="H82" s="812" t="s">
        <v>3012</v>
      </c>
      <c r="I82" s="767"/>
      <c r="J82" s="767"/>
      <c r="K82" s="767"/>
      <c r="L82" s="767"/>
      <c r="M82" s="767"/>
      <c r="N82" s="767"/>
      <c r="O82" s="767" t="s">
        <v>3012</v>
      </c>
      <c r="P82" s="727" t="s">
        <v>4964</v>
      </c>
      <c r="Q82" s="767"/>
      <c r="R82" s="767"/>
      <c r="S82" s="767"/>
      <c r="T82" s="767"/>
      <c r="U82" s="767"/>
      <c r="V82" s="767"/>
      <c r="W82" s="767"/>
      <c r="X82" s="767"/>
      <c r="Y82" s="767"/>
      <c r="Z82" s="767" t="s">
        <v>1989</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2650</v>
      </c>
      <c r="D84" s="729" t="s">
        <v>3642</v>
      </c>
      <c r="E84" s="729" t="s">
        <v>2650</v>
      </c>
      <c r="F84" s="723"/>
      <c r="G84" s="740"/>
      <c r="H84" s="729"/>
      <c r="I84" s="729"/>
      <c r="J84" s="729"/>
      <c r="K84" s="729" t="s">
        <v>6838</v>
      </c>
      <c r="L84" s="729" t="s">
        <v>5181</v>
      </c>
      <c r="M84" s="729"/>
      <c r="N84" s="729" t="str">
        <f>HYPERLINK("https://youtu.be/HUwmtKe7cOY","56.54")</f>
        <v>56.54</v>
      </c>
      <c r="O84" s="729"/>
      <c r="P84" s="727" t="s">
        <v>3813</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1574</v>
      </c>
      <c r="E85" s="729" t="s">
        <v>5500</v>
      </c>
      <c r="F85" s="754" t="s">
        <v>758</v>
      </c>
      <c r="G85" s="724" t="s">
        <v>1278</v>
      </c>
      <c r="H85" s="729" t="s">
        <v>953</v>
      </c>
      <c r="I85" s="729" t="s">
        <v>2942</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3535</v>
      </c>
      <c r="D86" s="729"/>
      <c r="E86" s="729" t="s">
        <v>6843</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1575</v>
      </c>
      <c r="D87" s="729" t="s">
        <v>1575</v>
      </c>
      <c r="E87" s="796"/>
      <c r="F87" s="754" t="s">
        <v>2550</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2389</v>
      </c>
      <c r="F88" s="820" t="s">
        <v>760</v>
      </c>
      <c r="G88" s="820" t="s">
        <v>666</v>
      </c>
      <c r="H88" s="819" t="s">
        <v>760</v>
      </c>
      <c r="I88" s="820" t="s">
        <v>2439</v>
      </c>
      <c r="J88" s="820" t="s">
        <v>1280</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67"/>
      <c r="F89" s="802" t="s">
        <v>6854</v>
      </c>
      <c r="G89" s="740"/>
      <c r="H89" s="725" t="s">
        <v>6852</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6855</v>
      </c>
      <c r="B90" s="804" t="s">
        <v>6651</v>
      </c>
      <c r="C90" s="748" t="s">
        <v>6856</v>
      </c>
      <c r="D90" s="725" t="s">
        <v>6857</v>
      </c>
      <c r="E90" s="767"/>
      <c r="F90" s="766" t="s">
        <v>6858</v>
      </c>
      <c r="G90" s="740"/>
      <c r="H90" s="725" t="s">
        <v>6856</v>
      </c>
      <c r="I90" s="767"/>
      <c r="J90" s="767"/>
      <c r="K90" s="767"/>
      <c r="L90" s="767"/>
      <c r="M90" s="767"/>
      <c r="N90" s="767"/>
      <c r="O90" s="767"/>
      <c r="P90" s="727"/>
      <c r="Q90" s="767"/>
      <c r="R90" s="767"/>
      <c r="S90" s="767"/>
      <c r="T90" s="767"/>
      <c r="U90" s="725" t="s">
        <v>6859</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6760</v>
      </c>
      <c r="B91" s="788" t="s">
        <v>6761</v>
      </c>
      <c r="C91" s="774" t="s">
        <v>5346</v>
      </c>
      <c r="D91" s="729" t="s">
        <v>6860</v>
      </c>
      <c r="E91" s="729" t="s">
        <v>5346</v>
      </c>
      <c r="F91" s="793"/>
      <c r="G91" s="740"/>
      <c r="H91" s="729" t="s">
        <v>5346</v>
      </c>
      <c r="I91" s="729" t="s">
        <v>5164</v>
      </c>
      <c r="J91" s="729"/>
      <c r="K91" s="729" t="s">
        <v>4705</v>
      </c>
      <c r="L91" s="729"/>
      <c r="M91" s="729" t="s">
        <v>3243</v>
      </c>
      <c r="N91" s="729" t="str">
        <f>HYPERLINK("https://youtu.be/HjDDp_Mj_yI","16.74")</f>
        <v>16.74</v>
      </c>
      <c r="O91" s="729"/>
      <c r="P91" s="727" t="s">
        <v>6418</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1576</v>
      </c>
      <c r="E94" s="725" t="s">
        <v>359</v>
      </c>
      <c r="F94" s="723"/>
      <c r="G94" s="724" t="s">
        <v>1281</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2474</v>
      </c>
      <c r="D95" s="729" t="s">
        <v>2474</v>
      </c>
      <c r="E95" s="729"/>
      <c r="F95" s="809" t="s">
        <v>2474</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1577</v>
      </c>
      <c r="E96" s="729" t="s">
        <v>1669</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4245</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1579</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4196</v>
      </c>
      <c r="D101" s="734" t="s">
        <v>1580</v>
      </c>
      <c r="E101" s="832" t="s">
        <v>2440</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1620</v>
      </c>
      <c r="D102" s="734" t="s">
        <v>1581</v>
      </c>
      <c r="E102" s="838"/>
      <c r="F102" s="839"/>
      <c r="G102" s="724" t="s">
        <v>6793</v>
      </c>
      <c r="H102" s="838"/>
      <c r="I102" s="832" t="s">
        <v>3334</v>
      </c>
      <c r="J102" s="832" t="s">
        <v>4146</v>
      </c>
      <c r="K102" s="838" t="s">
        <v>1236</v>
      </c>
      <c r="L102" s="838" t="s">
        <v>921</v>
      </c>
      <c r="M102" s="832" t="s">
        <v>764</v>
      </c>
      <c r="N102" s="838" t="s">
        <v>3716</v>
      </c>
      <c r="O102" s="832" t="s">
        <v>1620</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1518</v>
      </c>
      <c r="D104" s="773" t="s">
        <v>6875</v>
      </c>
      <c r="E104" s="838"/>
      <c r="F104" s="723"/>
      <c r="G104" s="724" t="s">
        <v>1286</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1518</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1582</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3713</v>
      </c>
      <c r="E107" s="838"/>
      <c r="F107" s="839"/>
      <c r="G107" s="724" t="s">
        <v>134</v>
      </c>
      <c r="H107" s="838"/>
      <c r="I107" s="838" t="s">
        <v>6886</v>
      </c>
      <c r="J107" s="832" t="s">
        <v>6887</v>
      </c>
      <c r="K107" s="838" t="s">
        <v>3635</v>
      </c>
      <c r="L107" s="838" t="s">
        <v>923</v>
      </c>
      <c r="M107" s="838"/>
      <c r="N107" s="838" t="s">
        <v>2507</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1703</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2569</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1261</v>
      </c>
      <c r="D112" s="734" t="s">
        <v>1585</v>
      </c>
      <c r="E112" s="838"/>
      <c r="F112" s="723"/>
      <c r="G112" s="724" t="s">
        <v>1289</v>
      </c>
      <c r="H112" s="838"/>
      <c r="I112" s="838" t="s">
        <v>6892</v>
      </c>
      <c r="J112" s="832" t="s">
        <v>1261</v>
      </c>
      <c r="K112" s="838" t="s">
        <v>3637</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1554</v>
      </c>
      <c r="F113" s="849" t="s">
        <v>5456</v>
      </c>
      <c r="G113" s="740"/>
      <c r="I113" s="832" t="str">
        <f>HYPERLINK("https://youtu.be/NIfI1hsvvFQ","19.73")</f>
        <v>19.73</v>
      </c>
      <c r="J113" s="832" t="s">
        <v>1059</v>
      </c>
      <c r="K113" s="832" t="s">
        <v>2594</v>
      </c>
      <c r="L113" s="832"/>
      <c r="M113" s="838" t="s">
        <v>1663</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1754</v>
      </c>
      <c r="H115" s="832" t="s">
        <v>475</v>
      </c>
      <c r="I115" s="832"/>
      <c r="J115" s="832" t="s">
        <v>2043</v>
      </c>
      <c r="K115" s="832" t="s">
        <v>2043</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1553</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6896</v>
      </c>
      <c r="C117" s="831" t="s">
        <v>878</v>
      </c>
      <c r="D117" s="838" t="s">
        <v>3981</v>
      </c>
      <c r="E117" s="838"/>
      <c r="F117" s="723"/>
      <c r="G117" s="724" t="s">
        <v>824</v>
      </c>
      <c r="H117" s="838"/>
      <c r="I117" s="838"/>
      <c r="J117" s="832" t="s">
        <v>182</v>
      </c>
      <c r="K117" s="838" t="s">
        <v>121</v>
      </c>
      <c r="L117" s="838" t="s">
        <v>298</v>
      </c>
      <c r="M117" s="838"/>
      <c r="N117" s="838"/>
      <c r="O117" s="838"/>
      <c r="P117" s="840" t="s">
        <v>2523</v>
      </c>
      <c r="Q117" s="838" t="s">
        <v>2886</v>
      </c>
      <c r="R117" s="838" t="s">
        <v>848</v>
      </c>
      <c r="S117" s="838"/>
      <c r="T117" s="838"/>
      <c r="U117" s="838" t="s">
        <v>4687</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1586</v>
      </c>
      <c r="E118" s="832" t="s">
        <v>6899</v>
      </c>
      <c r="F118" s="749" t="s">
        <v>1988</v>
      </c>
      <c r="G118" s="740"/>
      <c r="H118" s="832"/>
      <c r="I118" s="832" t="s">
        <v>261</v>
      </c>
      <c r="J118" s="832" t="s">
        <v>4788</v>
      </c>
      <c r="K118" s="832" t="s">
        <v>848</v>
      </c>
      <c r="L118" s="832"/>
      <c r="M118" s="832" t="s">
        <v>770</v>
      </c>
      <c r="N118" s="832"/>
      <c r="O118" s="832" t="s">
        <v>4334</v>
      </c>
      <c r="P118" s="833" t="s">
        <v>6165</v>
      </c>
      <c r="Q118" s="832" t="s">
        <v>2562</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2551</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1588</v>
      </c>
      <c r="E120" s="838"/>
      <c r="F120" s="839"/>
      <c r="G120" s="740"/>
      <c r="H120" s="838" t="s">
        <v>5143</v>
      </c>
      <c r="I120" s="838" t="s">
        <v>3655</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1587</v>
      </c>
      <c r="E122" s="838"/>
      <c r="F122" s="839"/>
      <c r="G122" s="724" t="s">
        <v>1291</v>
      </c>
      <c r="H122" s="838"/>
      <c r="I122" s="832" t="str">
        <f>HYPERLINK("https://youtu.be/JiJPMQx9xwU","31.85")</f>
        <v>31.85</v>
      </c>
      <c r="J122" s="838"/>
      <c r="K122" s="838"/>
      <c r="L122" s="838" t="s">
        <v>1486</v>
      </c>
      <c r="M122" s="838" t="s">
        <v>771</v>
      </c>
      <c r="N122" s="838"/>
      <c r="O122" s="832" t="s">
        <v>2535</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2953</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4101</v>
      </c>
      <c r="D125" s="832" t="s">
        <v>6910</v>
      </c>
      <c r="E125" s="832" t="s">
        <v>6911</v>
      </c>
      <c r="F125" s="749" t="s">
        <v>6912</v>
      </c>
      <c r="G125" s="740"/>
      <c r="H125" s="832" t="s">
        <v>4101</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1352</v>
      </c>
      <c r="H128" s="838"/>
      <c r="I128" s="838"/>
      <c r="J128" s="838" t="s">
        <v>2688</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2552</v>
      </c>
      <c r="G129" s="724" t="s">
        <v>1294</v>
      </c>
      <c r="H129" s="763" t="s">
        <v>1085</v>
      </c>
      <c r="I129" s="838"/>
      <c r="J129" s="838"/>
      <c r="K129" s="838"/>
      <c r="L129" s="838"/>
      <c r="M129" s="838"/>
      <c r="N129" s="838"/>
      <c r="O129" s="763" t="s">
        <v>1017</v>
      </c>
      <c r="P129" s="840"/>
      <c r="Q129" s="838"/>
      <c r="R129" s="838"/>
      <c r="S129" s="838" t="s">
        <v>2597</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3403</v>
      </c>
      <c r="D130" s="834"/>
      <c r="E130" s="834"/>
      <c r="F130" s="870" t="s">
        <v>2750</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1910</v>
      </c>
      <c r="G132" s="724" t="s">
        <v>1295</v>
      </c>
      <c r="H132" s="838"/>
      <c r="I132" s="763" t="str">
        <f>HYPERLINK("https://youtu.be/6f5dBhAmU1g","42.10")</f>
        <v>42.10</v>
      </c>
      <c r="J132" s="838" t="s">
        <v>6923</v>
      </c>
      <c r="K132" s="838" t="s">
        <v>2145</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1590</v>
      </c>
      <c r="E133" s="838"/>
      <c r="F133" s="749" t="s">
        <v>2326</v>
      </c>
      <c r="G133" s="724" t="s">
        <v>377</v>
      </c>
      <c r="H133" s="763" t="s">
        <v>1113</v>
      </c>
      <c r="I133" s="838" t="s">
        <v>1452</v>
      </c>
      <c r="J133" s="838" t="s">
        <v>2326</v>
      </c>
      <c r="K133" s="838" t="s">
        <v>408</v>
      </c>
      <c r="L133" s="763" t="s">
        <v>145</v>
      </c>
      <c r="M133" s="763" t="s">
        <v>377</v>
      </c>
      <c r="N133" s="838" t="s">
        <v>3640</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1551</v>
      </c>
      <c r="G134" s="724" t="s">
        <v>6925</v>
      </c>
      <c r="H134" s="832"/>
      <c r="I134" s="832"/>
      <c r="J134" s="832"/>
      <c r="K134" s="832"/>
      <c r="L134" s="832" t="s">
        <v>3012</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2976</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2596</v>
      </c>
      <c r="E136" s="838"/>
      <c r="F136" s="863"/>
      <c r="G136" s="740"/>
      <c r="H136" s="838"/>
      <c r="I136" s="838"/>
      <c r="J136" s="838"/>
      <c r="K136" s="838" t="s">
        <v>3641</v>
      </c>
      <c r="L136" s="838"/>
      <c r="M136" s="838"/>
      <c r="N136" s="838"/>
      <c r="O136" s="838"/>
      <c r="P136" s="840"/>
      <c r="Q136" s="838"/>
      <c r="R136" s="838" t="s">
        <v>3058</v>
      </c>
      <c r="S136" s="838"/>
      <c r="T136" s="838"/>
      <c r="U136" s="838"/>
      <c r="V136" s="838"/>
      <c r="W136" s="838"/>
      <c r="X136" s="838" t="s">
        <v>1644</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3968</v>
      </c>
      <c r="G138" s="724" t="s">
        <v>1296</v>
      </c>
      <c r="H138" s="874" t="s">
        <v>5697</v>
      </c>
      <c r="I138" s="724" t="s">
        <v>5436</v>
      </c>
      <c r="J138" s="740"/>
      <c r="K138" s="740"/>
      <c r="L138" s="724" t="s">
        <v>931</v>
      </c>
      <c r="M138" s="724" t="s">
        <v>6436</v>
      </c>
      <c r="N138" s="740"/>
      <c r="O138" s="724" t="s">
        <v>6932</v>
      </c>
      <c r="P138" s="833" t="s">
        <v>5100</v>
      </c>
      <c r="Q138" s="740"/>
      <c r="R138" s="724" t="s">
        <v>1760</v>
      </c>
      <c r="S138" s="740"/>
      <c r="T138" s="740"/>
      <c r="U138" s="724" t="s">
        <v>1875</v>
      </c>
      <c r="V138" s="740"/>
      <c r="W138" s="740"/>
      <c r="X138" s="740"/>
      <c r="Y138" s="740"/>
      <c r="Z138" s="724" t="s">
        <v>1522</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5630</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1298</v>
      </c>
      <c r="H143" s="838"/>
      <c r="I143" s="838"/>
      <c r="J143" s="724" t="s">
        <v>1436</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1591</v>
      </c>
      <c r="D147" s="729" t="s">
        <v>1591</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3581</v>
      </c>
      <c r="D148" s="832" t="s">
        <v>5386</v>
      </c>
      <c r="E148" s="832" t="s">
        <v>3581</v>
      </c>
      <c r="F148" s="863"/>
      <c r="G148" s="724" t="s">
        <v>2941</v>
      </c>
      <c r="H148" s="832"/>
      <c r="I148" s="832"/>
      <c r="J148" s="832"/>
      <c r="K148" s="832" t="s">
        <v>477</v>
      </c>
      <c r="L148" s="832"/>
      <c r="M148" s="832" t="s">
        <v>2318</v>
      </c>
      <c r="N148" s="832" t="s">
        <v>1321</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1935</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1592</v>
      </c>
      <c r="E149" s="832" t="s">
        <v>5440</v>
      </c>
      <c r="F149" s="754" t="s">
        <v>1619</v>
      </c>
      <c r="G149" s="724" t="s">
        <v>3362</v>
      </c>
      <c r="H149" s="842" t="s">
        <v>1372</v>
      </c>
      <c r="I149" s="832" t="str">
        <f>HYPERLINK("https://youtu.be/NPrbRwZDn1I","27.54")</f>
        <v>27.54</v>
      </c>
      <c r="J149" s="832" t="s">
        <v>507</v>
      </c>
      <c r="K149" s="832" t="s">
        <v>2562</v>
      </c>
      <c r="L149" s="832"/>
      <c r="M149" s="832" t="s">
        <v>5440</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2367</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5579</v>
      </c>
      <c r="D150" s="875"/>
      <c r="E150" s="875"/>
      <c r="F150" s="863"/>
      <c r="G150" s="724" t="s">
        <v>2722</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5111</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2554</v>
      </c>
      <c r="D153" s="767" t="s">
        <v>1594</v>
      </c>
      <c r="E153" s="724" t="s">
        <v>383</v>
      </c>
      <c r="F153" s="754" t="s">
        <v>2554</v>
      </c>
      <c r="G153" s="740"/>
      <c r="H153" s="724" t="s">
        <v>6966</v>
      </c>
      <c r="I153" s="724" t="s">
        <v>589</v>
      </c>
      <c r="J153" s="724" t="s">
        <v>3250</v>
      </c>
      <c r="K153" s="740" t="s">
        <v>3645</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1593</v>
      </c>
      <c r="E154" s="838"/>
      <c r="F154" s="863"/>
      <c r="G154" s="724" t="s">
        <v>1300</v>
      </c>
      <c r="H154" s="838"/>
      <c r="I154" s="838"/>
      <c r="J154" s="838"/>
      <c r="K154" s="842" t="s">
        <v>3644</v>
      </c>
      <c r="L154" s="838"/>
      <c r="M154" s="838" t="s">
        <v>6970</v>
      </c>
      <c r="N154" s="838"/>
      <c r="O154" s="838" t="s">
        <v>1022</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5108</v>
      </c>
      <c r="E155" s="879" t="s">
        <v>3650</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2624</v>
      </c>
      <c r="D157" s="879" t="s">
        <v>6974</v>
      </c>
      <c r="E157" s="879"/>
      <c r="F157" s="766" t="s">
        <v>3844</v>
      </c>
      <c r="G157" s="740"/>
      <c r="H157" s="724" t="s">
        <v>2624</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4786</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1325</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2603</v>
      </c>
      <c r="D167" s="838" t="s">
        <v>2603</v>
      </c>
      <c r="E167" s="838"/>
      <c r="F167" s="870" t="s">
        <v>2971</v>
      </c>
      <c r="G167" s="724" t="s">
        <v>2822</v>
      </c>
      <c r="H167" s="832" t="s">
        <v>2603</v>
      </c>
      <c r="I167" s="838"/>
      <c r="J167" s="838"/>
      <c r="K167" s="838" t="s">
        <v>3770</v>
      </c>
      <c r="L167" s="838"/>
      <c r="M167" s="838"/>
      <c r="N167" s="838"/>
      <c r="O167" s="838" t="s">
        <v>2603</v>
      </c>
      <c r="P167" s="840" t="s">
        <v>2971</v>
      </c>
      <c r="Q167" s="838"/>
      <c r="R167" s="838" t="s">
        <v>2603</v>
      </c>
      <c r="S167" s="838" t="s">
        <v>2603</v>
      </c>
      <c r="T167" s="838"/>
      <c r="U167" s="838"/>
      <c r="V167" s="838"/>
      <c r="W167" s="838"/>
      <c r="X167" s="838"/>
      <c r="Y167" s="838"/>
      <c r="Z167" s="838"/>
      <c r="AA167" s="724" t="s">
        <v>3583</v>
      </c>
      <c r="AB167" s="838"/>
      <c r="AC167" s="838"/>
      <c r="AD167" s="838"/>
      <c r="AE167" s="838" t="s">
        <v>2603</v>
      </c>
      <c r="AF167" s="838"/>
      <c r="AG167" s="838"/>
      <c r="AH167" s="838"/>
      <c r="AI167" s="838"/>
      <c r="AJ167" s="834"/>
      <c r="AK167" s="838"/>
      <c r="AL167" s="838"/>
      <c r="AM167" s="838" t="s">
        <v>5536</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2443</v>
      </c>
      <c r="D168" s="729" t="s">
        <v>1595</v>
      </c>
      <c r="E168" s="832" t="s">
        <v>7003</v>
      </c>
      <c r="F168" s="749" t="s">
        <v>7004</v>
      </c>
      <c r="G168" s="740"/>
      <c r="H168" s="832" t="s">
        <v>7005</v>
      </c>
      <c r="I168" s="832"/>
      <c r="J168" s="832" t="s">
        <v>519</v>
      </c>
      <c r="K168" s="832" t="s">
        <v>3646</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1526</v>
      </c>
      <c r="D175" s="773" t="s">
        <v>1596</v>
      </c>
      <c r="E175" s="832" t="s">
        <v>7013</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1526</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1460</v>
      </c>
      <c r="D177" s="734" t="s">
        <v>782</v>
      </c>
      <c r="E177" s="838"/>
      <c r="F177" s="863"/>
      <c r="G177" s="724" t="s">
        <v>1304</v>
      </c>
      <c r="H177" s="838"/>
      <c r="I177" s="838" t="s">
        <v>1460</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1858</v>
      </c>
      <c r="D181" s="726" t="s">
        <v>5413</v>
      </c>
      <c r="E181" s="729" t="s">
        <v>6220</v>
      </c>
      <c r="F181" s="749" t="s">
        <v>2995</v>
      </c>
      <c r="G181" s="724" t="s">
        <v>7030</v>
      </c>
      <c r="H181" s="729" t="s">
        <v>2995</v>
      </c>
      <c r="I181" s="729"/>
      <c r="J181" s="729"/>
      <c r="K181" s="729"/>
      <c r="L181" s="729" t="s">
        <v>4481</v>
      </c>
      <c r="M181" s="729"/>
      <c r="N181" s="729"/>
      <c r="O181" s="729"/>
      <c r="P181" s="727"/>
      <c r="Q181" s="729"/>
      <c r="R181" s="729"/>
      <c r="S181" s="729" t="s">
        <v>4172</v>
      </c>
      <c r="T181" s="729" t="s">
        <v>2935</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1261</v>
      </c>
      <c r="G184" s="724" t="s">
        <v>1306</v>
      </c>
      <c r="H184" s="729" t="s">
        <v>5678</v>
      </c>
      <c r="I184" s="729"/>
      <c r="J184" s="729" t="s">
        <v>611</v>
      </c>
      <c r="K184" s="729" t="s">
        <v>356</v>
      </c>
      <c r="L184" s="729"/>
      <c r="M184" s="729"/>
      <c r="N184" s="729" t="s">
        <v>2501</v>
      </c>
      <c r="O184" s="729" t="s">
        <v>7038</v>
      </c>
      <c r="P184" s="727"/>
      <c r="Q184" s="729"/>
      <c r="R184" s="729"/>
      <c r="S184" s="729" t="s">
        <v>2608</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7041</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7042</v>
      </c>
      <c r="C186" s="831" t="s">
        <v>7043</v>
      </c>
      <c r="D186" s="729" t="s">
        <v>160</v>
      </c>
      <c r="E186" s="729" t="s">
        <v>7043</v>
      </c>
      <c r="F186" s="754" t="s">
        <v>2483</v>
      </c>
      <c r="G186" s="724" t="s">
        <v>1307</v>
      </c>
      <c r="H186" s="729" t="s">
        <v>3078</v>
      </c>
      <c r="I186" s="729" t="s">
        <v>1463</v>
      </c>
      <c r="J186" s="729" t="s">
        <v>3990</v>
      </c>
      <c r="K186" s="729" t="s">
        <v>5390</v>
      </c>
      <c r="L186" s="729" t="s">
        <v>942</v>
      </c>
      <c r="M186" s="729" t="s">
        <v>2983</v>
      </c>
      <c r="N186" s="729" t="s">
        <v>1921</v>
      </c>
      <c r="O186" s="729" t="s">
        <v>4819</v>
      </c>
      <c r="P186" s="727" t="s">
        <v>1921</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5328</v>
      </c>
      <c r="J187" s="729"/>
      <c r="K187" s="729"/>
      <c r="L187" s="729"/>
      <c r="M187" s="729" t="s">
        <v>1028</v>
      </c>
      <c r="N187" s="729" t="s">
        <v>4470</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3871</v>
      </c>
      <c r="D188" s="901"/>
      <c r="E188" s="901"/>
      <c r="F188" s="905" t="s">
        <v>3041</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1576</v>
      </c>
      <c r="D189" s="907" t="s">
        <v>180</v>
      </c>
      <c r="E189" s="729" t="s">
        <v>4775</v>
      </c>
      <c r="F189" s="723"/>
      <c r="G189" s="724" t="s">
        <v>180</v>
      </c>
      <c r="H189" s="729"/>
      <c r="I189" s="729"/>
      <c r="J189" s="729"/>
      <c r="K189" s="725" t="s">
        <v>3290</v>
      </c>
      <c r="L189" s="729"/>
      <c r="M189" s="729"/>
      <c r="N189" s="729"/>
      <c r="O189" s="729"/>
      <c r="P189" s="727"/>
      <c r="Q189" s="729"/>
      <c r="R189" s="729"/>
      <c r="S189" s="729" t="s">
        <v>2003</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1576</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2610</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3494</v>
      </c>
      <c r="E193" s="901"/>
      <c r="F193" s="749" t="s">
        <v>2231</v>
      </c>
      <c r="G193" s="740"/>
      <c r="H193" s="901"/>
      <c r="I193" s="901" t="s">
        <v>3589</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2556</v>
      </c>
      <c r="G194" s="724" t="s">
        <v>632</v>
      </c>
      <c r="H194" s="901" t="s">
        <v>785</v>
      </c>
      <c r="I194" s="901"/>
      <c r="J194" s="901" t="s">
        <v>5560</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1528</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1551</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1551</v>
      </c>
      <c r="Y197" s="901"/>
      <c r="Z197" s="901"/>
      <c r="AA197" s="901"/>
      <c r="AB197" s="901"/>
      <c r="AC197" s="901" t="s">
        <v>1989</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5414</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5275</v>
      </c>
      <c r="D200" s="901" t="s">
        <v>3425</v>
      </c>
      <c r="E200" s="901"/>
      <c r="F200" s="899" t="s">
        <v>659</v>
      </c>
      <c r="G200" s="724" t="s">
        <v>4511</v>
      </c>
      <c r="H200" s="901"/>
      <c r="I200" s="901"/>
      <c r="J200" s="901"/>
      <c r="K200" s="901" t="s">
        <v>5605</v>
      </c>
      <c r="L200" s="901" t="s">
        <v>1677</v>
      </c>
      <c r="M200" s="901"/>
      <c r="N200" s="901" t="s">
        <v>4652</v>
      </c>
      <c r="O200" s="901"/>
      <c r="P200" s="752"/>
      <c r="Q200" s="901"/>
      <c r="R200" s="901"/>
      <c r="S200" s="901"/>
      <c r="T200" s="901" t="s">
        <v>3530</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1496</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3821</v>
      </c>
      <c r="F205" s="899" t="s">
        <v>4971</v>
      </c>
      <c r="G205" s="724" t="s">
        <v>6508</v>
      </c>
      <c r="H205" s="771"/>
      <c r="I205" s="771" t="s">
        <v>7079</v>
      </c>
      <c r="J205" s="771"/>
      <c r="K205" s="771"/>
      <c r="L205" s="771" t="s">
        <v>3821</v>
      </c>
      <c r="M205" s="771"/>
      <c r="N205" s="771" t="s">
        <v>7080</v>
      </c>
      <c r="O205" s="771"/>
      <c r="P205" s="772" t="s">
        <v>3848</v>
      </c>
      <c r="Q205" s="771"/>
      <c r="R205" s="767" t="s">
        <v>7081</v>
      </c>
      <c r="S205" s="771"/>
      <c r="T205" s="771"/>
      <c r="U205" s="771"/>
      <c r="V205" s="771" t="s">
        <v>3161</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1464</v>
      </c>
      <c r="J207" s="729" t="s">
        <v>7084</v>
      </c>
      <c r="K207" s="729" t="s">
        <v>4231</v>
      </c>
      <c r="L207" s="729"/>
      <c r="M207" s="729" t="s">
        <v>7085</v>
      </c>
      <c r="N207" s="729" t="s">
        <v>4488</v>
      </c>
      <c r="O207" s="729" t="s">
        <v>4828</v>
      </c>
      <c r="P207" s="725" t="s">
        <v>7086</v>
      </c>
      <c r="Q207" s="729"/>
      <c r="R207" s="725" t="s">
        <v>5867</v>
      </c>
      <c r="S207" s="729"/>
      <c r="T207" s="729"/>
      <c r="U207" s="729"/>
      <c r="V207" s="729"/>
      <c r="W207" s="729" t="s">
        <v>2529</v>
      </c>
      <c r="X207" s="729" t="s">
        <v>7087</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2557</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2168</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2558</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3387</v>
      </c>
      <c r="E212" s="729" t="s">
        <v>4441</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6443</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4152</v>
      </c>
      <c r="E215" s="901"/>
      <c r="F215" s="905" t="s">
        <v>891</v>
      </c>
      <c r="G215" s="724" t="s">
        <v>3117</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1528</v>
      </c>
      <c r="E216" s="901"/>
      <c r="F216" s="735" t="s">
        <v>2560</v>
      </c>
      <c r="G216" s="724" t="s">
        <v>167</v>
      </c>
      <c r="H216" s="901"/>
      <c r="I216" s="901"/>
      <c r="J216" s="901"/>
      <c r="K216" s="901"/>
      <c r="L216" s="832" t="s">
        <v>949</v>
      </c>
      <c r="M216" s="832" t="s">
        <v>790</v>
      </c>
      <c r="N216" s="901"/>
      <c r="O216" s="832" t="s">
        <v>1927</v>
      </c>
      <c r="P216" s="752" t="s">
        <v>1468</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1469</v>
      </c>
      <c r="D217" s="775" t="s">
        <v>1601</v>
      </c>
      <c r="E217" s="901"/>
      <c r="F217" s="896"/>
      <c r="G217" s="740"/>
      <c r="H217" s="901"/>
      <c r="I217" s="901" t="s">
        <v>1469</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1602</v>
      </c>
      <c r="E218" s="901"/>
      <c r="F218" s="896"/>
      <c r="G218" s="724" t="s">
        <v>1312</v>
      </c>
      <c r="H218" s="901"/>
      <c r="I218" s="901" t="s">
        <v>1479</v>
      </c>
      <c r="J218" s="901" t="s">
        <v>7111</v>
      </c>
      <c r="K218" s="901" t="s">
        <v>3654</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2423</v>
      </c>
      <c r="D221" s="901"/>
      <c r="E221" s="901"/>
      <c r="F221" s="723"/>
      <c r="G221" s="740"/>
      <c r="H221" s="901"/>
      <c r="I221" s="901"/>
      <c r="J221" s="901" t="s">
        <v>2423</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3655</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1471</v>
      </c>
      <c r="D224" s="734" t="s">
        <v>7120</v>
      </c>
      <c r="E224" s="901"/>
      <c r="F224" s="723"/>
      <c r="G224" s="724" t="s">
        <v>1313</v>
      </c>
      <c r="H224" s="901"/>
      <c r="I224" s="901" t="s">
        <v>1471</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1604</v>
      </c>
      <c r="E226" s="838"/>
      <c r="F226" s="754" t="s">
        <v>2561</v>
      </c>
      <c r="G226" s="724" t="s">
        <v>1314</v>
      </c>
      <c r="H226" s="832" t="s">
        <v>1103</v>
      </c>
      <c r="I226" s="838" t="s">
        <v>7122</v>
      </c>
      <c r="J226" s="832" t="s">
        <v>4563</v>
      </c>
      <c r="K226" s="832" t="s">
        <v>1734</v>
      </c>
      <c r="L226" s="832" t="s">
        <v>953</v>
      </c>
      <c r="M226" s="832" t="s">
        <v>259</v>
      </c>
      <c r="N226" s="838" t="s">
        <v>4416</v>
      </c>
      <c r="O226" s="832" t="s">
        <v>1175</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2562</v>
      </c>
      <c r="G227" s="724" t="s">
        <v>2788</v>
      </c>
      <c r="H227" s="832" t="s">
        <v>2217</v>
      </c>
      <c r="I227" s="832" t="s">
        <v>1605</v>
      </c>
      <c r="J227" s="832" t="s">
        <v>6951</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1641</v>
      </c>
      <c r="J228" s="838"/>
      <c r="K228" s="832" t="s">
        <v>6561</v>
      </c>
      <c r="L228" s="832" t="s">
        <v>105</v>
      </c>
      <c r="M228" s="832" t="str">
        <f>HYPERLINK("https://www.youtube.com/watch?v=aWzlUqH0LaM","41.87")</f>
        <v>41.87</v>
      </c>
      <c r="N228" s="838" t="s">
        <v>2198</v>
      </c>
      <c r="O228" s="832" t="s">
        <v>1539</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1317</v>
      </c>
      <c r="H230" s="838" t="s">
        <v>7133</v>
      </c>
      <c r="I230" s="838"/>
      <c r="J230" s="832" t="s">
        <v>7134</v>
      </c>
      <c r="K230" s="838"/>
      <c r="L230" s="838" t="s">
        <v>955</v>
      </c>
      <c r="M230" s="832" t="s">
        <v>794</v>
      </c>
      <c r="N230" s="838"/>
      <c r="O230" s="838"/>
      <c r="P230" s="840" t="s">
        <v>4186</v>
      </c>
      <c r="Q230" s="838"/>
      <c r="R230" s="838"/>
      <c r="S230" s="838"/>
      <c r="T230" s="832" t="s">
        <v>509</v>
      </c>
      <c r="U230" s="838"/>
      <c r="V230" s="838" t="s">
        <v>6310</v>
      </c>
      <c r="W230" s="838"/>
      <c r="X230" s="838"/>
      <c r="Y230" s="838"/>
      <c r="Z230" s="838"/>
      <c r="AA230" s="838"/>
      <c r="AB230" s="838" t="s">
        <v>7135</v>
      </c>
      <c r="AC230" s="838" t="s">
        <v>2739</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2564</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2565</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3583</v>
      </c>
      <c r="K237" s="937"/>
      <c r="L237" s="937"/>
      <c r="M237" s="937"/>
      <c r="N237" s="937"/>
      <c r="O237" s="937"/>
      <c r="P237" s="938"/>
      <c r="Q237" s="937"/>
      <c r="R237" s="943" t="s">
        <v>6987</v>
      </c>
      <c r="S237" s="937"/>
      <c r="T237" s="937"/>
      <c r="U237" s="937"/>
      <c r="V237" s="937"/>
      <c r="W237" s="943" t="s">
        <v>2603</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1476</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1934</v>
      </c>
      <c r="E242" s="838"/>
      <c r="F242" s="754" t="s">
        <v>2214</v>
      </c>
      <c r="G242" s="724" t="s">
        <v>1318</v>
      </c>
      <c r="H242" s="838"/>
      <c r="I242" s="838" t="s">
        <v>4373</v>
      </c>
      <c r="J242" s="832" t="s">
        <v>6152</v>
      </c>
      <c r="K242" s="832" t="s">
        <v>3539</v>
      </c>
      <c r="L242" s="838"/>
      <c r="M242" s="838"/>
      <c r="N242" s="838" t="s">
        <v>4356</v>
      </c>
      <c r="O242" s="832" t="s">
        <v>1318</v>
      </c>
      <c r="P242" s="840" t="s">
        <v>2146</v>
      </c>
      <c r="Q242" s="838" t="s">
        <v>1934</v>
      </c>
      <c r="R242" s="724" t="s">
        <v>1677</v>
      </c>
      <c r="S242" s="724" t="s">
        <v>122</v>
      </c>
      <c r="T242" s="832" t="s">
        <v>4036</v>
      </c>
      <c r="U242" s="838"/>
      <c r="V242" s="838" t="s">
        <v>4421</v>
      </c>
      <c r="W242" s="838"/>
      <c r="X242" s="838"/>
      <c r="Y242" s="838"/>
      <c r="Z242" s="838"/>
      <c r="AA242" s="838"/>
      <c r="AB242" s="838"/>
      <c r="AC242" s="838"/>
      <c r="AD242" s="838"/>
      <c r="AE242" s="838"/>
      <c r="AF242" s="838"/>
      <c r="AG242" s="838" t="s">
        <v>2712</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2566</v>
      </c>
      <c r="D243" s="832"/>
      <c r="E243" s="832" t="s">
        <v>404</v>
      </c>
      <c r="F243" s="735" t="s">
        <v>2566</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2951</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5357</v>
      </c>
      <c r="D246" s="838" t="s">
        <v>1627</v>
      </c>
      <c r="E246" s="838"/>
      <c r="H246" s="838"/>
      <c r="I246" s="838" t="s">
        <v>2414</v>
      </c>
      <c r="J246" s="838"/>
      <c r="L246" s="838"/>
      <c r="M246" s="838"/>
      <c r="N246" s="838" t="s">
        <v>3224</v>
      </c>
      <c r="O246" s="838"/>
      <c r="P246" s="840" t="s">
        <v>7162</v>
      </c>
      <c r="Q246" s="838"/>
      <c r="R246" s="838" t="s">
        <v>5357</v>
      </c>
      <c r="S246" s="838"/>
      <c r="T246" s="838"/>
      <c r="U246" s="724" t="s">
        <v>3032</v>
      </c>
      <c r="V246" s="838" t="s">
        <v>3759</v>
      </c>
      <c r="W246" s="838"/>
      <c r="X246" s="838"/>
      <c r="Y246" s="838"/>
      <c r="Z246" s="838"/>
      <c r="AA246" s="838"/>
      <c r="AB246" s="838"/>
      <c r="AC246" s="838"/>
      <c r="AD246" s="838"/>
      <c r="AG246" s="838" t="s">
        <v>2471</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1078</v>
      </c>
      <c r="G248" s="740"/>
      <c r="H248" s="832" t="s">
        <v>2520</v>
      </c>
      <c r="I248" s="838"/>
      <c r="J248" s="832" t="s">
        <v>1078</v>
      </c>
      <c r="K248" s="838"/>
      <c r="L248" s="832" t="s">
        <v>956</v>
      </c>
      <c r="M248" s="832" t="s">
        <v>245</v>
      </c>
      <c r="N248" s="838"/>
      <c r="O248" s="832" t="s">
        <v>3120</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5000</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1308</v>
      </c>
      <c r="E250" s="832" t="s">
        <v>1345</v>
      </c>
      <c r="F250" s="929"/>
      <c r="G250" s="724" t="s">
        <v>3239</v>
      </c>
      <c r="H250" s="724" t="s">
        <v>5464</v>
      </c>
      <c r="I250" s="832"/>
      <c r="J250" s="832" t="s">
        <v>1796</v>
      </c>
      <c r="K250" s="832" t="s">
        <v>737</v>
      </c>
      <c r="L250" s="832" t="s">
        <v>532</v>
      </c>
      <c r="M250" s="832"/>
      <c r="N250" s="832"/>
      <c r="O250" s="832"/>
      <c r="P250" s="833"/>
      <c r="Q250" s="832"/>
      <c r="R250" s="724" t="s">
        <v>813</v>
      </c>
      <c r="S250" s="832" t="s">
        <v>1343</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5456</v>
      </c>
      <c r="D252" s="832" t="s">
        <v>1415</v>
      </c>
      <c r="E252" s="832" t="s">
        <v>2594</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4248</v>
      </c>
      <c r="F253" s="942" t="s">
        <v>7173</v>
      </c>
      <c r="G253" s="740"/>
      <c r="H253" s="832" t="s">
        <v>3064</v>
      </c>
      <c r="I253" s="832" t="str">
        <f>HYPERLINK("https://youtu.be/yGR2akJEjQQ","19.18")</f>
        <v>19.18</v>
      </c>
      <c r="J253" s="832"/>
      <c r="K253" s="832"/>
      <c r="L253" s="832"/>
      <c r="M253" s="832"/>
      <c r="N253" s="832"/>
      <c r="O253" s="832"/>
      <c r="P253" s="833"/>
      <c r="Q253" s="832"/>
      <c r="R253" s="724" t="s">
        <v>5439</v>
      </c>
      <c r="S253" s="832"/>
      <c r="T253" s="832" t="s">
        <v>2418</v>
      </c>
      <c r="U253" s="832"/>
      <c r="V253" s="832"/>
      <c r="W253" s="832" t="s">
        <v>3030</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4091</v>
      </c>
      <c r="D254" s="832"/>
      <c r="E254" s="832" t="s">
        <v>921</v>
      </c>
      <c r="F254" s="723"/>
      <c r="G254" s="740"/>
      <c r="H254" s="832" t="s">
        <v>4091</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1611</v>
      </c>
      <c r="E255" s="724" t="s">
        <v>406</v>
      </c>
      <c r="F255" s="754" t="s">
        <v>1781</v>
      </c>
      <c r="G255" s="724" t="s">
        <v>1248</v>
      </c>
      <c r="H255" s="724" t="s">
        <v>1042</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5029</v>
      </c>
      <c r="D256" s="838"/>
      <c r="E256" s="838"/>
      <c r="F256" s="749" t="s">
        <v>2003</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1612</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1470</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1321</v>
      </c>
      <c r="H261" s="724" t="s">
        <v>799</v>
      </c>
      <c r="I261" s="740"/>
      <c r="J261" s="724" t="s">
        <v>355</v>
      </c>
      <c r="K261" s="740"/>
      <c r="L261" s="740" t="s">
        <v>3426</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1615</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1759</v>
      </c>
      <c r="D264" s="838" t="s">
        <v>3974</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3938</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1539</v>
      </c>
      <c r="F268" s="749" t="s">
        <v>2890</v>
      </c>
      <c r="G268" s="740"/>
      <c r="H268" s="832" t="s">
        <v>2005</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802</v>
      </c>
      <c r="F270" s="749" t="s">
        <v>1399</v>
      </c>
      <c r="G270" s="740"/>
      <c r="H270" s="833" t="s">
        <v>5514</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2567</v>
      </c>
      <c r="D271" s="832" t="s">
        <v>849</v>
      </c>
      <c r="E271" s="832" t="s">
        <v>7200</v>
      </c>
      <c r="F271" s="749" t="s">
        <v>2567</v>
      </c>
      <c r="G271" s="724" t="s">
        <v>2737</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4333</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1087</v>
      </c>
      <c r="S273" s="838"/>
      <c r="T273" s="838"/>
      <c r="U273" s="879" t="s">
        <v>3911</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2734</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5004</v>
      </c>
      <c r="D275" s="838" t="s">
        <v>3426</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3640</v>
      </c>
      <c r="D276" s="832" t="s">
        <v>245</v>
      </c>
      <c r="E276" s="832" t="s">
        <v>3640</v>
      </c>
      <c r="F276" s="754" t="s">
        <v>2523</v>
      </c>
      <c r="G276" s="724" t="s">
        <v>1326</v>
      </c>
      <c r="H276" s="832" t="s">
        <v>1541</v>
      </c>
      <c r="I276" s="832" t="s">
        <v>2189</v>
      </c>
      <c r="J276" s="832" t="s">
        <v>2147</v>
      </c>
      <c r="K276" s="832" t="s">
        <v>5245</v>
      </c>
      <c r="L276" s="832" t="s">
        <v>915</v>
      </c>
      <c r="M276" s="832" t="s">
        <v>280</v>
      </c>
      <c r="N276" s="832" t="s">
        <v>5792</v>
      </c>
      <c r="O276" s="832" t="s">
        <v>718</v>
      </c>
      <c r="P276" s="833" t="s">
        <v>427</v>
      </c>
      <c r="Q276" s="832" t="s">
        <v>4081</v>
      </c>
      <c r="R276" s="832"/>
      <c r="S276" s="832"/>
      <c r="T276" s="832"/>
      <c r="U276" s="972" t="s">
        <v>1573</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1577</v>
      </c>
      <c r="N277" s="832"/>
      <c r="O277" s="832"/>
      <c r="P277" s="833"/>
      <c r="Q277" s="832"/>
      <c r="R277" s="832"/>
      <c r="S277" s="832" t="s">
        <v>3984</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3969</v>
      </c>
      <c r="D278" s="832" t="s">
        <v>5174</v>
      </c>
      <c r="E278" s="832" t="s">
        <v>3427</v>
      </c>
      <c r="F278" s="766" t="s">
        <v>7220</v>
      </c>
      <c r="G278" s="724" t="s">
        <v>7221</v>
      </c>
      <c r="H278" s="832"/>
      <c r="I278" s="832" t="str">
        <f>HYPERLINK(" https://youtu.be/dsDcBzsPA5s","45.74")</f>
        <v>45.74</v>
      </c>
      <c r="J278" s="832" t="s">
        <v>3969</v>
      </c>
      <c r="K278" s="832" t="s">
        <v>7222</v>
      </c>
      <c r="L278" s="832" t="s">
        <v>3864</v>
      </c>
      <c r="M278" s="832" t="s">
        <v>1701</v>
      </c>
      <c r="N278" s="832" t="s">
        <v>2006</v>
      </c>
      <c r="O278" s="832" t="s">
        <v>4033</v>
      </c>
      <c r="P278" s="833" t="s">
        <v>3550</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4631</v>
      </c>
      <c r="E279" s="832" t="s">
        <v>412</v>
      </c>
      <c r="F279" s="973" t="s">
        <v>2070</v>
      </c>
      <c r="G279" s="724" t="s">
        <v>190</v>
      </c>
      <c r="H279" s="832" t="s">
        <v>2050</v>
      </c>
      <c r="I279" s="832" t="str">
        <f>HYPERLINK("https://youtu.be/9O9oqhlyCxY","45.20")</f>
        <v>45.20</v>
      </c>
      <c r="J279" s="832" t="s">
        <v>7227</v>
      </c>
      <c r="K279" s="724" t="s">
        <v>3663</v>
      </c>
      <c r="L279" s="832" t="s">
        <v>323</v>
      </c>
      <c r="M279" s="832" t="s">
        <v>1400</v>
      </c>
      <c r="N279" s="832" t="s">
        <v>7191</v>
      </c>
      <c r="O279" s="832" t="s">
        <v>1046</v>
      </c>
      <c r="P279" s="833"/>
      <c r="Q279" s="832" t="s">
        <v>1862</v>
      </c>
      <c r="R279" s="832"/>
      <c r="S279" s="832" t="s">
        <v>430</v>
      </c>
      <c r="T279" s="832" t="s">
        <v>521</v>
      </c>
      <c r="U279" s="832"/>
      <c r="V279" s="832"/>
      <c r="W279" s="832" t="s">
        <v>619</v>
      </c>
      <c r="X279" s="832"/>
      <c r="Y279" s="832"/>
      <c r="Z279" s="832"/>
      <c r="AA279" s="832" t="s">
        <v>4384</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1618</v>
      </c>
      <c r="E280" s="976" t="s">
        <v>413</v>
      </c>
      <c r="F280" s="735" t="s">
        <v>2568</v>
      </c>
      <c r="G280" s="724" t="s">
        <v>1327</v>
      </c>
      <c r="H280" s="976" t="s">
        <v>4541</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1619</v>
      </c>
      <c r="E281" s="976" t="s">
        <v>414</v>
      </c>
      <c r="F281" s="735" t="s">
        <v>1584</v>
      </c>
      <c r="G281" s="740"/>
      <c r="H281" s="976" t="s">
        <v>7229</v>
      </c>
      <c r="I281" s="976"/>
      <c r="J281" s="976"/>
      <c r="K281" s="976"/>
      <c r="L281" s="976" t="s">
        <v>961</v>
      </c>
      <c r="M281" s="976" t="s">
        <v>192</v>
      </c>
      <c r="N281" s="976"/>
      <c r="O281" s="976" t="s">
        <v>1048</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5779</v>
      </c>
      <c r="D282" s="832" t="s">
        <v>5748</v>
      </c>
      <c r="E282" s="832" t="s">
        <v>2946</v>
      </c>
      <c r="F282" s="749" t="s">
        <v>434</v>
      </c>
      <c r="G282" s="724" t="s">
        <v>5716</v>
      </c>
      <c r="H282" s="832" t="s">
        <v>5779</v>
      </c>
      <c r="I282" s="832"/>
      <c r="J282" s="832" t="s">
        <v>5234</v>
      </c>
      <c r="K282" s="832"/>
      <c r="L282" s="832" t="s">
        <v>7230</v>
      </c>
      <c r="M282" s="832"/>
      <c r="N282" s="832"/>
      <c r="O282" s="832" t="s">
        <v>5779</v>
      </c>
      <c r="P282" s="833"/>
      <c r="Q282" s="832"/>
      <c r="R282" s="724" t="s">
        <v>7231</v>
      </c>
      <c r="S282" s="832"/>
      <c r="T282" s="832" t="s">
        <v>5779</v>
      </c>
      <c r="U282" s="832"/>
      <c r="V282" s="832"/>
      <c r="W282" s="832" t="s">
        <v>3602</v>
      </c>
      <c r="X282" s="832" t="s">
        <v>3589</v>
      </c>
      <c r="Y282" s="832" t="s">
        <v>7232</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1483</v>
      </c>
      <c r="E283" s="832" t="s">
        <v>4414</v>
      </c>
      <c r="F283" s="754" t="s">
        <v>2093</v>
      </c>
      <c r="G283" s="724" t="s">
        <v>1329</v>
      </c>
      <c r="H283" s="832" t="s">
        <v>7234</v>
      </c>
      <c r="I283" s="832" t="s">
        <v>1483</v>
      </c>
      <c r="J283" s="832" t="s">
        <v>3829</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3240</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1620</v>
      </c>
      <c r="E286" s="832" t="s">
        <v>2749</v>
      </c>
      <c r="F286" s="749" t="s">
        <v>4091</v>
      </c>
      <c r="G286" s="740"/>
      <c r="H286" s="833" t="s">
        <v>1368</v>
      </c>
      <c r="I286" s="832"/>
      <c r="J286" s="832"/>
      <c r="K286" s="832"/>
      <c r="L286" s="832"/>
      <c r="M286" s="832"/>
      <c r="N286" s="832"/>
      <c r="O286" s="832"/>
      <c r="P286" s="833" t="s">
        <v>5237</v>
      </c>
      <c r="Q286" s="832" t="s">
        <v>2627</v>
      </c>
      <c r="R286" s="832" t="s">
        <v>1620</v>
      </c>
      <c r="S286" s="832"/>
      <c r="T286" s="832" t="s">
        <v>4496</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2569</v>
      </c>
      <c r="G287" s="724" t="s">
        <v>3817</v>
      </c>
      <c r="H287" s="833" t="s">
        <v>138</v>
      </c>
      <c r="I287" s="832"/>
      <c r="J287" s="832" t="s">
        <v>1620</v>
      </c>
      <c r="K287" s="832"/>
      <c r="L287" s="832"/>
      <c r="M287" s="832" t="s">
        <v>1186</v>
      </c>
      <c r="N287" s="832"/>
      <c r="O287" s="832" t="s">
        <v>3817</v>
      </c>
      <c r="P287" s="833" t="s">
        <v>1545</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1330</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1621</v>
      </c>
      <c r="E291" s="838"/>
      <c r="F291" s="969"/>
      <c r="G291" s="724" t="s">
        <v>1644</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4826</v>
      </c>
      <c r="D292" s="838"/>
      <c r="E292" s="838"/>
      <c r="F292" s="723"/>
      <c r="G292" s="724" t="s">
        <v>1332</v>
      </c>
      <c r="H292" s="838"/>
      <c r="I292" s="838"/>
      <c r="J292" s="838"/>
      <c r="K292" s="838"/>
      <c r="L292" s="838"/>
      <c r="M292" s="838"/>
      <c r="N292" s="838"/>
      <c r="O292" s="838"/>
      <c r="P292" s="840"/>
      <c r="Q292" s="838"/>
      <c r="R292" s="838"/>
      <c r="S292" s="724" t="s">
        <v>2629</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1333</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4843</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3669</v>
      </c>
      <c r="L297" s="740" t="s">
        <v>972</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2597</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5483</v>
      </c>
      <c r="D299" s="832" t="s">
        <v>1017</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3580</v>
      </c>
      <c r="F300" s="802" t="s">
        <v>684</v>
      </c>
      <c r="G300" s="724" t="s">
        <v>2802</v>
      </c>
      <c r="H300" s="874" t="s">
        <v>4676</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2571</v>
      </c>
      <c r="D301" s="953" t="s">
        <v>1800</v>
      </c>
      <c r="E301" s="832" t="s">
        <v>2571</v>
      </c>
      <c r="F301" s="723"/>
      <c r="G301" s="740"/>
      <c r="H301" s="832"/>
      <c r="I301" s="832"/>
      <c r="J301" s="832"/>
      <c r="K301" s="832" t="s">
        <v>2338</v>
      </c>
      <c r="L301" s="832"/>
      <c r="M301" s="832"/>
      <c r="N301" s="832"/>
      <c r="O301" s="832"/>
      <c r="P301" s="833" t="s">
        <v>7269</v>
      </c>
      <c r="Q301" s="832"/>
      <c r="R301" s="832"/>
      <c r="S301" s="832" t="s">
        <v>2629</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2571</v>
      </c>
      <c r="G302" s="724" t="s">
        <v>1341</v>
      </c>
      <c r="H302" s="724" t="s">
        <v>2080</v>
      </c>
      <c r="I302" s="740"/>
      <c r="J302" s="740"/>
      <c r="K302" s="740"/>
      <c r="L302" s="724" t="s">
        <v>973</v>
      </c>
      <c r="M302" s="740" t="s">
        <v>818</v>
      </c>
      <c r="N302" s="740"/>
      <c r="O302" s="724" t="s">
        <v>7208</v>
      </c>
      <c r="P302" s="833" t="s">
        <v>1447</v>
      </c>
      <c r="Q302" s="740"/>
      <c r="R302" s="740"/>
      <c r="S302" s="740"/>
      <c r="T302" s="740" t="s">
        <v>1610</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2603</v>
      </c>
      <c r="D306" s="879"/>
      <c r="E306" s="879"/>
      <c r="F306" s="793"/>
      <c r="G306" s="740"/>
      <c r="H306" s="879"/>
      <c r="I306" s="879" t="s">
        <v>2603</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1494</v>
      </c>
      <c r="D307" s="838"/>
      <c r="E307" s="838"/>
      <c r="F307" s="723"/>
      <c r="G307" s="740"/>
      <c r="H307" s="838"/>
      <c r="I307" s="724" t="s">
        <v>1494</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3348</v>
      </c>
      <c r="D309" s="832"/>
      <c r="E309" s="832" t="s">
        <v>3759</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3630</v>
      </c>
      <c r="D311" s="729" t="s">
        <v>3630</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3903</v>
      </c>
      <c r="D312" s="876"/>
      <c r="E312" s="876" t="s">
        <v>4172</v>
      </c>
      <c r="F312" s="793"/>
      <c r="G312" s="740"/>
      <c r="H312" s="876"/>
      <c r="I312" s="724" t="s">
        <v>3903</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3025</v>
      </c>
      <c r="D323" s="724" t="s">
        <v>408</v>
      </c>
      <c r="E323" s="724" t="s">
        <v>5343</v>
      </c>
      <c r="F323" s="749" t="s">
        <v>4687</v>
      </c>
      <c r="G323" s="740"/>
      <c r="H323" s="740" t="s">
        <v>2045</v>
      </c>
      <c r="I323" s="740"/>
      <c r="J323" s="740"/>
      <c r="K323" s="740"/>
      <c r="L323" s="740"/>
      <c r="M323" s="740"/>
      <c r="N323" s="740"/>
      <c r="O323" s="740"/>
      <c r="P323" s="833"/>
      <c r="Q323" s="740"/>
      <c r="R323" s="724" t="s">
        <v>5343</v>
      </c>
      <c r="S323" s="740"/>
      <c r="T323" s="724" t="s">
        <v>3025</v>
      </c>
      <c r="U323" s="740"/>
      <c r="V323" s="740"/>
      <c r="W323" s="740"/>
      <c r="X323" s="740"/>
      <c r="Y323" s="724" t="s">
        <v>2715</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4763</v>
      </c>
      <c r="D325" s="740" t="s">
        <v>5100</v>
      </c>
      <c r="E325" s="724" t="s">
        <v>4467</v>
      </c>
      <c r="F325" s="749" t="s">
        <v>7299</v>
      </c>
      <c r="G325" s="740"/>
      <c r="H325" s="724" t="s">
        <v>4763</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3555</v>
      </c>
      <c r="D326" s="762"/>
      <c r="E326" s="761" t="s">
        <v>1787</v>
      </c>
      <c r="F326" s="802" t="s">
        <v>3555</v>
      </c>
      <c r="G326" s="740"/>
      <c r="H326" s="761" t="s">
        <v>2387</v>
      </c>
      <c r="I326" s="762"/>
      <c r="J326" s="761" t="s">
        <v>1787</v>
      </c>
      <c r="K326" s="762"/>
      <c r="L326" s="761" t="s">
        <v>7301</v>
      </c>
      <c r="M326" s="761" t="s">
        <v>7302</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3880</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5480</v>
      </c>
      <c r="E336" s="838"/>
      <c r="F336" s="802" t="s">
        <v>5464</v>
      </c>
      <c r="G336" s="740"/>
      <c r="H336" s="724" t="s">
        <v>532</v>
      </c>
      <c r="I336" s="838"/>
      <c r="J336" s="724" t="s">
        <v>3919</v>
      </c>
      <c r="K336" s="838"/>
      <c r="L336" s="838"/>
      <c r="M336" s="838"/>
      <c r="N336" s="838"/>
      <c r="O336" s="838"/>
      <c r="P336" s="840"/>
      <c r="Q336" s="838"/>
      <c r="R336" s="838" t="s">
        <v>2556</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4583</v>
      </c>
      <c r="G340" s="740"/>
      <c r="H340" s="724" t="s">
        <v>1390</v>
      </c>
      <c r="I340" s="1006"/>
      <c r="J340" s="724" t="s">
        <v>5748</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4600</v>
      </c>
      <c r="D341" s="740"/>
      <c r="E341" s="724" t="s">
        <v>5840</v>
      </c>
      <c r="F341" s="766" t="s">
        <v>970</v>
      </c>
      <c r="G341" s="740"/>
      <c r="H341" s="740"/>
      <c r="I341" s="740"/>
      <c r="J341" s="740"/>
      <c r="K341" s="740"/>
      <c r="L341" s="740"/>
      <c r="M341" s="740"/>
      <c r="N341" s="740"/>
      <c r="O341" s="740"/>
      <c r="P341" s="833"/>
      <c r="Q341" s="740"/>
      <c r="R341" s="724" t="s">
        <v>1710</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4104</v>
      </c>
      <c r="D4" s="1041" t="s">
        <v>440</v>
      </c>
      <c r="E4" s="1042" t="s">
        <v>1260</v>
      </c>
      <c r="F4" s="1043" t="s">
        <v>4770</v>
      </c>
      <c r="G4" s="1044" t="s">
        <v>2542</v>
      </c>
      <c r="H4" s="1045" t="s">
        <v>2990</v>
      </c>
      <c r="I4" s="1046"/>
      <c r="J4" s="1047" t="s">
        <v>1964</v>
      </c>
      <c r="K4" s="1047" t="s">
        <v>2777</v>
      </c>
      <c r="L4" s="1047" t="s">
        <v>2546</v>
      </c>
      <c r="M4" s="1048" t="s">
        <v>3216</v>
      </c>
      <c r="N4" s="1046"/>
      <c r="O4" s="1049" t="s">
        <v>7387</v>
      </c>
      <c r="P4" s="1050"/>
      <c r="Q4" s="1051" t="s">
        <v>7388</v>
      </c>
      <c r="R4" s="1052" t="s">
        <v>1650</v>
      </c>
      <c r="S4" s="1053" t="s">
        <v>5064</v>
      </c>
      <c r="T4" s="1053" t="s">
        <v>5611</v>
      </c>
      <c r="U4" s="1053"/>
      <c r="V4" s="1051" t="s">
        <v>7389</v>
      </c>
      <c r="W4" s="1050"/>
      <c r="X4" s="1054" t="s">
        <v>2380</v>
      </c>
      <c r="Y4" s="1055" t="s">
        <v>7390</v>
      </c>
      <c r="Z4" s="1055" t="s">
        <v>7391</v>
      </c>
      <c r="AA4" s="1055" t="s">
        <v>5027</v>
      </c>
      <c r="AB4" s="1056" t="s">
        <v>7392</v>
      </c>
      <c r="AC4" s="1055" t="s">
        <v>749</v>
      </c>
      <c r="AD4" s="1057" t="s">
        <v>4248</v>
      </c>
      <c r="AE4" s="1057" t="s">
        <v>2526</v>
      </c>
      <c r="AF4" s="1058"/>
      <c r="AG4" s="1056" t="s">
        <v>7393</v>
      </c>
      <c r="AH4" s="1059"/>
      <c r="AI4" s="1060"/>
      <c r="AJ4" s="1061"/>
      <c r="AK4" s="1062"/>
      <c r="AL4" s="1062"/>
      <c r="AM4" s="1063" t="s">
        <v>1428</v>
      </c>
      <c r="AN4" s="1061"/>
      <c r="AO4" s="1062"/>
      <c r="AP4" s="1063" t="s">
        <v>910</v>
      </c>
      <c r="AQ4" s="1061" t="s">
        <v>7394</v>
      </c>
      <c r="AR4" s="1062"/>
      <c r="AS4" s="1062"/>
      <c r="AT4" s="1062"/>
      <c r="AU4" s="1062"/>
      <c r="AV4" s="1062"/>
      <c r="AW4" s="1064" t="s">
        <v>4705</v>
      </c>
      <c r="AX4" s="1063" t="s">
        <v>7395</v>
      </c>
      <c r="AY4" s="1063" t="s">
        <v>1767</v>
      </c>
      <c r="AZ4" s="1065"/>
      <c r="BA4" s="1066" t="s">
        <v>7396</v>
      </c>
      <c r="BB4" s="1067" t="s">
        <v>7397</v>
      </c>
      <c r="BC4" s="1068" t="s">
        <v>296</v>
      </c>
      <c r="BD4" s="1066" t="s">
        <v>4253</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3381</v>
      </c>
      <c r="BZ4" s="1081" t="s">
        <v>6141</v>
      </c>
      <c r="CA4" s="1051" t="s">
        <v>7408</v>
      </c>
      <c r="CB4" s="1082"/>
      <c r="CC4" s="1083"/>
      <c r="CD4" s="1051" t="s">
        <v>7409</v>
      </c>
      <c r="CE4" s="1084" t="s">
        <v>7410</v>
      </c>
      <c r="CF4" s="1051" t="s">
        <v>1597</v>
      </c>
      <c r="CG4" s="1052" t="s">
        <v>5099</v>
      </c>
      <c r="CH4" s="1085" t="s">
        <v>7411</v>
      </c>
      <c r="CI4" s="1051" t="s">
        <v>1022</v>
      </c>
      <c r="CJ4" s="1051" t="s">
        <v>2217</v>
      </c>
      <c r="CK4" s="1051" t="s">
        <v>3932</v>
      </c>
    </row>
    <row r="5">
      <c r="A5" s="1086" t="s">
        <v>6629</v>
      </c>
      <c r="B5" s="1044" t="s">
        <v>7412</v>
      </c>
      <c r="C5" s="1040" t="s">
        <v>334</v>
      </c>
      <c r="D5" s="1041" t="s">
        <v>335</v>
      </c>
      <c r="E5" s="1042" t="s">
        <v>441</v>
      </c>
      <c r="F5" s="1043" t="s">
        <v>3371</v>
      </c>
      <c r="G5" s="1044" t="s">
        <v>4668</v>
      </c>
      <c r="H5" s="1087"/>
      <c r="I5" s="1088" t="s">
        <v>1262</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4434</v>
      </c>
      <c r="AA5" s="1057" t="s">
        <v>5608</v>
      </c>
      <c r="AB5" s="1097" t="s">
        <v>793</v>
      </c>
      <c r="AC5" s="1097" t="s">
        <v>2974</v>
      </c>
      <c r="AD5" s="1055" t="s">
        <v>1216</v>
      </c>
      <c r="AE5" s="1097" t="s">
        <v>2924</v>
      </c>
      <c r="AF5" s="1058"/>
      <c r="AG5" s="1055" t="s">
        <v>7419</v>
      </c>
      <c r="AH5" s="1059"/>
      <c r="AI5" s="1065"/>
      <c r="AJ5" s="1098"/>
      <c r="AK5" s="1098" t="s">
        <v>4064</v>
      </c>
      <c r="AL5" s="1099"/>
      <c r="AM5" s="1098" t="s">
        <v>4625</v>
      </c>
      <c r="AN5" s="1098"/>
      <c r="AO5" s="1100" t="s">
        <v>2387</v>
      </c>
      <c r="AP5" s="1099"/>
      <c r="AQ5" s="1101" t="s">
        <v>7420</v>
      </c>
      <c r="AR5" s="1098" t="s">
        <v>7421</v>
      </c>
      <c r="AS5" s="1098" t="s">
        <v>7422</v>
      </c>
      <c r="AT5" s="1099"/>
      <c r="AU5" s="1099"/>
      <c r="AV5" s="1099"/>
      <c r="AW5" s="1102" t="s">
        <v>4330</v>
      </c>
      <c r="AX5" s="1103" t="s">
        <v>3753</v>
      </c>
      <c r="AY5" s="1098" t="s">
        <v>7423</v>
      </c>
      <c r="AZ5" s="1065"/>
      <c r="BA5" s="1104"/>
      <c r="BB5" s="1105" t="s">
        <v>7424</v>
      </c>
      <c r="BC5" s="1106" t="s">
        <v>7425</v>
      </c>
      <c r="BD5" s="1104"/>
      <c r="BE5" s="1107" t="s">
        <v>7426</v>
      </c>
      <c r="BF5" s="1065"/>
      <c r="BG5" s="1108" t="s">
        <v>7427</v>
      </c>
      <c r="BH5" s="1109" t="s">
        <v>1875</v>
      </c>
      <c r="BI5" s="1109"/>
      <c r="BJ5" s="1109"/>
      <c r="BK5" s="1110" t="s">
        <v>1983</v>
      </c>
      <c r="BL5" s="1111"/>
      <c r="BM5" s="1109" t="s">
        <v>7428</v>
      </c>
      <c r="BN5" s="1065"/>
      <c r="BO5" s="1112" t="s">
        <v>6471</v>
      </c>
      <c r="BP5" s="1113"/>
      <c r="BQ5" s="1113"/>
      <c r="BR5" s="1114" t="s">
        <v>7429</v>
      </c>
      <c r="BS5" s="1113"/>
      <c r="BT5" s="1115" t="s">
        <v>1619</v>
      </c>
      <c r="BU5" s="1113"/>
      <c r="BV5" s="1116" t="s">
        <v>3852</v>
      </c>
      <c r="BW5" s="1115" t="s">
        <v>6102</v>
      </c>
      <c r="BX5" s="1065"/>
      <c r="BY5" s="1117" t="s">
        <v>2714</v>
      </c>
      <c r="BZ5" s="1118" t="s">
        <v>4199</v>
      </c>
      <c r="CA5" s="1119"/>
      <c r="CB5" s="1119"/>
      <c r="CC5" s="1119"/>
      <c r="CD5" s="1118" t="s">
        <v>1400</v>
      </c>
      <c r="CE5" s="1120" t="s">
        <v>4699</v>
      </c>
      <c r="CF5" s="1118" t="s">
        <v>7430</v>
      </c>
      <c r="CG5" s="1119"/>
      <c r="CH5" s="1119"/>
      <c r="CI5" s="1119"/>
      <c r="CJ5" s="1119"/>
      <c r="CK5" s="1119"/>
    </row>
    <row r="6">
      <c r="A6" s="1121" t="s">
        <v>437</v>
      </c>
      <c r="B6" s="1044" t="s">
        <v>7431</v>
      </c>
      <c r="C6" s="1040" t="s">
        <v>439</v>
      </c>
      <c r="D6" s="1041" t="s">
        <v>1201</v>
      </c>
      <c r="E6" s="1042" t="s">
        <v>441</v>
      </c>
      <c r="F6" s="1043" t="s">
        <v>4042</v>
      </c>
      <c r="G6" s="1044" t="s">
        <v>1503</v>
      </c>
      <c r="H6" s="1089" t="s">
        <v>1609</v>
      </c>
      <c r="I6" s="1122" t="s">
        <v>3112</v>
      </c>
      <c r="J6" s="1090" t="s">
        <v>7432</v>
      </c>
      <c r="K6" s="1123" t="s">
        <v>5917</v>
      </c>
      <c r="L6" s="1089" t="s">
        <v>5460</v>
      </c>
      <c r="M6" s="1087"/>
      <c r="N6" s="1087"/>
      <c r="O6" s="1124" t="s">
        <v>7433</v>
      </c>
      <c r="P6" s="1050"/>
      <c r="Q6" s="1125" t="s">
        <v>5597</v>
      </c>
      <c r="R6" s="1125" t="s">
        <v>2715</v>
      </c>
      <c r="S6" s="1092"/>
      <c r="T6" s="1126" t="s">
        <v>234</v>
      </c>
      <c r="U6" s="1127"/>
      <c r="V6" s="1093" t="s">
        <v>7434</v>
      </c>
      <c r="W6" s="1050"/>
      <c r="X6" s="1057" t="s">
        <v>3265</v>
      </c>
      <c r="Y6" s="1057" t="s">
        <v>7435</v>
      </c>
      <c r="Z6" s="1057" t="s">
        <v>2591</v>
      </c>
      <c r="AA6" s="1128" t="s">
        <v>7436</v>
      </c>
      <c r="AB6" s="1096" t="s">
        <v>1278</v>
      </c>
      <c r="AC6" s="1128" t="s">
        <v>1320</v>
      </c>
      <c r="AD6" s="1055" t="s">
        <v>1216</v>
      </c>
      <c r="AE6" s="1055" t="s">
        <v>6743</v>
      </c>
      <c r="AF6" s="1129"/>
      <c r="AG6" s="1130" t="s">
        <v>7437</v>
      </c>
      <c r="AH6" s="1059"/>
      <c r="AI6" s="1060"/>
      <c r="AJ6" s="1098"/>
      <c r="AK6" s="1098" t="s">
        <v>7438</v>
      </c>
      <c r="AL6" s="1099"/>
      <c r="AM6" s="1131" t="s">
        <v>2775</v>
      </c>
      <c r="AN6" s="1132" t="s">
        <v>3536</v>
      </c>
      <c r="AO6" s="1098" t="s">
        <v>7439</v>
      </c>
      <c r="AP6" s="1131" t="s">
        <v>2465</v>
      </c>
      <c r="AQ6" s="1133" t="s">
        <v>7440</v>
      </c>
      <c r="AR6" s="1098" t="s">
        <v>7441</v>
      </c>
      <c r="AS6" s="1099"/>
      <c r="AT6" s="1100" t="s">
        <v>4876</v>
      </c>
      <c r="AU6" s="1099"/>
      <c r="AV6" s="1099"/>
      <c r="AW6" s="1103" t="s">
        <v>5029</v>
      </c>
      <c r="AX6" s="1103" t="s">
        <v>1305</v>
      </c>
      <c r="AY6" s="1099"/>
      <c r="AZ6" s="1065"/>
      <c r="BA6" s="1134"/>
      <c r="BB6" s="1106" t="s">
        <v>7442</v>
      </c>
      <c r="BC6" s="1107" t="s">
        <v>6132</v>
      </c>
      <c r="BD6" s="1134"/>
      <c r="BE6" s="1135" t="s">
        <v>7443</v>
      </c>
      <c r="BF6" s="1065"/>
      <c r="BG6" s="1108" t="s">
        <v>3227</v>
      </c>
      <c r="BH6" s="1108" t="s">
        <v>1307</v>
      </c>
      <c r="BI6" s="1136" t="s">
        <v>5825</v>
      </c>
      <c r="BJ6" s="1137"/>
      <c r="BK6" s="1108" t="s">
        <v>7444</v>
      </c>
      <c r="BL6" s="1111"/>
      <c r="BM6" s="1109" t="s">
        <v>7445</v>
      </c>
      <c r="BN6" s="1050"/>
      <c r="BO6" s="1115" t="s">
        <v>7446</v>
      </c>
      <c r="BP6" s="1114"/>
      <c r="BQ6" s="1138" t="s">
        <v>1770</v>
      </c>
      <c r="BR6" s="1114" t="s">
        <v>7447</v>
      </c>
      <c r="BS6" s="1113"/>
      <c r="BT6" s="1138" t="s">
        <v>2042</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7448</v>
      </c>
      <c r="B7" s="1142" t="s">
        <v>7449</v>
      </c>
      <c r="C7" s="1040" t="s">
        <v>335</v>
      </c>
      <c r="D7" s="1041" t="s">
        <v>441</v>
      </c>
      <c r="E7" s="1042" t="s">
        <v>4219</v>
      </c>
      <c r="F7" s="1043" t="s">
        <v>3432</v>
      </c>
      <c r="G7" s="1044" t="s">
        <v>3929</v>
      </c>
      <c r="H7" s="1143" t="s">
        <v>7185</v>
      </c>
      <c r="I7" s="1089" t="s">
        <v>7450</v>
      </c>
      <c r="J7" s="1089" t="s">
        <v>3717</v>
      </c>
      <c r="K7" s="1089" t="s">
        <v>7451</v>
      </c>
      <c r="L7" s="1144" t="s">
        <v>1964</v>
      </c>
      <c r="M7" s="1122" t="s">
        <v>7452</v>
      </c>
      <c r="N7" s="1089" t="s">
        <v>7453</v>
      </c>
      <c r="O7" s="1089" t="s">
        <v>7454</v>
      </c>
      <c r="P7" s="1050"/>
      <c r="Q7" s="1095" t="s">
        <v>7455</v>
      </c>
      <c r="R7" s="1095" t="s">
        <v>2080</v>
      </c>
      <c r="S7" s="1093" t="s">
        <v>728</v>
      </c>
      <c r="T7" s="1095" t="s">
        <v>5176</v>
      </c>
      <c r="U7" s="1125" t="s">
        <v>7456</v>
      </c>
      <c r="V7" s="1093" t="s">
        <v>7457</v>
      </c>
      <c r="W7" s="1050"/>
      <c r="X7" s="1097" t="s">
        <v>834</v>
      </c>
      <c r="Y7" s="1056" t="s">
        <v>7458</v>
      </c>
      <c r="Z7" s="1057" t="s">
        <v>7459</v>
      </c>
      <c r="AA7" s="1057" t="s">
        <v>7460</v>
      </c>
      <c r="AB7" s="1145" t="s">
        <v>4373</v>
      </c>
      <c r="AC7" s="1057" t="s">
        <v>5891</v>
      </c>
      <c r="AD7" s="1057" t="s">
        <v>131</v>
      </c>
      <c r="AE7" s="1057" t="s">
        <v>7461</v>
      </c>
      <c r="AF7" s="1058"/>
      <c r="AG7" s="1130" t="s">
        <v>7462</v>
      </c>
      <c r="AH7" s="1146" t="s">
        <v>7463</v>
      </c>
      <c r="AI7" s="1050"/>
      <c r="AJ7" s="1147"/>
      <c r="AK7" s="1132" t="s">
        <v>102</v>
      </c>
      <c r="AL7" s="1133" t="s">
        <v>7464</v>
      </c>
      <c r="AM7" s="1103" t="s">
        <v>2232</v>
      </c>
      <c r="AN7" s="1098" t="s">
        <v>4614</v>
      </c>
      <c r="AO7" s="1098" t="s">
        <v>7465</v>
      </c>
      <c r="AP7" s="1103" t="s">
        <v>7466</v>
      </c>
      <c r="AQ7" s="1098" t="s">
        <v>7467</v>
      </c>
      <c r="AR7" s="1103" t="s">
        <v>7468</v>
      </c>
      <c r="AS7" s="1103" t="s">
        <v>2764</v>
      </c>
      <c r="AT7" s="1132" t="s">
        <v>7469</v>
      </c>
      <c r="AU7" s="1100" t="s">
        <v>7470</v>
      </c>
      <c r="AV7" s="1133" t="s">
        <v>7471</v>
      </c>
      <c r="AW7" s="1103" t="s">
        <v>2548</v>
      </c>
      <c r="AX7" s="1132" t="s">
        <v>5299</v>
      </c>
      <c r="AY7" s="1132" t="s">
        <v>7472</v>
      </c>
      <c r="AZ7" s="1065"/>
      <c r="BA7" s="1107" t="s">
        <v>7473</v>
      </c>
      <c r="BB7" s="1148" t="s">
        <v>7474</v>
      </c>
      <c r="BC7" s="1149" t="s">
        <v>3278</v>
      </c>
      <c r="BD7" s="1150"/>
      <c r="BE7" s="1106" t="s">
        <v>7475</v>
      </c>
      <c r="BF7" s="1065"/>
      <c r="BG7" s="1151" t="s">
        <v>7476</v>
      </c>
      <c r="BH7" s="1152" t="s">
        <v>3548</v>
      </c>
      <c r="BI7" s="1108" t="s">
        <v>612</v>
      </c>
      <c r="BJ7" s="1109" t="s">
        <v>7477</v>
      </c>
      <c r="BK7" s="1108" t="s">
        <v>7478</v>
      </c>
      <c r="BL7" s="1108" t="s">
        <v>7479</v>
      </c>
      <c r="BM7" s="1108" t="s">
        <v>7480</v>
      </c>
      <c r="BN7" s="1050"/>
      <c r="BO7" s="1115" t="s">
        <v>2465</v>
      </c>
      <c r="BP7" s="1116" t="s">
        <v>5780</v>
      </c>
      <c r="BQ7" s="1115" t="s">
        <v>3589</v>
      </c>
      <c r="BR7" s="1115" t="s">
        <v>3914</v>
      </c>
      <c r="BS7" s="1115" t="s">
        <v>817</v>
      </c>
      <c r="BT7" s="1115" t="s">
        <v>1373</v>
      </c>
      <c r="BU7" s="1138" t="s">
        <v>3914</v>
      </c>
      <c r="BV7" s="1153" t="s">
        <v>7481</v>
      </c>
      <c r="BW7" s="1115" t="s">
        <v>7482</v>
      </c>
      <c r="BX7" s="1050"/>
      <c r="BY7" s="1139" t="s">
        <v>7483</v>
      </c>
      <c r="BZ7" s="1154" t="s">
        <v>6366</v>
      </c>
      <c r="CA7" s="1154" t="s">
        <v>2348</v>
      </c>
      <c r="CB7" s="1155" t="s">
        <v>3487</v>
      </c>
      <c r="CC7" s="1156"/>
      <c r="CD7" s="1157"/>
      <c r="CE7" s="1139" t="s">
        <v>2723</v>
      </c>
      <c r="CF7" s="1139" t="s">
        <v>7140</v>
      </c>
      <c r="CG7" s="1139" t="s">
        <v>7484</v>
      </c>
      <c r="CH7" s="1139" t="s">
        <v>2247</v>
      </c>
      <c r="CI7" s="1139" t="s">
        <v>7485</v>
      </c>
      <c r="CJ7" s="1154" t="s">
        <v>2750</v>
      </c>
      <c r="CK7" s="1155"/>
    </row>
    <row r="8">
      <c r="A8" s="1158" t="s">
        <v>1556</v>
      </c>
      <c r="B8" s="1044" t="s">
        <v>7486</v>
      </c>
      <c r="C8" s="1040" t="s">
        <v>334</v>
      </c>
      <c r="D8" s="1041" t="s">
        <v>648</v>
      </c>
      <c r="E8" s="1042" t="s">
        <v>441</v>
      </c>
      <c r="F8" s="1043" t="s">
        <v>2931</v>
      </c>
      <c r="G8" s="1044" t="s">
        <v>5859</v>
      </c>
      <c r="H8" s="1089" t="s">
        <v>1297</v>
      </c>
      <c r="I8" s="1159" t="s">
        <v>7487</v>
      </c>
      <c r="J8" s="1087"/>
      <c r="K8" s="1088" t="s">
        <v>7488</v>
      </c>
      <c r="L8" s="1159" t="s">
        <v>7489</v>
      </c>
      <c r="M8" s="1087"/>
      <c r="N8" s="1124" t="s">
        <v>7490</v>
      </c>
      <c r="O8" s="1087"/>
      <c r="P8" s="1050"/>
      <c r="Q8" s="1091" t="s">
        <v>4153</v>
      </c>
      <c r="R8" s="1126" t="s">
        <v>3174</v>
      </c>
      <c r="S8" s="1127" t="s">
        <v>5900</v>
      </c>
      <c r="T8" s="1160" t="s">
        <v>5383</v>
      </c>
      <c r="U8" s="1160" t="s">
        <v>7491</v>
      </c>
      <c r="V8" s="1125" t="s">
        <v>7492</v>
      </c>
      <c r="W8" s="1050"/>
      <c r="X8" s="1128" t="s">
        <v>914</v>
      </c>
      <c r="Y8" s="1128" t="s">
        <v>7493</v>
      </c>
      <c r="Z8" s="1057" t="s">
        <v>6881</v>
      </c>
      <c r="AA8" s="1145" t="s">
        <v>7494</v>
      </c>
      <c r="AB8" s="1096" t="s">
        <v>4951</v>
      </c>
      <c r="AC8" s="1096" t="s">
        <v>5125</v>
      </c>
      <c r="AD8" s="1128" t="s">
        <v>4956</v>
      </c>
      <c r="AE8" s="1096" t="s">
        <v>6705</v>
      </c>
      <c r="AF8" s="1096"/>
      <c r="AG8" s="1161"/>
      <c r="AH8" s="1162" t="s">
        <v>7495</v>
      </c>
      <c r="AI8" s="1050"/>
      <c r="AJ8" s="1098"/>
      <c r="AK8" s="1098" t="s">
        <v>7496</v>
      </c>
      <c r="AL8" s="1098" t="s">
        <v>5503</v>
      </c>
      <c r="AM8" s="1098" t="s">
        <v>563</v>
      </c>
      <c r="AN8" s="1103" t="s">
        <v>7497</v>
      </c>
      <c r="AO8" s="1099"/>
      <c r="AP8" s="1103" t="s">
        <v>7498</v>
      </c>
      <c r="AQ8" s="1163" t="s">
        <v>5059</v>
      </c>
      <c r="AR8" s="1098" t="s">
        <v>7499</v>
      </c>
      <c r="AS8" s="1132" t="s">
        <v>7500</v>
      </c>
      <c r="AT8" s="1099"/>
      <c r="AU8" s="1098" t="s">
        <v>7501</v>
      </c>
      <c r="AV8" s="1099"/>
      <c r="AW8" s="1098" t="s">
        <v>475</v>
      </c>
      <c r="AX8" s="1103" t="s">
        <v>7502</v>
      </c>
      <c r="AY8" s="1103" t="s">
        <v>7503</v>
      </c>
      <c r="AZ8" s="1065"/>
      <c r="BA8" s="1105" t="s">
        <v>7504</v>
      </c>
      <c r="BB8" s="1106" t="s">
        <v>7505</v>
      </c>
      <c r="BC8" s="1164" t="s">
        <v>3547</v>
      </c>
      <c r="BD8" s="1134"/>
      <c r="BE8" s="1135" t="s">
        <v>7506</v>
      </c>
      <c r="BF8" s="1065"/>
      <c r="BG8" s="1108" t="s">
        <v>3227</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2645</v>
      </c>
      <c r="CA8" s="1119"/>
      <c r="CB8" s="1168" t="s">
        <v>2404</v>
      </c>
      <c r="CC8" s="1118"/>
      <c r="CD8" s="1118" t="s">
        <v>2948</v>
      </c>
      <c r="CE8" s="1154" t="s">
        <v>7517</v>
      </c>
      <c r="CF8" s="1155" t="s">
        <v>7249</v>
      </c>
      <c r="CG8" s="1155" t="s">
        <v>5700</v>
      </c>
      <c r="CH8" s="1169" t="s">
        <v>7518</v>
      </c>
      <c r="CI8" s="1155" t="s">
        <v>3637</v>
      </c>
      <c r="CJ8" s="1155" t="s">
        <v>5037</v>
      </c>
      <c r="CK8" s="1140"/>
    </row>
    <row r="9">
      <c r="A9" s="1170" t="s">
        <v>828</v>
      </c>
      <c r="B9" s="1044" t="s">
        <v>7519</v>
      </c>
      <c r="C9" s="1040" t="s">
        <v>648</v>
      </c>
      <c r="D9" s="1041" t="s">
        <v>986</v>
      </c>
      <c r="E9" s="1042" t="s">
        <v>441</v>
      </c>
      <c r="F9" s="1043" t="s">
        <v>6214</v>
      </c>
      <c r="G9" s="1044" t="s">
        <v>2988</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5678</v>
      </c>
      <c r="AN9" s="1099"/>
      <c r="AO9" s="1132" t="s">
        <v>1997</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4049</v>
      </c>
      <c r="BW9" s="1114" t="s">
        <v>7540</v>
      </c>
      <c r="BX9" s="1050"/>
      <c r="BY9" s="1118" t="s">
        <v>967</v>
      </c>
      <c r="BZ9" s="1169" t="s">
        <v>7541</v>
      </c>
      <c r="CA9" s="1119"/>
      <c r="CB9" s="1140"/>
      <c r="CC9" s="1119"/>
      <c r="CD9" s="1119"/>
      <c r="CE9" s="1119"/>
      <c r="CF9" s="1119"/>
      <c r="CG9" s="1119"/>
      <c r="CH9" s="1119"/>
      <c r="CI9" s="1119"/>
      <c r="CJ9" s="1140"/>
      <c r="CK9" s="1140"/>
    </row>
    <row r="10">
      <c r="A10" s="1121" t="s">
        <v>1417</v>
      </c>
      <c r="B10" s="1044" t="s">
        <v>7542</v>
      </c>
      <c r="C10" s="1040" t="s">
        <v>1260</v>
      </c>
      <c r="D10" s="1041" t="s">
        <v>441</v>
      </c>
      <c r="E10" s="1042" t="s">
        <v>440</v>
      </c>
      <c r="F10" s="1043" t="s">
        <v>221</v>
      </c>
      <c r="G10" s="1044" t="s">
        <v>1726</v>
      </c>
      <c r="H10" s="1087"/>
      <c r="I10" s="1089" t="s">
        <v>7543</v>
      </c>
      <c r="J10" s="1123"/>
      <c r="K10" s="1124" t="s">
        <v>7544</v>
      </c>
      <c r="L10" s="1143" t="s">
        <v>3125</v>
      </c>
      <c r="M10" s="1087"/>
      <c r="N10" s="1087"/>
      <c r="O10" s="1159" t="s">
        <v>7545</v>
      </c>
      <c r="P10" s="1050"/>
      <c r="Q10" s="1095" t="s">
        <v>6960</v>
      </c>
      <c r="R10" s="1092"/>
      <c r="S10" s="1092"/>
      <c r="T10" s="1175" t="s">
        <v>5866</v>
      </c>
      <c r="U10" s="1091"/>
      <c r="V10" s="1160" t="s">
        <v>7546</v>
      </c>
      <c r="W10" s="1050"/>
      <c r="X10" s="1057" t="s">
        <v>592</v>
      </c>
      <c r="Y10" s="1176" t="s">
        <v>6876</v>
      </c>
      <c r="Z10" s="1128" t="s">
        <v>7547</v>
      </c>
      <c r="AA10" s="1128" t="s">
        <v>5494</v>
      </c>
      <c r="AB10" s="1057" t="s">
        <v>2352</v>
      </c>
      <c r="AC10" s="1128" t="s">
        <v>7548</v>
      </c>
      <c r="AD10" s="1177" t="s">
        <v>2418</v>
      </c>
      <c r="AE10" s="1057" t="s">
        <v>1093</v>
      </c>
      <c r="AF10" s="1129"/>
      <c r="AG10" s="1097" t="s">
        <v>7549</v>
      </c>
      <c r="AH10" s="1178" t="s">
        <v>7550</v>
      </c>
      <c r="AI10" s="1060"/>
      <c r="AJ10" s="1099"/>
      <c r="AK10" s="1131" t="s">
        <v>7551</v>
      </c>
      <c r="AL10" s="1132" t="s">
        <v>6015</v>
      </c>
      <c r="AM10" s="1103" t="s">
        <v>659</v>
      </c>
      <c r="AN10" s="1179"/>
      <c r="AO10" s="1103" t="s">
        <v>5853</v>
      </c>
      <c r="AP10" s="1131" t="s">
        <v>7552</v>
      </c>
      <c r="AQ10" s="1180" t="s">
        <v>5878</v>
      </c>
      <c r="AR10" s="1099"/>
      <c r="AS10" s="1099"/>
      <c r="AT10" s="1099"/>
      <c r="AU10" s="1099"/>
      <c r="AV10" s="1131" t="s">
        <v>7553</v>
      </c>
      <c r="AW10" s="1131" t="s">
        <v>963</v>
      </c>
      <c r="AX10" s="1163" t="s">
        <v>7554</v>
      </c>
      <c r="AY10" s="1163" t="s">
        <v>7555</v>
      </c>
      <c r="AZ10" s="1065"/>
      <c r="BA10" s="1173"/>
      <c r="BB10" s="1181" t="s">
        <v>7556</v>
      </c>
      <c r="BC10" s="1106" t="s">
        <v>5274</v>
      </c>
      <c r="BD10" s="1134"/>
      <c r="BE10" s="1106" t="s">
        <v>7557</v>
      </c>
      <c r="BF10" s="1065"/>
      <c r="BG10" s="1108" t="s">
        <v>7558</v>
      </c>
      <c r="BH10" s="1182" t="s">
        <v>4725</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725</v>
      </c>
      <c r="CA10" s="1119"/>
      <c r="CB10" s="1140"/>
      <c r="CC10" s="1119"/>
      <c r="CD10" s="1155" t="s">
        <v>4318</v>
      </c>
      <c r="CE10" s="1119"/>
      <c r="CF10" s="1154" t="s">
        <v>7564</v>
      </c>
      <c r="CG10" s="1168" t="s">
        <v>2634</v>
      </c>
      <c r="CH10" s="1119"/>
      <c r="CI10" s="1119"/>
      <c r="CJ10" s="1140"/>
      <c r="CK10" s="1140"/>
    </row>
    <row r="11">
      <c r="A11" s="1121" t="s">
        <v>332</v>
      </c>
      <c r="B11" s="1044" t="s">
        <v>7565</v>
      </c>
      <c r="C11" s="1040" t="s">
        <v>441</v>
      </c>
      <c r="D11" s="1041" t="s">
        <v>335</v>
      </c>
      <c r="E11" s="1042" t="s">
        <v>1201</v>
      </c>
      <c r="F11" s="1043" t="s">
        <v>3961</v>
      </c>
      <c r="G11" s="1044" t="s">
        <v>1503</v>
      </c>
      <c r="H11" s="1185" t="s">
        <v>2895</v>
      </c>
      <c r="I11" s="1124" t="s">
        <v>7566</v>
      </c>
      <c r="J11" s="1124" t="s">
        <v>7567</v>
      </c>
      <c r="K11" s="1089" t="s">
        <v>714</v>
      </c>
      <c r="L11" s="1186" t="s">
        <v>7568</v>
      </c>
      <c r="M11" s="1087"/>
      <c r="N11" s="1087"/>
      <c r="O11" s="1159" t="s">
        <v>7569</v>
      </c>
      <c r="P11" s="1050"/>
      <c r="Q11" s="1095" t="s">
        <v>7570</v>
      </c>
      <c r="R11" s="1092"/>
      <c r="S11" s="1092"/>
      <c r="T11" s="1125" t="s">
        <v>5346</v>
      </c>
      <c r="U11" s="1091"/>
      <c r="V11" s="1160" t="s">
        <v>7571</v>
      </c>
      <c r="W11" s="1050"/>
      <c r="X11" s="1161"/>
      <c r="Y11" s="1128" t="s">
        <v>7572</v>
      </c>
      <c r="Z11" s="1176" t="s">
        <v>7568</v>
      </c>
      <c r="AA11" s="1176" t="s">
        <v>7573</v>
      </c>
      <c r="AB11" s="1055" t="s">
        <v>3425</v>
      </c>
      <c r="AC11" s="1128" t="s">
        <v>2866</v>
      </c>
      <c r="AD11" s="1057" t="s">
        <v>2396</v>
      </c>
      <c r="AE11" s="1056" t="s">
        <v>1250</v>
      </c>
      <c r="AF11" s="1129"/>
      <c r="AG11" s="1176" t="s">
        <v>7574</v>
      </c>
      <c r="AH11" s="1059"/>
      <c r="AI11" s="1050"/>
      <c r="AJ11" s="1187"/>
      <c r="AK11" s="1103" t="s">
        <v>7575</v>
      </c>
      <c r="AL11" s="1099"/>
      <c r="AM11" s="1188"/>
      <c r="AN11" s="1188" t="s">
        <v>7576</v>
      </c>
      <c r="AO11" s="1189" t="s">
        <v>4839</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3749</v>
      </c>
      <c r="BD11" s="1134"/>
      <c r="BE11" s="1181" t="s">
        <v>7584</v>
      </c>
      <c r="BF11" s="1065"/>
      <c r="BG11" s="1192" t="s">
        <v>7585</v>
      </c>
      <c r="BH11" s="1192" t="s">
        <v>5445</v>
      </c>
      <c r="BI11" s="1109"/>
      <c r="BJ11" s="1109"/>
      <c r="BK11" s="1193" t="s">
        <v>7586</v>
      </c>
      <c r="BL11" s="1111"/>
      <c r="BM11" s="1193" t="s">
        <v>7587</v>
      </c>
      <c r="BN11" s="1050"/>
      <c r="BO11" s="1153" t="s">
        <v>7588</v>
      </c>
      <c r="BP11" s="1166"/>
      <c r="BQ11" s="1153" t="s">
        <v>696</v>
      </c>
      <c r="BR11" s="1167" t="s">
        <v>7589</v>
      </c>
      <c r="BS11" s="1113"/>
      <c r="BT11" s="1115" t="s">
        <v>2072</v>
      </c>
      <c r="BU11" s="1113"/>
      <c r="BV11" s="1166" t="s">
        <v>7590</v>
      </c>
      <c r="BW11" s="1194" t="s">
        <v>7591</v>
      </c>
      <c r="BX11" s="1060"/>
      <c r="BY11" s="1168" t="s">
        <v>4494</v>
      </c>
      <c r="BZ11" s="1119"/>
      <c r="CA11" s="1156"/>
      <c r="CB11" s="1169" t="s">
        <v>2810</v>
      </c>
      <c r="CC11" s="1184"/>
      <c r="CD11" s="1168" t="s">
        <v>1173</v>
      </c>
      <c r="CE11" s="1119"/>
      <c r="CF11" s="1168" t="s">
        <v>7592</v>
      </c>
      <c r="CG11" s="1119"/>
      <c r="CH11" s="1155" t="s">
        <v>4847</v>
      </c>
      <c r="CI11" s="1119"/>
      <c r="CJ11" s="1140"/>
      <c r="CK11" s="1140"/>
    </row>
    <row r="12">
      <c r="A12" s="1086" t="s">
        <v>2373</v>
      </c>
      <c r="B12" s="1044" t="s">
        <v>7565</v>
      </c>
      <c r="C12" s="1040" t="s">
        <v>548</v>
      </c>
      <c r="D12" s="1041" t="s">
        <v>441</v>
      </c>
      <c r="E12" s="1042" t="s">
        <v>440</v>
      </c>
      <c r="F12" s="1043" t="s">
        <v>2107</v>
      </c>
      <c r="G12" s="1044" t="s">
        <v>2107</v>
      </c>
      <c r="H12" s="1089" t="s">
        <v>1208</v>
      </c>
      <c r="I12" s="1089" t="s">
        <v>7593</v>
      </c>
      <c r="J12" s="1089" t="s">
        <v>3717</v>
      </c>
      <c r="K12" s="1089" t="s">
        <v>1965</v>
      </c>
      <c r="L12" s="1087"/>
      <c r="M12" s="1087"/>
      <c r="N12" s="1087"/>
      <c r="O12" s="1143" t="s">
        <v>7594</v>
      </c>
      <c r="P12" s="1050"/>
      <c r="Q12" s="1095" t="s">
        <v>7595</v>
      </c>
      <c r="R12" s="1092"/>
      <c r="S12" s="1125" t="s">
        <v>7596</v>
      </c>
      <c r="T12" s="1095" t="s">
        <v>5216</v>
      </c>
      <c r="U12" s="1095" t="s">
        <v>3596</v>
      </c>
      <c r="V12" s="1095" t="s">
        <v>7597</v>
      </c>
      <c r="W12" s="1050"/>
      <c r="X12" s="1057" t="s">
        <v>2681</v>
      </c>
      <c r="Y12" s="1097" t="s">
        <v>7598</v>
      </c>
      <c r="Z12" s="1057" t="s">
        <v>7599</v>
      </c>
      <c r="AA12" s="1057" t="s">
        <v>7460</v>
      </c>
      <c r="AB12" s="1057" t="s">
        <v>6378</v>
      </c>
      <c r="AC12" s="1057" t="s">
        <v>7600</v>
      </c>
      <c r="AD12" s="1057" t="s">
        <v>1059</v>
      </c>
      <c r="AE12" s="1057" t="s">
        <v>7601</v>
      </c>
      <c r="AF12" s="1129"/>
      <c r="AG12" s="1057" t="s">
        <v>7602</v>
      </c>
      <c r="AH12" s="1059"/>
      <c r="AI12" s="1050"/>
      <c r="AJ12" s="1187"/>
      <c r="AK12" s="1133" t="s">
        <v>2091</v>
      </c>
      <c r="AL12" s="1099"/>
      <c r="AM12" s="1103" t="s">
        <v>4230</v>
      </c>
      <c r="AN12" s="1099"/>
      <c r="AO12" s="1099"/>
      <c r="AP12" s="1103" t="s">
        <v>3549</v>
      </c>
      <c r="AQ12" s="1099"/>
      <c r="AR12" s="1133" t="s">
        <v>7603</v>
      </c>
      <c r="AS12" s="1103" t="s">
        <v>7604</v>
      </c>
      <c r="AT12" s="1099"/>
      <c r="AU12" s="1132" t="s">
        <v>7605</v>
      </c>
      <c r="AV12" s="1099"/>
      <c r="AW12" s="1103" t="s">
        <v>5410</v>
      </c>
      <c r="AX12" s="1103" t="s">
        <v>4807</v>
      </c>
      <c r="AY12" s="1103" t="s">
        <v>7606</v>
      </c>
      <c r="AZ12" s="1065"/>
      <c r="BA12" s="1106" t="s">
        <v>7607</v>
      </c>
      <c r="BB12" s="1106" t="s">
        <v>7608</v>
      </c>
      <c r="BC12" s="1106" t="s">
        <v>5335</v>
      </c>
      <c r="BD12" s="1134"/>
      <c r="BE12" s="1106" t="s">
        <v>7609</v>
      </c>
      <c r="BF12" s="1065"/>
      <c r="BG12" s="1108" t="s">
        <v>7610</v>
      </c>
      <c r="BH12" s="1108" t="s">
        <v>3325</v>
      </c>
      <c r="BI12" s="1108" t="s">
        <v>2217</v>
      </c>
      <c r="BJ12" s="1174" t="s">
        <v>7611</v>
      </c>
      <c r="BK12" s="1108" t="s">
        <v>2915</v>
      </c>
      <c r="BL12" s="1111"/>
      <c r="BM12" s="1108" t="s">
        <v>7612</v>
      </c>
      <c r="BN12" s="1050"/>
      <c r="BO12" s="1113"/>
      <c r="BP12" s="1166"/>
      <c r="BQ12" s="1115" t="s">
        <v>2662</v>
      </c>
      <c r="BR12" s="1115" t="s">
        <v>7613</v>
      </c>
      <c r="BS12" s="1113"/>
      <c r="BT12" s="1115" t="s">
        <v>1788</v>
      </c>
      <c r="BU12" s="1113"/>
      <c r="BV12" s="1115" t="s">
        <v>7614</v>
      </c>
      <c r="BW12" s="1115" t="s">
        <v>6201</v>
      </c>
      <c r="BX12" s="1050"/>
      <c r="BY12" s="1139" t="s">
        <v>7439</v>
      </c>
      <c r="BZ12" s="1139" t="s">
        <v>2685</v>
      </c>
      <c r="CA12" s="1155" t="s">
        <v>7615</v>
      </c>
      <c r="CB12" s="1140"/>
      <c r="CC12" s="1119"/>
      <c r="CD12" s="1155" t="s">
        <v>4318</v>
      </c>
      <c r="CE12" s="1139" t="s">
        <v>7616</v>
      </c>
      <c r="CF12" s="1139" t="s">
        <v>5337</v>
      </c>
      <c r="CG12" s="1154" t="s">
        <v>7617</v>
      </c>
      <c r="CH12" s="1119"/>
      <c r="CI12" s="1154" t="s">
        <v>4802</v>
      </c>
      <c r="CJ12" s="1140"/>
      <c r="CK12" s="1140"/>
    </row>
    <row r="13">
      <c r="A13" s="1195" t="s">
        <v>1060</v>
      </c>
      <c r="B13" s="1044" t="s">
        <v>7618</v>
      </c>
      <c r="C13" s="1040" t="s">
        <v>222</v>
      </c>
      <c r="D13" s="1041" t="s">
        <v>335</v>
      </c>
      <c r="E13" s="1042" t="s">
        <v>334</v>
      </c>
      <c r="F13" s="1043" t="s">
        <v>3961</v>
      </c>
      <c r="G13" s="1044" t="s">
        <v>6244</v>
      </c>
      <c r="H13" s="1122" t="s">
        <v>4806</v>
      </c>
      <c r="I13" s="1087"/>
      <c r="J13" s="1143" t="s">
        <v>7619</v>
      </c>
      <c r="K13" s="1143" t="s">
        <v>6347</v>
      </c>
      <c r="L13" s="1087"/>
      <c r="M13" s="1087"/>
      <c r="N13" s="1087"/>
      <c r="O13" s="1088" t="s">
        <v>7620</v>
      </c>
      <c r="P13" s="1050"/>
      <c r="Q13" s="1092"/>
      <c r="R13" s="1093" t="s">
        <v>405</v>
      </c>
      <c r="S13" s="1092"/>
      <c r="T13" s="1171" t="s">
        <v>4857</v>
      </c>
      <c r="U13" s="1171" t="s">
        <v>1187</v>
      </c>
      <c r="V13" s="1092"/>
      <c r="W13" s="1050"/>
      <c r="X13" s="1096" t="s">
        <v>380</v>
      </c>
      <c r="Y13" s="1161"/>
      <c r="Z13" s="1097" t="s">
        <v>3291</v>
      </c>
      <c r="AA13" s="1056" t="s">
        <v>7621</v>
      </c>
      <c r="AB13" s="1096" t="s">
        <v>506</v>
      </c>
      <c r="AC13" s="1130" t="s">
        <v>5215</v>
      </c>
      <c r="AD13" s="1056" t="s">
        <v>1790</v>
      </c>
      <c r="AE13" s="1128" t="s">
        <v>7622</v>
      </c>
      <c r="AF13" s="1096"/>
      <c r="AG13" s="1096" t="s">
        <v>7623</v>
      </c>
      <c r="AH13" s="1059"/>
      <c r="AI13" s="1050"/>
      <c r="AJ13" s="1099"/>
      <c r="AK13" s="1099"/>
      <c r="AL13" s="1099"/>
      <c r="AM13" s="1098" t="s">
        <v>5161</v>
      </c>
      <c r="AN13" s="1100" t="s">
        <v>4067</v>
      </c>
      <c r="AO13" s="1099"/>
      <c r="AP13" s="1099"/>
      <c r="AQ13" s="1099"/>
      <c r="AR13" s="1100" t="s">
        <v>7624</v>
      </c>
      <c r="AS13" s="1099"/>
      <c r="AT13" s="1133" t="s">
        <v>7625</v>
      </c>
      <c r="AU13" s="1099"/>
      <c r="AV13" s="1099"/>
      <c r="AW13" s="1133" t="s">
        <v>1042</v>
      </c>
      <c r="AX13" s="1133" t="s">
        <v>7626</v>
      </c>
      <c r="AY13" s="1133" t="s">
        <v>969</v>
      </c>
      <c r="AZ13" s="1065"/>
      <c r="BA13" s="1173"/>
      <c r="BB13" s="1135"/>
      <c r="BC13" s="1105" t="s">
        <v>4536</v>
      </c>
      <c r="BD13" s="1104"/>
      <c r="BE13" s="1135"/>
      <c r="BF13" s="1065"/>
      <c r="BG13" s="1111"/>
      <c r="BH13" s="1111"/>
      <c r="BI13" s="1174" t="s">
        <v>7627</v>
      </c>
      <c r="BJ13" s="1111"/>
      <c r="BK13" s="1111"/>
      <c r="BL13" s="1111"/>
      <c r="BM13" s="1111"/>
      <c r="BN13" s="1050"/>
      <c r="BO13" s="1114"/>
      <c r="BP13" s="1166"/>
      <c r="BQ13" s="1116" t="s">
        <v>5031</v>
      </c>
      <c r="BR13" s="1113"/>
      <c r="BS13" s="1113"/>
      <c r="BT13" s="1116" t="s">
        <v>7075</v>
      </c>
      <c r="BU13" s="1113"/>
      <c r="BV13" s="1167" t="s">
        <v>7628</v>
      </c>
      <c r="BW13" s="1115" t="s">
        <v>7629</v>
      </c>
      <c r="BX13" s="1050"/>
      <c r="BY13" s="1169" t="s">
        <v>3486</v>
      </c>
      <c r="BZ13" s="1169" t="s">
        <v>7541</v>
      </c>
      <c r="CA13" s="1119"/>
      <c r="CB13" s="1140"/>
      <c r="CC13" s="1119"/>
      <c r="CD13" s="1119"/>
      <c r="CE13" s="1119"/>
      <c r="CF13" s="1119"/>
      <c r="CG13" s="1169" t="s">
        <v>7630</v>
      </c>
      <c r="CH13" s="1119"/>
      <c r="CI13" s="1119"/>
      <c r="CJ13" s="1140"/>
      <c r="CK13" s="1140"/>
    </row>
    <row r="14">
      <c r="A14" s="1086" t="s">
        <v>1960</v>
      </c>
      <c r="B14" s="1044" t="s">
        <v>7631</v>
      </c>
      <c r="C14" s="1040" t="s">
        <v>1260</v>
      </c>
      <c r="D14" s="1041" t="s">
        <v>334</v>
      </c>
      <c r="E14" s="1042" t="s">
        <v>334</v>
      </c>
      <c r="F14" s="1043" t="s">
        <v>2837</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3715</v>
      </c>
      <c r="AC14" s="1057" t="s">
        <v>1983</v>
      </c>
      <c r="AD14" s="1096" t="s">
        <v>4134</v>
      </c>
      <c r="AE14" s="1096" t="s">
        <v>4646</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3243</v>
      </c>
      <c r="BD14" s="1104"/>
      <c r="BE14" s="1135" t="s">
        <v>7643</v>
      </c>
      <c r="BF14" s="1065"/>
      <c r="BG14" s="1109" t="s">
        <v>6189</v>
      </c>
      <c r="BH14" s="1110" t="s">
        <v>7299</v>
      </c>
      <c r="BI14" s="1111"/>
      <c r="BJ14" s="1111"/>
      <c r="BK14" s="1192" t="s">
        <v>7644</v>
      </c>
      <c r="BL14" s="1111"/>
      <c r="BM14" s="1108" t="s">
        <v>7645</v>
      </c>
      <c r="BN14" s="1050"/>
      <c r="BO14" s="1114" t="s">
        <v>7646</v>
      </c>
      <c r="BP14" s="1167"/>
      <c r="BQ14" s="1114"/>
      <c r="BR14" s="1115" t="s">
        <v>7647</v>
      </c>
      <c r="BS14" s="1114"/>
      <c r="BT14" s="1115" t="s">
        <v>1405</v>
      </c>
      <c r="BU14" s="1113"/>
      <c r="BV14" s="1138" t="s">
        <v>5680</v>
      </c>
      <c r="BW14" s="1115" t="s">
        <v>5675</v>
      </c>
      <c r="BX14" s="1050"/>
      <c r="BY14" s="1154" t="s">
        <v>465</v>
      </c>
      <c r="BZ14" s="1119"/>
      <c r="CA14" s="1119"/>
      <c r="CB14" s="1140"/>
      <c r="CC14" s="1119"/>
      <c r="CD14" s="1119"/>
      <c r="CE14" s="1119"/>
      <c r="CF14" s="1118" t="s">
        <v>4602</v>
      </c>
      <c r="CG14" s="1119"/>
      <c r="CH14" s="1119"/>
      <c r="CI14" s="1119"/>
      <c r="CJ14" s="1140"/>
      <c r="CK14" s="1140"/>
    </row>
    <row r="15">
      <c r="A15" s="1086" t="s">
        <v>6618</v>
      </c>
      <c r="B15" s="1044" t="s">
        <v>7648</v>
      </c>
      <c r="C15" s="1040" t="s">
        <v>1260</v>
      </c>
      <c r="D15" s="1041" t="s">
        <v>439</v>
      </c>
      <c r="E15" s="1042" t="s">
        <v>548</v>
      </c>
      <c r="F15" s="1043" t="s">
        <v>2903</v>
      </c>
      <c r="G15" s="1044" t="s">
        <v>1726</v>
      </c>
      <c r="H15" s="1089" t="s">
        <v>2126</v>
      </c>
      <c r="I15" s="1089" t="s">
        <v>7649</v>
      </c>
      <c r="J15" s="1087"/>
      <c r="K15" s="1087"/>
      <c r="L15" s="1089" t="s">
        <v>3368</v>
      </c>
      <c r="M15" s="1087"/>
      <c r="N15" s="1089" t="s">
        <v>7650</v>
      </c>
      <c r="O15" s="1087"/>
      <c r="P15" s="1050"/>
      <c r="Q15" s="1095" t="s">
        <v>248</v>
      </c>
      <c r="R15" s="1092"/>
      <c r="S15" s="1095" t="s">
        <v>7551</v>
      </c>
      <c r="T15" s="1095" t="s">
        <v>3732</v>
      </c>
      <c r="U15" s="1092"/>
      <c r="V15" s="1095" t="s">
        <v>7651</v>
      </c>
      <c r="W15" s="1050"/>
      <c r="X15" s="1057" t="s">
        <v>275</v>
      </c>
      <c r="Y15" s="1057" t="s">
        <v>7652</v>
      </c>
      <c r="Z15" s="1057" t="s">
        <v>2369</v>
      </c>
      <c r="AA15" s="1145" t="s">
        <v>7653</v>
      </c>
      <c r="AB15" s="1057" t="s">
        <v>7654</v>
      </c>
      <c r="AC15" s="1057" t="s">
        <v>1670</v>
      </c>
      <c r="AD15" s="1057" t="s">
        <v>5499</v>
      </c>
      <c r="AE15" s="1057" t="s">
        <v>7655</v>
      </c>
      <c r="AF15" s="1058"/>
      <c r="AG15" s="1096" t="s">
        <v>7656</v>
      </c>
      <c r="AH15" s="1059"/>
      <c r="AI15" s="1050"/>
      <c r="AJ15" s="1147"/>
      <c r="AK15" s="1103" t="s">
        <v>7657</v>
      </c>
      <c r="AL15" s="1103" t="s">
        <v>7658</v>
      </c>
      <c r="AM15" s="1103" t="s">
        <v>1213</v>
      </c>
      <c r="AN15" s="1098"/>
      <c r="AO15" s="1099"/>
      <c r="AP15" s="1103" t="s">
        <v>4060</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4075</v>
      </c>
      <c r="BH15" s="1109" t="s">
        <v>4601</v>
      </c>
      <c r="BI15" s="1192" t="s">
        <v>1592</v>
      </c>
      <c r="BJ15" s="1111"/>
      <c r="BK15" s="1109" t="s">
        <v>4283</v>
      </c>
      <c r="BL15" s="1111"/>
      <c r="BM15" s="1109" t="s">
        <v>7668</v>
      </c>
      <c r="BN15" s="1050"/>
      <c r="BO15" s="1115" t="s">
        <v>3421</v>
      </c>
      <c r="BP15" s="1166"/>
      <c r="BQ15" s="1113"/>
      <c r="BR15" s="1113"/>
      <c r="BS15" s="1113"/>
      <c r="BT15" s="1115" t="s">
        <v>848</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1260</v>
      </c>
      <c r="D16" s="1041" t="s">
        <v>548</v>
      </c>
      <c r="E16" s="1042" t="s">
        <v>439</v>
      </c>
      <c r="F16" s="1043" t="s">
        <v>3283</v>
      </c>
      <c r="G16" s="1044" t="s">
        <v>2154</v>
      </c>
      <c r="H16" s="1089" t="s">
        <v>2357</v>
      </c>
      <c r="I16" s="1197" t="s">
        <v>7673</v>
      </c>
      <c r="J16" s="1088" t="s">
        <v>1303</v>
      </c>
      <c r="K16" s="1088" t="s">
        <v>7674</v>
      </c>
      <c r="L16" s="1088" t="s">
        <v>2150</v>
      </c>
      <c r="M16" s="1198"/>
      <c r="N16" s="1088" t="s">
        <v>7675</v>
      </c>
      <c r="O16" s="1088" t="s">
        <v>7676</v>
      </c>
      <c r="P16" s="1050"/>
      <c r="Q16" s="1091" t="s">
        <v>7677</v>
      </c>
      <c r="R16" s="1091" t="s">
        <v>2457</v>
      </c>
      <c r="S16" s="1091" t="s">
        <v>7678</v>
      </c>
      <c r="T16" s="1091" t="s">
        <v>5760</v>
      </c>
      <c r="U16" s="1091" t="s">
        <v>7679</v>
      </c>
      <c r="V16" s="1091" t="s">
        <v>7680</v>
      </c>
      <c r="W16" s="1050"/>
      <c r="X16" s="1096" t="s">
        <v>3969</v>
      </c>
      <c r="Y16" s="1096" t="s">
        <v>7681</v>
      </c>
      <c r="Z16" s="1128" t="s">
        <v>7682</v>
      </c>
      <c r="AA16" s="1199" t="s">
        <v>7683</v>
      </c>
      <c r="AB16" s="1096" t="s">
        <v>7684</v>
      </c>
      <c r="AC16" s="1096" t="s">
        <v>7685</v>
      </c>
      <c r="AD16" s="1145" t="s">
        <v>1703</v>
      </c>
      <c r="AE16" s="1057" t="s">
        <v>5244</v>
      </c>
      <c r="AF16" s="1096" t="s">
        <v>7686</v>
      </c>
      <c r="AG16" s="1096" t="s">
        <v>7687</v>
      </c>
      <c r="AH16" s="1200" t="s">
        <v>7688</v>
      </c>
      <c r="AI16" s="1050"/>
      <c r="AJ16" s="1147"/>
      <c r="AK16" s="1103" t="s">
        <v>7689</v>
      </c>
      <c r="AL16" s="1098"/>
      <c r="AM16" s="1098" t="s">
        <v>3415</v>
      </c>
      <c r="AN16" s="1103" t="s">
        <v>1644</v>
      </c>
      <c r="AO16" s="1098" t="s">
        <v>4118</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4208</v>
      </c>
      <c r="BD16" s="1135"/>
      <c r="BE16" s="1201" t="s">
        <v>7698</v>
      </c>
      <c r="BF16" s="1065"/>
      <c r="BG16" s="1109" t="s">
        <v>7699</v>
      </c>
      <c r="BH16" s="1109" t="s">
        <v>5168</v>
      </c>
      <c r="BI16" s="1108" t="s">
        <v>2080</v>
      </c>
      <c r="BJ16" s="1110" t="s">
        <v>7700</v>
      </c>
      <c r="BK16" s="1165" t="s">
        <v>7701</v>
      </c>
      <c r="BL16" s="1109"/>
      <c r="BM16" s="1109" t="s">
        <v>7702</v>
      </c>
      <c r="BN16" s="1050"/>
      <c r="BO16" s="1115" t="s">
        <v>4756</v>
      </c>
      <c r="BP16" s="1167"/>
      <c r="BQ16" s="1202" t="s">
        <v>4731</v>
      </c>
      <c r="BR16" s="1114" t="s">
        <v>7703</v>
      </c>
      <c r="BS16" s="1114"/>
      <c r="BT16" s="1203" t="s">
        <v>7704</v>
      </c>
      <c r="BU16" s="1167" t="s">
        <v>4780</v>
      </c>
      <c r="BV16" s="1114" t="s">
        <v>7705</v>
      </c>
      <c r="BW16" s="1114" t="s">
        <v>7706</v>
      </c>
      <c r="BX16" s="1050"/>
      <c r="BY16" s="1118" t="s">
        <v>2519</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1260</v>
      </c>
      <c r="D17" s="1041" t="s">
        <v>1260</v>
      </c>
      <c r="E17" s="1042" t="s">
        <v>1260</v>
      </c>
      <c r="F17" s="1043" t="s">
        <v>1260</v>
      </c>
      <c r="G17" s="1044" t="s">
        <v>3337</v>
      </c>
      <c r="H17" s="1087"/>
      <c r="I17" s="1159" t="s">
        <v>2757</v>
      </c>
      <c r="J17" s="1088"/>
      <c r="K17" s="1087"/>
      <c r="L17" s="1087"/>
      <c r="M17" s="1087"/>
      <c r="N17" s="1087"/>
      <c r="O17" s="1088" t="s">
        <v>7712</v>
      </c>
      <c r="P17" s="1050"/>
      <c r="Q17" s="1160" t="s">
        <v>1489</v>
      </c>
      <c r="R17" s="1092"/>
      <c r="S17" s="1092"/>
      <c r="T17" s="1160" t="s">
        <v>1118</v>
      </c>
      <c r="U17" s="1091"/>
      <c r="V17" s="1091" t="s">
        <v>7713</v>
      </c>
      <c r="W17" s="1050"/>
      <c r="X17" s="1176" t="s">
        <v>7714</v>
      </c>
      <c r="Y17" s="1096" t="s">
        <v>7715</v>
      </c>
      <c r="Z17" s="1176" t="s">
        <v>7568</v>
      </c>
      <c r="AA17" s="1128" t="s">
        <v>6654</v>
      </c>
      <c r="AB17" s="1128" t="s">
        <v>1651</v>
      </c>
      <c r="AC17" s="1128" t="s">
        <v>3637</v>
      </c>
      <c r="AD17" s="1176" t="s">
        <v>203</v>
      </c>
      <c r="AE17" s="1128" t="s">
        <v>4613</v>
      </c>
      <c r="AF17" s="1096"/>
      <c r="AG17" s="1128" t="s">
        <v>7716</v>
      </c>
      <c r="AH17" s="1059"/>
      <c r="AI17" s="1050"/>
      <c r="AJ17" s="1099"/>
      <c r="AK17" s="1131" t="s">
        <v>5606</v>
      </c>
      <c r="AL17" s="1163" t="s">
        <v>7717</v>
      </c>
      <c r="AM17" s="1131" t="s">
        <v>7718</v>
      </c>
      <c r="AN17" s="1099"/>
      <c r="AO17" s="1163" t="s">
        <v>976</v>
      </c>
      <c r="AP17" s="1131" t="s">
        <v>1570</v>
      </c>
      <c r="AQ17" s="1163" t="s">
        <v>7719</v>
      </c>
      <c r="AR17" s="1163" t="s">
        <v>7720</v>
      </c>
      <c r="AS17" s="1099"/>
      <c r="AT17" s="1099"/>
      <c r="AU17" s="1099"/>
      <c r="AV17" s="1099"/>
      <c r="AW17" s="1131" t="s">
        <v>1252</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1967</v>
      </c>
      <c r="BP17" s="1166"/>
      <c r="BQ17" s="1113"/>
      <c r="BR17" s="1167" t="s">
        <v>7727</v>
      </c>
      <c r="BS17" s="1113"/>
      <c r="BT17" s="1167" t="s">
        <v>3083</v>
      </c>
      <c r="BU17" s="1113"/>
      <c r="BV17" s="1167" t="s">
        <v>7728</v>
      </c>
      <c r="BW17" s="1167" t="s">
        <v>7729</v>
      </c>
      <c r="BX17" s="1050"/>
      <c r="BY17" s="1168" t="s">
        <v>3458</v>
      </c>
      <c r="BZ17" s="1119"/>
      <c r="CA17" s="1119"/>
      <c r="CB17" s="1140"/>
      <c r="CC17" s="1119"/>
      <c r="CD17" s="1119"/>
      <c r="CE17" s="1119"/>
      <c r="CF17" s="1119"/>
      <c r="CG17" s="1119"/>
      <c r="CH17" s="1119"/>
      <c r="CI17" s="1119"/>
      <c r="CJ17" s="1140"/>
      <c r="CK17" s="1140"/>
    </row>
    <row r="18">
      <c r="A18" s="1086" t="s">
        <v>7730</v>
      </c>
      <c r="B18" s="1044" t="s">
        <v>7731</v>
      </c>
      <c r="C18" s="1040" t="s">
        <v>1260</v>
      </c>
      <c r="D18" s="1041" t="s">
        <v>1260</v>
      </c>
      <c r="E18" s="1042" t="s">
        <v>1260</v>
      </c>
      <c r="F18" s="1043" t="s">
        <v>1201</v>
      </c>
      <c r="G18" s="1044" t="s">
        <v>5786</v>
      </c>
      <c r="H18" s="1087"/>
      <c r="I18" s="1087"/>
      <c r="J18" s="1088" t="s">
        <v>7732</v>
      </c>
      <c r="K18" s="1088" t="s">
        <v>7733</v>
      </c>
      <c r="L18" s="1089" t="s">
        <v>7734</v>
      </c>
      <c r="M18" s="1087"/>
      <c r="N18" s="1159" t="s">
        <v>7735</v>
      </c>
      <c r="O18" s="1088" t="s">
        <v>7736</v>
      </c>
      <c r="P18" s="1050"/>
      <c r="Q18" s="1160" t="s">
        <v>727</v>
      </c>
      <c r="R18" s="1092"/>
      <c r="S18" s="1092"/>
      <c r="T18" s="1092"/>
      <c r="U18" s="1091"/>
      <c r="V18" s="1095" t="s">
        <v>7656</v>
      </c>
      <c r="W18" s="1050"/>
      <c r="X18" s="1161"/>
      <c r="Y18" s="1057" t="s">
        <v>7737</v>
      </c>
      <c r="Z18" s="1128" t="s">
        <v>2402</v>
      </c>
      <c r="AA18" s="1204"/>
      <c r="AB18" s="1161"/>
      <c r="AC18" s="1128" t="s">
        <v>817</v>
      </c>
      <c r="AD18" s="1128" t="s">
        <v>5779</v>
      </c>
      <c r="AE18" s="1128" t="s">
        <v>6977</v>
      </c>
      <c r="AF18" s="1096"/>
      <c r="AG18" s="1128" t="s">
        <v>7738</v>
      </c>
      <c r="AH18" s="1059"/>
      <c r="AI18" s="1050"/>
      <c r="AJ18" s="1098"/>
      <c r="AK18" s="1163" t="s">
        <v>1475</v>
      </c>
      <c r="AL18" s="1099"/>
      <c r="AM18" s="1099"/>
      <c r="AN18" s="1099"/>
      <c r="AO18" s="1099"/>
      <c r="AP18" s="1163" t="s">
        <v>7739</v>
      </c>
      <c r="AQ18" s="1099"/>
      <c r="AR18" s="1099"/>
      <c r="AS18" s="1099"/>
      <c r="AT18" s="1099"/>
      <c r="AU18" s="1099"/>
      <c r="AV18" s="1099"/>
      <c r="AW18" s="1103" t="s">
        <v>6207</v>
      </c>
      <c r="AX18" s="1098" t="s">
        <v>7740</v>
      </c>
      <c r="AY18" s="1098" t="s">
        <v>6315</v>
      </c>
      <c r="AZ18" s="1065"/>
      <c r="BA18" s="1135" t="s">
        <v>7741</v>
      </c>
      <c r="BB18" s="1201" t="s">
        <v>7742</v>
      </c>
      <c r="BC18" s="1106" t="s">
        <v>513</v>
      </c>
      <c r="BD18" s="1104"/>
      <c r="BE18" s="1201" t="s">
        <v>7743</v>
      </c>
      <c r="BF18" s="1065"/>
      <c r="BG18" s="1109" t="s">
        <v>2819</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1579</v>
      </c>
      <c r="BX18" s="1050"/>
      <c r="BY18" s="1118" t="s">
        <v>4200</v>
      </c>
      <c r="BZ18" s="1139" t="s">
        <v>6056</v>
      </c>
      <c r="CA18" s="1119"/>
      <c r="CB18" s="1140"/>
      <c r="CC18" s="1119"/>
      <c r="CD18" s="1119"/>
      <c r="CE18" s="1118" t="s">
        <v>5898</v>
      </c>
      <c r="CF18" s="1168" t="s">
        <v>7747</v>
      </c>
      <c r="CG18" s="1119"/>
      <c r="CH18" s="1119"/>
      <c r="CI18" s="1118" t="s">
        <v>7748</v>
      </c>
      <c r="CJ18" s="1140"/>
      <c r="CK18" s="1140"/>
    </row>
    <row r="19">
      <c r="A19" s="1086" t="s">
        <v>1810</v>
      </c>
      <c r="B19" s="1044" t="s">
        <v>7749</v>
      </c>
      <c r="C19" s="1040" t="s">
        <v>1260</v>
      </c>
      <c r="D19" s="1041" t="s">
        <v>1260</v>
      </c>
      <c r="E19" s="1042" t="s">
        <v>1260</v>
      </c>
      <c r="F19" s="1043" t="s">
        <v>1260</v>
      </c>
      <c r="G19" s="1044" t="s">
        <v>5786</v>
      </c>
      <c r="H19" s="1087"/>
      <c r="I19" s="1088" t="s">
        <v>2658</v>
      </c>
      <c r="J19" s="1088" t="s">
        <v>2098</v>
      </c>
      <c r="K19" s="1088" t="s">
        <v>7750</v>
      </c>
      <c r="L19" s="1159" t="s">
        <v>7751</v>
      </c>
      <c r="M19" s="1087"/>
      <c r="N19" s="1159" t="s">
        <v>7752</v>
      </c>
      <c r="O19" s="1088" t="s">
        <v>7753</v>
      </c>
      <c r="P19" s="1050"/>
      <c r="Q19" s="1160" t="s">
        <v>2550</v>
      </c>
      <c r="R19" s="1092"/>
      <c r="S19" s="1092"/>
      <c r="T19" s="1160" t="s">
        <v>5030</v>
      </c>
      <c r="U19" s="1091"/>
      <c r="V19" s="1160" t="s">
        <v>7754</v>
      </c>
      <c r="W19" s="1050"/>
      <c r="X19" s="1128" t="s">
        <v>4111</v>
      </c>
      <c r="Y19" s="1128" t="s">
        <v>7755</v>
      </c>
      <c r="Z19" s="1128" t="s">
        <v>7756</v>
      </c>
      <c r="AA19" s="1128" t="s">
        <v>3031</v>
      </c>
      <c r="AB19" s="1128" t="s">
        <v>4693</v>
      </c>
      <c r="AC19" s="1096" t="s">
        <v>7757</v>
      </c>
      <c r="AD19" s="1128" t="s">
        <v>4600</v>
      </c>
      <c r="AE19" s="1128" t="s">
        <v>4886</v>
      </c>
      <c r="AF19" s="1096"/>
      <c r="AG19" s="1096" t="s">
        <v>7758</v>
      </c>
      <c r="AH19" s="1205" t="s">
        <v>7759</v>
      </c>
      <c r="AI19" s="1050"/>
      <c r="AJ19" s="1099"/>
      <c r="AK19" s="1099"/>
      <c r="AL19" s="1099"/>
      <c r="AM19" s="1098" t="s">
        <v>172</v>
      </c>
      <c r="AN19" s="1099"/>
      <c r="AO19" s="1163" t="s">
        <v>4384</v>
      </c>
      <c r="AP19" s="1098" t="s">
        <v>3299</v>
      </c>
      <c r="AQ19" s="1163" t="s">
        <v>7760</v>
      </c>
      <c r="AR19" s="1099"/>
      <c r="AS19" s="1099"/>
      <c r="AT19" s="1099"/>
      <c r="AU19" s="1099"/>
      <c r="AV19" s="1099"/>
      <c r="AW19" s="1163" t="s">
        <v>1009</v>
      </c>
      <c r="AX19" s="1163" t="s">
        <v>4876</v>
      </c>
      <c r="AY19" s="1099"/>
      <c r="AZ19" s="1065"/>
      <c r="BA19" s="1173"/>
      <c r="BB19" s="1173"/>
      <c r="BC19" s="1201" t="s">
        <v>6860</v>
      </c>
      <c r="BD19" s="1135"/>
      <c r="BE19" s="1135" t="s">
        <v>7761</v>
      </c>
      <c r="BF19" s="1065"/>
      <c r="BG19" s="1193" t="s">
        <v>1206</v>
      </c>
      <c r="BH19" s="1193" t="s">
        <v>2133</v>
      </c>
      <c r="BI19" s="1111"/>
      <c r="BJ19" s="1111"/>
      <c r="BK19" s="1109" t="s">
        <v>7762</v>
      </c>
      <c r="BL19" s="1111"/>
      <c r="BM19" s="1193" t="s">
        <v>7763</v>
      </c>
      <c r="BN19" s="1050"/>
      <c r="BO19" s="1167" t="s">
        <v>7764</v>
      </c>
      <c r="BP19" s="1166"/>
      <c r="BQ19" s="1113"/>
      <c r="BR19" s="1113"/>
      <c r="BS19" s="1113"/>
      <c r="BT19" s="1167" t="s">
        <v>2771</v>
      </c>
      <c r="BU19" s="1113"/>
      <c r="BV19" s="1113"/>
      <c r="BW19" s="1166" t="s">
        <v>7765</v>
      </c>
      <c r="BX19" s="1050"/>
      <c r="BY19" s="1118" t="s">
        <v>2996</v>
      </c>
      <c r="BZ19" s="1119"/>
      <c r="CA19" s="1119"/>
      <c r="CB19" s="1140"/>
      <c r="CC19" s="1119"/>
      <c r="CD19" s="1119"/>
      <c r="CE19" s="1119"/>
      <c r="CF19" s="1119"/>
      <c r="CG19" s="1119"/>
      <c r="CH19" s="1119"/>
      <c r="CI19" s="1119"/>
      <c r="CJ19" s="1140"/>
      <c r="CK19" s="1140"/>
    </row>
    <row r="20">
      <c r="A20" s="1086" t="s">
        <v>3561</v>
      </c>
      <c r="B20" s="1044" t="s">
        <v>7766</v>
      </c>
      <c r="C20" s="1040" t="s">
        <v>548</v>
      </c>
      <c r="D20" s="1041" t="s">
        <v>1260</v>
      </c>
      <c r="E20" s="1042" t="s">
        <v>334</v>
      </c>
      <c r="F20" s="1043" t="s">
        <v>3283</v>
      </c>
      <c r="G20" s="1044" t="s">
        <v>3835</v>
      </c>
      <c r="H20" s="1185" t="s">
        <v>268</v>
      </c>
      <c r="I20" s="1087"/>
      <c r="J20" s="1087"/>
      <c r="K20" s="1087"/>
      <c r="L20" s="1089" t="s">
        <v>1163</v>
      </c>
      <c r="M20" s="1087"/>
      <c r="N20" s="1089" t="s">
        <v>7767</v>
      </c>
      <c r="O20" s="1087"/>
      <c r="P20" s="1050"/>
      <c r="Q20" s="1206" t="s">
        <v>7768</v>
      </c>
      <c r="R20" s="1092"/>
      <c r="S20" s="1091" t="s">
        <v>6009</v>
      </c>
      <c r="T20" s="1206" t="s">
        <v>5383</v>
      </c>
      <c r="U20" s="1207" t="s">
        <v>7769</v>
      </c>
      <c r="V20" s="1091" t="s">
        <v>7770</v>
      </c>
      <c r="W20" s="1050"/>
      <c r="X20" s="1057" t="s">
        <v>2646</v>
      </c>
      <c r="Y20" s="1096" t="s">
        <v>3576</v>
      </c>
      <c r="Z20" s="1096" t="s">
        <v>7568</v>
      </c>
      <c r="AA20" s="1145" t="s">
        <v>7771</v>
      </c>
      <c r="AB20" s="1096" t="s">
        <v>2391</v>
      </c>
      <c r="AC20" s="1096" t="s">
        <v>3904</v>
      </c>
      <c r="AD20" s="1096" t="s">
        <v>3073</v>
      </c>
      <c r="AE20" s="1057" t="s">
        <v>246</v>
      </c>
      <c r="AF20" s="1056" t="s">
        <v>1094</v>
      </c>
      <c r="AG20" s="1096" t="s">
        <v>7772</v>
      </c>
      <c r="AH20" s="1208" t="s">
        <v>3578</v>
      </c>
      <c r="AI20" s="1050"/>
      <c r="AJ20" s="1098"/>
      <c r="AK20" s="1098" t="s">
        <v>7773</v>
      </c>
      <c r="AL20" s="1098" t="s">
        <v>7774</v>
      </c>
      <c r="AM20" s="1098" t="s">
        <v>5109</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5176</v>
      </c>
      <c r="BD20" s="1135"/>
      <c r="BE20" s="1135" t="s">
        <v>7783</v>
      </c>
      <c r="BF20" s="1065"/>
      <c r="BG20" s="1109" t="s">
        <v>7784</v>
      </c>
      <c r="BH20" s="1109" t="s">
        <v>2012</v>
      </c>
      <c r="BI20" s="1109" t="s">
        <v>1826</v>
      </c>
      <c r="BJ20" s="1111"/>
      <c r="BK20" s="1109" t="s">
        <v>1478</v>
      </c>
      <c r="BL20" s="1109" t="s">
        <v>7785</v>
      </c>
      <c r="BM20" s="1109" t="s">
        <v>7786</v>
      </c>
      <c r="BN20" s="1050"/>
      <c r="BO20" s="1167" t="s">
        <v>4864</v>
      </c>
      <c r="BP20" s="1166"/>
      <c r="BQ20" s="1114" t="s">
        <v>2595</v>
      </c>
      <c r="BR20" s="1114" t="s">
        <v>3783</v>
      </c>
      <c r="BS20" s="1153" t="s">
        <v>7787</v>
      </c>
      <c r="BT20" s="1167" t="s">
        <v>2318</v>
      </c>
      <c r="BU20" s="1153" t="s">
        <v>7788</v>
      </c>
      <c r="BV20" s="1114" t="s">
        <v>7789</v>
      </c>
      <c r="BW20" s="1114" t="s">
        <v>7790</v>
      </c>
      <c r="BX20" s="1050"/>
      <c r="BY20" s="1119"/>
      <c r="BZ20" s="1118" t="s">
        <v>3301</v>
      </c>
      <c r="CA20" s="1119"/>
      <c r="CB20" s="1140"/>
      <c r="CC20" s="1119"/>
      <c r="CD20" s="1118" t="s">
        <v>7791</v>
      </c>
      <c r="CE20" s="1118" t="s">
        <v>7792</v>
      </c>
      <c r="CF20" s="1118" t="s">
        <v>7793</v>
      </c>
      <c r="CG20" s="1119"/>
      <c r="CH20" s="1119"/>
      <c r="CI20" s="1118" t="s">
        <v>7794</v>
      </c>
      <c r="CJ20" s="1140"/>
      <c r="CK20" s="1140"/>
    </row>
    <row r="21">
      <c r="A21" s="1086" t="s">
        <v>6627</v>
      </c>
      <c r="B21" s="1044" t="s">
        <v>7795</v>
      </c>
      <c r="C21" s="1040" t="s">
        <v>1260</v>
      </c>
      <c r="D21" s="1041" t="s">
        <v>1260</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5900</v>
      </c>
      <c r="T21" s="1091" t="s">
        <v>5145</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1314</v>
      </c>
      <c r="AN21" s="1098"/>
      <c r="AO21" s="1099"/>
      <c r="AP21" s="1099"/>
      <c r="AQ21" s="1099"/>
      <c r="AR21" s="1099"/>
      <c r="AS21" s="1099"/>
      <c r="AT21" s="1099"/>
      <c r="AU21" s="1099"/>
      <c r="AV21" s="1099"/>
      <c r="AW21" s="1098" t="s">
        <v>3967</v>
      </c>
      <c r="AX21" s="1163" t="s">
        <v>7805</v>
      </c>
      <c r="AY21" s="1099"/>
      <c r="AZ21" s="1065"/>
      <c r="BA21" s="1173"/>
      <c r="BB21" s="1135" t="s">
        <v>7806</v>
      </c>
      <c r="BC21" s="1135" t="s">
        <v>3729</v>
      </c>
      <c r="BD21" s="1135"/>
      <c r="BE21" s="1201" t="s">
        <v>7807</v>
      </c>
      <c r="BF21" s="1065"/>
      <c r="BG21" s="1109" t="s">
        <v>714</v>
      </c>
      <c r="BH21" s="1193" t="s">
        <v>4286</v>
      </c>
      <c r="BI21" s="1109" t="s">
        <v>1760</v>
      </c>
      <c r="BJ21" s="1109" t="s">
        <v>7808</v>
      </c>
      <c r="BK21" s="1109" t="s">
        <v>7809</v>
      </c>
      <c r="BL21" s="1111"/>
      <c r="BM21" s="1109" t="s">
        <v>7810</v>
      </c>
      <c r="BN21" s="1050"/>
      <c r="BO21" s="1114" t="s">
        <v>4723</v>
      </c>
      <c r="BP21" s="1166"/>
      <c r="BQ21" s="1113"/>
      <c r="BR21" s="1153" t="s">
        <v>7811</v>
      </c>
      <c r="BS21" s="1113"/>
      <c r="BT21" s="1114" t="s">
        <v>2367</v>
      </c>
      <c r="BU21" s="1113"/>
      <c r="BV21" s="1114" t="s">
        <v>7812</v>
      </c>
      <c r="BW21" s="1114" t="s">
        <v>2057</v>
      </c>
      <c r="BX21" s="1050"/>
      <c r="BY21" s="1118" t="s">
        <v>4577</v>
      </c>
      <c r="BZ21" s="1156"/>
      <c r="CA21" s="1119"/>
      <c r="CB21" s="1140"/>
      <c r="CC21" s="1119"/>
      <c r="CD21" s="1119"/>
      <c r="CE21" s="1119"/>
      <c r="CF21" s="1119"/>
      <c r="CG21" s="1119"/>
      <c r="CH21" s="1119"/>
      <c r="CI21" s="1119"/>
      <c r="CJ21" s="1140"/>
      <c r="CK21" s="1140"/>
    </row>
    <row r="22">
      <c r="A22" s="1086" t="s">
        <v>2986</v>
      </c>
      <c r="B22" s="1044" t="s">
        <v>7813</v>
      </c>
      <c r="C22" s="1040" t="s">
        <v>548</v>
      </c>
      <c r="D22" s="1041" t="s">
        <v>1260</v>
      </c>
      <c r="E22" s="1042" t="s">
        <v>1260</v>
      </c>
      <c r="F22" s="1043" t="s">
        <v>548</v>
      </c>
      <c r="G22" s="1044" t="s">
        <v>5140</v>
      </c>
      <c r="H22" s="1087"/>
      <c r="I22" s="1087"/>
      <c r="J22" s="1088" t="s">
        <v>313</v>
      </c>
      <c r="K22" s="1088" t="s">
        <v>7814</v>
      </c>
      <c r="L22" s="1088"/>
      <c r="M22" s="1087"/>
      <c r="N22" s="1087"/>
      <c r="O22" s="1088" t="s">
        <v>7815</v>
      </c>
      <c r="P22" s="1050"/>
      <c r="Q22" s="1091" t="s">
        <v>4936</v>
      </c>
      <c r="R22" s="1091" t="s">
        <v>3801</v>
      </c>
      <c r="S22" s="1091" t="s">
        <v>692</v>
      </c>
      <c r="T22" s="1091" t="s">
        <v>253</v>
      </c>
      <c r="U22" s="1092"/>
      <c r="V22" s="1091" t="s">
        <v>7816</v>
      </c>
      <c r="W22" s="1050"/>
      <c r="X22" s="1096" t="s">
        <v>6435</v>
      </c>
      <c r="Y22" s="1161"/>
      <c r="Z22" s="1096" t="s">
        <v>4901</v>
      </c>
      <c r="AA22" s="1096" t="s">
        <v>7817</v>
      </c>
      <c r="AB22" s="1096" t="s">
        <v>3004</v>
      </c>
      <c r="AC22" s="1096" t="s">
        <v>1670</v>
      </c>
      <c r="AD22" s="1096" t="s">
        <v>6690</v>
      </c>
      <c r="AE22" s="1096" t="s">
        <v>2806</v>
      </c>
      <c r="AF22" s="1096"/>
      <c r="AG22" s="1096" t="s">
        <v>7818</v>
      </c>
      <c r="AH22" s="1209" t="s">
        <v>3007</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6189</v>
      </c>
      <c r="BH22" s="1111"/>
      <c r="BI22" s="1109" t="s">
        <v>477</v>
      </c>
      <c r="BJ22" s="1109" t="s">
        <v>7828</v>
      </c>
      <c r="BK22" s="1109" t="s">
        <v>6967</v>
      </c>
      <c r="BL22" s="1109" t="s">
        <v>7829</v>
      </c>
      <c r="BM22" s="1165" t="s">
        <v>7830</v>
      </c>
      <c r="BN22" s="1050"/>
      <c r="BO22" s="1114" t="s">
        <v>7831</v>
      </c>
      <c r="BP22" s="1114" t="s">
        <v>4173</v>
      </c>
      <c r="BQ22" s="1113"/>
      <c r="BR22" s="1114" t="s">
        <v>7832</v>
      </c>
      <c r="BS22" s="1113"/>
      <c r="BT22" s="1114" t="s">
        <v>3025</v>
      </c>
      <c r="BU22" s="1114" t="s">
        <v>5163</v>
      </c>
      <c r="BV22" s="1114" t="s">
        <v>7833</v>
      </c>
      <c r="BW22" s="1114" t="s">
        <v>7834</v>
      </c>
      <c r="BX22" s="1050"/>
      <c r="BY22" s="1210" t="s">
        <v>3550</v>
      </c>
      <c r="BZ22" s="1118" t="s">
        <v>854</v>
      </c>
      <c r="CA22" s="1119"/>
      <c r="CB22" s="1140"/>
      <c r="CC22" s="1119"/>
      <c r="CD22" s="1119"/>
      <c r="CE22" s="1118" t="s">
        <v>7835</v>
      </c>
      <c r="CF22" s="1118" t="s">
        <v>7836</v>
      </c>
      <c r="CG22" s="1119"/>
      <c r="CH22" s="1119"/>
      <c r="CI22" s="1119"/>
      <c r="CJ22" s="1140"/>
      <c r="CK22" s="1140"/>
    </row>
    <row r="23">
      <c r="A23" s="1086" t="s">
        <v>7837</v>
      </c>
      <c r="B23" s="1044" t="s">
        <v>7838</v>
      </c>
      <c r="C23" s="1040" t="s">
        <v>1260</v>
      </c>
      <c r="D23" s="1041" t="s">
        <v>1260</v>
      </c>
      <c r="E23" s="1042" t="s">
        <v>1260</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4132</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7848</v>
      </c>
      <c r="C24" s="1040" t="s">
        <v>1260</v>
      </c>
      <c r="D24" s="1041" t="s">
        <v>548</v>
      </c>
      <c r="E24" s="1042" t="s">
        <v>1260</v>
      </c>
      <c r="F24" s="1043" t="s">
        <v>441</v>
      </c>
      <c r="G24" s="1044" t="s">
        <v>1062</v>
      </c>
      <c r="H24" s="1087"/>
      <c r="I24" s="1087"/>
      <c r="J24" s="1087"/>
      <c r="K24" s="1087"/>
      <c r="L24" s="1087"/>
      <c r="M24" s="1087"/>
      <c r="N24" s="1088" t="s">
        <v>7849</v>
      </c>
      <c r="O24" s="1087"/>
      <c r="P24" s="1050"/>
      <c r="Q24" s="1092"/>
      <c r="R24" s="1092"/>
      <c r="S24" s="1092"/>
      <c r="T24" s="1092"/>
      <c r="U24" s="1091" t="s">
        <v>3119</v>
      </c>
      <c r="V24" s="1091" t="s">
        <v>7850</v>
      </c>
      <c r="W24" s="1050"/>
      <c r="X24" s="1096" t="s">
        <v>199</v>
      </c>
      <c r="Y24" s="1096" t="s">
        <v>7851</v>
      </c>
      <c r="Z24" s="1096" t="s">
        <v>7852</v>
      </c>
      <c r="AA24" s="1216" t="s">
        <v>2891</v>
      </c>
      <c r="AB24" s="1096" t="s">
        <v>658</v>
      </c>
      <c r="AC24" s="1096" t="s">
        <v>1815</v>
      </c>
      <c r="AD24" s="1096" t="s">
        <v>2556</v>
      </c>
      <c r="AE24" s="1096" t="s">
        <v>147</v>
      </c>
      <c r="AF24" s="1096"/>
      <c r="AG24" s="1096" t="s">
        <v>6531</v>
      </c>
      <c r="AH24" s="1217" t="s">
        <v>7853</v>
      </c>
      <c r="AI24" s="1050"/>
      <c r="AJ24" s="1098"/>
      <c r="AK24" s="1098" t="s">
        <v>5757</v>
      </c>
      <c r="AL24" s="1099"/>
      <c r="AM24" s="1098" t="s">
        <v>5161</v>
      </c>
      <c r="AN24" s="1099"/>
      <c r="AO24" s="1099"/>
      <c r="AP24" s="1098" t="s">
        <v>1996</v>
      </c>
      <c r="AQ24" s="1099"/>
      <c r="AR24" s="1098" t="s">
        <v>7854</v>
      </c>
      <c r="AS24" s="1098"/>
      <c r="AT24" s="1198"/>
      <c r="AU24" s="1099"/>
      <c r="AV24" s="1163" t="s">
        <v>7855</v>
      </c>
      <c r="AW24" s="1103" t="s">
        <v>6112</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901</v>
      </c>
      <c r="B25" s="1044" t="s">
        <v>7863</v>
      </c>
      <c r="C25" s="1040" t="s">
        <v>1260</v>
      </c>
      <c r="D25" s="1041" t="s">
        <v>1260</v>
      </c>
      <c r="E25" s="1042" t="s">
        <v>1260</v>
      </c>
      <c r="F25" s="1043" t="s">
        <v>1201</v>
      </c>
      <c r="G25" s="1044" t="s">
        <v>3961</v>
      </c>
      <c r="H25" s="1089" t="s">
        <v>2608</v>
      </c>
      <c r="I25" s="1089" t="s">
        <v>7864</v>
      </c>
      <c r="J25" s="1220"/>
      <c r="K25" s="1089" t="s">
        <v>3304</v>
      </c>
      <c r="L25" s="1088"/>
      <c r="M25" s="1087"/>
      <c r="N25" s="1087"/>
      <c r="O25" s="1159" t="s">
        <v>7865</v>
      </c>
      <c r="P25" s="1050"/>
      <c r="Q25" s="1160" t="s">
        <v>7866</v>
      </c>
      <c r="R25" s="1092"/>
      <c r="S25" s="1092"/>
      <c r="T25" s="1160" t="s">
        <v>5176</v>
      </c>
      <c r="U25" s="1091"/>
      <c r="V25" s="1160" t="s">
        <v>7867</v>
      </c>
      <c r="W25" s="1050"/>
      <c r="X25" s="1128" t="s">
        <v>2145</v>
      </c>
      <c r="Y25" s="1161"/>
      <c r="Z25" s="1128" t="s">
        <v>1841</v>
      </c>
      <c r="AA25" s="1204"/>
      <c r="AB25" s="1128" t="s">
        <v>5321</v>
      </c>
      <c r="AC25" s="1161"/>
      <c r="AD25" s="1161"/>
      <c r="AE25" s="1128" t="s">
        <v>4420</v>
      </c>
      <c r="AF25" s="1096"/>
      <c r="AG25" s="1128" t="s">
        <v>7868</v>
      </c>
      <c r="AH25" s="1059"/>
      <c r="AI25" s="1050"/>
      <c r="AJ25" s="1099"/>
      <c r="AK25" s="1099"/>
      <c r="AL25" s="1099"/>
      <c r="AM25" s="1099"/>
      <c r="AN25" s="1099"/>
      <c r="AO25" s="1163" t="s">
        <v>5090</v>
      </c>
      <c r="AP25" s="1099"/>
      <c r="AQ25" s="1103" t="s">
        <v>3202</v>
      </c>
      <c r="AR25" s="1099"/>
      <c r="AS25" s="1099"/>
      <c r="AT25" s="1099"/>
      <c r="AU25" s="1099"/>
      <c r="AV25" s="1099"/>
      <c r="AW25" s="1103" t="s">
        <v>722</v>
      </c>
      <c r="AX25" s="1099"/>
      <c r="AY25" s="1099"/>
      <c r="AZ25" s="1065"/>
      <c r="BA25" s="1173"/>
      <c r="BB25" s="1173"/>
      <c r="BC25" s="1173"/>
      <c r="BD25" s="1173"/>
      <c r="BE25" s="1201" t="s">
        <v>7869</v>
      </c>
      <c r="BF25" s="1065"/>
      <c r="BG25" s="1193" t="s">
        <v>2623</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6630</v>
      </c>
      <c r="B26" s="1044" t="s">
        <v>7874</v>
      </c>
      <c r="C26" s="1040" t="s">
        <v>1260</v>
      </c>
      <c r="D26" s="1041" t="s">
        <v>1260</v>
      </c>
      <c r="E26" s="1042" t="s">
        <v>1260</v>
      </c>
      <c r="F26" s="1043" t="s">
        <v>439</v>
      </c>
      <c r="G26" s="1044" t="s">
        <v>3961</v>
      </c>
      <c r="H26" s="1087"/>
      <c r="I26" s="1087"/>
      <c r="J26" s="1087"/>
      <c r="K26" s="1087"/>
      <c r="L26" s="1088" t="s">
        <v>746</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4773</v>
      </c>
      <c r="AD26" s="1096" t="s">
        <v>1336</v>
      </c>
      <c r="AE26" s="1096" t="s">
        <v>7880</v>
      </c>
      <c r="AF26" s="1096"/>
      <c r="AG26" s="1128" t="s">
        <v>7881</v>
      </c>
      <c r="AH26" s="1059"/>
      <c r="AI26" s="1050"/>
      <c r="AJ26" s="1099"/>
      <c r="AK26" s="1099"/>
      <c r="AL26" s="1099"/>
      <c r="AM26" s="1098" t="s">
        <v>4951</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4929</v>
      </c>
      <c r="BP26" s="1166"/>
      <c r="BQ26" s="1113"/>
      <c r="BR26" s="1114" t="s">
        <v>7885</v>
      </c>
      <c r="BS26" s="1115" t="s">
        <v>7638</v>
      </c>
      <c r="BT26" s="1114" t="s">
        <v>1321</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6646</v>
      </c>
      <c r="B27" s="1044" t="s">
        <v>7890</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7891</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7892</v>
      </c>
      <c r="BF27" s="1065"/>
      <c r="BG27" s="1111"/>
      <c r="BH27" s="1111"/>
      <c r="BI27" s="1111"/>
      <c r="BJ27" s="1111"/>
      <c r="BK27" s="1111"/>
      <c r="BL27" s="1111"/>
      <c r="BM27" s="1110" t="s">
        <v>7893</v>
      </c>
      <c r="BN27" s="1060"/>
      <c r="BO27" s="1214" t="str">
        <f>HYPERLINK("https://youtu.be/oOY4TocVyJU","1:05.01")</f>
        <v>1:05.01</v>
      </c>
      <c r="BP27" s="1166"/>
      <c r="BQ27" s="1113"/>
      <c r="BR27" s="1114"/>
      <c r="BS27" s="1114"/>
      <c r="BT27" s="1113"/>
      <c r="BU27" s="1113"/>
      <c r="BV27" s="1113"/>
      <c r="BW27" s="1138" t="s">
        <v>7894</v>
      </c>
      <c r="BX27" s="1060"/>
      <c r="BY27" s="1119"/>
      <c r="BZ27" s="1119"/>
      <c r="CA27" s="1156"/>
      <c r="CB27" s="1225"/>
      <c r="CC27" s="1156"/>
      <c r="CD27" s="1119"/>
      <c r="CE27" s="1119"/>
      <c r="CF27" s="1119"/>
      <c r="CG27" s="1119"/>
      <c r="CH27" s="1119"/>
      <c r="CI27" s="1119"/>
      <c r="CJ27" s="1140"/>
      <c r="CK27" s="1140"/>
    </row>
    <row r="28">
      <c r="A28" s="1086" t="s">
        <v>7895</v>
      </c>
      <c r="B28" s="1044" t="s">
        <v>7896</v>
      </c>
      <c r="C28" s="1040" t="s">
        <v>548</v>
      </c>
      <c r="D28" s="1041" t="s">
        <v>1260</v>
      </c>
      <c r="E28" s="1042" t="s">
        <v>548</v>
      </c>
      <c r="F28" s="1043" t="s">
        <v>441</v>
      </c>
      <c r="G28" s="1044" t="s">
        <v>2931</v>
      </c>
      <c r="H28" s="1088" t="s">
        <v>4030</v>
      </c>
      <c r="I28" s="1088"/>
      <c r="J28" s="1088"/>
      <c r="K28" s="1087"/>
      <c r="L28" s="1088" t="s">
        <v>7897</v>
      </c>
      <c r="M28" s="1087"/>
      <c r="N28" s="1088" t="s">
        <v>7898</v>
      </c>
      <c r="O28" s="1087"/>
      <c r="P28" s="1050"/>
      <c r="Q28" s="1091" t="s">
        <v>7899</v>
      </c>
      <c r="R28" s="1092"/>
      <c r="S28" s="1092"/>
      <c r="T28" s="1092"/>
      <c r="U28" s="1160" t="s">
        <v>7900</v>
      </c>
      <c r="V28" s="1091" t="s">
        <v>7901</v>
      </c>
      <c r="W28" s="1050"/>
      <c r="X28" s="1096"/>
      <c r="Y28" s="1096"/>
      <c r="Z28" s="1096" t="s">
        <v>6665</v>
      </c>
      <c r="AA28" s="1216" t="s">
        <v>4602</v>
      </c>
      <c r="AB28" s="1096" t="s">
        <v>1187</v>
      </c>
      <c r="AC28" s="1161"/>
      <c r="AD28" s="1161"/>
      <c r="AE28" s="1096" t="s">
        <v>7902</v>
      </c>
      <c r="AF28" s="1096"/>
      <c r="AG28" s="1129" t="s">
        <v>7903</v>
      </c>
      <c r="AH28" s="1200" t="s">
        <v>7904</v>
      </c>
      <c r="AI28" s="1050"/>
      <c r="AJ28" s="1147"/>
      <c r="AK28" s="1100" t="s">
        <v>7905</v>
      </c>
      <c r="AL28" s="1099"/>
      <c r="AM28" s="1099"/>
      <c r="AN28" s="1099"/>
      <c r="AO28" s="1099"/>
      <c r="AP28" s="1099"/>
      <c r="AQ28" s="1099"/>
      <c r="AR28" s="1163" t="s">
        <v>7906</v>
      </c>
      <c r="AS28" s="1098" t="s">
        <v>7907</v>
      </c>
      <c r="AT28" s="1099"/>
      <c r="AU28" s="1099"/>
      <c r="AV28" s="1163" t="s">
        <v>6569</v>
      </c>
      <c r="AW28" s="1098" t="s">
        <v>2655</v>
      </c>
      <c r="AX28" s="1099"/>
      <c r="AY28" s="1098" t="s">
        <v>7908</v>
      </c>
      <c r="AZ28" s="1065"/>
      <c r="BA28" s="1173"/>
      <c r="BB28" s="1173"/>
      <c r="BC28" s="1173"/>
      <c r="BD28" s="1173"/>
      <c r="BE28" s="1135" t="s">
        <v>7909</v>
      </c>
      <c r="BF28" s="1065"/>
      <c r="BG28" s="1111"/>
      <c r="BH28" s="1111"/>
      <c r="BI28" s="1111"/>
      <c r="BJ28" s="1109"/>
      <c r="BK28" s="1111"/>
      <c r="BL28" s="1192" t="s">
        <v>7910</v>
      </c>
      <c r="BM28" s="1108" t="s">
        <v>7911</v>
      </c>
      <c r="BN28" s="1050"/>
      <c r="BO28" s="1114" t="s">
        <v>4047</v>
      </c>
      <c r="BP28" s="1166"/>
      <c r="BQ28" s="1113"/>
      <c r="BR28" s="1114" t="s">
        <v>7912</v>
      </c>
      <c r="BS28" s="1113"/>
      <c r="BT28" s="1167" t="s">
        <v>975</v>
      </c>
      <c r="BU28" s="1113"/>
      <c r="BV28" s="1114" t="s">
        <v>7913</v>
      </c>
      <c r="BW28" s="1114" t="s">
        <v>7914</v>
      </c>
      <c r="BX28" s="1050"/>
      <c r="BY28" s="1119"/>
      <c r="BZ28" s="1119"/>
      <c r="CA28" s="1119"/>
      <c r="CB28" s="1140"/>
      <c r="CC28" s="1119"/>
      <c r="CD28" s="1119"/>
      <c r="CE28" s="1139" t="s">
        <v>7915</v>
      </c>
      <c r="CF28" s="1119"/>
      <c r="CG28" s="1119"/>
      <c r="CH28" s="1119"/>
      <c r="CI28" s="1119"/>
      <c r="CJ28" s="1140"/>
      <c r="CK28" s="1140"/>
    </row>
    <row r="29">
      <c r="A29" s="1226" t="s">
        <v>6624</v>
      </c>
      <c r="B29" s="1044" t="s">
        <v>7916</v>
      </c>
      <c r="C29" s="1040" t="s">
        <v>1260</v>
      </c>
      <c r="D29" s="1041" t="s">
        <v>1260</v>
      </c>
      <c r="E29" s="1042" t="s">
        <v>1260</v>
      </c>
      <c r="F29" s="1043" t="s">
        <v>440</v>
      </c>
      <c r="G29" s="1044" t="s">
        <v>4104</v>
      </c>
      <c r="H29" s="1185" t="s">
        <v>4223</v>
      </c>
      <c r="I29" s="1088" t="s">
        <v>7917</v>
      </c>
      <c r="J29" s="1088"/>
      <c r="K29" s="1088"/>
      <c r="L29" s="1159" t="s">
        <v>7918</v>
      </c>
      <c r="M29" s="1087"/>
      <c r="N29" s="1089" t="s">
        <v>7919</v>
      </c>
      <c r="O29" s="1087"/>
      <c r="P29" s="1050"/>
      <c r="Q29" s="1092"/>
      <c r="R29" s="1092"/>
      <c r="S29" s="1092"/>
      <c r="T29" s="1092"/>
      <c r="U29" s="1091" t="s">
        <v>417</v>
      </c>
      <c r="V29" s="1095" t="s">
        <v>7920</v>
      </c>
      <c r="W29" s="1050"/>
      <c r="X29" s="1128" t="s">
        <v>4925</v>
      </c>
      <c r="Y29" s="1096" t="s">
        <v>6154</v>
      </c>
      <c r="Z29" s="1128" t="s">
        <v>6070</v>
      </c>
      <c r="AA29" s="1199" t="s">
        <v>4602</v>
      </c>
      <c r="AB29" s="1128" t="s">
        <v>2507</v>
      </c>
      <c r="AC29" s="1057" t="s">
        <v>7921</v>
      </c>
      <c r="AD29" s="1161"/>
      <c r="AE29" s="1057" t="str">
        <f>HYPERLINK("https://twitter.com/Qbe_Root/status/1242884733232648192","56.04")</f>
        <v>56.04</v>
      </c>
      <c r="AF29" s="1129"/>
      <c r="AG29" s="1057" t="s">
        <v>7922</v>
      </c>
      <c r="AH29" s="1059"/>
      <c r="AI29" s="1050"/>
      <c r="AJ29" s="1098"/>
      <c r="AK29" s="1098" t="s">
        <v>7923</v>
      </c>
      <c r="AL29" s="1098" t="s">
        <v>7924</v>
      </c>
      <c r="AM29" s="1098" t="s">
        <v>7925</v>
      </c>
      <c r="AN29" s="1098"/>
      <c r="AO29" s="1099"/>
      <c r="AP29" s="113" t="s">
        <v>7926</v>
      </c>
      <c r="AQ29" s="1099"/>
      <c r="AR29" s="1099"/>
      <c r="AS29" s="1099"/>
      <c r="AT29" s="1099"/>
      <c r="AU29" s="1099"/>
      <c r="AV29" s="1099"/>
      <c r="AW29" s="1098" t="s">
        <v>1620</v>
      </c>
      <c r="AX29" s="1098" t="s">
        <v>7927</v>
      </c>
      <c r="AY29" s="1099"/>
      <c r="AZ29" s="1065"/>
      <c r="BA29" s="1173"/>
      <c r="BB29" s="1173"/>
      <c r="BC29" s="1173"/>
      <c r="BD29" s="1173"/>
      <c r="BE29" s="1201" t="s">
        <v>7928</v>
      </c>
      <c r="BF29" s="1065"/>
      <c r="BG29" s="1109" t="s">
        <v>1470</v>
      </c>
      <c r="BH29" s="1111"/>
      <c r="BI29" s="1111"/>
      <c r="BJ29" s="1111"/>
      <c r="BK29" s="1109" t="s">
        <v>7929</v>
      </c>
      <c r="BL29" s="1111"/>
      <c r="BM29" s="1109" t="s">
        <v>7930</v>
      </c>
      <c r="BN29" s="1050"/>
      <c r="BO29" s="1114" t="s">
        <v>7931</v>
      </c>
      <c r="BP29" s="1166"/>
      <c r="BQ29" s="1113"/>
      <c r="BR29" s="1113"/>
      <c r="BS29" s="1113"/>
      <c r="BT29" s="1167" t="s">
        <v>1477</v>
      </c>
      <c r="BU29" s="1113"/>
      <c r="BV29" s="1227" t="str">
        <f>HYPERLINK("https://twitter.com/Qbe_Root/status/1400138849058275330", "1:53.21")</f>
        <v>1:53.21</v>
      </c>
      <c r="BW29" s="1114" t="s">
        <v>2630</v>
      </c>
      <c r="BX29" s="1050"/>
      <c r="BY29" s="1119"/>
      <c r="BZ29" s="1119"/>
      <c r="CA29" s="1119"/>
      <c r="CB29" s="1140"/>
      <c r="CC29" s="1119"/>
      <c r="CD29" s="1168" t="s">
        <v>4980</v>
      </c>
      <c r="CE29" s="1119"/>
      <c r="CF29" s="1119"/>
      <c r="CG29" s="1119"/>
      <c r="CH29" s="1119"/>
      <c r="CI29" s="1119"/>
      <c r="CJ29" s="1140"/>
      <c r="CK29" s="1140"/>
    </row>
    <row r="30">
      <c r="A30" s="1086" t="s">
        <v>6573</v>
      </c>
      <c r="B30" s="1044" t="s">
        <v>7932</v>
      </c>
      <c r="C30" s="1040" t="s">
        <v>548</v>
      </c>
      <c r="D30" s="1041" t="s">
        <v>1260</v>
      </c>
      <c r="E30" s="1042" t="s">
        <v>1260</v>
      </c>
      <c r="F30" s="1043" t="s">
        <v>548</v>
      </c>
      <c r="G30" s="1044" t="s">
        <v>6244</v>
      </c>
      <c r="H30" s="1087"/>
      <c r="I30" s="1087"/>
      <c r="J30" s="1087"/>
      <c r="K30" s="1087"/>
      <c r="L30" s="1088" t="s">
        <v>7933</v>
      </c>
      <c r="M30" s="1087"/>
      <c r="N30" s="1088" t="s">
        <v>7934</v>
      </c>
      <c r="O30" s="1087"/>
      <c r="P30" s="1050"/>
      <c r="Q30" s="1091" t="s">
        <v>7935</v>
      </c>
      <c r="R30" s="1092"/>
      <c r="S30" s="1091" t="s">
        <v>7936</v>
      </c>
      <c r="T30" s="1092"/>
      <c r="U30" s="1092"/>
      <c r="V30" s="1091" t="s">
        <v>7937</v>
      </c>
      <c r="W30" s="1050"/>
      <c r="X30" s="1161"/>
      <c r="Y30" s="1161"/>
      <c r="Z30" s="1161"/>
      <c r="AA30" s="1204"/>
      <c r="AB30" s="1161"/>
      <c r="AC30" s="1161"/>
      <c r="AD30" s="1096" t="s">
        <v>205</v>
      </c>
      <c r="AE30" s="1096" t="s">
        <v>1297</v>
      </c>
      <c r="AF30" s="1161"/>
      <c r="AG30" s="1096" t="s">
        <v>7938</v>
      </c>
      <c r="AH30" s="1059"/>
      <c r="AI30" s="1050"/>
      <c r="AJ30" s="1099"/>
      <c r="AK30" s="1099"/>
      <c r="AL30" s="1099"/>
      <c r="AM30" s="1098" t="s">
        <v>7939</v>
      </c>
      <c r="AN30" s="1099"/>
      <c r="AO30" s="1099"/>
      <c r="AP30" s="1098" t="s">
        <v>7940</v>
      </c>
      <c r="AQ30" s="1099"/>
      <c r="AR30" s="1098" t="s">
        <v>7941</v>
      </c>
      <c r="AS30" s="1098" t="s">
        <v>7942</v>
      </c>
      <c r="AT30" s="1163" t="s">
        <v>7943</v>
      </c>
      <c r="AU30" s="1098" t="s">
        <v>7944</v>
      </c>
      <c r="AV30" s="1099"/>
      <c r="AW30" s="1098" t="s">
        <v>416</v>
      </c>
      <c r="AX30" s="1099"/>
      <c r="AY30" s="1098" t="s">
        <v>7945</v>
      </c>
      <c r="AZ30" s="1065"/>
      <c r="BA30" s="1135" t="s">
        <v>7946</v>
      </c>
      <c r="BB30" s="1135" t="s">
        <v>7947</v>
      </c>
      <c r="BC30" s="1135" t="s">
        <v>5296</v>
      </c>
      <c r="BD30" s="1173"/>
      <c r="BE30" s="1135" t="s">
        <v>7948</v>
      </c>
      <c r="BF30" s="1065"/>
      <c r="BG30" s="1109" t="s">
        <v>7599</v>
      </c>
      <c r="BH30" s="1109" t="s">
        <v>5794</v>
      </c>
      <c r="BI30" s="1109" t="s">
        <v>3911</v>
      </c>
      <c r="BJ30" s="1193" t="s">
        <v>6404</v>
      </c>
      <c r="BK30" s="1111"/>
      <c r="BL30" s="1109" t="s">
        <v>7949</v>
      </c>
      <c r="BM30" s="1111"/>
      <c r="BN30" s="1050"/>
      <c r="BO30" s="1114" t="s">
        <v>7950</v>
      </c>
      <c r="BP30" s="1166"/>
      <c r="BQ30" s="1113"/>
      <c r="BR30" s="1114" t="s">
        <v>1335</v>
      </c>
      <c r="BS30" s="1113"/>
      <c r="BT30" s="1114" t="s">
        <v>1291</v>
      </c>
      <c r="BU30" s="1113"/>
      <c r="BV30" s="1113"/>
      <c r="BW30" s="1113"/>
      <c r="BX30" s="1050"/>
      <c r="BY30" s="1118" t="s">
        <v>4432</v>
      </c>
      <c r="BZ30" s="1119"/>
      <c r="CA30" s="1119"/>
      <c r="CB30" s="1140"/>
      <c r="CC30" s="1169" t="s">
        <v>7951</v>
      </c>
      <c r="CD30" s="1119"/>
      <c r="CE30" s="1119"/>
      <c r="CF30" s="1118" t="s">
        <v>7435</v>
      </c>
      <c r="CG30" s="1119"/>
      <c r="CH30" s="1119"/>
      <c r="CI30" s="1119"/>
      <c r="CJ30" s="1140"/>
      <c r="CK30" s="1140"/>
    </row>
    <row r="31">
      <c r="A31" s="1086" t="s">
        <v>4040</v>
      </c>
      <c r="B31" s="1044" t="s">
        <v>7952</v>
      </c>
      <c r="C31" s="1040" t="s">
        <v>1260</v>
      </c>
      <c r="D31" s="1041" t="s">
        <v>1260</v>
      </c>
      <c r="E31" s="1042" t="s">
        <v>1260</v>
      </c>
      <c r="F31" s="1043" t="s">
        <v>439</v>
      </c>
      <c r="G31" s="1044" t="s">
        <v>2988</v>
      </c>
      <c r="H31" s="1088" t="s">
        <v>2309</v>
      </c>
      <c r="I31" s="1087"/>
      <c r="J31" s="1087"/>
      <c r="K31" s="1087"/>
      <c r="L31" s="1088" t="s">
        <v>6472</v>
      </c>
      <c r="M31" s="1087"/>
      <c r="N31" s="1088" t="s">
        <v>7953</v>
      </c>
      <c r="O31" s="1087"/>
      <c r="P31" s="1050"/>
      <c r="Q31" s="1091" t="s">
        <v>7954</v>
      </c>
      <c r="R31" s="1092"/>
      <c r="S31" s="1092"/>
      <c r="T31" s="1092"/>
      <c r="U31" s="1160" t="s">
        <v>7562</v>
      </c>
      <c r="V31" s="1091" t="s">
        <v>7955</v>
      </c>
      <c r="W31" s="1050"/>
      <c r="X31" s="1161"/>
      <c r="Y31" s="1161"/>
      <c r="Z31" s="1096" t="s">
        <v>7956</v>
      </c>
      <c r="AA31" s="1204"/>
      <c r="AB31" s="1096" t="s">
        <v>4847</v>
      </c>
      <c r="AC31" s="1096" t="s">
        <v>311</v>
      </c>
      <c r="AD31" s="1161"/>
      <c r="AE31" s="1096" t="s">
        <v>2775</v>
      </c>
      <c r="AF31" s="1096"/>
      <c r="AG31" s="1057" t="s">
        <v>7957</v>
      </c>
      <c r="AH31" s="1209" t="s">
        <v>7958</v>
      </c>
      <c r="AI31" s="1050"/>
      <c r="AJ31" s="1098"/>
      <c r="AK31" s="1098" t="s">
        <v>7959</v>
      </c>
      <c r="AL31" s="1098" t="s">
        <v>7960</v>
      </c>
      <c r="AM31" s="1098" t="s">
        <v>4190</v>
      </c>
      <c r="AN31" s="1098"/>
      <c r="AO31" s="1099"/>
      <c r="AP31" s="1099"/>
      <c r="AQ31" s="1099"/>
      <c r="AR31" s="1098" t="s">
        <v>7961</v>
      </c>
      <c r="AS31" s="1098" t="s">
        <v>7962</v>
      </c>
      <c r="AT31" s="1098"/>
      <c r="AU31" s="1098" t="s">
        <v>7963</v>
      </c>
      <c r="AV31" s="1098"/>
      <c r="AW31" s="1098" t="s">
        <v>194</v>
      </c>
      <c r="AX31" s="1099"/>
      <c r="AY31" s="1098" t="s">
        <v>7964</v>
      </c>
      <c r="AZ31" s="1065"/>
      <c r="BA31" s="1135"/>
      <c r="BB31" s="1135" t="s">
        <v>7965</v>
      </c>
      <c r="BC31" s="1201" t="s">
        <v>4496</v>
      </c>
      <c r="BD31" s="1135"/>
      <c r="BE31" s="1201" t="s">
        <v>7966</v>
      </c>
      <c r="BF31" s="1065"/>
      <c r="BG31" s="1109" t="s">
        <v>7967</v>
      </c>
      <c r="BH31" s="1111"/>
      <c r="BI31" s="1111"/>
      <c r="BJ31" s="1111"/>
      <c r="BK31" s="1111"/>
      <c r="BL31" s="1109" t="s">
        <v>7968</v>
      </c>
      <c r="BM31" s="1109" t="s">
        <v>7969</v>
      </c>
      <c r="BN31" s="1050"/>
      <c r="BO31" s="1114" t="s">
        <v>3392</v>
      </c>
      <c r="BP31" s="1166"/>
      <c r="BQ31" s="1113"/>
      <c r="BR31" s="1114" t="s">
        <v>7970</v>
      </c>
      <c r="BS31" s="1167" t="s">
        <v>7971</v>
      </c>
      <c r="BT31" s="1113"/>
      <c r="BU31" s="1113"/>
      <c r="BV31" s="1114" t="s">
        <v>5333</v>
      </c>
      <c r="BW31" s="1114" t="s">
        <v>4507</v>
      </c>
      <c r="BX31" s="1050"/>
      <c r="BY31" s="1119"/>
      <c r="BZ31" s="1119"/>
      <c r="CA31" s="1119"/>
      <c r="CB31" s="1140"/>
      <c r="CC31" s="1119"/>
      <c r="CD31" s="1119"/>
      <c r="CE31" s="1119"/>
      <c r="CF31" s="1118" t="s">
        <v>7972</v>
      </c>
      <c r="CG31" s="1119"/>
      <c r="CH31" s="1119"/>
      <c r="CI31" s="1139" t="s">
        <v>7973</v>
      </c>
      <c r="CJ31" s="1140"/>
      <c r="CK31" s="1140"/>
    </row>
    <row r="32">
      <c r="A32" s="1086" t="s">
        <v>2929</v>
      </c>
      <c r="B32" s="1044" t="s">
        <v>7974</v>
      </c>
      <c r="C32" s="1040" t="s">
        <v>548</v>
      </c>
      <c r="D32" s="1041" t="s">
        <v>1260</v>
      </c>
      <c r="E32" s="1042" t="s">
        <v>548</v>
      </c>
      <c r="F32" s="1043" t="s">
        <v>441</v>
      </c>
      <c r="G32" s="1044" t="s">
        <v>4219</v>
      </c>
      <c r="H32" s="1088"/>
      <c r="I32" s="1087"/>
      <c r="J32" s="1087"/>
      <c r="K32" s="1087"/>
      <c r="L32" s="1087"/>
      <c r="M32" s="1087"/>
      <c r="N32" s="1087"/>
      <c r="O32" s="1087"/>
      <c r="P32" s="1050"/>
      <c r="Q32" s="1092"/>
      <c r="R32" s="1092"/>
      <c r="S32" s="1092"/>
      <c r="T32" s="1091" t="s">
        <v>1944</v>
      </c>
      <c r="U32" s="1095" t="s">
        <v>7975</v>
      </c>
      <c r="V32" s="1091" t="s">
        <v>7976</v>
      </c>
      <c r="W32" s="1050"/>
      <c r="X32" s="1161"/>
      <c r="Y32" s="1161"/>
      <c r="Z32" s="1161"/>
      <c r="AA32" s="1204"/>
      <c r="AB32" s="1096"/>
      <c r="AC32" s="1056" t="s">
        <v>7977</v>
      </c>
      <c r="AD32" s="1096" t="s">
        <v>7978</v>
      </c>
      <c r="AE32" s="1096" t="s">
        <v>4564</v>
      </c>
      <c r="AF32" s="1096"/>
      <c r="AG32" s="1161"/>
      <c r="AH32" s="1059"/>
      <c r="AI32" s="1050"/>
      <c r="AJ32" s="1099"/>
      <c r="AK32" s="1099"/>
      <c r="AL32" s="1099"/>
      <c r="AM32" s="1099"/>
      <c r="AN32" s="1099"/>
      <c r="AO32" s="1099"/>
      <c r="AP32" s="1132" t="s">
        <v>7979</v>
      </c>
      <c r="AQ32" s="1099"/>
      <c r="AR32" s="1099"/>
      <c r="AS32" s="1099"/>
      <c r="AT32" s="1099"/>
      <c r="AU32" s="1099"/>
      <c r="AV32" s="1099"/>
      <c r="AW32" s="1098" t="s">
        <v>1703</v>
      </c>
      <c r="AX32" s="1099"/>
      <c r="AY32" s="1099"/>
      <c r="AZ32" s="1065"/>
      <c r="BA32" s="1173"/>
      <c r="BB32" s="1173"/>
      <c r="BC32" s="1106" t="s">
        <v>5624</v>
      </c>
      <c r="BD32" s="1104"/>
      <c r="BE32" s="1135" t="s">
        <v>7980</v>
      </c>
      <c r="BF32" s="1065"/>
      <c r="BG32" s="1111"/>
      <c r="BH32" s="1111"/>
      <c r="BI32" s="1111"/>
      <c r="BJ32" s="1111"/>
      <c r="BK32" s="1111"/>
      <c r="BL32" s="1111"/>
      <c r="BM32" s="1111"/>
      <c r="BN32" s="1050"/>
      <c r="BO32" s="1114" t="s">
        <v>7981</v>
      </c>
      <c r="BP32" s="1166"/>
      <c r="BQ32" s="1113"/>
      <c r="BR32" s="1113"/>
      <c r="BS32" s="1113"/>
      <c r="BT32" s="1113"/>
      <c r="BU32" s="1113"/>
      <c r="BV32" s="1114" t="s">
        <v>7982</v>
      </c>
      <c r="BW32" s="1113"/>
      <c r="BX32" s="1050"/>
      <c r="BY32" s="1119"/>
      <c r="BZ32" s="1119"/>
      <c r="CA32" s="1119"/>
      <c r="CB32" s="1140"/>
      <c r="CC32" s="1119"/>
      <c r="CD32" s="1119"/>
      <c r="CE32" s="1119"/>
      <c r="CF32" s="1119"/>
      <c r="CG32" s="1119"/>
      <c r="CH32" s="1119"/>
      <c r="CI32" s="1119"/>
      <c r="CJ32" s="1140"/>
      <c r="CK32" s="1140"/>
    </row>
    <row r="33">
      <c r="A33" s="1086" t="s">
        <v>7983</v>
      </c>
      <c r="B33" s="1044" t="s">
        <v>6006</v>
      </c>
      <c r="C33" s="1040" t="s">
        <v>1260</v>
      </c>
      <c r="D33" s="1041" t="s">
        <v>1260</v>
      </c>
      <c r="E33" s="1042" t="s">
        <v>1260</v>
      </c>
      <c r="F33" s="1043" t="s">
        <v>1260</v>
      </c>
      <c r="G33" s="1044" t="s">
        <v>222</v>
      </c>
      <c r="H33" s="1087"/>
      <c r="I33" s="1087"/>
      <c r="J33" s="1088" t="s">
        <v>7984</v>
      </c>
      <c r="K33" s="1087"/>
      <c r="L33" s="1087"/>
      <c r="M33" s="1087"/>
      <c r="N33" s="1087"/>
      <c r="O33" s="1088" t="s">
        <v>7985</v>
      </c>
      <c r="P33" s="1050"/>
      <c r="Q33" s="1092"/>
      <c r="R33" s="1092"/>
      <c r="S33" s="1092"/>
      <c r="T33" s="1092"/>
      <c r="U33" s="1092"/>
      <c r="V33" s="1091" t="s">
        <v>7986</v>
      </c>
      <c r="W33" s="1050"/>
      <c r="X33" s="1161"/>
      <c r="Y33" s="1161"/>
      <c r="Z33" s="1161"/>
      <c r="AA33" s="1204"/>
      <c r="AB33" s="1161"/>
      <c r="AC33" s="1161"/>
      <c r="AD33" s="1161"/>
      <c r="AE33" s="1096" t="s">
        <v>2300</v>
      </c>
      <c r="AF33" s="1096"/>
      <c r="AG33" s="1096" t="s">
        <v>7987</v>
      </c>
      <c r="AH33" s="1059"/>
      <c r="AI33" s="1050"/>
      <c r="AJ33" s="1099"/>
      <c r="AK33" s="1099"/>
      <c r="AL33" s="1099"/>
      <c r="AM33" s="1099"/>
      <c r="AN33" s="1099"/>
      <c r="AO33" s="1099"/>
      <c r="AP33" s="1098" t="s">
        <v>7988</v>
      </c>
      <c r="AQ33" s="1099"/>
      <c r="AR33" s="1099"/>
      <c r="AS33" s="1099"/>
      <c r="AT33" s="1099"/>
      <c r="AU33" s="1099"/>
      <c r="AV33" s="1099"/>
      <c r="AW33" s="1099"/>
      <c r="AX33" s="1099"/>
      <c r="AY33" s="1099"/>
      <c r="AZ33" s="1065"/>
      <c r="BA33" s="1135" t="s">
        <v>7989</v>
      </c>
      <c r="BB33" s="1173"/>
      <c r="BC33" s="1135"/>
      <c r="BD33" s="1135"/>
      <c r="BE33" s="1135" t="s">
        <v>7990</v>
      </c>
      <c r="BF33" s="1065"/>
      <c r="BG33" s="1111"/>
      <c r="BH33" s="1111"/>
      <c r="BI33" s="1111"/>
      <c r="BJ33" s="1111"/>
      <c r="BK33" s="1111"/>
      <c r="BL33" s="1111"/>
      <c r="BM33" s="1109" t="s">
        <v>7991</v>
      </c>
      <c r="BN33" s="1050"/>
      <c r="BO33" s="1113"/>
      <c r="BP33" s="1166"/>
      <c r="BQ33" s="1113"/>
      <c r="BR33" s="1114" t="s">
        <v>2473</v>
      </c>
      <c r="BS33" s="1113"/>
      <c r="BT33" s="1113"/>
      <c r="BU33" s="1113"/>
      <c r="BV33" s="1167" t="s">
        <v>7992</v>
      </c>
      <c r="BW33" s="1114" t="s">
        <v>7993</v>
      </c>
      <c r="BX33" s="1050"/>
      <c r="BY33" s="1118" t="s">
        <v>6301</v>
      </c>
      <c r="BZ33" s="1119"/>
      <c r="CA33" s="1118"/>
      <c r="CB33" s="1168"/>
      <c r="CC33" s="1118"/>
      <c r="CD33" s="1119"/>
      <c r="CE33" s="1119"/>
      <c r="CF33" s="1119"/>
      <c r="CG33" s="1119"/>
      <c r="CH33" s="1119"/>
      <c r="CI33" s="1119"/>
      <c r="CJ33" s="1140"/>
      <c r="CK33" s="1140"/>
    </row>
    <row r="34">
      <c r="A34" s="1228" t="s">
        <v>5051</v>
      </c>
      <c r="B34" s="1044" t="s">
        <v>3564</v>
      </c>
      <c r="C34" s="1040" t="s">
        <v>1260</v>
      </c>
      <c r="D34" s="1041" t="s">
        <v>1260</v>
      </c>
      <c r="E34" s="1042" t="s">
        <v>1260</v>
      </c>
      <c r="F34" s="1043" t="s">
        <v>441</v>
      </c>
      <c r="G34" s="1044" t="s">
        <v>6281</v>
      </c>
      <c r="H34" s="1088" t="s">
        <v>7994</v>
      </c>
      <c r="I34" s="1087"/>
      <c r="J34" s="1087"/>
      <c r="K34" s="1087"/>
      <c r="L34" s="1087"/>
      <c r="M34" s="1087"/>
      <c r="N34" s="1087"/>
      <c r="O34" s="1087"/>
      <c r="P34" s="1050"/>
      <c r="Q34" s="1092"/>
      <c r="R34" s="1092"/>
      <c r="S34" s="1091" t="s">
        <v>1025</v>
      </c>
      <c r="T34" s="1091" t="s">
        <v>1979</v>
      </c>
      <c r="U34" s="1091" t="s">
        <v>4561</v>
      </c>
      <c r="V34" s="1091" t="s">
        <v>7995</v>
      </c>
      <c r="W34" s="1050"/>
      <c r="X34" s="1096" t="s">
        <v>1667</v>
      </c>
      <c r="Y34" s="1161"/>
      <c r="Z34" s="1161"/>
      <c r="AA34" s="1204"/>
      <c r="AB34" s="1161"/>
      <c r="AC34" s="1161"/>
      <c r="AD34" s="1161"/>
      <c r="AE34" s="1161"/>
      <c r="AF34" s="1096"/>
      <c r="AG34" s="1161"/>
      <c r="AH34" s="1059"/>
      <c r="AI34" s="1050"/>
      <c r="AJ34" s="1099"/>
      <c r="AK34" s="1099"/>
      <c r="AL34" s="1099"/>
      <c r="AM34" s="1098" t="s">
        <v>7996</v>
      </c>
      <c r="AN34" s="1099"/>
      <c r="AO34" s="1099"/>
      <c r="AP34" s="1098" t="s">
        <v>7997</v>
      </c>
      <c r="AQ34" s="1099"/>
      <c r="AR34" s="1103" t="s">
        <v>7998</v>
      </c>
      <c r="AS34" s="1099"/>
      <c r="AT34" s="1099"/>
      <c r="AU34" s="1099"/>
      <c r="AV34" s="1099"/>
      <c r="AW34" s="1098" t="s">
        <v>1440</v>
      </c>
      <c r="AX34" s="1099"/>
      <c r="AY34" s="1099"/>
      <c r="AZ34" s="1065"/>
      <c r="BA34" s="1173"/>
      <c r="BB34" s="1135" t="s">
        <v>7999</v>
      </c>
      <c r="BC34" s="1135" t="s">
        <v>422</v>
      </c>
      <c r="BD34" s="1135"/>
      <c r="BE34" s="1135" t="s">
        <v>8000</v>
      </c>
      <c r="BF34" s="1065"/>
      <c r="BG34" s="1111"/>
      <c r="BH34" s="1111"/>
      <c r="BI34" s="1111"/>
      <c r="BJ34" s="1111"/>
      <c r="BK34" s="1111"/>
      <c r="BL34" s="1111"/>
      <c r="BM34" s="1111"/>
      <c r="BN34" s="1050"/>
      <c r="BO34" s="1115" t="s">
        <v>8001</v>
      </c>
      <c r="BP34" s="1166"/>
      <c r="BQ34" s="1115" t="s">
        <v>1036</v>
      </c>
      <c r="BR34" s="1113"/>
      <c r="BS34" s="1113"/>
      <c r="BT34" s="1113"/>
      <c r="BU34" s="1113"/>
      <c r="BV34" s="1114" t="s">
        <v>7947</v>
      </c>
      <c r="BW34" s="1114" t="s">
        <v>8002</v>
      </c>
      <c r="BX34" s="1050"/>
      <c r="BY34" s="1119"/>
      <c r="BZ34" s="1139" t="s">
        <v>6681</v>
      </c>
      <c r="CA34" s="1119"/>
      <c r="CB34" s="1140"/>
      <c r="CC34" s="1119"/>
      <c r="CD34" s="1119"/>
      <c r="CE34" s="1119"/>
      <c r="CF34" s="1119"/>
      <c r="CG34" s="1119"/>
      <c r="CH34" s="1119"/>
      <c r="CI34" s="1119"/>
      <c r="CJ34" s="1140"/>
      <c r="CK34" s="1140"/>
    </row>
    <row r="35">
      <c r="A35" s="1086" t="s">
        <v>2190</v>
      </c>
      <c r="B35" s="1044" t="s">
        <v>1351</v>
      </c>
      <c r="C35" s="1040" t="s">
        <v>548</v>
      </c>
      <c r="D35" s="1041" t="s">
        <v>1260</v>
      </c>
      <c r="E35" s="1042" t="s">
        <v>1260</v>
      </c>
      <c r="F35" s="1043" t="s">
        <v>548</v>
      </c>
      <c r="G35" s="1044" t="s">
        <v>223</v>
      </c>
      <c r="H35" s="1088"/>
      <c r="I35" s="1087"/>
      <c r="J35" s="1087"/>
      <c r="K35" s="1087"/>
      <c r="L35" s="1088" t="s">
        <v>8003</v>
      </c>
      <c r="M35" s="1087"/>
      <c r="N35" s="1088" t="s">
        <v>8004</v>
      </c>
      <c r="O35" s="1088"/>
      <c r="P35" s="1050"/>
      <c r="Q35" s="1091" t="s">
        <v>8005</v>
      </c>
      <c r="R35" s="1092"/>
      <c r="S35" s="1092"/>
      <c r="T35" s="1092"/>
      <c r="U35" s="1092"/>
      <c r="V35" s="1091" t="s">
        <v>8006</v>
      </c>
      <c r="W35" s="1050"/>
      <c r="X35" s="1161"/>
      <c r="Y35" s="1161"/>
      <c r="Z35" s="1096" t="s">
        <v>8007</v>
      </c>
      <c r="AA35" s="1096" t="s">
        <v>8008</v>
      </c>
      <c r="AB35" s="1096" t="s">
        <v>3922</v>
      </c>
      <c r="AC35" s="1096" t="s">
        <v>8009</v>
      </c>
      <c r="AD35" s="1161"/>
      <c r="AE35" s="1096" t="s">
        <v>2601</v>
      </c>
      <c r="AF35" s="1096"/>
      <c r="AG35" s="1161"/>
      <c r="AH35" s="1209" t="s">
        <v>8010</v>
      </c>
      <c r="AI35" s="1050"/>
      <c r="AJ35" s="1099"/>
      <c r="AK35" s="1099"/>
      <c r="AL35" s="1099"/>
      <c r="AM35" s="1099"/>
      <c r="AN35" s="1099"/>
      <c r="AO35" s="1099"/>
      <c r="AP35" s="1098" t="s">
        <v>8011</v>
      </c>
      <c r="AQ35" s="1099"/>
      <c r="AR35" s="1099"/>
      <c r="AS35" s="1099"/>
      <c r="AT35" s="1099"/>
      <c r="AU35" s="1099"/>
      <c r="AV35" s="1099"/>
      <c r="AW35" s="1098" t="s">
        <v>435</v>
      </c>
      <c r="AX35" s="1099"/>
      <c r="AY35" s="1098" t="s">
        <v>8012</v>
      </c>
      <c r="AZ35" s="1065"/>
      <c r="BA35" s="1135" t="s">
        <v>8013</v>
      </c>
      <c r="BB35" s="1135" t="s">
        <v>8014</v>
      </c>
      <c r="BC35" s="1173"/>
      <c r="BD35" s="1173"/>
      <c r="BE35" s="1135" t="s">
        <v>8015</v>
      </c>
      <c r="BF35" s="1065"/>
      <c r="BG35" s="1111"/>
      <c r="BH35" s="1111"/>
      <c r="BI35" s="1111"/>
      <c r="BJ35" s="1111"/>
      <c r="BK35" s="1111"/>
      <c r="BL35" s="1174" t="s">
        <v>8016</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743</v>
      </c>
      <c r="C36" s="1040" t="s">
        <v>548</v>
      </c>
      <c r="D36" s="1041" t="s">
        <v>1260</v>
      </c>
      <c r="E36" s="1042" t="s">
        <v>1260</v>
      </c>
      <c r="F36" s="1043" t="s">
        <v>441</v>
      </c>
      <c r="G36" s="1044" t="s">
        <v>987</v>
      </c>
      <c r="H36" s="1088" t="s">
        <v>841</v>
      </c>
      <c r="I36" s="1087"/>
      <c r="J36" s="1087"/>
      <c r="K36" s="1087"/>
      <c r="L36" s="1087"/>
      <c r="M36" s="1087"/>
      <c r="N36" s="1089" t="s">
        <v>8017</v>
      </c>
      <c r="O36" s="1087"/>
      <c r="P36" s="1050"/>
      <c r="Q36" s="1092"/>
      <c r="R36" s="1092"/>
      <c r="S36" s="1171" t="s">
        <v>2808</v>
      </c>
      <c r="T36" s="1092"/>
      <c r="U36" s="1092"/>
      <c r="V36" s="1091" t="s">
        <v>8018</v>
      </c>
      <c r="W36" s="1050"/>
      <c r="X36" s="1161"/>
      <c r="Y36" s="1161"/>
      <c r="Z36" s="1096" t="s">
        <v>7796</v>
      </c>
      <c r="AA36" s="1145" t="s">
        <v>609</v>
      </c>
      <c r="AB36" s="1161"/>
      <c r="AC36" s="1161"/>
      <c r="AD36" s="1096" t="s">
        <v>4940</v>
      </c>
      <c r="AE36" s="1096" t="s">
        <v>751</v>
      </c>
      <c r="AF36" s="1161"/>
      <c r="AG36" s="1161"/>
      <c r="AH36" s="1217" t="s">
        <v>8019</v>
      </c>
      <c r="AI36" s="1050"/>
      <c r="AJ36" s="1099"/>
      <c r="AK36" s="1099"/>
      <c r="AL36" s="1099"/>
      <c r="AM36" s="1098" t="s">
        <v>8020</v>
      </c>
      <c r="AN36" s="1099"/>
      <c r="AO36" s="1099"/>
      <c r="AP36" s="1099"/>
      <c r="AQ36" s="1099"/>
      <c r="AR36" s="1099"/>
      <c r="AS36" s="1099"/>
      <c r="AT36" s="1099"/>
      <c r="AU36" s="1099"/>
      <c r="AV36" s="1099"/>
      <c r="AW36" s="1099"/>
      <c r="AX36" s="1099"/>
      <c r="AY36" s="1098" t="s">
        <v>8021</v>
      </c>
      <c r="AZ36" s="1065"/>
      <c r="BA36" s="1173"/>
      <c r="BB36" s="1173"/>
      <c r="BC36" s="1173"/>
      <c r="BD36" s="1135" t="s">
        <v>8022</v>
      </c>
      <c r="BE36" s="1135" t="s">
        <v>8023</v>
      </c>
      <c r="BF36" s="1065"/>
      <c r="BG36" s="1109" t="s">
        <v>1394</v>
      </c>
      <c r="BH36" s="1111"/>
      <c r="BI36" s="1111"/>
      <c r="BJ36" s="1111"/>
      <c r="BK36" s="1111"/>
      <c r="BL36" s="1109" t="s">
        <v>8024</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1260</v>
      </c>
      <c r="D37" s="1041" t="s">
        <v>1260</v>
      </c>
      <c r="E37" s="1042" t="s">
        <v>1260</v>
      </c>
      <c r="F37" s="1043" t="s">
        <v>1260</v>
      </c>
      <c r="G37" s="1044" t="s">
        <v>2837</v>
      </c>
      <c r="H37" s="1087"/>
      <c r="I37" s="1087"/>
      <c r="J37" s="1087"/>
      <c r="K37" s="1087"/>
      <c r="L37" s="1088" t="s">
        <v>8025</v>
      </c>
      <c r="M37" s="1087"/>
      <c r="N37" s="1088" t="s">
        <v>8026</v>
      </c>
      <c r="O37" s="1087"/>
      <c r="P37" s="1050"/>
      <c r="Q37" s="1092"/>
      <c r="R37" s="1092"/>
      <c r="S37" s="1092"/>
      <c r="T37" s="1092"/>
      <c r="U37" s="1091" t="s">
        <v>4508</v>
      </c>
      <c r="V37" s="1091" t="s">
        <v>8027</v>
      </c>
      <c r="W37" s="1050"/>
      <c r="X37" s="1161"/>
      <c r="Y37" s="1161"/>
      <c r="Z37" s="1096" t="s">
        <v>8028</v>
      </c>
      <c r="AA37" s="1204"/>
      <c r="AB37" s="1161"/>
      <c r="AC37" s="1161"/>
      <c r="AD37" s="1096" t="s">
        <v>1414</v>
      </c>
      <c r="AE37" s="1096" t="s">
        <v>3262</v>
      </c>
      <c r="AF37" s="1096"/>
      <c r="AG37" s="1161"/>
      <c r="AH37" s="1209" t="s">
        <v>8029</v>
      </c>
      <c r="AI37" s="1050"/>
      <c r="AJ37" s="1099"/>
      <c r="AK37" s="1099"/>
      <c r="AL37" s="1099"/>
      <c r="AM37" s="1098" t="s">
        <v>2979</v>
      </c>
      <c r="AN37" s="1099"/>
      <c r="AO37" s="1099"/>
      <c r="AP37" s="1099"/>
      <c r="AQ37" s="1099"/>
      <c r="AR37" s="1099"/>
      <c r="AS37" s="1099"/>
      <c r="AT37" s="1099"/>
      <c r="AU37" s="1099"/>
      <c r="AV37" s="1099"/>
      <c r="AW37" s="1098" t="s">
        <v>1285</v>
      </c>
      <c r="AX37" s="1099"/>
      <c r="AY37" s="1099"/>
      <c r="AZ37" s="1065"/>
      <c r="BA37" s="1173"/>
      <c r="BB37" s="1173"/>
      <c r="BC37" s="1173"/>
      <c r="BD37" s="1173"/>
      <c r="BE37" s="1135" t="s">
        <v>8030</v>
      </c>
      <c r="BF37" s="1065"/>
      <c r="BG37" s="1109" t="s">
        <v>8031</v>
      </c>
      <c r="BH37" s="1109" t="s">
        <v>2996</v>
      </c>
      <c r="BI37" s="1111"/>
      <c r="BJ37" s="1111"/>
      <c r="BK37" s="1111"/>
      <c r="BL37" s="1109" t="s">
        <v>8032</v>
      </c>
      <c r="BM37" s="1111"/>
      <c r="BN37" s="1050"/>
      <c r="BO37" s="1114" t="s">
        <v>1833</v>
      </c>
      <c r="BP37" s="1166"/>
      <c r="BQ37" s="1113"/>
      <c r="BR37" s="1113"/>
      <c r="BS37" s="1113"/>
      <c r="BT37" s="1114" t="s">
        <v>4386</v>
      </c>
      <c r="BU37" s="1113"/>
      <c r="BV37" s="1114" t="s">
        <v>8033</v>
      </c>
      <c r="BW37" s="1114" t="s">
        <v>8034</v>
      </c>
      <c r="BX37" s="1050"/>
      <c r="BY37" s="1119"/>
      <c r="BZ37" s="1119"/>
      <c r="CA37" s="1119"/>
      <c r="CB37" s="1140"/>
      <c r="CC37" s="1119"/>
      <c r="CD37" s="1119"/>
      <c r="CE37" s="1119"/>
      <c r="CF37" s="1119"/>
      <c r="CG37" s="1119"/>
      <c r="CH37" s="1168" t="s">
        <v>6076</v>
      </c>
      <c r="CI37" s="1119"/>
      <c r="CJ37" s="1140"/>
      <c r="CK37" s="1140"/>
    </row>
    <row r="38">
      <c r="A38" s="1086" t="s">
        <v>5238</v>
      </c>
      <c r="B38" s="1044" t="s">
        <v>8035</v>
      </c>
      <c r="C38" s="1040" t="s">
        <v>1260</v>
      </c>
      <c r="D38" s="1041" t="s">
        <v>1260</v>
      </c>
      <c r="E38" s="1042" t="s">
        <v>1260</v>
      </c>
      <c r="F38" s="1043" t="s">
        <v>548</v>
      </c>
      <c r="G38" s="1044" t="s">
        <v>222</v>
      </c>
      <c r="H38" s="1087"/>
      <c r="I38" s="1087"/>
      <c r="J38" s="1087"/>
      <c r="K38" s="1087"/>
      <c r="L38" s="1185" t="s">
        <v>293</v>
      </c>
      <c r="M38" s="1087"/>
      <c r="N38" s="1088" t="s">
        <v>8036</v>
      </c>
      <c r="O38" s="1087"/>
      <c r="P38" s="1050"/>
      <c r="Q38" s="1092"/>
      <c r="R38" s="1092"/>
      <c r="S38" s="1091" t="s">
        <v>8037</v>
      </c>
      <c r="T38" s="1092"/>
      <c r="U38" s="1092"/>
      <c r="V38" s="1092"/>
      <c r="W38" s="1050"/>
      <c r="X38" s="1161"/>
      <c r="Y38" s="1161"/>
      <c r="Z38" s="1161"/>
      <c r="AA38" s="1216" t="s">
        <v>6958</v>
      </c>
      <c r="AB38" s="1130" t="s">
        <v>8038</v>
      </c>
      <c r="AC38" s="1161"/>
      <c r="AD38" s="1161"/>
      <c r="AE38" s="1161"/>
      <c r="AF38" s="1161"/>
      <c r="AG38" s="1161"/>
      <c r="AH38" s="1209" t="s">
        <v>8039</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8040</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8041</v>
      </c>
      <c r="BX38" s="1050"/>
      <c r="BY38" s="1119"/>
      <c r="BZ38" s="1210" t="s">
        <v>2841</v>
      </c>
      <c r="CA38" s="1119"/>
      <c r="CB38" s="1140"/>
      <c r="CC38" s="1119"/>
      <c r="CD38" s="1119"/>
      <c r="CE38" s="1119"/>
      <c r="CF38" s="1118" t="s">
        <v>8042</v>
      </c>
      <c r="CG38" s="1119"/>
      <c r="CH38" s="1119"/>
      <c r="CI38" s="1139" t="s">
        <v>5010</v>
      </c>
      <c r="CJ38" s="1140"/>
      <c r="CK38" s="1140"/>
    </row>
    <row r="39">
      <c r="A39" s="1086" t="s">
        <v>8043</v>
      </c>
      <c r="B39" s="1044" t="s">
        <v>5270</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8044</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1419</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8045</v>
      </c>
      <c r="Z40" s="773"/>
      <c r="AA40" s="773"/>
      <c r="AB40" s="734" t="s">
        <v>5132</v>
      </c>
      <c r="AC40" s="773"/>
      <c r="AD40" s="1233"/>
      <c r="AE40" s="1233"/>
      <c r="AF40" s="1233"/>
      <c r="AG40" s="734" t="s">
        <v>8046</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8047</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1260</v>
      </c>
      <c r="D42" s="1041" t="s">
        <v>1260</v>
      </c>
      <c r="E42" s="1042" t="s">
        <v>1260</v>
      </c>
      <c r="F42" s="1043" t="s">
        <v>1260</v>
      </c>
      <c r="G42" s="1044" t="s">
        <v>4219</v>
      </c>
      <c r="H42" s="1087"/>
      <c r="I42" s="1087"/>
      <c r="J42" s="1088" t="s">
        <v>8048</v>
      </c>
      <c r="K42" s="1088"/>
      <c r="L42" s="1088"/>
      <c r="M42" s="1088" t="s">
        <v>8049</v>
      </c>
      <c r="N42" s="1087"/>
      <c r="O42" s="1088" t="s">
        <v>8050</v>
      </c>
      <c r="P42" s="1050"/>
      <c r="Q42" s="1092"/>
      <c r="R42" s="1091" t="s">
        <v>7298</v>
      </c>
      <c r="S42" s="1092"/>
      <c r="T42" s="1092"/>
      <c r="U42" s="1092"/>
      <c r="V42" s="1091" t="s">
        <v>8051</v>
      </c>
      <c r="W42" s="1050"/>
      <c r="X42" s="1161"/>
      <c r="Y42" s="1161"/>
      <c r="Z42" s="1161"/>
      <c r="AA42" s="1216" t="s">
        <v>8052</v>
      </c>
      <c r="AB42" s="1096" t="s">
        <v>8053</v>
      </c>
      <c r="AC42" s="1161"/>
      <c r="AD42" s="1161"/>
      <c r="AE42" s="1161"/>
      <c r="AF42" s="1161"/>
      <c r="AG42" s="1096" t="s">
        <v>8054</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8055</v>
      </c>
      <c r="BF42" s="1065"/>
      <c r="BG42" s="1111"/>
      <c r="BH42" s="1111"/>
      <c r="BI42" s="1111"/>
      <c r="BJ42" s="1111"/>
      <c r="BK42" s="1111"/>
      <c r="BL42" s="1111"/>
      <c r="BM42" s="1109" t="s">
        <v>8056</v>
      </c>
      <c r="BN42" s="1050"/>
      <c r="BO42" s="1113"/>
      <c r="BP42" s="1166"/>
      <c r="BQ42" s="1113"/>
      <c r="BR42" s="1113"/>
      <c r="BS42" s="1113"/>
      <c r="BT42" s="1113"/>
      <c r="BU42" s="1113"/>
      <c r="BV42" s="1114" t="s">
        <v>7471</v>
      </c>
      <c r="BW42" s="1114" t="s">
        <v>8057</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1260</v>
      </c>
      <c r="D43" s="1041" t="s">
        <v>548</v>
      </c>
      <c r="E43" s="1042" t="s">
        <v>1260</v>
      </c>
      <c r="F43" s="1043" t="s">
        <v>441</v>
      </c>
      <c r="G43" s="1044" t="s">
        <v>2676</v>
      </c>
      <c r="H43" s="1088" t="s">
        <v>2061</v>
      </c>
      <c r="I43" s="1088"/>
      <c r="J43" s="1087"/>
      <c r="K43" s="1087"/>
      <c r="L43" s="1088" t="s">
        <v>8058</v>
      </c>
      <c r="M43" s="1087"/>
      <c r="N43" s="1089" t="s">
        <v>8059</v>
      </c>
      <c r="O43" s="1087"/>
      <c r="P43" s="1050"/>
      <c r="Q43" s="1091" t="s">
        <v>8060</v>
      </c>
      <c r="R43" s="1092"/>
      <c r="S43" s="1092"/>
      <c r="T43" s="1092"/>
      <c r="U43" s="1092"/>
      <c r="V43" s="1091" t="s">
        <v>8061</v>
      </c>
      <c r="W43" s="1050"/>
      <c r="X43" s="1161"/>
      <c r="Y43" s="1161"/>
      <c r="Z43" s="1161"/>
      <c r="AA43" s="1204"/>
      <c r="AB43" s="1161"/>
      <c r="AC43" s="1161"/>
      <c r="AD43" s="1161"/>
      <c r="AE43" s="1161"/>
      <c r="AF43" s="1161"/>
      <c r="AG43" s="1161"/>
      <c r="AH43" s="1209" t="s">
        <v>8062</v>
      </c>
      <c r="AI43" s="1050"/>
      <c r="AJ43" s="1099"/>
      <c r="AK43" s="1099"/>
      <c r="AL43" s="1099"/>
      <c r="AM43" s="1099"/>
      <c r="AN43" s="1099"/>
      <c r="AO43" s="1099"/>
      <c r="AP43" s="1099"/>
      <c r="AQ43" s="1099"/>
      <c r="AR43" s="1099"/>
      <c r="AS43" s="1099"/>
      <c r="AT43" s="1099"/>
      <c r="AU43" s="1099"/>
      <c r="AV43" s="1099"/>
      <c r="AW43" s="1098" t="s">
        <v>1923</v>
      </c>
      <c r="AX43" s="1099"/>
      <c r="AY43" s="1099"/>
      <c r="AZ43" s="1065"/>
      <c r="BA43" s="1173"/>
      <c r="BB43" s="1173"/>
      <c r="BC43" s="1135" t="s">
        <v>8063</v>
      </c>
      <c r="BD43" s="1105" t="s">
        <v>8064</v>
      </c>
      <c r="BE43" s="1135" t="s">
        <v>8065</v>
      </c>
      <c r="BF43" s="1065"/>
      <c r="BG43" s="1111"/>
      <c r="BH43" s="1111"/>
      <c r="BI43" s="1111"/>
      <c r="BJ43" s="1111"/>
      <c r="BK43" s="1111"/>
      <c r="BL43" s="1111"/>
      <c r="BM43" s="1111"/>
      <c r="BN43" s="1050"/>
      <c r="BO43" s="1113"/>
      <c r="BP43" s="1166"/>
      <c r="BQ43" s="1114" t="s">
        <v>3658</v>
      </c>
      <c r="BR43" s="1113"/>
      <c r="BS43" s="1113"/>
      <c r="BT43" s="1113"/>
      <c r="BU43" s="1115" t="s">
        <v>8066</v>
      </c>
      <c r="BV43" s="1113"/>
      <c r="BW43" s="1114" t="s">
        <v>8067</v>
      </c>
      <c r="BX43" s="1050"/>
      <c r="BY43" s="1119"/>
      <c r="BZ43" s="1119"/>
      <c r="CA43" s="1119"/>
      <c r="CB43" s="1140"/>
      <c r="CC43" s="1119"/>
      <c r="CD43" s="1119"/>
      <c r="CE43" s="1119"/>
      <c r="CF43" s="1119"/>
      <c r="CG43" s="1119"/>
      <c r="CH43" s="1119"/>
      <c r="CI43" s="1139" t="s">
        <v>8068</v>
      </c>
      <c r="CJ43" s="1140"/>
      <c r="CK43" s="1140"/>
    </row>
    <row r="44">
      <c r="A44" s="1086" t="s">
        <v>5977</v>
      </c>
      <c r="B44" s="1044" t="s">
        <v>2988</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8069</v>
      </c>
      <c r="BX44" s="1050"/>
      <c r="BY44" s="1119"/>
      <c r="BZ44" s="1119"/>
      <c r="CA44" s="1119"/>
      <c r="CB44" s="1140"/>
      <c r="CC44" s="1119"/>
      <c r="CD44" s="1119"/>
      <c r="CE44" s="1119"/>
      <c r="CF44" s="1119"/>
      <c r="CG44" s="1119"/>
      <c r="CH44" s="1119"/>
      <c r="CI44" s="1119"/>
      <c r="CJ44" s="1140"/>
      <c r="CK44" s="1140"/>
    </row>
    <row r="45" ht="15.75" customHeight="1">
      <c r="A45" s="1086" t="s">
        <v>2674</v>
      </c>
      <c r="B45" s="1044" t="s">
        <v>2931</v>
      </c>
      <c r="C45" s="1040" t="s">
        <v>1260</v>
      </c>
      <c r="D45" s="1041" t="s">
        <v>1260</v>
      </c>
      <c r="E45" s="1042" t="s">
        <v>1260</v>
      </c>
      <c r="F45" s="1043" t="s">
        <v>1260</v>
      </c>
      <c r="G45" s="1044" t="s">
        <v>334</v>
      </c>
      <c r="H45" s="1087"/>
      <c r="I45" s="1087"/>
      <c r="J45" s="1087"/>
      <c r="K45" s="1087"/>
      <c r="L45" s="1237" t="s">
        <v>8070</v>
      </c>
      <c r="M45" s="1159" t="s">
        <v>2723</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8071</v>
      </c>
      <c r="BF45" s="1065"/>
      <c r="BG45" s="1193" t="s">
        <v>8072</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1882</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3333</v>
      </c>
      <c r="AN46" s="1099"/>
      <c r="AO46" s="1099"/>
      <c r="AP46" s="1098" t="s">
        <v>704</v>
      </c>
      <c r="AQ46" s="1099"/>
      <c r="AR46" s="1098" t="s">
        <v>8073</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8074</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1260</v>
      </c>
      <c r="D47" s="1041" t="s">
        <v>1260</v>
      </c>
      <c r="E47" s="1042" t="s">
        <v>1260</v>
      </c>
      <c r="F47" s="1043" t="s">
        <v>1260</v>
      </c>
      <c r="G47" s="1044" t="s">
        <v>986</v>
      </c>
      <c r="H47" s="1087"/>
      <c r="I47" s="1087"/>
      <c r="J47" s="1087"/>
      <c r="K47" s="1087"/>
      <c r="L47" s="1088" t="s">
        <v>4823</v>
      </c>
      <c r="M47" s="1087"/>
      <c r="N47" s="1088" t="s">
        <v>8075</v>
      </c>
      <c r="O47" s="1087"/>
      <c r="P47" s="1050"/>
      <c r="Q47" s="1092"/>
      <c r="R47" s="1092"/>
      <c r="S47" s="1092"/>
      <c r="T47" s="1092"/>
      <c r="U47" s="1091"/>
      <c r="V47" s="1091" t="s">
        <v>8076</v>
      </c>
      <c r="W47" s="1050"/>
      <c r="X47" s="1161"/>
      <c r="Y47" s="1161"/>
      <c r="Z47" s="1128" t="s">
        <v>8077</v>
      </c>
      <c r="AA47" s="1204"/>
      <c r="AB47" s="1096" t="s">
        <v>817</v>
      </c>
      <c r="AC47" s="1161"/>
      <c r="AD47" s="1161"/>
      <c r="AE47" s="1161"/>
      <c r="AF47" s="1161"/>
      <c r="AG47" s="1096" t="s">
        <v>8078</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8079</v>
      </c>
      <c r="BF47" s="1065"/>
      <c r="BG47" s="1111"/>
      <c r="BH47" s="1111"/>
      <c r="BI47" s="1111"/>
      <c r="BJ47" s="1111"/>
      <c r="BK47" s="1111"/>
      <c r="BL47" s="1111"/>
      <c r="BM47" s="1111"/>
      <c r="BN47" s="1050"/>
      <c r="BO47" s="1114" t="s">
        <v>8080</v>
      </c>
      <c r="BP47" s="1166"/>
      <c r="BQ47" s="1113"/>
      <c r="BR47" s="1113"/>
      <c r="BS47" s="1113"/>
      <c r="BT47" s="1113"/>
      <c r="BU47" s="1113"/>
      <c r="BV47" s="1113"/>
      <c r="BW47" s="1167" t="s">
        <v>8081</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2727</v>
      </c>
      <c r="B49" s="1044" t="s">
        <v>2837</v>
      </c>
      <c r="C49" s="1040" t="s">
        <v>1260</v>
      </c>
      <c r="D49" s="1041" t="s">
        <v>1260</v>
      </c>
      <c r="E49" s="1042" t="s">
        <v>1260</v>
      </c>
      <c r="F49" s="1043" t="s">
        <v>439</v>
      </c>
      <c r="G49" s="1044" t="s">
        <v>439</v>
      </c>
      <c r="H49" s="1087"/>
      <c r="I49" s="1089" t="s">
        <v>8082</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8083</v>
      </c>
      <c r="W50" s="1050"/>
      <c r="X50" s="1161"/>
      <c r="Y50" s="1161"/>
      <c r="Z50" s="1161"/>
      <c r="AA50" s="1204"/>
      <c r="AB50" s="1161"/>
      <c r="AC50" s="1161"/>
      <c r="AD50" s="1161"/>
      <c r="AE50" s="1161"/>
      <c r="AF50" s="1161"/>
      <c r="AG50" s="1161"/>
      <c r="AH50" s="1209" t="s">
        <v>8084</v>
      </c>
      <c r="AI50" s="1050"/>
      <c r="AJ50" s="1099"/>
      <c r="AK50" s="1099"/>
      <c r="AL50" s="1099"/>
      <c r="AM50" s="1099"/>
      <c r="AN50" s="1099"/>
      <c r="AO50" s="1099"/>
      <c r="AP50" s="1099"/>
      <c r="AQ50" s="1099"/>
      <c r="AR50" s="1099"/>
      <c r="AS50" s="1099"/>
      <c r="AT50" s="1099"/>
      <c r="AU50" s="1099"/>
      <c r="AV50" s="1099"/>
      <c r="AW50" s="1099"/>
      <c r="AX50" s="1099"/>
      <c r="AY50" s="1209" t="s">
        <v>8085</v>
      </c>
      <c r="AZ50" s="1065"/>
      <c r="BA50" s="1173"/>
      <c r="BB50" s="1173"/>
      <c r="BC50" s="1173"/>
      <c r="BD50" s="1173"/>
      <c r="BE50" s="1209" t="s">
        <v>8086</v>
      </c>
      <c r="BF50" s="1065"/>
      <c r="BG50" s="1111"/>
      <c r="BH50" s="1111"/>
      <c r="BI50" s="1111"/>
      <c r="BJ50" s="1111"/>
      <c r="BK50" s="1111"/>
      <c r="BL50" s="1209" t="s">
        <v>8087</v>
      </c>
      <c r="BM50" s="1109"/>
      <c r="BN50" s="1050"/>
      <c r="BO50" s="1113"/>
      <c r="BP50" s="1166"/>
      <c r="BQ50" s="1113"/>
      <c r="BR50" s="1113"/>
      <c r="BS50" s="1113"/>
      <c r="BT50" s="1113"/>
      <c r="BU50" s="1113"/>
      <c r="BV50" s="1113"/>
      <c r="BW50" s="1209" t="s">
        <v>8088</v>
      </c>
      <c r="BX50" s="1050"/>
      <c r="BY50" s="1119"/>
      <c r="BZ50" s="1119"/>
      <c r="CA50" s="1119"/>
      <c r="CB50" s="1140"/>
      <c r="CC50" s="1119"/>
      <c r="CD50" s="1119"/>
      <c r="CE50" s="1119"/>
      <c r="CF50" s="1119"/>
      <c r="CG50" s="1119"/>
      <c r="CH50" s="1119"/>
      <c r="CI50" s="1119"/>
      <c r="CJ50" s="1140"/>
      <c r="CK50" s="1140"/>
    </row>
    <row r="51">
      <c r="A51" s="1086" t="s">
        <v>8089</v>
      </c>
      <c r="B51" s="1044" t="s">
        <v>222</v>
      </c>
      <c r="C51" s="1040" t="s">
        <v>1260</v>
      </c>
      <c r="D51" s="1041" t="s">
        <v>1260</v>
      </c>
      <c r="E51" s="1042" t="s">
        <v>1260</v>
      </c>
      <c r="F51" s="1043" t="s">
        <v>1260</v>
      </c>
      <c r="G51" s="1044" t="s">
        <v>334</v>
      </c>
      <c r="H51" s="1087"/>
      <c r="I51" s="1087"/>
      <c r="J51" s="1087"/>
      <c r="K51" s="1087"/>
      <c r="L51" s="1087"/>
      <c r="M51" s="1087"/>
      <c r="N51" s="1088" t="s">
        <v>8090</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8091</v>
      </c>
      <c r="BF51" s="1065"/>
      <c r="BG51" s="1111"/>
      <c r="BH51" s="1111"/>
      <c r="BI51" s="1111"/>
      <c r="BJ51" s="1111"/>
      <c r="BK51" s="1111"/>
      <c r="BL51" s="1111"/>
      <c r="BM51" s="1111"/>
      <c r="BN51" s="1050"/>
      <c r="BO51" s="1113"/>
      <c r="BP51" s="1166"/>
      <c r="BQ51" s="1113"/>
      <c r="BR51" s="1113"/>
      <c r="BS51" s="1113"/>
      <c r="BT51" s="1113"/>
      <c r="BU51" s="1113"/>
      <c r="BV51" s="1113"/>
      <c r="BW51" s="1114" t="s">
        <v>8092</v>
      </c>
      <c r="BX51" s="1050"/>
      <c r="BY51" s="1119"/>
      <c r="BZ51" s="1119"/>
      <c r="CA51" s="1119"/>
      <c r="CB51" s="1140"/>
      <c r="CC51" s="1119"/>
      <c r="CD51" s="1119"/>
      <c r="CE51" s="1119"/>
      <c r="CF51" s="1119"/>
      <c r="CG51" s="1119"/>
      <c r="CH51" s="1119"/>
      <c r="CI51" s="1119"/>
      <c r="CJ51" s="1140"/>
      <c r="CK51" s="1140"/>
    </row>
    <row r="52">
      <c r="A52" s="1219" t="s">
        <v>8093</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8094</v>
      </c>
      <c r="AA52" s="1161"/>
      <c r="AB52" s="1176" t="s">
        <v>8095</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1260</v>
      </c>
      <c r="D53" s="1041" t="s">
        <v>1260</v>
      </c>
      <c r="E53" s="1042" t="s">
        <v>1260</v>
      </c>
      <c r="F53" s="1043" t="s">
        <v>1260</v>
      </c>
      <c r="G53" s="1044" t="s">
        <v>1201</v>
      </c>
      <c r="H53" s="1087"/>
      <c r="I53" s="1087"/>
      <c r="J53" s="1087"/>
      <c r="K53" s="1087"/>
      <c r="L53" s="1087"/>
      <c r="M53" s="1087"/>
      <c r="N53" s="1088" t="s">
        <v>8096</v>
      </c>
      <c r="O53" s="1087"/>
      <c r="P53" s="1050"/>
      <c r="Q53" s="1092"/>
      <c r="R53" s="1092"/>
      <c r="S53" s="1092"/>
      <c r="T53" s="1092"/>
      <c r="U53" s="1092"/>
      <c r="V53" s="1091" t="s">
        <v>8097</v>
      </c>
      <c r="W53" s="1050"/>
      <c r="X53" s="1161"/>
      <c r="Y53" s="1161"/>
      <c r="Z53" s="1161"/>
      <c r="AA53" s="1204"/>
      <c r="AB53" s="1161"/>
      <c r="AC53" s="1161"/>
      <c r="AD53" s="1161"/>
      <c r="AE53" s="1096" t="s">
        <v>8098</v>
      </c>
      <c r="AF53" s="1161"/>
      <c r="AG53" s="1161"/>
      <c r="AH53" s="1209" t="s">
        <v>8099</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8100</v>
      </c>
      <c r="BE53" s="1135" t="s">
        <v>8101</v>
      </c>
      <c r="BF53" s="1065"/>
      <c r="BG53" s="1111"/>
      <c r="BH53" s="1111"/>
      <c r="BI53" s="1111"/>
      <c r="BJ53" s="1111"/>
      <c r="BK53" s="1111"/>
      <c r="BL53" s="1111"/>
      <c r="BM53" s="1111"/>
      <c r="BN53" s="1050"/>
      <c r="BO53" s="1113"/>
      <c r="BP53" s="1166"/>
      <c r="BQ53" s="1113"/>
      <c r="BR53" s="1113"/>
      <c r="BS53" s="1113"/>
      <c r="BT53" s="1113"/>
      <c r="BU53" s="1113"/>
      <c r="BV53" s="1113"/>
      <c r="BW53" s="1114" t="s">
        <v>8102</v>
      </c>
      <c r="BX53" s="1050"/>
      <c r="BY53" s="1119"/>
      <c r="BZ53" s="1119"/>
      <c r="CA53" s="1119"/>
      <c r="CB53" s="1140"/>
      <c r="CC53" s="1119"/>
      <c r="CD53" s="1119"/>
      <c r="CE53" s="1119"/>
      <c r="CF53" s="1119"/>
      <c r="CG53" s="1119"/>
      <c r="CH53" s="1119"/>
      <c r="CI53" s="1119"/>
      <c r="CJ53" s="1140"/>
      <c r="CK53" s="1140"/>
    </row>
    <row r="54">
      <c r="A54" s="1086" t="s">
        <v>3616</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1596</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8103</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1991</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8104</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8105</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8106</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8107</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8108</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8109</v>
      </c>
      <c r="B61" s="1044" t="s">
        <v>334</v>
      </c>
      <c r="C61" s="1040" t="s">
        <v>1260</v>
      </c>
      <c r="D61" s="1041" t="s">
        <v>1260</v>
      </c>
      <c r="E61" s="1042" t="s">
        <v>1260</v>
      </c>
      <c r="F61" s="1043" t="s">
        <v>439</v>
      </c>
      <c r="G61" s="1044" t="s">
        <v>439</v>
      </c>
      <c r="H61" s="1087"/>
      <c r="I61" s="1087"/>
      <c r="J61" s="1087"/>
      <c r="K61" s="1087"/>
      <c r="L61" s="1089" t="s">
        <v>8110</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8111</v>
      </c>
      <c r="B62" s="1044" t="s">
        <v>548</v>
      </c>
      <c r="C62" s="1040" t="s">
        <v>1260</v>
      </c>
      <c r="D62" s="1041" t="s">
        <v>1260</v>
      </c>
      <c r="E62" s="1042" t="s">
        <v>1260</v>
      </c>
      <c r="F62" s="1043" t="s">
        <v>1260</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8113</v>
      </c>
      <c r="H2" s="1251" t="s">
        <v>8114</v>
      </c>
      <c r="I2" s="1252"/>
      <c r="J2" s="1252"/>
      <c r="K2" s="1253" t="s">
        <v>8115</v>
      </c>
      <c r="L2" s="1254" t="s">
        <v>8116</v>
      </c>
      <c r="M2" s="1253" t="s">
        <v>8117</v>
      </c>
      <c r="N2" s="1253" t="s">
        <v>8118</v>
      </c>
      <c r="O2" s="1255" t="s">
        <v>8119</v>
      </c>
      <c r="P2" s="1255" t="s">
        <v>8120</v>
      </c>
      <c r="Q2" s="1255"/>
      <c r="R2" s="42" t="s">
        <v>48</v>
      </c>
      <c r="S2" s="42" t="s">
        <v>8121</v>
      </c>
      <c r="T2" s="42"/>
      <c r="U2" s="44" t="s">
        <v>50</v>
      </c>
      <c r="V2" s="44" t="s">
        <v>54</v>
      </c>
      <c r="W2" s="44" t="s">
        <v>62</v>
      </c>
      <c r="X2" s="45" t="s">
        <v>52</v>
      </c>
      <c r="Y2" s="45"/>
      <c r="Z2" s="45"/>
      <c r="AA2" s="47" t="s">
        <v>51</v>
      </c>
      <c r="AB2" s="1256" t="s">
        <v>8122</v>
      </c>
      <c r="AC2" s="47"/>
      <c r="AD2" s="1257" t="s">
        <v>8123</v>
      </c>
      <c r="AE2" s="1257"/>
      <c r="AF2" s="1257"/>
      <c r="AG2" s="1258"/>
      <c r="AH2" s="1258"/>
    </row>
    <row r="3">
      <c r="A3" s="1259" t="s">
        <v>4240</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8124</v>
      </c>
      <c r="Y3" s="1269"/>
      <c r="Z3" s="1269"/>
      <c r="AA3" s="1272" t="s">
        <v>8125</v>
      </c>
      <c r="AB3" s="1269"/>
      <c r="AC3" s="1233"/>
      <c r="AD3" s="1269"/>
      <c r="AE3" s="1269"/>
      <c r="AF3" s="1269"/>
      <c r="AG3" s="1273"/>
      <c r="AH3" s="1273"/>
    </row>
    <row r="4">
      <c r="A4" s="1274" t="s">
        <v>5268</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8126</v>
      </c>
      <c r="Y4" s="1269"/>
      <c r="Z4" s="1269"/>
      <c r="AA4" s="734" t="s">
        <v>1246</v>
      </c>
      <c r="AB4" s="1269"/>
      <c r="AC4" s="1233"/>
      <c r="AD4" s="1269"/>
      <c r="AE4" s="1269"/>
      <c r="AF4" s="1269"/>
      <c r="AG4" s="1273"/>
      <c r="AH4" s="1273"/>
    </row>
    <row r="5">
      <c r="A5" s="1259" t="s">
        <v>4040</v>
      </c>
      <c r="B5" s="1260" t="s">
        <v>4219</v>
      </c>
      <c r="C5" s="1261" t="s">
        <v>1260</v>
      </c>
      <c r="D5" s="1262" t="s">
        <v>548</v>
      </c>
      <c r="E5" s="1263" t="s">
        <v>1260</v>
      </c>
      <c r="F5" s="1264" t="s">
        <v>334</v>
      </c>
      <c r="G5" s="1260" t="s">
        <v>335</v>
      </c>
      <c r="H5" s="1233"/>
      <c r="I5" s="97"/>
      <c r="J5" s="92"/>
      <c r="K5" s="1233"/>
      <c r="L5" s="1233"/>
      <c r="M5" s="1233"/>
      <c r="N5" s="1233"/>
      <c r="O5" s="1233"/>
      <c r="P5" s="1233"/>
      <c r="Q5" s="1269"/>
      <c r="R5" s="1276" t="s">
        <v>4506</v>
      </c>
      <c r="S5" s="1277" t="s">
        <v>1663</v>
      </c>
      <c r="T5" s="1233"/>
      <c r="U5" s="734" t="s">
        <v>1042</v>
      </c>
      <c r="V5" s="1269"/>
      <c r="W5" s="1269"/>
      <c r="X5" s="734" t="s">
        <v>8127</v>
      </c>
      <c r="Y5" s="1269"/>
      <c r="Z5" s="1269"/>
      <c r="AA5" s="1278" t="s">
        <v>8128</v>
      </c>
      <c r="AB5" s="1269"/>
      <c r="AC5" s="1233"/>
      <c r="AD5" s="1269"/>
      <c r="AE5" s="1269"/>
      <c r="AF5" s="1269"/>
      <c r="AG5" s="1273"/>
      <c r="AH5" s="1273"/>
    </row>
    <row r="6">
      <c r="A6" s="1259" t="s">
        <v>2458</v>
      </c>
      <c r="B6" s="1260" t="s">
        <v>4219</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1738</v>
      </c>
      <c r="V6" s="97"/>
      <c r="W6" s="759" t="s">
        <v>7967</v>
      </c>
      <c r="X6" s="1233"/>
      <c r="Y6" s="1269"/>
      <c r="Z6" s="1269"/>
      <c r="AA6" s="1233"/>
      <c r="AB6" s="1269"/>
      <c r="AC6" s="1233"/>
      <c r="AD6" s="734" t="s">
        <v>218</v>
      </c>
      <c r="AE6" s="1269"/>
      <c r="AF6" s="1269"/>
      <c r="AG6" s="1273"/>
      <c r="AH6" s="1273"/>
    </row>
    <row r="7">
      <c r="A7" s="1259" t="s">
        <v>984</v>
      </c>
      <c r="B7" s="1260" t="s">
        <v>3283</v>
      </c>
      <c r="C7" s="1261" t="s">
        <v>439</v>
      </c>
      <c r="D7" s="1262" t="s">
        <v>548</v>
      </c>
      <c r="E7" s="1263" t="s">
        <v>1260</v>
      </c>
      <c r="F7" s="1264" t="s">
        <v>334</v>
      </c>
      <c r="G7" s="1260" t="s">
        <v>334</v>
      </c>
      <c r="H7" s="1233"/>
      <c r="I7" s="97"/>
      <c r="J7" s="92"/>
      <c r="K7" s="1265"/>
      <c r="L7" s="1265"/>
      <c r="M7" s="1265"/>
      <c r="N7" s="773"/>
      <c r="O7" s="1280"/>
      <c r="P7" s="1233"/>
      <c r="Q7" s="1269"/>
      <c r="R7" s="1269"/>
      <c r="S7" s="1276" t="s">
        <v>8129</v>
      </c>
      <c r="T7" s="1233"/>
      <c r="U7" s="1269"/>
      <c r="V7" s="1269"/>
      <c r="W7" s="1269"/>
      <c r="X7" s="1233"/>
      <c r="Y7" s="1269"/>
      <c r="Z7" s="1269"/>
      <c r="AA7" s="1270" t="s">
        <v>8130</v>
      </c>
      <c r="AB7" s="1270" t="s">
        <v>6410</v>
      </c>
      <c r="AC7" s="1233"/>
      <c r="AD7" s="1269"/>
      <c r="AE7" s="1269"/>
      <c r="AF7" s="1269"/>
      <c r="AG7" s="1273"/>
      <c r="AH7" s="1273"/>
    </row>
    <row r="8">
      <c r="A8" s="1259" t="s">
        <v>1060</v>
      </c>
      <c r="B8" s="1260" t="s">
        <v>3283</v>
      </c>
      <c r="C8" s="1261" t="s">
        <v>548</v>
      </c>
      <c r="D8" s="1262" t="s">
        <v>439</v>
      </c>
      <c r="E8" s="1263" t="s">
        <v>548</v>
      </c>
      <c r="F8" s="1264" t="s">
        <v>441</v>
      </c>
      <c r="G8" s="1260" t="s">
        <v>441</v>
      </c>
      <c r="H8" s="1233"/>
      <c r="I8" s="97"/>
      <c r="J8" s="92"/>
      <c r="K8" s="1276" t="s">
        <v>8131</v>
      </c>
      <c r="L8" s="1275" t="s">
        <v>6239</v>
      </c>
      <c r="M8" s="1233"/>
      <c r="N8" s="1233"/>
      <c r="O8" s="1233"/>
      <c r="P8" s="1276" t="s">
        <v>8132</v>
      </c>
      <c r="Q8" s="1269"/>
      <c r="R8" s="1269"/>
      <c r="S8" s="1233"/>
      <c r="T8" s="1233"/>
      <c r="U8" s="1269"/>
      <c r="V8" s="1269"/>
      <c r="W8" s="1269"/>
      <c r="X8" s="1270" t="s">
        <v>8126</v>
      </c>
      <c r="Y8" s="1269"/>
      <c r="Z8" s="1269"/>
      <c r="AA8" s="1233"/>
      <c r="AB8" s="1269"/>
      <c r="AC8" s="1233"/>
      <c r="AD8" s="1269"/>
      <c r="AE8" s="1269"/>
      <c r="AF8" s="1269"/>
      <c r="AG8" s="1273"/>
      <c r="AH8" s="1273"/>
    </row>
    <row r="9">
      <c r="A9" s="1239" t="s">
        <v>8089</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8133</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4532</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8134</v>
      </c>
      <c r="X12" s="1233"/>
      <c r="Y12" s="1269"/>
      <c r="Z12" s="1269"/>
      <c r="AA12" s="1233"/>
      <c r="AB12" s="1269"/>
      <c r="AC12" s="1233"/>
      <c r="AD12" s="1269"/>
      <c r="AE12" s="1269"/>
      <c r="AF12" s="1269"/>
      <c r="AG12" s="1273"/>
      <c r="AH12" s="1273"/>
    </row>
    <row r="13">
      <c r="A13" s="1259" t="s">
        <v>8135</v>
      </c>
      <c r="B13" s="1260" t="s">
        <v>440</v>
      </c>
      <c r="C13" s="1261" t="s">
        <v>439</v>
      </c>
      <c r="D13" s="1262" t="s">
        <v>548</v>
      </c>
      <c r="E13" s="1263" t="s">
        <v>1260</v>
      </c>
      <c r="F13" s="1264" t="s">
        <v>334</v>
      </c>
      <c r="G13" s="1260" t="s">
        <v>334</v>
      </c>
      <c r="H13" s="1233"/>
      <c r="I13" s="97"/>
      <c r="J13" s="92"/>
      <c r="K13" s="1270" t="s">
        <v>8136</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2727</v>
      </c>
      <c r="B14" s="1260" t="s">
        <v>335</v>
      </c>
      <c r="C14" s="1261" t="s">
        <v>1260</v>
      </c>
      <c r="D14" s="1262" t="s">
        <v>1260</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8137</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8138</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8139</v>
      </c>
      <c r="B18" s="1260" t="s">
        <v>441</v>
      </c>
      <c r="C18" s="1261" t="s">
        <v>548</v>
      </c>
      <c r="D18" s="1262" t="s">
        <v>1260</v>
      </c>
      <c r="E18" s="1263" t="s">
        <v>1260</v>
      </c>
      <c r="F18" s="1264" t="s">
        <v>548</v>
      </c>
      <c r="G18" s="1260" t="s">
        <v>548</v>
      </c>
      <c r="H18" s="1233"/>
      <c r="I18" s="97"/>
      <c r="J18" s="92"/>
      <c r="K18" s="1233"/>
      <c r="L18" s="1270" t="s">
        <v>8140</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3735</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8141</v>
      </c>
      <c r="AE20" s="1269"/>
      <c r="AF20" s="1269"/>
      <c r="AG20" s="1273"/>
      <c r="AH20" s="1273"/>
    </row>
    <row r="21">
      <c r="A21" s="1121" t="s">
        <v>6582</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8142</v>
      </c>
      <c r="X21" s="1233"/>
      <c r="Y21" s="1269"/>
      <c r="Z21" s="1269"/>
      <c r="AA21" s="1233"/>
      <c r="AB21" s="1269"/>
      <c r="AC21" s="1233"/>
      <c r="AD21" s="1269"/>
      <c r="AE21" s="1269"/>
      <c r="AF21" s="1269"/>
      <c r="AG21" s="1273"/>
      <c r="AH21" s="1273"/>
    </row>
    <row r="22">
      <c r="A22" s="1259" t="s">
        <v>4894</v>
      </c>
      <c r="B22" s="1260" t="s">
        <v>334</v>
      </c>
      <c r="C22" s="1261" t="s">
        <v>548</v>
      </c>
      <c r="D22" s="1262" t="s">
        <v>1260</v>
      </c>
      <c r="E22" s="1263" t="s">
        <v>1260</v>
      </c>
      <c r="F22" s="1264" t="s">
        <v>548</v>
      </c>
      <c r="G22" s="1260" t="s">
        <v>548</v>
      </c>
      <c r="H22" s="1233"/>
      <c r="I22" s="97"/>
      <c r="J22" s="92"/>
      <c r="K22" s="1233"/>
      <c r="L22" s="1233"/>
      <c r="M22" s="1233"/>
      <c r="N22" s="1233"/>
      <c r="O22" s="1233"/>
      <c r="P22" s="1270" t="s">
        <v>8143</v>
      </c>
      <c r="Q22" s="1269"/>
      <c r="R22" s="1269"/>
      <c r="S22" s="1233"/>
      <c r="T22" s="1233"/>
      <c r="U22" s="1269"/>
      <c r="V22" s="1269"/>
      <c r="W22" s="1269"/>
      <c r="X22" s="1233"/>
      <c r="Y22" s="1269"/>
      <c r="Z22" s="1269"/>
      <c r="AA22" s="1233"/>
      <c r="AB22" s="1269"/>
      <c r="AC22" s="1233"/>
      <c r="AD22" s="1269"/>
      <c r="AE22" s="1269"/>
      <c r="AF22" s="1269"/>
      <c r="AG22" s="1273"/>
      <c r="AH22" s="1273"/>
    </row>
    <row r="23">
      <c r="A23" s="1259" t="s">
        <v>1960</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8144</v>
      </c>
      <c r="AE23" s="1269"/>
      <c r="AF23" s="1269"/>
      <c r="AG23" s="1273"/>
      <c r="AH23" s="1273"/>
    </row>
    <row r="24">
      <c r="A24" s="1259" t="s">
        <v>6618</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8145</v>
      </c>
      <c r="X25" s="1233"/>
      <c r="Y25" s="1269"/>
      <c r="Z25" s="1269"/>
      <c r="AA25" s="1233"/>
      <c r="AB25" s="1269"/>
      <c r="AC25" s="1233"/>
      <c r="AD25" s="1269"/>
      <c r="AE25" s="1269"/>
      <c r="AF25" s="1269"/>
      <c r="AG25" s="1273"/>
      <c r="AH25" s="1273"/>
    </row>
    <row r="26">
      <c r="A26" s="1259" t="s">
        <v>2572</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8146</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294" t="s">
        <v>8148</v>
      </c>
      <c r="W1" s="1295" t="s">
        <v>8149</v>
      </c>
      <c r="AM1" s="1296" t="s">
        <v>8150</v>
      </c>
      <c r="BG1" s="1297" t="s">
        <v>8151</v>
      </c>
      <c r="BQ1" s="1298" t="s">
        <v>8152</v>
      </c>
      <c r="BV1" s="1299" t="s">
        <v>8153</v>
      </c>
      <c r="CE1" s="1294" t="s">
        <v>8154</v>
      </c>
      <c r="CM1" s="1300" t="s">
        <v>8155</v>
      </c>
      <c r="CP1" s="1301" t="s">
        <v>8156</v>
      </c>
      <c r="CT1" s="1302" t="s">
        <v>8157</v>
      </c>
      <c r="CU1" s="1303" t="s">
        <v>8158</v>
      </c>
    </row>
    <row r="2">
      <c r="A2" s="1304" t="s">
        <v>43</v>
      </c>
      <c r="B2" s="36" t="s">
        <v>44</v>
      </c>
      <c r="C2" s="36" t="s">
        <v>45</v>
      </c>
      <c r="F2" s="36" t="s">
        <v>8159</v>
      </c>
      <c r="H2" s="1305" t="s">
        <v>8160</v>
      </c>
      <c r="I2" s="1305" t="s">
        <v>8161</v>
      </c>
      <c r="J2" s="1305" t="s">
        <v>8162</v>
      </c>
      <c r="K2" s="1305" t="s">
        <v>8163</v>
      </c>
      <c r="L2" s="1305" t="s">
        <v>8164</v>
      </c>
      <c r="M2" s="1305" t="s">
        <v>8165</v>
      </c>
      <c r="N2" s="1305" t="s">
        <v>8166</v>
      </c>
      <c r="O2" s="1305" t="s">
        <v>8167</v>
      </c>
      <c r="P2" s="1305" t="s">
        <v>8168</v>
      </c>
      <c r="Q2" s="1305" t="s">
        <v>8169</v>
      </c>
      <c r="R2" s="1305" t="s">
        <v>8170</v>
      </c>
      <c r="S2" s="1305" t="s">
        <v>8171</v>
      </c>
      <c r="T2" s="1305" t="s">
        <v>8172</v>
      </c>
      <c r="U2" s="1305" t="s">
        <v>8173</v>
      </c>
      <c r="V2" s="1305" t="s">
        <v>8174</v>
      </c>
      <c r="W2" s="1306" t="s">
        <v>8175</v>
      </c>
      <c r="X2" s="1306" t="s">
        <v>8176</v>
      </c>
      <c r="Y2" s="1306" t="s">
        <v>8177</v>
      </c>
      <c r="Z2" s="1306" t="s">
        <v>8178</v>
      </c>
      <c r="AA2" s="1306" t="s">
        <v>8179</v>
      </c>
      <c r="AB2" s="1306" t="s">
        <v>8180</v>
      </c>
      <c r="AC2" s="1306" t="s">
        <v>8181</v>
      </c>
      <c r="AD2" s="1306" t="s">
        <v>8182</v>
      </c>
      <c r="AE2" s="1306" t="s">
        <v>8183</v>
      </c>
      <c r="AF2" s="1306" t="s">
        <v>8184</v>
      </c>
      <c r="AG2" s="1306" t="s">
        <v>8185</v>
      </c>
      <c r="AH2" s="1306" t="s">
        <v>8186</v>
      </c>
      <c r="AI2" s="1306" t="s">
        <v>8187</v>
      </c>
      <c r="AJ2" s="1306" t="s">
        <v>8188</v>
      </c>
      <c r="AK2" s="1306" t="s">
        <v>8189</v>
      </c>
      <c r="AL2" s="1306" t="s">
        <v>8190</v>
      </c>
      <c r="AM2" s="1307" t="s">
        <v>8191</v>
      </c>
      <c r="AN2" s="1307" t="s">
        <v>8192</v>
      </c>
      <c r="AO2" s="1307" t="s">
        <v>8193</v>
      </c>
      <c r="AP2" s="1307" t="s">
        <v>8194</v>
      </c>
      <c r="AQ2" s="1307" t="s">
        <v>8195</v>
      </c>
      <c r="AR2" s="1307" t="s">
        <v>8196</v>
      </c>
      <c r="AS2" s="1307" t="s">
        <v>8197</v>
      </c>
      <c r="AT2" s="1307" t="s">
        <v>8198</v>
      </c>
      <c r="AU2" s="1307" t="s">
        <v>8199</v>
      </c>
      <c r="AV2" s="1307" t="s">
        <v>8200</v>
      </c>
      <c r="AW2" s="1307" t="s">
        <v>8201</v>
      </c>
      <c r="AX2" s="1307" t="s">
        <v>8202</v>
      </c>
      <c r="AY2" s="1307" t="s">
        <v>8203</v>
      </c>
      <c r="AZ2" s="1307" t="s">
        <v>8204</v>
      </c>
      <c r="BA2" s="1307" t="s">
        <v>8205</v>
      </c>
      <c r="BB2" s="1307" t="s">
        <v>8206</v>
      </c>
      <c r="BC2" s="1307" t="s">
        <v>8207</v>
      </c>
      <c r="BD2" s="1307" t="s">
        <v>8208</v>
      </c>
      <c r="BE2" s="1307" t="s">
        <v>8209</v>
      </c>
      <c r="BF2" s="1307" t="s">
        <v>8210</v>
      </c>
      <c r="BG2" s="1308" t="s">
        <v>8211</v>
      </c>
      <c r="BH2" s="1308" t="s">
        <v>8212</v>
      </c>
      <c r="BI2" s="1308" t="s">
        <v>8213</v>
      </c>
      <c r="BJ2" s="1308" t="s">
        <v>8214</v>
      </c>
      <c r="BK2" s="1308" t="s">
        <v>8215</v>
      </c>
      <c r="BL2" s="1308" t="s">
        <v>8216</v>
      </c>
      <c r="BM2" s="1308" t="s">
        <v>8217</v>
      </c>
      <c r="BN2" s="1308" t="s">
        <v>8218</v>
      </c>
      <c r="BO2" s="1308" t="s">
        <v>8219</v>
      </c>
      <c r="BP2" s="1308" t="s">
        <v>8220</v>
      </c>
      <c r="BQ2" s="1309" t="s">
        <v>8221</v>
      </c>
      <c r="BR2" s="1309" t="s">
        <v>8222</v>
      </c>
      <c r="BS2" s="1309" t="s">
        <v>8223</v>
      </c>
      <c r="BT2" s="1309" t="s">
        <v>8224</v>
      </c>
      <c r="BU2" s="1309" t="s">
        <v>8225</v>
      </c>
      <c r="BV2" s="1310" t="s">
        <v>8226</v>
      </c>
      <c r="BW2" s="1310" t="s">
        <v>8227</v>
      </c>
      <c r="BX2" s="1310" t="s">
        <v>8228</v>
      </c>
      <c r="BY2" s="1310" t="s">
        <v>8229</v>
      </c>
      <c r="BZ2" s="1310" t="s">
        <v>8230</v>
      </c>
      <c r="CA2" s="1310" t="s">
        <v>8231</v>
      </c>
      <c r="CB2" s="1310" t="s">
        <v>8232</v>
      </c>
      <c r="CC2" s="1310" t="s">
        <v>8233</v>
      </c>
      <c r="CD2" s="1310" t="s">
        <v>8234</v>
      </c>
      <c r="CE2" s="1311" t="s">
        <v>8160</v>
      </c>
      <c r="CF2" s="1311" t="s">
        <v>8163</v>
      </c>
      <c r="CG2" s="1311" t="s">
        <v>8167</v>
      </c>
      <c r="CH2" s="1311" t="s">
        <v>8169</v>
      </c>
      <c r="CI2" s="1311" t="s">
        <v>8170</v>
      </c>
      <c r="CJ2" s="1311" t="s">
        <v>8173</v>
      </c>
      <c r="CK2" s="1311" t="s">
        <v>8235</v>
      </c>
      <c r="CL2" s="1311" t="s">
        <v>8236</v>
      </c>
      <c r="CM2" s="1312" t="s">
        <v>8237</v>
      </c>
      <c r="CN2" s="1312" t="s">
        <v>8238</v>
      </c>
      <c r="CO2" s="1312" t="s">
        <v>8239</v>
      </c>
      <c r="CP2" s="1253" t="s">
        <v>8240</v>
      </c>
      <c r="CQ2" s="1253" t="s">
        <v>8241</v>
      </c>
      <c r="CR2" s="1253" t="s">
        <v>8242</v>
      </c>
      <c r="CS2" s="1253" t="s">
        <v>8243</v>
      </c>
      <c r="CT2" s="1313" t="s">
        <v>8244</v>
      </c>
      <c r="CU2" s="1314" t="s">
        <v>8245</v>
      </c>
    </row>
    <row r="3">
      <c r="A3" s="1315" t="s">
        <v>6643</v>
      </c>
      <c r="B3" s="1044" t="s">
        <v>8246</v>
      </c>
      <c r="C3" s="1040" t="s">
        <v>4219</v>
      </c>
      <c r="D3" s="1041" t="s">
        <v>548</v>
      </c>
      <c r="E3" s="1042" t="s">
        <v>335</v>
      </c>
      <c r="F3" s="1043" t="s">
        <v>6214</v>
      </c>
      <c r="G3" s="1044" t="s">
        <v>3432</v>
      </c>
      <c r="H3" s="773" t="s">
        <v>8247</v>
      </c>
      <c r="I3" s="1275" t="s">
        <v>8248</v>
      </c>
      <c r="J3" s="773" t="s">
        <v>6569</v>
      </c>
      <c r="K3" s="1275" t="s">
        <v>8249</v>
      </c>
      <c r="L3" s="1275" t="s">
        <v>8250</v>
      </c>
      <c r="M3" s="1316" t="s">
        <v>8251</v>
      </c>
      <c r="N3" s="773" t="s">
        <v>8252</v>
      </c>
      <c r="O3" s="1275" t="s">
        <v>8253</v>
      </c>
      <c r="P3" s="1276" t="s">
        <v>8254</v>
      </c>
      <c r="Q3" s="1275" t="s">
        <v>8255</v>
      </c>
      <c r="R3" s="773" t="s">
        <v>8256</v>
      </c>
      <c r="S3" s="1278" t="s">
        <v>8257</v>
      </c>
      <c r="T3" s="734" t="s">
        <v>8258</v>
      </c>
      <c r="U3" s="1270" t="s">
        <v>8259</v>
      </c>
      <c r="V3" s="773" t="s">
        <v>8260</v>
      </c>
      <c r="W3" s="773" t="s">
        <v>2357</v>
      </c>
      <c r="X3" s="1278" t="s">
        <v>1780</v>
      </c>
      <c r="Y3" s="773" t="s">
        <v>1952</v>
      </c>
      <c r="Z3" s="1278" t="s">
        <v>8261</v>
      </c>
      <c r="AA3" s="773" t="s">
        <v>4444</v>
      </c>
      <c r="AB3" s="1278"/>
      <c r="AC3" s="773" t="s">
        <v>3480</v>
      </c>
      <c r="AD3" s="773" t="s">
        <v>3940</v>
      </c>
      <c r="AE3" s="773" t="s">
        <v>8262</v>
      </c>
      <c r="AF3" s="1278" t="s">
        <v>8263</v>
      </c>
      <c r="AG3" s="773"/>
      <c r="AH3" s="1278" t="s">
        <v>8264</v>
      </c>
      <c r="AI3" s="1278" t="s">
        <v>8265</v>
      </c>
      <c r="AJ3" s="1269"/>
      <c r="AK3" s="773"/>
      <c r="AL3" s="773"/>
      <c r="AM3" s="734" t="s">
        <v>4352</v>
      </c>
      <c r="AN3" s="1270" t="s">
        <v>8266</v>
      </c>
      <c r="AO3" s="1270" t="s">
        <v>8267</v>
      </c>
      <c r="AP3" s="1270" t="s">
        <v>8268</v>
      </c>
      <c r="AQ3" s="1270" t="s">
        <v>8269</v>
      </c>
      <c r="AR3" s="1270" t="s">
        <v>8270</v>
      </c>
      <c r="AS3" s="1270" t="s">
        <v>8271</v>
      </c>
      <c r="AT3" s="1316" t="s">
        <v>8272</v>
      </c>
      <c r="AU3" s="1270" t="s">
        <v>8273</v>
      </c>
      <c r="AV3" s="1270" t="s">
        <v>8274</v>
      </c>
      <c r="AW3" s="734" t="s">
        <v>8275</v>
      </c>
      <c r="AX3" s="1270" t="s">
        <v>8276</v>
      </c>
      <c r="AY3" s="1278" t="s">
        <v>8277</v>
      </c>
      <c r="AZ3" s="1278" t="s">
        <v>5140</v>
      </c>
      <c r="BA3" s="1270" t="s">
        <v>7388</v>
      </c>
      <c r="BB3" s="1278" t="s">
        <v>8278</v>
      </c>
      <c r="BC3" s="1278" t="s">
        <v>8279</v>
      </c>
      <c r="BD3" s="773" t="s">
        <v>8280</v>
      </c>
      <c r="BE3" s="1278"/>
      <c r="BF3" s="1270" t="s">
        <v>8281</v>
      </c>
      <c r="BG3" s="773"/>
      <c r="BH3" s="1278"/>
      <c r="BI3" s="1278" t="s">
        <v>8282</v>
      </c>
      <c r="BJ3" s="1278"/>
      <c r="BK3" s="1278"/>
      <c r="BL3" s="773"/>
      <c r="BM3" s="1278" t="s">
        <v>8283</v>
      </c>
      <c r="BN3" s="1278"/>
      <c r="BO3" s="1278"/>
      <c r="BP3" s="1278"/>
      <c r="BQ3" s="773" t="s">
        <v>8284</v>
      </c>
      <c r="BR3" s="1269"/>
      <c r="BS3" s="773" t="s">
        <v>8285</v>
      </c>
      <c r="BT3" s="1269"/>
      <c r="BU3" s="773" t="s">
        <v>8286</v>
      </c>
      <c r="BV3" s="1233"/>
      <c r="BW3" s="1269"/>
      <c r="BX3" s="1278" t="s">
        <v>3924</v>
      </c>
      <c r="BY3" s="1233"/>
      <c r="BZ3" s="1233"/>
      <c r="CA3" s="1278" t="s">
        <v>3513</v>
      </c>
      <c r="CB3" s="1278" t="s">
        <v>373</v>
      </c>
      <c r="CC3" s="1278" t="s">
        <v>2386</v>
      </c>
      <c r="CD3" s="1278"/>
      <c r="CE3" s="773" t="s">
        <v>8287</v>
      </c>
      <c r="CF3" s="773" t="s">
        <v>8288</v>
      </c>
      <c r="CG3" s="1278"/>
      <c r="CH3" s="1278"/>
      <c r="CI3" s="773"/>
      <c r="CJ3" s="773"/>
      <c r="CK3" s="1278"/>
      <c r="CL3" s="1278"/>
      <c r="CM3" s="1278"/>
      <c r="CN3" s="773"/>
      <c r="CO3" s="1278"/>
      <c r="CP3" s="773" t="s">
        <v>8289</v>
      </c>
      <c r="CQ3" s="773" t="s">
        <v>8290</v>
      </c>
      <c r="CR3" s="1278"/>
      <c r="CS3" s="1278"/>
      <c r="CT3" s="1278" t="s">
        <v>8291</v>
      </c>
      <c r="CU3" s="773"/>
    </row>
    <row r="4">
      <c r="A4" s="1317" t="s">
        <v>6618</v>
      </c>
      <c r="B4" s="1044" t="s">
        <v>8292</v>
      </c>
      <c r="C4" s="1040" t="s">
        <v>335</v>
      </c>
      <c r="D4" s="1041" t="s">
        <v>441</v>
      </c>
      <c r="E4" s="1042" t="s">
        <v>3283</v>
      </c>
      <c r="F4" s="1043" t="s">
        <v>6244</v>
      </c>
      <c r="G4" s="1044" t="s">
        <v>3563</v>
      </c>
      <c r="H4" s="1318" t="s">
        <v>8293</v>
      </c>
      <c r="I4" s="1319" t="s">
        <v>8294</v>
      </c>
      <c r="J4" s="1233"/>
      <c r="K4" s="773" t="s">
        <v>8295</v>
      </c>
      <c r="L4" s="1233"/>
      <c r="M4" s="1270" t="s">
        <v>8296</v>
      </c>
      <c r="N4" s="1233"/>
      <c r="O4" s="734" t="s">
        <v>8297</v>
      </c>
      <c r="P4" s="1275" t="s">
        <v>8298</v>
      </c>
      <c r="Q4" s="1233"/>
      <c r="R4" s="734" t="s">
        <v>8299</v>
      </c>
      <c r="S4" s="1233"/>
      <c r="T4" s="773" t="s">
        <v>8300</v>
      </c>
      <c r="U4" s="734" t="s">
        <v>7737</v>
      </c>
      <c r="V4" s="1270" t="s">
        <v>8301</v>
      </c>
      <c r="W4" s="734" t="s">
        <v>1297</v>
      </c>
      <c r="X4" s="734" t="s">
        <v>1727</v>
      </c>
      <c r="Y4" s="734" t="s">
        <v>1587</v>
      </c>
      <c r="Z4" s="1270" t="s">
        <v>2742</v>
      </c>
      <c r="AA4" s="1265"/>
      <c r="AB4" s="1320" t="s">
        <v>8302</v>
      </c>
      <c r="AC4" s="734" t="s">
        <v>3404</v>
      </c>
      <c r="AD4" s="734" t="s">
        <v>4763</v>
      </c>
      <c r="AE4" s="1265"/>
      <c r="AF4" s="1275" t="s">
        <v>7996</v>
      </c>
      <c r="AG4" s="1233"/>
      <c r="AH4" s="1276" t="s">
        <v>8303</v>
      </c>
      <c r="AI4" s="1276" t="s">
        <v>5045</v>
      </c>
      <c r="AJ4" s="1269"/>
      <c r="AK4" s="734" t="s">
        <v>8304</v>
      </c>
      <c r="AL4" s="1233"/>
      <c r="AM4" s="1275" t="s">
        <v>8305</v>
      </c>
      <c r="AN4" s="773" t="s">
        <v>8306</v>
      </c>
      <c r="AO4" s="773" t="s">
        <v>8307</v>
      </c>
      <c r="AP4" s="1275" t="s">
        <v>8308</v>
      </c>
      <c r="AQ4" s="1233"/>
      <c r="AR4" s="773" t="s">
        <v>8309</v>
      </c>
      <c r="AS4" s="1233"/>
      <c r="AT4" s="1275" t="s">
        <v>8272</v>
      </c>
      <c r="AU4" s="1275" t="s">
        <v>8310</v>
      </c>
      <c r="AV4" s="1233"/>
      <c r="AW4" s="1275" t="s">
        <v>8311</v>
      </c>
      <c r="AX4" s="1233"/>
      <c r="AY4" s="1233"/>
      <c r="AZ4" s="1275" t="s">
        <v>1580</v>
      </c>
      <c r="BA4" s="1276" t="s">
        <v>5303</v>
      </c>
      <c r="BB4" s="1275" t="s">
        <v>8312</v>
      </c>
      <c r="BC4" s="734" t="s">
        <v>8313</v>
      </c>
      <c r="BD4" s="1270" t="s">
        <v>8314</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8315</v>
      </c>
      <c r="C5" s="1040" t="s">
        <v>441</v>
      </c>
      <c r="D5" s="1041" t="s">
        <v>335</v>
      </c>
      <c r="E5" s="1042" t="s">
        <v>1260</v>
      </c>
      <c r="F5" s="1043" t="s">
        <v>1200</v>
      </c>
      <c r="G5" s="1044" t="s">
        <v>2903</v>
      </c>
      <c r="H5" s="773" t="s">
        <v>8316</v>
      </c>
      <c r="I5" s="773" t="s">
        <v>7963</v>
      </c>
      <c r="J5" s="773"/>
      <c r="K5" s="1276" t="s">
        <v>8317</v>
      </c>
      <c r="L5" s="1270" t="s">
        <v>8318</v>
      </c>
      <c r="M5" s="773"/>
      <c r="N5" s="773"/>
      <c r="O5" s="734" t="s">
        <v>8319</v>
      </c>
      <c r="P5" s="773" t="s">
        <v>8320</v>
      </c>
      <c r="Q5" s="773" t="s">
        <v>8321</v>
      </c>
      <c r="R5" s="1270" t="s">
        <v>8322</v>
      </c>
      <c r="S5" s="773"/>
      <c r="T5" s="1276" t="s">
        <v>8323</v>
      </c>
      <c r="U5" s="1276" t="s">
        <v>8324</v>
      </c>
      <c r="V5" s="773"/>
      <c r="W5" s="773" t="s">
        <v>6669</v>
      </c>
      <c r="X5" s="773"/>
      <c r="Y5" s="773" t="s">
        <v>8325</v>
      </c>
      <c r="Z5" s="1276" t="s">
        <v>122</v>
      </c>
      <c r="AA5" s="1265"/>
      <c r="AB5" s="1265"/>
      <c r="AC5" s="773" t="s">
        <v>8326</v>
      </c>
      <c r="AD5" s="1233"/>
      <c r="AE5" s="773"/>
      <c r="AF5" s="773" t="s">
        <v>8327</v>
      </c>
      <c r="AG5" s="773"/>
      <c r="AH5" s="773" t="s">
        <v>4761</v>
      </c>
      <c r="AI5" s="773" t="s">
        <v>2035</v>
      </c>
      <c r="AJ5" s="1233"/>
      <c r="AK5" s="773"/>
      <c r="AL5" s="773"/>
      <c r="AM5" s="773" t="s">
        <v>8328</v>
      </c>
      <c r="AN5" s="1233"/>
      <c r="AO5" s="1233"/>
      <c r="AP5" s="773" t="s">
        <v>8329</v>
      </c>
      <c r="AQ5" s="1276" t="s">
        <v>8330</v>
      </c>
      <c r="AR5" s="773" t="s">
        <v>8331</v>
      </c>
      <c r="AS5" s="773"/>
      <c r="AT5" s="773" t="s">
        <v>8332</v>
      </c>
      <c r="AU5" s="734" t="s">
        <v>8333</v>
      </c>
      <c r="AV5" s="773"/>
      <c r="AW5" s="1279" t="s">
        <v>8334</v>
      </c>
      <c r="AX5" s="113"/>
      <c r="AY5" s="113" t="s">
        <v>8335</v>
      </c>
      <c r="AZ5" s="773" t="s">
        <v>3092</v>
      </c>
      <c r="BA5" s="773"/>
      <c r="BB5" s="773" t="s">
        <v>8314</v>
      </c>
      <c r="BC5" s="1270" t="s">
        <v>8336</v>
      </c>
      <c r="BD5" s="773" t="s">
        <v>8337</v>
      </c>
      <c r="BE5" s="773"/>
      <c r="BF5" s="773"/>
      <c r="BG5" s="773" t="s">
        <v>8338</v>
      </c>
      <c r="BH5" s="773"/>
      <c r="BI5" s="773"/>
      <c r="BJ5" s="773"/>
      <c r="BK5" s="773" t="s">
        <v>8339</v>
      </c>
      <c r="BL5" s="773"/>
      <c r="BM5" s="773"/>
      <c r="BN5" s="773"/>
      <c r="BO5" s="773"/>
      <c r="BP5" s="773" t="s">
        <v>8340</v>
      </c>
      <c r="BQ5" s="1233"/>
      <c r="BR5" s="1233"/>
      <c r="BS5" s="1233"/>
      <c r="BT5" s="1233"/>
      <c r="BU5" s="1233"/>
      <c r="BV5" s="773"/>
      <c r="BW5" s="773" t="s">
        <v>6936</v>
      </c>
      <c r="BX5" s="773"/>
      <c r="BY5" s="773"/>
      <c r="BZ5" s="773"/>
      <c r="CA5" s="773"/>
      <c r="CB5" s="773" t="s">
        <v>2419</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6314</v>
      </c>
      <c r="C6" s="1040" t="s">
        <v>3283</v>
      </c>
      <c r="D6" s="1041" t="s">
        <v>4219</v>
      </c>
      <c r="E6" s="1042" t="s">
        <v>334</v>
      </c>
      <c r="F6" s="1043" t="s">
        <v>6244</v>
      </c>
      <c r="G6" s="1044" t="s">
        <v>5724</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2538</v>
      </c>
      <c r="Z6" s="1233"/>
      <c r="AA6" s="1233"/>
      <c r="AB6" s="1233"/>
      <c r="AC6" s="1233"/>
      <c r="AD6" s="773" t="s">
        <v>8350</v>
      </c>
      <c r="AE6" s="1265"/>
      <c r="AF6" s="734" t="s">
        <v>467</v>
      </c>
      <c r="AG6" s="1265"/>
      <c r="AH6" s="1233"/>
      <c r="AI6" s="1233"/>
      <c r="AJ6" s="1270" t="s">
        <v>2256</v>
      </c>
      <c r="AK6" s="1276" t="s">
        <v>6211</v>
      </c>
      <c r="AL6" s="1323" t="s">
        <v>8351</v>
      </c>
      <c r="AM6" s="1276" t="s">
        <v>8352</v>
      </c>
      <c r="AN6" s="1233"/>
      <c r="AO6" s="1233"/>
      <c r="AP6" s="773" t="s">
        <v>8308</v>
      </c>
      <c r="AQ6" s="773"/>
      <c r="AR6" s="1276" t="s">
        <v>8353</v>
      </c>
      <c r="AS6" s="1265"/>
      <c r="AT6" s="1270" t="s">
        <v>8354</v>
      </c>
      <c r="AU6" s="734" t="s">
        <v>8355</v>
      </c>
      <c r="AV6" s="1276" t="s">
        <v>8356</v>
      </c>
      <c r="AW6" s="1276" t="s">
        <v>8357</v>
      </c>
      <c r="AX6" s="1233"/>
      <c r="AY6" s="1233"/>
      <c r="AZ6" s="1270" t="s">
        <v>4621</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2903</v>
      </c>
      <c r="CM6" s="1328" t="s">
        <v>2154</v>
      </c>
      <c r="CN6" s="1328" t="s">
        <v>3371</v>
      </c>
      <c r="CO6" s="1326"/>
      <c r="CP6" s="1326"/>
      <c r="CQ6" s="1326"/>
      <c r="CR6" s="1326"/>
      <c r="CS6" s="1328" t="s">
        <v>8366</v>
      </c>
      <c r="CT6" s="1233"/>
      <c r="CU6" s="1233"/>
    </row>
    <row r="7">
      <c r="A7" s="1329" t="s">
        <v>7448</v>
      </c>
      <c r="B7" s="1044" t="s">
        <v>8367</v>
      </c>
      <c r="C7" s="1040" t="s">
        <v>441</v>
      </c>
      <c r="D7" s="1041" t="s">
        <v>440</v>
      </c>
      <c r="E7" s="1042" t="s">
        <v>335</v>
      </c>
      <c r="F7" s="1043" t="s">
        <v>1062</v>
      </c>
      <c r="G7" s="1044" t="s">
        <v>3092</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1823</v>
      </c>
      <c r="Y7" s="734" t="s">
        <v>2063</v>
      </c>
      <c r="Z7" s="1275" t="s">
        <v>8374</v>
      </c>
      <c r="AA7" s="1265"/>
      <c r="AB7" s="1265"/>
      <c r="AC7" s="1278" t="s">
        <v>8375</v>
      </c>
      <c r="AD7" s="734" t="s">
        <v>4467</v>
      </c>
      <c r="AE7" s="1265"/>
      <c r="AF7" s="734" t="s">
        <v>8376</v>
      </c>
      <c r="AG7" s="1265"/>
      <c r="AH7" s="1278" t="s">
        <v>8377</v>
      </c>
      <c r="AI7" s="1278" t="s">
        <v>1278</v>
      </c>
      <c r="AJ7" s="1278"/>
      <c r="AK7" s="773" t="s">
        <v>5932</v>
      </c>
      <c r="AL7" s="1278" t="s">
        <v>6388</v>
      </c>
      <c r="AM7" s="1331" t="s">
        <v>8378</v>
      </c>
      <c r="AN7" s="1275" t="s">
        <v>8379</v>
      </c>
      <c r="AO7" s="1276" t="s">
        <v>8380</v>
      </c>
      <c r="AP7" s="734" t="s">
        <v>8381</v>
      </c>
      <c r="AQ7" s="1265"/>
      <c r="AR7" s="734" t="s">
        <v>8382</v>
      </c>
      <c r="AS7" s="1265"/>
      <c r="AT7" s="1276" t="s">
        <v>8339</v>
      </c>
      <c r="AU7" s="734" t="s">
        <v>8383</v>
      </c>
      <c r="AV7" s="1265"/>
      <c r="AW7" s="1277" t="s">
        <v>8384</v>
      </c>
      <c r="AX7" s="1265"/>
      <c r="AY7" s="1276" t="s">
        <v>8385</v>
      </c>
      <c r="AZ7" s="734" t="s">
        <v>4668</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2466</v>
      </c>
      <c r="BW7" s="1276" t="s">
        <v>2476</v>
      </c>
      <c r="BX7" s="1275" t="s">
        <v>2488</v>
      </c>
      <c r="BY7" s="1270" t="s">
        <v>8389</v>
      </c>
      <c r="BZ7" s="1276" t="s">
        <v>8390</v>
      </c>
      <c r="CA7" s="1270" t="s">
        <v>1282</v>
      </c>
      <c r="CB7" s="1270" t="s">
        <v>8391</v>
      </c>
      <c r="CC7" s="1270" t="s">
        <v>479</v>
      </c>
      <c r="CD7" s="1333" t="s">
        <v>2516</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3766</v>
      </c>
      <c r="Y8" s="1335" t="s">
        <v>5042</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3631</v>
      </c>
      <c r="BX8" s="1276" t="s">
        <v>2316</v>
      </c>
      <c r="BY8" s="1331" t="s">
        <v>3268</v>
      </c>
      <c r="BZ8" s="1265"/>
      <c r="CA8" s="1276" t="s">
        <v>1976</v>
      </c>
      <c r="CB8" s="1331" t="s">
        <v>2820</v>
      </c>
      <c r="CC8" s="1337" t="s">
        <v>3536</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1201</v>
      </c>
      <c r="E9" s="1042" t="s">
        <v>335</v>
      </c>
      <c r="F9" s="1043" t="s">
        <v>7632</v>
      </c>
      <c r="G9" s="1044" t="s">
        <v>2988</v>
      </c>
      <c r="H9" s="1319" t="s">
        <v>8412</v>
      </c>
      <c r="I9" s="1319" t="s">
        <v>8413</v>
      </c>
      <c r="J9" s="1233"/>
      <c r="K9" s="734" t="s">
        <v>8414</v>
      </c>
      <c r="L9" s="734" t="s">
        <v>8415</v>
      </c>
      <c r="M9" s="1233"/>
      <c r="N9" s="1233"/>
      <c r="O9" s="734" t="s">
        <v>8416</v>
      </c>
      <c r="P9" s="734" t="s">
        <v>8417</v>
      </c>
      <c r="Q9" s="1276" t="s">
        <v>5113</v>
      </c>
      <c r="R9" s="734" t="s">
        <v>8418</v>
      </c>
      <c r="S9" s="1275" t="s">
        <v>8419</v>
      </c>
      <c r="T9" s="734" t="s">
        <v>8420</v>
      </c>
      <c r="U9" s="734" t="s">
        <v>6021</v>
      </c>
      <c r="V9" s="1269"/>
      <c r="W9" s="1233"/>
      <c r="X9" s="734" t="s">
        <v>2501</v>
      </c>
      <c r="Y9" s="734" t="s">
        <v>4202</v>
      </c>
      <c r="Z9" s="1233"/>
      <c r="AA9" s="1276" t="s">
        <v>6115</v>
      </c>
      <c r="AB9" s="1269"/>
      <c r="AC9" s="734" t="s">
        <v>2257</v>
      </c>
      <c r="AD9" s="734" t="s">
        <v>2299</v>
      </c>
      <c r="AE9" s="1275" t="s">
        <v>1276</v>
      </c>
      <c r="AF9" s="1233"/>
      <c r="AG9" s="1233"/>
      <c r="AH9" s="1233"/>
      <c r="AI9" s="1269"/>
      <c r="AJ9" s="1269"/>
      <c r="AK9" s="1233"/>
      <c r="AL9" s="1233"/>
      <c r="AM9" s="773" t="s">
        <v>8289</v>
      </c>
      <c r="AN9" s="1276" t="s">
        <v>8357</v>
      </c>
      <c r="AO9" s="1233"/>
      <c r="AP9" s="884" t="s">
        <v>8289</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1260</v>
      </c>
      <c r="D10" s="1041" t="s">
        <v>439</v>
      </c>
      <c r="E10" s="1042" t="s">
        <v>548</v>
      </c>
      <c r="F10" s="1043" t="s">
        <v>441</v>
      </c>
      <c r="G10" s="1044" t="s">
        <v>4621</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3994</v>
      </c>
      <c r="X10" s="773" t="s">
        <v>8446</v>
      </c>
      <c r="Y10" s="1278" t="s">
        <v>1992</v>
      </c>
      <c r="Z10" s="1233"/>
      <c r="AA10" s="1233"/>
      <c r="AB10" s="1269"/>
      <c r="AC10" s="1278" t="s">
        <v>8447</v>
      </c>
      <c r="AD10" s="1278" t="s">
        <v>5291</v>
      </c>
      <c r="AE10" s="1276" t="s">
        <v>2526</v>
      </c>
      <c r="AF10" s="1278" t="s">
        <v>8448</v>
      </c>
      <c r="AG10" s="773" t="s">
        <v>8449</v>
      </c>
      <c r="AH10" s="1233"/>
      <c r="AI10" s="1269"/>
      <c r="AJ10" s="1269"/>
      <c r="AK10" s="773" t="s">
        <v>8450</v>
      </c>
      <c r="AL10" s="773" t="s">
        <v>2891</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3513</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2986</v>
      </c>
      <c r="B11" s="1044" t="s">
        <v>8456</v>
      </c>
      <c r="C11" s="1040" t="s">
        <v>439</v>
      </c>
      <c r="D11" s="1041" t="s">
        <v>439</v>
      </c>
      <c r="E11" s="1042" t="s">
        <v>1260</v>
      </c>
      <c r="F11" s="1043" t="s">
        <v>1201</v>
      </c>
      <c r="G11" s="1044" t="s">
        <v>5786</v>
      </c>
      <c r="H11" s="1347"/>
      <c r="I11" s="1347" t="s">
        <v>8457</v>
      </c>
      <c r="J11" s="1233"/>
      <c r="K11" s="773" t="s">
        <v>8458</v>
      </c>
      <c r="L11" s="734" t="s">
        <v>8459</v>
      </c>
      <c r="M11" s="773" t="s">
        <v>8460</v>
      </c>
      <c r="N11" s="1233"/>
      <c r="O11" s="773" t="s">
        <v>8461</v>
      </c>
      <c r="P11" s="773" t="s">
        <v>8462</v>
      </c>
      <c r="Q11" s="773" t="s">
        <v>8463</v>
      </c>
      <c r="R11" s="773" t="s">
        <v>8464</v>
      </c>
      <c r="S11" s="1276" t="s">
        <v>3023</v>
      </c>
      <c r="T11" s="1233"/>
      <c r="U11" s="773" t="s">
        <v>3995</v>
      </c>
      <c r="V11" s="1269"/>
      <c r="W11" s="773" t="s">
        <v>5016</v>
      </c>
      <c r="X11" s="734" t="s">
        <v>3661</v>
      </c>
      <c r="Y11" s="734" t="s">
        <v>8465</v>
      </c>
      <c r="Z11" s="1233"/>
      <c r="AA11" s="1270" t="s">
        <v>5718</v>
      </c>
      <c r="AB11" s="1269"/>
      <c r="AC11" s="773" t="s">
        <v>5874</v>
      </c>
      <c r="AD11" s="773" t="s">
        <v>1992</v>
      </c>
      <c r="AE11" s="773"/>
      <c r="AF11" s="773" t="s">
        <v>5647</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5140</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1527</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3860</v>
      </c>
      <c r="B12" s="1044" t="s">
        <v>8472</v>
      </c>
      <c r="C12" s="1040" t="s">
        <v>1260</v>
      </c>
      <c r="D12" s="1041" t="s">
        <v>548</v>
      </c>
      <c r="E12" s="1042" t="s">
        <v>1260</v>
      </c>
      <c r="F12" s="1043" t="s">
        <v>548</v>
      </c>
      <c r="G12" s="1044" t="s">
        <v>2430</v>
      </c>
      <c r="H12" s="1347"/>
      <c r="I12" s="1347" t="s">
        <v>3869</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4076</v>
      </c>
      <c r="W12" s="773" t="s">
        <v>4993</v>
      </c>
      <c r="X12" s="773" t="s">
        <v>8484</v>
      </c>
      <c r="Y12" s="773" t="s">
        <v>378</v>
      </c>
      <c r="Z12" s="1278" t="s">
        <v>3216</v>
      </c>
      <c r="AA12" s="773" t="s">
        <v>8485</v>
      </c>
      <c r="AB12" s="1278"/>
      <c r="AC12" s="1278" t="s">
        <v>2254</v>
      </c>
      <c r="AD12" s="1278" t="s">
        <v>8486</v>
      </c>
      <c r="AE12" s="773" t="s">
        <v>5181</v>
      </c>
      <c r="AF12" s="773" t="s">
        <v>4083</v>
      </c>
      <c r="AG12" s="1278" t="s">
        <v>8487</v>
      </c>
      <c r="AH12" s="1233"/>
      <c r="AI12" s="1269"/>
      <c r="AJ12" s="1269"/>
      <c r="AK12" s="1233"/>
      <c r="AL12" s="773" t="s">
        <v>5528</v>
      </c>
      <c r="AM12" s="1278" t="s">
        <v>8406</v>
      </c>
      <c r="AN12" s="1278" t="s">
        <v>8488</v>
      </c>
      <c r="AO12" s="1233"/>
      <c r="AP12" s="773" t="s">
        <v>8489</v>
      </c>
      <c r="AQ12" s="773" t="s">
        <v>8289</v>
      </c>
      <c r="AR12" s="1278" t="s">
        <v>8490</v>
      </c>
      <c r="AS12" s="773" t="s">
        <v>8491</v>
      </c>
      <c r="AT12" s="773" t="s">
        <v>8492</v>
      </c>
      <c r="AU12" s="773" t="s">
        <v>8360</v>
      </c>
      <c r="AV12" s="113" t="s">
        <v>8493</v>
      </c>
      <c r="AW12" s="773" t="s">
        <v>8494</v>
      </c>
      <c r="AX12" s="773" t="s">
        <v>8495</v>
      </c>
      <c r="AY12" s="1233"/>
      <c r="AZ12" s="1278" t="s">
        <v>1726</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1667</v>
      </c>
      <c r="CC12" s="1269"/>
      <c r="CD12" s="1269"/>
      <c r="CE12" s="1327"/>
      <c r="CF12" s="773" t="s">
        <v>8453</v>
      </c>
      <c r="CG12" s="1269"/>
      <c r="CH12" s="1338"/>
      <c r="CI12" s="1340" t="s">
        <v>8290</v>
      </c>
      <c r="CJ12" s="1326" t="s">
        <v>8499</v>
      </c>
      <c r="CK12" s="1326"/>
      <c r="CL12" s="1339" t="s">
        <v>6244</v>
      </c>
      <c r="CM12" s="1326" t="s">
        <v>8500</v>
      </c>
      <c r="CN12" s="1326" t="s">
        <v>6214</v>
      </c>
      <c r="CO12" s="1326" t="s">
        <v>5786</v>
      </c>
      <c r="CP12" s="1326" t="s">
        <v>8383</v>
      </c>
      <c r="CQ12" s="1326" t="s">
        <v>8380</v>
      </c>
      <c r="CR12" s="1338"/>
      <c r="CS12" s="1338"/>
      <c r="CT12" s="1233"/>
      <c r="CU12" s="1233"/>
    </row>
    <row r="13">
      <c r="A13" s="1351" t="s">
        <v>6647</v>
      </c>
      <c r="B13" s="1044" t="s">
        <v>7863</v>
      </c>
      <c r="C13" s="1040" t="s">
        <v>441</v>
      </c>
      <c r="D13" s="1041" t="s">
        <v>335</v>
      </c>
      <c r="E13" s="1042" t="s">
        <v>334</v>
      </c>
      <c r="F13" s="1043" t="s">
        <v>223</v>
      </c>
      <c r="G13" s="1044" t="s">
        <v>1062</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4256</v>
      </c>
      <c r="AE13" s="1233"/>
      <c r="AF13" s="1233"/>
      <c r="AG13" s="1233"/>
      <c r="AH13" s="773" t="s">
        <v>5728</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8508</v>
      </c>
      <c r="C14" s="1040" t="s">
        <v>334</v>
      </c>
      <c r="D14" s="1041" t="s">
        <v>334</v>
      </c>
      <c r="E14" s="1042" t="s">
        <v>1260</v>
      </c>
      <c r="F14" s="1043" t="s">
        <v>987</v>
      </c>
      <c r="G14" s="1044" t="s">
        <v>4042</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5128</v>
      </c>
      <c r="X14" s="734" t="s">
        <v>8516</v>
      </c>
      <c r="Y14" s="1278" t="s">
        <v>2714</v>
      </c>
      <c r="Z14" s="1233"/>
      <c r="AA14" s="1233"/>
      <c r="AB14" s="1269"/>
      <c r="AC14" s="773" t="s">
        <v>8517</v>
      </c>
      <c r="AD14" s="721" t="s">
        <v>4256</v>
      </c>
      <c r="AE14" s="1233"/>
      <c r="AF14" s="1233"/>
      <c r="AG14" s="1233"/>
      <c r="AH14" s="1278" t="s">
        <v>5409</v>
      </c>
      <c r="AI14" s="1269"/>
      <c r="AJ14" s="1269"/>
      <c r="AK14" s="1278" t="s">
        <v>4824</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6214</v>
      </c>
      <c r="CO14" s="1338"/>
      <c r="CP14" s="1338"/>
      <c r="CQ14" s="1338"/>
      <c r="CR14" s="1366" t="s">
        <v>7632</v>
      </c>
      <c r="CS14" s="1338"/>
      <c r="CT14" s="1233"/>
      <c r="CU14" s="1233"/>
    </row>
    <row r="15">
      <c r="A15" s="1321" t="s">
        <v>1810</v>
      </c>
      <c r="B15" s="1044" t="s">
        <v>6452</v>
      </c>
      <c r="C15" s="1040" t="s">
        <v>334</v>
      </c>
      <c r="D15" s="1041" t="s">
        <v>548</v>
      </c>
      <c r="E15" s="1042" t="s">
        <v>548</v>
      </c>
      <c r="F15" s="1043" t="s">
        <v>440</v>
      </c>
      <c r="G15" s="1044" t="s">
        <v>222</v>
      </c>
      <c r="H15" s="1347"/>
      <c r="I15" s="1347"/>
      <c r="J15" s="1233"/>
      <c r="K15" s="1233"/>
      <c r="L15" s="1233"/>
      <c r="M15" s="1278" t="s">
        <v>8524</v>
      </c>
      <c r="N15" s="1233"/>
      <c r="O15" s="1233"/>
      <c r="P15" s="1233"/>
      <c r="Q15" s="1270" t="s">
        <v>8525</v>
      </c>
      <c r="R15" s="1233"/>
      <c r="S15" s="1233"/>
      <c r="T15" s="1233"/>
      <c r="U15" s="1233"/>
      <c r="V15" s="1269"/>
      <c r="W15" s="1278" t="s">
        <v>5738</v>
      </c>
      <c r="X15" s="773"/>
      <c r="Y15" s="734" t="s">
        <v>1154</v>
      </c>
      <c r="Z15" s="1233"/>
      <c r="AA15" s="1233"/>
      <c r="AB15" s="1269"/>
      <c r="AC15" s="1278" t="s">
        <v>5500</v>
      </c>
      <c r="AD15" s="1276" t="s">
        <v>612</v>
      </c>
      <c r="AE15" s="1233"/>
      <c r="AF15" s="1233"/>
      <c r="AG15" s="1233"/>
      <c r="AH15" s="1233"/>
      <c r="AI15" s="1269"/>
      <c r="AJ15" s="1269"/>
      <c r="AK15" s="1233"/>
      <c r="AL15" s="1233"/>
      <c r="AM15" s="1233"/>
      <c r="AN15" s="1233"/>
      <c r="AO15" s="1233"/>
      <c r="AP15" s="1278" t="s">
        <v>8379</v>
      </c>
      <c r="AQ15" s="773"/>
      <c r="AR15" s="1278" t="s">
        <v>8526</v>
      </c>
      <c r="AS15" s="773"/>
      <c r="AT15" s="1233"/>
      <c r="AU15" s="1278" t="s">
        <v>8424</v>
      </c>
      <c r="AV15" s="773"/>
      <c r="AW15" s="1278" t="s">
        <v>8527</v>
      </c>
      <c r="AX15" s="1233"/>
      <c r="AY15" s="1233"/>
      <c r="AZ15" s="1233"/>
      <c r="BA15" s="1233"/>
      <c r="BB15" s="1270" t="s">
        <v>8528</v>
      </c>
      <c r="BC15" s="1275" t="s">
        <v>8287</v>
      </c>
      <c r="BD15" s="1233"/>
      <c r="BE15" s="1269"/>
      <c r="BF15" s="1233"/>
      <c r="BG15" s="1233"/>
      <c r="BH15" s="1269"/>
      <c r="BI15" s="1269"/>
      <c r="BJ15" s="1269"/>
      <c r="BK15" s="1269"/>
      <c r="BL15" s="1233"/>
      <c r="BM15" s="1270" t="s">
        <v>8529</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2929</v>
      </c>
      <c r="B16" s="1044" t="s">
        <v>8530</v>
      </c>
      <c r="C16" s="1040" t="s">
        <v>1201</v>
      </c>
      <c r="D16" s="1041" t="s">
        <v>548</v>
      </c>
      <c r="E16" s="1042" t="s">
        <v>1260</v>
      </c>
      <c r="F16" s="1043" t="s">
        <v>648</v>
      </c>
      <c r="G16" s="1044" t="s">
        <v>222</v>
      </c>
      <c r="H16" s="1368" t="s">
        <v>8531</v>
      </c>
      <c r="I16" s="1368" t="s">
        <v>8515</v>
      </c>
      <c r="J16" s="1270" t="s">
        <v>8532</v>
      </c>
      <c r="K16" s="1270" t="s">
        <v>8533</v>
      </c>
      <c r="L16" s="773" t="s">
        <v>8534</v>
      </c>
      <c r="M16" s="1233"/>
      <c r="N16" s="1270" t="s">
        <v>3691</v>
      </c>
      <c r="O16" s="1276" t="s">
        <v>8535</v>
      </c>
      <c r="P16" s="1233"/>
      <c r="Q16" s="773" t="s">
        <v>8536</v>
      </c>
      <c r="R16" s="773" t="s">
        <v>8537</v>
      </c>
      <c r="S16" s="1270" t="s">
        <v>8538</v>
      </c>
      <c r="T16" s="1270" t="s">
        <v>8539</v>
      </c>
      <c r="U16" s="773" t="s">
        <v>8540</v>
      </c>
      <c r="V16" s="773" t="s">
        <v>8541</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7952</v>
      </c>
      <c r="C17" s="1040" t="s">
        <v>548</v>
      </c>
      <c r="D17" s="1041" t="s">
        <v>1260</v>
      </c>
      <c r="E17" s="1042" t="s">
        <v>548</v>
      </c>
      <c r="F17" s="1043" t="s">
        <v>439</v>
      </c>
      <c r="G17" s="1044" t="s">
        <v>3092</v>
      </c>
      <c r="H17" s="1347"/>
      <c r="I17" s="1347" t="s">
        <v>8542</v>
      </c>
      <c r="J17" s="773"/>
      <c r="K17" s="1278" t="s">
        <v>8543</v>
      </c>
      <c r="L17" s="773"/>
      <c r="M17" s="1278" t="s">
        <v>8544</v>
      </c>
      <c r="N17" s="1233"/>
      <c r="O17" s="1278" t="s">
        <v>8545</v>
      </c>
      <c r="P17" s="1233"/>
      <c r="Q17" s="1233"/>
      <c r="R17" s="773" t="s">
        <v>8546</v>
      </c>
      <c r="S17" s="1316" t="s">
        <v>8547</v>
      </c>
      <c r="T17" s="1278" t="s">
        <v>8548</v>
      </c>
      <c r="U17" s="773" t="s">
        <v>3777</v>
      </c>
      <c r="V17" s="1278"/>
      <c r="W17" s="1278" t="s">
        <v>4435</v>
      </c>
      <c r="X17" s="773" t="s">
        <v>3810</v>
      </c>
      <c r="Y17" s="1278" t="s">
        <v>2797</v>
      </c>
      <c r="Z17" s="1233"/>
      <c r="AA17" s="1233"/>
      <c r="AB17" s="1269"/>
      <c r="AC17" s="1278" t="s">
        <v>8549</v>
      </c>
      <c r="AD17" s="773" t="s">
        <v>2026</v>
      </c>
      <c r="AE17" s="773"/>
      <c r="AF17" s="1278" t="s">
        <v>8550</v>
      </c>
      <c r="AG17" s="1270" t="s">
        <v>8551</v>
      </c>
      <c r="AH17" s="1275" t="s">
        <v>1269</v>
      </c>
      <c r="AI17" s="1269"/>
      <c r="AJ17" s="1269"/>
      <c r="AK17" s="1278" t="s">
        <v>708</v>
      </c>
      <c r="AL17" s="1233"/>
      <c r="AM17" s="1278" t="s">
        <v>8428</v>
      </c>
      <c r="AN17" s="1233"/>
      <c r="AO17" s="1233"/>
      <c r="AP17" s="773" t="s">
        <v>8306</v>
      </c>
      <c r="AQ17" s="773"/>
      <c r="AR17" s="773" t="s">
        <v>8332</v>
      </c>
      <c r="AS17" s="773" t="s">
        <v>8552</v>
      </c>
      <c r="AT17" s="773" t="s">
        <v>8553</v>
      </c>
      <c r="AU17" s="773" t="s">
        <v>8554</v>
      </c>
      <c r="AV17" s="773"/>
      <c r="AW17" s="1233"/>
      <c r="AX17" s="1233"/>
      <c r="AY17" s="1233"/>
      <c r="AZ17" s="1278" t="s">
        <v>4770</v>
      </c>
      <c r="BA17" s="773"/>
      <c r="BB17" s="1278" t="s">
        <v>8424</v>
      </c>
      <c r="BC17" s="1278" t="s">
        <v>8555</v>
      </c>
      <c r="BD17" s="1278" t="s">
        <v>8361</v>
      </c>
      <c r="BE17" s="1278"/>
      <c r="BF17" s="773"/>
      <c r="BG17" s="1233"/>
      <c r="BH17" s="1269"/>
      <c r="BI17" s="1269"/>
      <c r="BJ17" s="1269"/>
      <c r="BK17" s="1269"/>
      <c r="BL17" s="1233"/>
      <c r="BM17" s="1269"/>
      <c r="BN17" s="1278" t="s">
        <v>8556</v>
      </c>
      <c r="BO17" s="1278" t="s">
        <v>8557</v>
      </c>
      <c r="BP17" s="1278"/>
      <c r="BQ17" s="1269"/>
      <c r="BR17" s="1269"/>
      <c r="BS17" s="1269"/>
      <c r="BT17" s="1269"/>
      <c r="BU17" s="1269"/>
      <c r="BV17" s="1350" t="s">
        <v>4687</v>
      </c>
      <c r="BW17" s="1269"/>
      <c r="BX17" s="1233"/>
      <c r="BY17" s="773" t="s">
        <v>2230</v>
      </c>
      <c r="BZ17" s="1233"/>
      <c r="CA17" s="1269"/>
      <c r="CB17" s="773" t="s">
        <v>4526</v>
      </c>
      <c r="CC17" s="1278" t="s">
        <v>8558</v>
      </c>
      <c r="CD17" s="1278"/>
      <c r="CE17" s="1233"/>
      <c r="CF17" s="1233"/>
      <c r="CG17" s="1269"/>
      <c r="CH17" s="1269"/>
      <c r="CI17" s="1233"/>
      <c r="CJ17" s="1233"/>
      <c r="CK17" s="1269"/>
      <c r="CL17" s="1269"/>
      <c r="CM17" s="1278" t="s">
        <v>8559</v>
      </c>
      <c r="CN17" s="1278" t="s">
        <v>1882</v>
      </c>
      <c r="CO17" s="1278" t="s">
        <v>1812</v>
      </c>
      <c r="CP17" s="1278" t="s">
        <v>8560</v>
      </c>
      <c r="CQ17" s="773" t="s">
        <v>8561</v>
      </c>
      <c r="CR17" s="1278" t="s">
        <v>3337</v>
      </c>
      <c r="CS17" s="773" t="s">
        <v>8562</v>
      </c>
      <c r="CT17" s="1233"/>
      <c r="CU17" s="1233"/>
    </row>
    <row r="18">
      <c r="A18" s="1370" t="s">
        <v>8138</v>
      </c>
      <c r="B18" s="1044" t="s">
        <v>8563</v>
      </c>
      <c r="C18" s="1040" t="s">
        <v>440</v>
      </c>
      <c r="D18" s="1041" t="s">
        <v>439</v>
      </c>
      <c r="E18" s="1042" t="s">
        <v>1260</v>
      </c>
      <c r="F18" s="1043" t="s">
        <v>3283</v>
      </c>
      <c r="G18" s="1044" t="s">
        <v>1200</v>
      </c>
      <c r="H18" s="1347"/>
      <c r="I18" s="1347"/>
      <c r="J18" s="1233"/>
      <c r="K18" s="1233"/>
      <c r="L18" s="1233"/>
      <c r="M18" s="1233"/>
      <c r="N18" s="1233"/>
      <c r="O18" s="1233"/>
      <c r="P18" s="1233"/>
      <c r="Q18" s="1233"/>
      <c r="R18" s="1233"/>
      <c r="S18" s="1233"/>
      <c r="T18" s="1233"/>
      <c r="U18" s="1233"/>
      <c r="V18" s="1269"/>
      <c r="W18" s="1270" t="s">
        <v>8564</v>
      </c>
      <c r="X18" s="1276" t="s">
        <v>1743</v>
      </c>
      <c r="Y18" s="1233"/>
      <c r="Z18" s="1233"/>
      <c r="AA18" s="1233"/>
      <c r="AB18" s="1270" t="s">
        <v>8565</v>
      </c>
      <c r="AC18" s="1276" t="s">
        <v>2460</v>
      </c>
      <c r="AD18" s="734" t="s">
        <v>2734</v>
      </c>
      <c r="AE18" s="1265"/>
      <c r="AF18" s="1270" t="s">
        <v>8566</v>
      </c>
      <c r="AG18" s="1233"/>
      <c r="AH18" s="1270" t="s">
        <v>1701</v>
      </c>
      <c r="AI18" s="1270" t="s">
        <v>3142</v>
      </c>
      <c r="AJ18" s="1269"/>
      <c r="AK18" s="773" t="s">
        <v>4258</v>
      </c>
      <c r="AL18" s="1233"/>
      <c r="AM18" s="1233"/>
      <c r="AN18" s="1233"/>
      <c r="AO18" s="1233"/>
      <c r="AP18" s="734" t="s">
        <v>8567</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8568</v>
      </c>
      <c r="C19" s="1040" t="s">
        <v>1260</v>
      </c>
      <c r="D19" s="1041" t="s">
        <v>1260</v>
      </c>
      <c r="E19" s="1042" t="s">
        <v>1260</v>
      </c>
      <c r="F19" s="1043" t="s">
        <v>548</v>
      </c>
      <c r="G19" s="1044" t="s">
        <v>3371</v>
      </c>
      <c r="H19" s="1347"/>
      <c r="I19" s="1347" t="s">
        <v>8569</v>
      </c>
      <c r="J19" s="773"/>
      <c r="K19" s="773" t="s">
        <v>7492</v>
      </c>
      <c r="L19" s="773"/>
      <c r="M19" s="1233"/>
      <c r="N19" s="1233"/>
      <c r="O19" s="1233"/>
      <c r="P19" s="1233"/>
      <c r="Q19" s="1233"/>
      <c r="R19" s="1278" t="s">
        <v>8570</v>
      </c>
      <c r="S19" s="1233"/>
      <c r="T19" s="1278" t="s">
        <v>8571</v>
      </c>
      <c r="U19" s="1278" t="s">
        <v>8572</v>
      </c>
      <c r="V19" s="1278" t="s">
        <v>8573</v>
      </c>
      <c r="W19" s="1278" t="s">
        <v>3439</v>
      </c>
      <c r="X19" s="773" t="s">
        <v>2616</v>
      </c>
      <c r="Y19" s="1278" t="s">
        <v>8574</v>
      </c>
      <c r="Z19" s="1233"/>
      <c r="AA19" s="1233"/>
      <c r="AB19" s="1269"/>
      <c r="AC19" s="734" t="s">
        <v>345</v>
      </c>
      <c r="AD19" s="1278" t="s">
        <v>3938</v>
      </c>
      <c r="AE19" s="773"/>
      <c r="AF19" s="1278" t="s">
        <v>8575</v>
      </c>
      <c r="AG19" s="773"/>
      <c r="AH19" s="1278" t="s">
        <v>8576</v>
      </c>
      <c r="AI19" s="1269"/>
      <c r="AJ19" s="1269"/>
      <c r="AK19" s="1233"/>
      <c r="AL19" s="1233"/>
      <c r="AM19" s="1233"/>
      <c r="AN19" s="1233"/>
      <c r="AO19" s="1233"/>
      <c r="AP19" s="773" t="s">
        <v>8306</v>
      </c>
      <c r="AQ19" s="1233"/>
      <c r="AR19" s="773" t="s">
        <v>8577</v>
      </c>
      <c r="AS19" s="1233"/>
      <c r="AT19" s="1233"/>
      <c r="AU19" s="773" t="s">
        <v>8578</v>
      </c>
      <c r="AV19" s="773"/>
      <c r="AW19" s="773" t="s">
        <v>8337</v>
      </c>
      <c r="AX19" s="1233"/>
      <c r="AY19" s="1233"/>
      <c r="AZ19" s="1278" t="s">
        <v>2154</v>
      </c>
      <c r="BA19" s="773"/>
      <c r="BB19" s="1233"/>
      <c r="BC19" s="1278" t="s">
        <v>8579</v>
      </c>
      <c r="BD19" s="773" t="s">
        <v>8580</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8581</v>
      </c>
      <c r="C20" s="1040" t="s">
        <v>1260</v>
      </c>
      <c r="D20" s="1041" t="s">
        <v>1260</v>
      </c>
      <c r="E20" s="1042" t="s">
        <v>1260</v>
      </c>
      <c r="F20" s="1043" t="s">
        <v>1260</v>
      </c>
      <c r="G20" s="1044" t="s">
        <v>3371</v>
      </c>
      <c r="H20" s="1347" t="s">
        <v>8582</v>
      </c>
      <c r="I20" s="1347" t="s">
        <v>8583</v>
      </c>
      <c r="J20" s="773" t="s">
        <v>8584</v>
      </c>
      <c r="K20" s="1347" t="s">
        <v>8585</v>
      </c>
      <c r="L20" s="773" t="s">
        <v>8586</v>
      </c>
      <c r="M20" s="773" t="s">
        <v>8368</v>
      </c>
      <c r="N20" s="773" t="s">
        <v>8587</v>
      </c>
      <c r="O20" s="773" t="s">
        <v>8588</v>
      </c>
      <c r="P20" s="773" t="s">
        <v>7859</v>
      </c>
      <c r="Q20" s="1233"/>
      <c r="R20" s="773" t="s">
        <v>8503</v>
      </c>
      <c r="S20" s="113" t="s">
        <v>8589</v>
      </c>
      <c r="T20" s="1233"/>
      <c r="U20" s="1372" t="s">
        <v>8590</v>
      </c>
      <c r="V20" s="773" t="s">
        <v>8591</v>
      </c>
      <c r="W20" s="1278" t="s">
        <v>8592</v>
      </c>
      <c r="X20" s="773" t="s">
        <v>8593</v>
      </c>
      <c r="Y20" s="773" t="s">
        <v>250</v>
      </c>
      <c r="Z20" s="1233"/>
      <c r="AA20" s="1233"/>
      <c r="AB20" s="1269"/>
      <c r="AC20" s="1278" t="s">
        <v>8594</v>
      </c>
      <c r="AD20" s="773" t="s">
        <v>4163</v>
      </c>
      <c r="AE20" s="1233"/>
      <c r="AF20" s="1233"/>
      <c r="AG20" s="1233"/>
      <c r="AH20" s="1233"/>
      <c r="AI20" s="1269"/>
      <c r="AJ20" s="1269"/>
      <c r="AK20" s="1233"/>
      <c r="AL20" s="1233"/>
      <c r="AM20" s="773"/>
      <c r="AN20" s="1233"/>
      <c r="AO20" s="1233"/>
      <c r="AP20" s="773" t="s">
        <v>8381</v>
      </c>
      <c r="AQ20" s="773" t="s">
        <v>8595</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8596</v>
      </c>
      <c r="C21" s="1040" t="s">
        <v>1260</v>
      </c>
      <c r="D21" s="1041" t="s">
        <v>1260</v>
      </c>
      <c r="E21" s="1042" t="s">
        <v>1260</v>
      </c>
      <c r="F21" s="1043" t="s">
        <v>1260</v>
      </c>
      <c r="G21" s="1044" t="s">
        <v>223</v>
      </c>
      <c r="H21" s="1347"/>
      <c r="I21" s="1347" t="s">
        <v>8597</v>
      </c>
      <c r="J21" s="773"/>
      <c r="K21" s="1278" t="s">
        <v>8598</v>
      </c>
      <c r="L21" s="773"/>
      <c r="M21" s="773"/>
      <c r="N21" s="773"/>
      <c r="O21" s="1278" t="s">
        <v>8599</v>
      </c>
      <c r="P21" s="773"/>
      <c r="Q21" s="1233"/>
      <c r="R21" s="1233"/>
      <c r="S21" s="1233"/>
      <c r="T21" s="773"/>
      <c r="U21" s="1278" t="s">
        <v>8600</v>
      </c>
      <c r="V21" s="1278"/>
      <c r="W21" s="1278" t="s">
        <v>117</v>
      </c>
      <c r="X21" s="773"/>
      <c r="Y21" s="1278" t="s">
        <v>3231</v>
      </c>
      <c r="Z21" s="773"/>
      <c r="AA21" s="773"/>
      <c r="AB21" s="1278"/>
      <c r="AC21" s="1278" t="s">
        <v>8601</v>
      </c>
      <c r="AD21" s="1278" t="s">
        <v>4887</v>
      </c>
      <c r="AE21" s="773"/>
      <c r="AF21" s="773"/>
      <c r="AG21" s="773"/>
      <c r="AH21" s="1233"/>
      <c r="AI21" s="1269"/>
      <c r="AJ21" s="1269"/>
      <c r="AK21" s="1233"/>
      <c r="AL21" s="1233"/>
      <c r="AM21" s="1278" t="s">
        <v>8518</v>
      </c>
      <c r="AN21" s="1233"/>
      <c r="AO21" s="1233"/>
      <c r="AP21" s="1278" t="s">
        <v>8602</v>
      </c>
      <c r="AQ21" s="773"/>
      <c r="AR21" s="1278" t="s">
        <v>8603</v>
      </c>
      <c r="AS21" s="773"/>
      <c r="AT21" s="1278" t="s">
        <v>8604</v>
      </c>
      <c r="AU21" s="1278" t="s">
        <v>8605</v>
      </c>
      <c r="AV21" s="773"/>
      <c r="AW21" s="773"/>
      <c r="AX21" s="1233"/>
      <c r="AY21" s="1233"/>
      <c r="AZ21" s="1278" t="s">
        <v>5140</v>
      </c>
      <c r="BA21" s="773"/>
      <c r="BB21" s="1278" t="s">
        <v>8338</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8104</v>
      </c>
      <c r="B22" s="1044" t="s">
        <v>8596</v>
      </c>
      <c r="C22" s="1040" t="s">
        <v>1260</v>
      </c>
      <c r="D22" s="1041" t="s">
        <v>1260</v>
      </c>
      <c r="E22" s="1042" t="s">
        <v>1260</v>
      </c>
      <c r="F22" s="1043" t="s">
        <v>439</v>
      </c>
      <c r="G22" s="1044" t="s">
        <v>223</v>
      </c>
      <c r="H22" s="1347" t="s">
        <v>8606</v>
      </c>
      <c r="I22" s="1347"/>
      <c r="J22" s="1233"/>
      <c r="K22" s="1278" t="s">
        <v>8607</v>
      </c>
      <c r="L22" s="773"/>
      <c r="M22" s="1233"/>
      <c r="N22" s="1233"/>
      <c r="O22" s="1233"/>
      <c r="P22" s="1233"/>
      <c r="Q22" s="1278" t="s">
        <v>8608</v>
      </c>
      <c r="R22" s="1278" t="s">
        <v>8609</v>
      </c>
      <c r="S22" s="1233"/>
      <c r="T22" s="1278" t="s">
        <v>8610</v>
      </c>
      <c r="U22" s="1374" t="s">
        <v>8611</v>
      </c>
      <c r="V22" s="1374"/>
      <c r="W22" s="1278" t="s">
        <v>370</v>
      </c>
      <c r="X22" s="773"/>
      <c r="Y22" s="1278" t="s">
        <v>5168</v>
      </c>
      <c r="Z22" s="1233"/>
      <c r="AA22" s="1233"/>
      <c r="AB22" s="1269"/>
      <c r="AC22" s="1278" t="s">
        <v>8612</v>
      </c>
      <c r="AD22" s="1278" t="s">
        <v>4106</v>
      </c>
      <c r="AE22" s="1265"/>
      <c r="AF22" s="734" t="s">
        <v>724</v>
      </c>
      <c r="AG22" s="1265"/>
      <c r="AH22" s="1278" t="s">
        <v>6772</v>
      </c>
      <c r="AI22" s="1278" t="s">
        <v>5532</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8613</v>
      </c>
      <c r="CU22" s="1265"/>
    </row>
    <row r="23">
      <c r="A23" s="1377" t="s">
        <v>8093</v>
      </c>
      <c r="B23" s="1044" t="s">
        <v>8614</v>
      </c>
      <c r="C23" s="1040" t="s">
        <v>1260</v>
      </c>
      <c r="D23" s="1041" t="s">
        <v>1260</v>
      </c>
      <c r="E23" s="1042" t="s">
        <v>1260</v>
      </c>
      <c r="F23" s="1043" t="s">
        <v>1260</v>
      </c>
      <c r="G23" s="1044" t="s">
        <v>2837</v>
      </c>
      <c r="H23" s="1347"/>
      <c r="I23" s="1347" t="s">
        <v>8615</v>
      </c>
      <c r="J23" s="773"/>
      <c r="K23" s="773" t="s">
        <v>8616</v>
      </c>
      <c r="L23" s="773"/>
      <c r="M23" s="1233"/>
      <c r="N23" s="1269" t="s">
        <v>8617</v>
      </c>
      <c r="O23" s="1233"/>
      <c r="P23" s="1233"/>
      <c r="Q23" s="1233"/>
      <c r="R23" s="1278" t="s">
        <v>8618</v>
      </c>
      <c r="S23" s="1233"/>
      <c r="T23" s="1278" t="s">
        <v>8619</v>
      </c>
      <c r="U23" s="1278" t="s">
        <v>8620</v>
      </c>
      <c r="V23" s="1278"/>
      <c r="W23" s="1278" t="s">
        <v>2767</v>
      </c>
      <c r="X23" s="773"/>
      <c r="Y23" s="1278" t="s">
        <v>1016</v>
      </c>
      <c r="Z23" s="1269" t="s">
        <v>8621</v>
      </c>
      <c r="AA23" s="1233"/>
      <c r="AB23" s="1269"/>
      <c r="AC23" s="773"/>
      <c r="AD23" s="1278" t="s">
        <v>1912</v>
      </c>
      <c r="AE23" s="773"/>
      <c r="AF23" s="773"/>
      <c r="AG23" s="773"/>
      <c r="AH23" s="773"/>
      <c r="AI23" s="1269" t="s">
        <v>8622</v>
      </c>
      <c r="AJ23" s="1269"/>
      <c r="AK23" s="1233"/>
      <c r="AL23" s="1233"/>
      <c r="AM23" s="1269" t="s">
        <v>8623</v>
      </c>
      <c r="AN23" s="1233"/>
      <c r="AO23" s="1233"/>
      <c r="AP23" s="773" t="s">
        <v>8624</v>
      </c>
      <c r="AQ23" s="1233"/>
      <c r="AR23" s="1269" t="s">
        <v>8625</v>
      </c>
      <c r="AS23" s="1233"/>
      <c r="AT23" s="1269" t="s">
        <v>8626</v>
      </c>
      <c r="AU23" s="773" t="s">
        <v>8627</v>
      </c>
      <c r="AV23" s="773"/>
      <c r="AW23" s="773" t="s">
        <v>8518</v>
      </c>
      <c r="AX23" s="1233"/>
      <c r="AY23" s="1269" t="s">
        <v>8522</v>
      </c>
      <c r="AZ23" s="773"/>
      <c r="BA23" s="773"/>
      <c r="BB23" s="1269" t="s">
        <v>8628</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8629</v>
      </c>
      <c r="C24" s="1040" t="s">
        <v>1260</v>
      </c>
      <c r="D24" s="1041" t="s">
        <v>548</v>
      </c>
      <c r="E24" s="1042" t="s">
        <v>1260</v>
      </c>
      <c r="F24" s="1043" t="s">
        <v>441</v>
      </c>
      <c r="G24" s="1044" t="s">
        <v>3371</v>
      </c>
      <c r="H24" s="1347"/>
      <c r="I24" s="1347" t="s">
        <v>8630</v>
      </c>
      <c r="J24" s="773"/>
      <c r="K24" s="773" t="s">
        <v>8631</v>
      </c>
      <c r="L24" s="1276" t="s">
        <v>3755</v>
      </c>
      <c r="M24" s="1233"/>
      <c r="N24" s="1233"/>
      <c r="O24" s="1233"/>
      <c r="P24" s="773" t="s">
        <v>5811</v>
      </c>
      <c r="Q24" s="1233"/>
      <c r="R24" s="734" t="s">
        <v>8632</v>
      </c>
      <c r="S24" s="1233"/>
      <c r="T24" s="1233"/>
      <c r="U24" s="773" t="s">
        <v>753</v>
      </c>
      <c r="V24" s="1278"/>
      <c r="W24" s="1278" t="s">
        <v>4308</v>
      </c>
      <c r="X24" s="773" t="s">
        <v>3444</v>
      </c>
      <c r="Y24" s="734" t="s">
        <v>5848</v>
      </c>
      <c r="Z24" s="1233"/>
      <c r="AA24" s="1233"/>
      <c r="AB24" s="1269"/>
      <c r="AC24" s="1278" t="s">
        <v>8633</v>
      </c>
      <c r="AD24" s="1278" t="s">
        <v>5674</v>
      </c>
      <c r="AE24" s="773"/>
      <c r="AF24" s="1278" t="s">
        <v>8634</v>
      </c>
      <c r="AG24" s="773"/>
      <c r="AH24" s="1278" t="s">
        <v>8635</v>
      </c>
      <c r="AI24" s="1269"/>
      <c r="AJ24" s="1269"/>
      <c r="AK24" s="1283" t="s">
        <v>3800</v>
      </c>
      <c r="AL24" s="1330"/>
      <c r="AM24" s="1233"/>
      <c r="AN24" s="1233"/>
      <c r="AO24" s="1233"/>
      <c r="AP24" s="1233"/>
      <c r="AQ24" s="1233"/>
      <c r="AR24" s="1278" t="s">
        <v>8636</v>
      </c>
      <c r="AS24" s="773"/>
      <c r="AT24" s="1233"/>
      <c r="AU24" s="1233"/>
      <c r="AV24" s="1233"/>
      <c r="AW24" s="1278" t="s">
        <v>8314</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8629</v>
      </c>
      <c r="C25" s="1040" t="s">
        <v>1260</v>
      </c>
      <c r="D25" s="1041" t="s">
        <v>548</v>
      </c>
      <c r="E25" s="1042" t="s">
        <v>548</v>
      </c>
      <c r="F25" s="1043" t="s">
        <v>440</v>
      </c>
      <c r="G25" s="1044" t="s">
        <v>5140</v>
      </c>
      <c r="H25" s="1352" t="s">
        <v>8637</v>
      </c>
      <c r="I25" s="1352" t="s">
        <v>5307</v>
      </c>
      <c r="J25" s="1265"/>
      <c r="K25" s="1278" t="s">
        <v>8638</v>
      </c>
      <c r="L25" s="773"/>
      <c r="M25" s="773"/>
      <c r="N25" s="1278" t="s">
        <v>8639</v>
      </c>
      <c r="O25" s="1278" t="s">
        <v>8640</v>
      </c>
      <c r="P25" s="1278" t="s">
        <v>8641</v>
      </c>
      <c r="Q25" s="1278" t="s">
        <v>8642</v>
      </c>
      <c r="R25" s="1278" t="s">
        <v>8643</v>
      </c>
      <c r="S25" s="1278" t="s">
        <v>5325</v>
      </c>
      <c r="T25" s="1278" t="s">
        <v>8644</v>
      </c>
      <c r="U25" s="1278" t="s">
        <v>8645</v>
      </c>
      <c r="V25" s="1278"/>
      <c r="W25" s="1278" t="s">
        <v>6076</v>
      </c>
      <c r="X25" s="773"/>
      <c r="Y25" s="1233"/>
      <c r="Z25" s="1233"/>
      <c r="AA25" s="1233"/>
      <c r="AB25" s="1269"/>
      <c r="AC25" s="1278" t="s">
        <v>8646</v>
      </c>
      <c r="AD25" s="1278" t="s">
        <v>5881</v>
      </c>
      <c r="AE25" s="773"/>
      <c r="AF25" s="1278" t="s">
        <v>7691</v>
      </c>
      <c r="AG25" s="773"/>
      <c r="AH25" s="1278" t="s">
        <v>3323</v>
      </c>
      <c r="AI25" s="1278"/>
      <c r="AJ25" s="1278"/>
      <c r="AK25" s="1233"/>
      <c r="AL25" s="1233"/>
      <c r="AM25" s="1278" t="s">
        <v>8647</v>
      </c>
      <c r="AN25" s="1278" t="s">
        <v>8507</v>
      </c>
      <c r="AO25" s="1278" t="s">
        <v>8404</v>
      </c>
      <c r="AP25" s="1278" t="s">
        <v>8648</v>
      </c>
      <c r="AQ25" s="773"/>
      <c r="AR25" s="1278" t="s">
        <v>8552</v>
      </c>
      <c r="AS25" s="773"/>
      <c r="AT25" s="1278" t="s">
        <v>8649</v>
      </c>
      <c r="AU25" s="1278" t="s">
        <v>8650</v>
      </c>
      <c r="AV25" s="773"/>
      <c r="AW25" s="1278" t="s">
        <v>8428</v>
      </c>
      <c r="AX25" s="773"/>
      <c r="AY25" s="1278" t="s">
        <v>8567</v>
      </c>
      <c r="AZ25" s="1233"/>
      <c r="BA25" s="1233"/>
      <c r="BB25" s="1278" t="s">
        <v>8488</v>
      </c>
      <c r="BC25" s="773" t="s">
        <v>8567</v>
      </c>
      <c r="BD25" s="1278" t="s">
        <v>8554</v>
      </c>
      <c r="BE25" s="1278"/>
      <c r="BF25" s="773"/>
      <c r="BG25" s="1379" t="s">
        <v>8651</v>
      </c>
      <c r="BH25" s="1380" t="s">
        <v>8652</v>
      </c>
      <c r="BI25" s="1181"/>
      <c r="BJ25" s="1181"/>
      <c r="BK25" s="1181"/>
      <c r="BL25" s="1181" t="s">
        <v>8653</v>
      </c>
      <c r="BM25" s="1181" t="s">
        <v>8654</v>
      </c>
      <c r="BN25" s="1181"/>
      <c r="BO25" s="1181"/>
      <c r="BP25" s="1181"/>
      <c r="BQ25" s="1269"/>
      <c r="BR25" s="1381" t="s">
        <v>8655</v>
      </c>
      <c r="BS25" s="1269"/>
      <c r="BT25" s="1269"/>
      <c r="BU25" s="1269"/>
      <c r="BV25" s="1382" t="s">
        <v>163</v>
      </c>
      <c r="BW25" s="1278" t="s">
        <v>1783</v>
      </c>
      <c r="BX25" s="1278" t="s">
        <v>1632</v>
      </c>
      <c r="BY25" s="1275" t="s">
        <v>4959</v>
      </c>
      <c r="BZ25" s="1278" t="s">
        <v>2254</v>
      </c>
      <c r="CA25" s="1278" t="s">
        <v>5459</v>
      </c>
      <c r="CB25" s="1278" t="s">
        <v>2133</v>
      </c>
      <c r="CC25" s="1278" t="s">
        <v>8656</v>
      </c>
      <c r="CD25" s="1278"/>
      <c r="CE25" s="1340" t="s">
        <v>8579</v>
      </c>
      <c r="CF25" s="1340" t="s">
        <v>8277</v>
      </c>
      <c r="CG25" s="1340" t="s">
        <v>8657</v>
      </c>
      <c r="CH25" s="1340"/>
      <c r="CI25" s="1327"/>
      <c r="CJ25" s="1327"/>
      <c r="CK25" s="1338"/>
      <c r="CL25" s="1338"/>
      <c r="CM25" s="1338"/>
      <c r="CN25" s="1327"/>
      <c r="CO25" s="1338"/>
      <c r="CP25" s="1338"/>
      <c r="CQ25" s="1338"/>
      <c r="CR25" s="1338"/>
      <c r="CS25" s="1338"/>
      <c r="CT25" s="734" t="s">
        <v>4883</v>
      </c>
      <c r="CU25" s="1265"/>
    </row>
    <row r="26">
      <c r="A26" s="1383" t="s">
        <v>3188</v>
      </c>
      <c r="B26" s="1044" t="s">
        <v>8658</v>
      </c>
      <c r="C26" s="1040" t="s">
        <v>548</v>
      </c>
      <c r="D26" s="1041" t="s">
        <v>1260</v>
      </c>
      <c r="E26" s="1042" t="s">
        <v>548</v>
      </c>
      <c r="F26" s="1043" t="s">
        <v>335</v>
      </c>
      <c r="G26" s="1044" t="s">
        <v>6214</v>
      </c>
      <c r="H26" s="1347"/>
      <c r="I26" s="1384" t="s">
        <v>8659</v>
      </c>
      <c r="J26" s="1233"/>
      <c r="K26" s="734" t="s">
        <v>8660</v>
      </c>
      <c r="L26" s="1233"/>
      <c r="M26" s="1275" t="s">
        <v>8661</v>
      </c>
      <c r="N26" s="1233"/>
      <c r="O26" s="721" t="s">
        <v>8662</v>
      </c>
      <c r="P26" s="1278" t="s">
        <v>8663</v>
      </c>
      <c r="Q26" s="1233"/>
      <c r="R26" s="1233"/>
      <c r="S26" s="734" t="s">
        <v>8664</v>
      </c>
      <c r="T26" s="773" t="s">
        <v>8665</v>
      </c>
      <c r="U26" s="1278" t="s">
        <v>8666</v>
      </c>
      <c r="V26" s="1269"/>
      <c r="W26" s="1233"/>
      <c r="X26" s="773" t="s">
        <v>8667</v>
      </c>
      <c r="Y26" s="773" t="s">
        <v>5074</v>
      </c>
      <c r="Z26" s="1233"/>
      <c r="AA26" s="773" t="s">
        <v>8668</v>
      </c>
      <c r="AB26" s="1269"/>
      <c r="AC26" s="773" t="s">
        <v>8669</v>
      </c>
      <c r="AD26" s="773" t="s">
        <v>5292</v>
      </c>
      <c r="AE26" s="734" t="s">
        <v>4526</v>
      </c>
      <c r="AF26" s="773" t="s">
        <v>7977</v>
      </c>
      <c r="AG26" s="1233"/>
      <c r="AH26" s="1233"/>
      <c r="AI26" s="1269"/>
      <c r="AJ26" s="1269"/>
      <c r="AK26" s="1233"/>
      <c r="AL26" s="1233"/>
      <c r="AM26" s="1233"/>
      <c r="AN26" s="773" t="s">
        <v>8670</v>
      </c>
      <c r="AO26" s="1278" t="s">
        <v>8671</v>
      </c>
      <c r="AP26" s="1233"/>
      <c r="AQ26" s="773" t="s">
        <v>8403</v>
      </c>
      <c r="AR26" s="1233"/>
      <c r="AS26" s="1233"/>
      <c r="AT26" s="1233"/>
      <c r="AU26" s="773" t="s">
        <v>8627</v>
      </c>
      <c r="AV26" s="1233"/>
      <c r="AW26" s="1233"/>
      <c r="AX26" s="1233"/>
      <c r="AY26" s="1233"/>
      <c r="AZ26" s="1233"/>
      <c r="BA26" s="1233"/>
      <c r="BB26" s="1233"/>
      <c r="BC26" s="1233"/>
      <c r="BD26" s="1233"/>
      <c r="BE26" s="1269"/>
      <c r="BF26" s="1233"/>
      <c r="BG26" s="1345"/>
      <c r="BH26" s="1344"/>
      <c r="BI26" s="1344"/>
      <c r="BJ26" s="1344"/>
      <c r="BK26" s="1344"/>
      <c r="BL26" s="1385" t="s">
        <v>8672</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8107</v>
      </c>
      <c r="B27" s="1044" t="s">
        <v>8673</v>
      </c>
      <c r="C27" s="1040" t="s">
        <v>1260</v>
      </c>
      <c r="D27" s="1041" t="s">
        <v>1260</v>
      </c>
      <c r="E27" s="1042" t="s">
        <v>1260</v>
      </c>
      <c r="F27" s="1043" t="s">
        <v>441</v>
      </c>
      <c r="G27" s="1044" t="s">
        <v>2676</v>
      </c>
      <c r="H27" s="1347"/>
      <c r="I27" s="1347" t="s">
        <v>8674</v>
      </c>
      <c r="J27" s="1233"/>
      <c r="K27" s="773" t="s">
        <v>8675</v>
      </c>
      <c r="L27" s="1233"/>
      <c r="M27" s="1233"/>
      <c r="N27" s="1233"/>
      <c r="O27" s="1233"/>
      <c r="P27" s="773" t="s">
        <v>8676</v>
      </c>
      <c r="Q27" s="1233"/>
      <c r="R27" s="773" t="s">
        <v>8677</v>
      </c>
      <c r="S27" s="1233"/>
      <c r="T27" s="773" t="s">
        <v>8678</v>
      </c>
      <c r="U27" s="734" t="s">
        <v>5400</v>
      </c>
      <c r="V27" s="1269"/>
      <c r="W27" s="1233"/>
      <c r="X27" s="773" t="s">
        <v>6839</v>
      </c>
      <c r="Y27" s="734" t="s">
        <v>6932</v>
      </c>
      <c r="Z27" s="1233"/>
      <c r="AA27" s="773" t="s">
        <v>8679</v>
      </c>
      <c r="AB27" s="1269"/>
      <c r="AC27" s="773" t="s">
        <v>8680</v>
      </c>
      <c r="AD27" s="734" t="s">
        <v>1506</v>
      </c>
      <c r="AE27" s="734" t="s">
        <v>5118</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2976</v>
      </c>
      <c r="Y28" s="1270" t="s">
        <v>8506</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1665</v>
      </c>
      <c r="BY28" s="1233"/>
      <c r="BZ28" s="1270" t="s">
        <v>8681</v>
      </c>
      <c r="CA28" s="1269"/>
      <c r="CB28" s="1269"/>
      <c r="CC28" s="1269"/>
      <c r="CD28" s="1342" t="s">
        <v>2004</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8035</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5257</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2643</v>
      </c>
      <c r="C30" s="1040" t="s">
        <v>1260</v>
      </c>
      <c r="D30" s="1041" t="s">
        <v>1260</v>
      </c>
      <c r="E30" s="1042" t="s">
        <v>1260</v>
      </c>
      <c r="F30" s="1043" t="s">
        <v>439</v>
      </c>
      <c r="G30" s="1044" t="s">
        <v>334</v>
      </c>
      <c r="H30" s="1347"/>
      <c r="I30" s="1347"/>
      <c r="J30" s="92"/>
      <c r="K30" s="92"/>
      <c r="L30" s="92"/>
      <c r="M30" s="92"/>
      <c r="N30" s="92"/>
      <c r="O30" s="92"/>
      <c r="P30" s="92"/>
      <c r="Q30" s="92"/>
      <c r="R30" s="113" t="s">
        <v>8682</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8683</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1260</v>
      </c>
      <c r="D31" s="1041" t="s">
        <v>1260</v>
      </c>
      <c r="E31" s="1042" t="s">
        <v>1260</v>
      </c>
      <c r="F31" s="1043" t="s">
        <v>1260</v>
      </c>
      <c r="G31" s="1044" t="s">
        <v>222</v>
      </c>
      <c r="H31" s="1347"/>
      <c r="I31" s="1347" t="s">
        <v>6706</v>
      </c>
      <c r="J31" s="1233"/>
      <c r="K31" s="773" t="s">
        <v>8684</v>
      </c>
      <c r="L31" s="1233"/>
      <c r="M31" s="1233"/>
      <c r="N31" s="1233"/>
      <c r="O31" s="1233"/>
      <c r="P31" s="773" t="s">
        <v>8685</v>
      </c>
      <c r="Q31" s="1233"/>
      <c r="R31" s="1233"/>
      <c r="S31" s="1233"/>
      <c r="T31" s="773" t="s">
        <v>8686</v>
      </c>
      <c r="U31" s="773" t="s">
        <v>8687</v>
      </c>
      <c r="V31" s="1269"/>
      <c r="W31" s="773" t="s">
        <v>251</v>
      </c>
      <c r="X31" s="773" t="s">
        <v>8688</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8553</v>
      </c>
      <c r="AT31" s="1233"/>
      <c r="AU31" s="773" t="s">
        <v>8636</v>
      </c>
      <c r="AV31" s="1233"/>
      <c r="AW31" s="1233"/>
      <c r="AX31" s="1233"/>
      <c r="AY31" s="1233"/>
      <c r="AZ31" s="773" t="s">
        <v>2375</v>
      </c>
      <c r="BA31" s="1233"/>
      <c r="BB31" s="721" t="s">
        <v>8689</v>
      </c>
      <c r="BC31" s="773" t="s">
        <v>8305</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8690</v>
      </c>
      <c r="AD32" s="773" t="s">
        <v>2127</v>
      </c>
      <c r="AE32" s="773"/>
      <c r="AF32" s="1278" t="s">
        <v>7905</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4861</v>
      </c>
      <c r="C33" s="1040" t="s">
        <v>1260</v>
      </c>
      <c r="D33" s="1041" t="s">
        <v>1260</v>
      </c>
      <c r="E33" s="1042" t="s">
        <v>548</v>
      </c>
      <c r="F33" s="1043" t="s">
        <v>334</v>
      </c>
      <c r="G33" s="1044" t="s">
        <v>4219</v>
      </c>
      <c r="H33" s="1347" t="s">
        <v>8691</v>
      </c>
      <c r="I33" s="1347"/>
      <c r="J33" s="1233"/>
      <c r="K33" s="1233"/>
      <c r="L33" s="1233"/>
      <c r="M33" s="1233"/>
      <c r="N33" s="1233"/>
      <c r="O33" s="1233"/>
      <c r="P33" s="1233"/>
      <c r="Q33" s="1233"/>
      <c r="R33" s="1233"/>
      <c r="S33" s="1233"/>
      <c r="T33" s="734" t="s">
        <v>8692</v>
      </c>
      <c r="U33" s="773" t="s">
        <v>8693</v>
      </c>
      <c r="V33" s="773" t="s">
        <v>8694</v>
      </c>
      <c r="W33" s="1233"/>
      <c r="X33" s="773" t="s">
        <v>8695</v>
      </c>
      <c r="Y33" s="773" t="s">
        <v>8696</v>
      </c>
      <c r="Z33" s="1233"/>
      <c r="AA33" s="1233"/>
      <c r="AB33" s="1269"/>
      <c r="AC33" s="734" t="s">
        <v>1654</v>
      </c>
      <c r="AD33" s="773" t="s">
        <v>5479</v>
      </c>
      <c r="AE33" s="1233"/>
      <c r="AF33" s="1233"/>
      <c r="AG33" s="1233"/>
      <c r="AH33" s="1233"/>
      <c r="AI33" s="1269"/>
      <c r="AJ33" s="1269"/>
      <c r="AK33" s="1233"/>
      <c r="AL33" s="1233"/>
      <c r="AM33" s="773" t="s">
        <v>8697</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8698</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3563</v>
      </c>
      <c r="C34" s="1040" t="s">
        <v>439</v>
      </c>
      <c r="D34" s="1041" t="s">
        <v>1260</v>
      </c>
      <c r="E34" s="1042" t="s">
        <v>1260</v>
      </c>
      <c r="F34" s="1043" t="s">
        <v>439</v>
      </c>
      <c r="G34" s="1044" t="s">
        <v>439</v>
      </c>
      <c r="H34" s="1347"/>
      <c r="I34" s="1347"/>
      <c r="J34" s="1233"/>
      <c r="K34" s="1233"/>
      <c r="L34" s="1233"/>
      <c r="M34" s="1233"/>
      <c r="N34" s="1233"/>
      <c r="O34" s="1270" t="s">
        <v>8699</v>
      </c>
      <c r="P34" s="1270" t="s">
        <v>8700</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8701</v>
      </c>
      <c r="B35" s="1044" t="s">
        <v>2903</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8702</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4104</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1260</v>
      </c>
      <c r="D38" s="1041" t="s">
        <v>1260</v>
      </c>
      <c r="E38" s="1042" t="s">
        <v>1260</v>
      </c>
      <c r="F38" s="1043" t="s">
        <v>1260</v>
      </c>
      <c r="G38" s="1044" t="s">
        <v>4219</v>
      </c>
      <c r="H38" s="1347"/>
      <c r="I38" s="1347"/>
      <c r="J38" s="1233"/>
      <c r="K38" s="1233"/>
      <c r="L38" s="1233"/>
      <c r="M38" s="1233"/>
      <c r="N38" s="1233"/>
      <c r="O38" s="1233"/>
      <c r="P38" s="1233"/>
      <c r="Q38" s="1233"/>
      <c r="R38" s="1233"/>
      <c r="S38" s="773" t="s">
        <v>8703</v>
      </c>
      <c r="T38" s="1233"/>
      <c r="U38" s="773" t="s">
        <v>8704</v>
      </c>
      <c r="V38" s="1269"/>
      <c r="W38" s="1233"/>
      <c r="X38" s="773" t="s">
        <v>6400</v>
      </c>
      <c r="Y38" s="773" t="s">
        <v>1939</v>
      </c>
      <c r="Z38" s="1233"/>
      <c r="AA38" s="773" t="s">
        <v>3139</v>
      </c>
      <c r="AB38" s="1269"/>
      <c r="AC38" s="773" t="s">
        <v>8705</v>
      </c>
      <c r="AD38" s="773" t="s">
        <v>2126</v>
      </c>
      <c r="AE38" s="773" t="s">
        <v>6477</v>
      </c>
      <c r="AF38" s="773" t="s">
        <v>8706</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8279</v>
      </c>
      <c r="CK38" s="1269"/>
      <c r="CL38" s="1269"/>
      <c r="CM38" s="1269"/>
      <c r="CN38" s="1233"/>
      <c r="CO38" s="1269"/>
      <c r="CP38" s="1269"/>
      <c r="CQ38" s="1269"/>
      <c r="CR38" s="1269"/>
      <c r="CS38" s="1269"/>
      <c r="CT38" s="1233"/>
      <c r="CU38" s="1233"/>
    </row>
    <row r="39">
      <c r="A39" s="1373" t="s">
        <v>1417</v>
      </c>
      <c r="B39" s="1044" t="s">
        <v>8707</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3961</v>
      </c>
      <c r="C41" s="1040" t="s">
        <v>1260</v>
      </c>
      <c r="D41" s="1041" t="s">
        <v>1260</v>
      </c>
      <c r="E41" s="1042" t="s">
        <v>1260</v>
      </c>
      <c r="F41" s="1043" t="s">
        <v>1260</v>
      </c>
      <c r="G41" s="1044" t="s">
        <v>439</v>
      </c>
      <c r="H41" s="1386"/>
      <c r="I41" s="1386"/>
      <c r="J41" s="1233"/>
      <c r="K41" s="1233"/>
      <c r="L41" s="1233"/>
      <c r="M41" s="1233"/>
      <c r="N41" s="1233"/>
      <c r="O41" s="1233"/>
      <c r="P41" s="1233"/>
      <c r="Q41" s="1233"/>
      <c r="R41" s="773" t="s">
        <v>8708</v>
      </c>
      <c r="S41" s="1233"/>
      <c r="T41" s="1233"/>
      <c r="U41" s="773" t="s">
        <v>8709</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8710</v>
      </c>
      <c r="B42" s="1044" t="s">
        <v>3371</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8329</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2837</v>
      </c>
      <c r="C43" s="1040" t="s">
        <v>1260</v>
      </c>
      <c r="D43" s="1041" t="s">
        <v>1260</v>
      </c>
      <c r="E43" s="1042" t="s">
        <v>1260</v>
      </c>
      <c r="F43" s="1043" t="s">
        <v>1260</v>
      </c>
      <c r="G43" s="1044" t="s">
        <v>648</v>
      </c>
      <c r="H43" s="1347"/>
      <c r="I43" s="1347"/>
      <c r="J43" s="1233"/>
      <c r="K43" s="1233"/>
      <c r="L43" s="1233"/>
      <c r="M43" s="1233"/>
      <c r="N43" s="1233"/>
      <c r="O43" s="1233"/>
      <c r="P43" s="773" t="s">
        <v>8711</v>
      </c>
      <c r="Q43" s="1233"/>
      <c r="R43" s="773" t="s">
        <v>8712</v>
      </c>
      <c r="S43" s="1233"/>
      <c r="T43" s="1233"/>
      <c r="U43" s="1233"/>
      <c r="V43" s="1269"/>
      <c r="W43" s="1233"/>
      <c r="X43" s="773" t="s">
        <v>8550</v>
      </c>
      <c r="Y43" s="1233"/>
      <c r="Z43" s="1233"/>
      <c r="AA43" s="773" t="s">
        <v>8713</v>
      </c>
      <c r="AB43" s="1269"/>
      <c r="AC43" s="1233"/>
      <c r="AD43" s="1233"/>
      <c r="AE43" s="773" t="s">
        <v>3881</v>
      </c>
      <c r="AF43" s="773" t="s">
        <v>8714</v>
      </c>
      <c r="AG43" s="773" t="s">
        <v>570</v>
      </c>
      <c r="AH43" s="1278" t="s">
        <v>8715</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1260</v>
      </c>
      <c r="D44" s="1041" t="s">
        <v>1260</v>
      </c>
      <c r="E44" s="1042" t="s">
        <v>1260</v>
      </c>
      <c r="F44" s="1043" t="s">
        <v>548</v>
      </c>
      <c r="G44" s="1044" t="s">
        <v>548</v>
      </c>
      <c r="H44" s="1347"/>
      <c r="I44" s="1347"/>
      <c r="J44" s="1233"/>
      <c r="K44" s="1233"/>
      <c r="L44" s="1233"/>
      <c r="M44" s="1233"/>
      <c r="N44" s="1233"/>
      <c r="O44" s="1233"/>
      <c r="P44" s="1233"/>
      <c r="Q44" s="1233"/>
      <c r="R44" s="734" t="s">
        <v>8716</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8717</v>
      </c>
      <c r="L45" s="1233"/>
      <c r="M45" s="1233"/>
      <c r="N45" s="1233"/>
      <c r="O45" s="1233"/>
      <c r="P45" s="1233"/>
      <c r="Q45" s="1233"/>
      <c r="R45" s="1233"/>
      <c r="S45" s="1233"/>
      <c r="T45" s="1233"/>
      <c r="U45" s="1233"/>
      <c r="V45" s="1269"/>
      <c r="W45" s="1278" t="s">
        <v>6483</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8332</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2676</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4219</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8718</v>
      </c>
      <c r="B49" s="1044" t="s">
        <v>4219</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8719</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8720</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3283</v>
      </c>
      <c r="C51" s="1040" t="s">
        <v>1260</v>
      </c>
      <c r="D51" s="1041" t="s">
        <v>1260</v>
      </c>
      <c r="E51" s="1042" t="s">
        <v>1260</v>
      </c>
      <c r="F51" s="1043" t="s">
        <v>1260</v>
      </c>
      <c r="G51" s="1044" t="s">
        <v>439</v>
      </c>
      <c r="H51" s="1347"/>
      <c r="I51" s="1347"/>
      <c r="J51" s="1233"/>
      <c r="K51" s="1233"/>
      <c r="L51" s="1233"/>
      <c r="M51" s="1233"/>
      <c r="N51" s="1233"/>
      <c r="O51" s="1233"/>
      <c r="P51" s="1233"/>
      <c r="Q51" s="1233"/>
      <c r="R51" s="773" t="s">
        <v>8721</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8722</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4308</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8723</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8724</v>
      </c>
      <c r="S54" s="1233"/>
      <c r="T54" s="1233"/>
      <c r="U54" s="734" t="s">
        <v>8725</v>
      </c>
      <c r="V54" s="1269"/>
      <c r="W54" s="773" t="s">
        <v>8726</v>
      </c>
      <c r="X54" s="773" t="s">
        <v>8726</v>
      </c>
      <c r="Y54" s="1233"/>
      <c r="Z54" s="1233"/>
      <c r="AA54" s="1233"/>
      <c r="AB54" s="1269"/>
      <c r="AC54" s="1233"/>
      <c r="AD54" s="1233"/>
      <c r="AE54" s="1233"/>
      <c r="AF54" s="1233"/>
      <c r="AG54" s="1233"/>
      <c r="AH54" s="1233"/>
      <c r="AI54" s="1269"/>
      <c r="AJ54" s="1269"/>
      <c r="AK54" s="1233"/>
      <c r="AL54" s="1233"/>
      <c r="AM54" s="1233"/>
      <c r="AN54" s="1233"/>
      <c r="AO54" s="1233"/>
      <c r="AP54" s="773" t="s">
        <v>8727</v>
      </c>
      <c r="AQ54" s="734" t="s">
        <v>8728</v>
      </c>
      <c r="AR54" s="734" t="s">
        <v>8729</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8730</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8731</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8308</v>
      </c>
      <c r="BD57" s="1278" t="s">
        <v>8636</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8732</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8733</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8734</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8735</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8736</v>
      </c>
      <c r="C1" s="1406" t="s">
        <v>8737</v>
      </c>
      <c r="D1" s="1407" t="s">
        <v>8738</v>
      </c>
      <c r="E1" s="1407" t="s">
        <v>8161</v>
      </c>
      <c r="F1" s="1407" t="s">
        <v>8162</v>
      </c>
      <c r="G1" s="1407" t="s">
        <v>8739</v>
      </c>
      <c r="H1" s="1408" t="s">
        <v>8740</v>
      </c>
      <c r="I1" s="1408" t="s">
        <v>8741</v>
      </c>
      <c r="J1" s="1409" t="s">
        <v>8173</v>
      </c>
      <c r="K1" s="1409" t="s">
        <v>8742</v>
      </c>
      <c r="L1" s="1409" t="s">
        <v>8743</v>
      </c>
      <c r="M1" s="1409" t="s">
        <v>8744</v>
      </c>
      <c r="N1" s="1409" t="s">
        <v>8236</v>
      </c>
      <c r="O1" s="1409" t="s">
        <v>8745</v>
      </c>
      <c r="P1" s="1409" t="s">
        <v>8746</v>
      </c>
      <c r="Q1" s="1410" t="s">
        <v>8747</v>
      </c>
      <c r="R1" s="1410" t="s">
        <v>8169</v>
      </c>
      <c r="S1" s="1410" t="s">
        <v>8748</v>
      </c>
      <c r="T1" s="1410" t="s">
        <v>8749</v>
      </c>
      <c r="U1" s="1410" t="s">
        <v>8750</v>
      </c>
      <c r="V1" s="1410" t="s">
        <v>8751</v>
      </c>
      <c r="W1" s="1411" t="s">
        <v>8163</v>
      </c>
      <c r="X1" s="1411" t="s">
        <v>8164</v>
      </c>
      <c r="Y1" s="1411" t="s">
        <v>8752</v>
      </c>
      <c r="Z1" s="1411" t="s">
        <v>8753</v>
      </c>
      <c r="AA1" s="1411" t="s">
        <v>8166</v>
      </c>
      <c r="AB1" s="1411" t="s">
        <v>8754</v>
      </c>
      <c r="AC1" s="1411" t="s">
        <v>8755</v>
      </c>
      <c r="AD1" s="1407" t="s">
        <v>8756</v>
      </c>
      <c r="AE1" s="1407" t="s">
        <v>8757</v>
      </c>
      <c r="AF1" s="1412" t="s">
        <v>8170</v>
      </c>
      <c r="AG1" s="1412" t="s">
        <v>8758</v>
      </c>
      <c r="AH1" s="1412" t="s">
        <v>8759</v>
      </c>
      <c r="AI1" s="1412" t="s">
        <v>8171</v>
      </c>
      <c r="AJ1" s="1412" t="s">
        <v>8760</v>
      </c>
      <c r="AK1" s="1412" t="s">
        <v>8761</v>
      </c>
      <c r="AL1" s="1412" t="s">
        <v>8762</v>
      </c>
      <c r="AM1" s="1413" t="s">
        <v>8172</v>
      </c>
      <c r="AN1" s="1413" t="s">
        <v>8763</v>
      </c>
      <c r="AO1" s="1413" t="s">
        <v>8764</v>
      </c>
      <c r="AP1" s="1413" t="s">
        <v>8765</v>
      </c>
      <c r="AQ1" s="1413" t="s">
        <v>8766</v>
      </c>
      <c r="AR1" s="1413" t="s">
        <v>8767</v>
      </c>
      <c r="AS1" s="1413" t="s">
        <v>8768</v>
      </c>
      <c r="AT1" s="1414" t="s">
        <v>8769</v>
      </c>
      <c r="AU1" s="1415" t="s">
        <v>8770</v>
      </c>
      <c r="AV1" s="1416" t="s">
        <v>8771</v>
      </c>
      <c r="AW1" s="1417" t="s">
        <v>8772</v>
      </c>
    </row>
    <row r="2" ht="15.75" customHeight="1">
      <c r="A2" s="1418" t="s">
        <v>8773</v>
      </c>
      <c r="B2" s="1419" t="s">
        <v>8774</v>
      </c>
      <c r="C2" s="1420">
        <v>0.04882916666666667</v>
      </c>
      <c r="D2" s="1421" t="s">
        <v>8775</v>
      </c>
      <c r="E2" s="1421" t="s">
        <v>8776</v>
      </c>
      <c r="F2" s="1422" t="s">
        <v>8777</v>
      </c>
      <c r="G2" s="1421" t="s">
        <v>8778</v>
      </c>
      <c r="H2" s="1423" t="s">
        <v>6285</v>
      </c>
      <c r="I2" s="1423" t="s">
        <v>8779</v>
      </c>
      <c r="J2" s="1424" t="s">
        <v>5200</v>
      </c>
      <c r="K2" s="1425" t="s">
        <v>8780</v>
      </c>
      <c r="L2" s="1425" t="s">
        <v>235</v>
      </c>
      <c r="M2" s="1425" t="s">
        <v>6259</v>
      </c>
      <c r="N2" s="1425" t="s">
        <v>4059</v>
      </c>
      <c r="O2" s="1425" t="s">
        <v>8781</v>
      </c>
      <c r="P2" s="1425" t="s">
        <v>1287</v>
      </c>
      <c r="Q2" s="1426" t="s">
        <v>8782</v>
      </c>
      <c r="R2" s="1427" t="s">
        <v>8783</v>
      </c>
      <c r="S2" s="1426" t="s">
        <v>6881</v>
      </c>
      <c r="T2" s="1427" t="s">
        <v>3266</v>
      </c>
      <c r="U2" s="1426" t="s">
        <v>7624</v>
      </c>
      <c r="V2" s="1426" t="s">
        <v>3765</v>
      </c>
      <c r="W2" s="1428" t="s">
        <v>8784</v>
      </c>
      <c r="X2" s="1429" t="s">
        <v>8785</v>
      </c>
      <c r="Y2" s="1429" t="s">
        <v>5853</v>
      </c>
      <c r="Z2" s="1430" t="s">
        <v>7547</v>
      </c>
      <c r="AA2" s="1429" t="s">
        <v>8786</v>
      </c>
      <c r="AB2" s="1429" t="s">
        <v>8787</v>
      </c>
      <c r="AC2" s="1430" t="s">
        <v>4085</v>
      </c>
      <c r="AD2" s="1431" t="s">
        <v>8788</v>
      </c>
      <c r="AE2" s="1432" t="s">
        <v>4792</v>
      </c>
      <c r="AF2" s="1433" t="s">
        <v>8789</v>
      </c>
      <c r="AG2" s="1433" t="s">
        <v>8790</v>
      </c>
      <c r="AH2" s="1433" t="s">
        <v>3841</v>
      </c>
      <c r="AI2" s="1434" t="s">
        <v>5408</v>
      </c>
      <c r="AJ2" s="1434" t="s">
        <v>8791</v>
      </c>
      <c r="AK2" s="1434" t="s">
        <v>8792</v>
      </c>
      <c r="AL2" s="1434" t="s">
        <v>5568</v>
      </c>
      <c r="AM2" s="1435" t="s">
        <v>8793</v>
      </c>
      <c r="AN2" s="1436" t="s">
        <v>8794</v>
      </c>
      <c r="AO2" s="1436" t="s">
        <v>7757</v>
      </c>
      <c r="AP2" s="1437" t="s">
        <v>8795</v>
      </c>
      <c r="AQ2" s="1435" t="s">
        <v>8796</v>
      </c>
      <c r="AR2" s="1436" t="s">
        <v>8797</v>
      </c>
      <c r="AS2" s="1435" t="s">
        <v>1334</v>
      </c>
      <c r="AT2" s="1438" t="s">
        <v>8798</v>
      </c>
      <c r="AU2" s="1439" t="s">
        <v>8799</v>
      </c>
      <c r="AV2" s="1439" t="str">
        <f t="shared" ref="AV2:AV101" si="1">TEXT(AU2-C2,"m:ss")</f>
        <v>2:22</v>
      </c>
      <c r="AW2" s="1440"/>
    </row>
    <row r="3" ht="15.75" customHeight="1">
      <c r="A3" s="1441" t="s">
        <v>8800</v>
      </c>
      <c r="B3" s="1442" t="s">
        <v>8801</v>
      </c>
      <c r="C3" s="1443">
        <v>0.04935266203703703</v>
      </c>
      <c r="D3" s="1444" t="s">
        <v>8802</v>
      </c>
      <c r="E3" s="1444" t="s">
        <v>7394</v>
      </c>
      <c r="F3" s="1444" t="s">
        <v>8803</v>
      </c>
      <c r="G3" s="1444" t="s">
        <v>8804</v>
      </c>
      <c r="H3" s="1445" t="s">
        <v>8805</v>
      </c>
      <c r="I3" s="1445" t="s">
        <v>8806</v>
      </c>
      <c r="J3" s="1446" t="s">
        <v>1353</v>
      </c>
      <c r="K3" s="1446" t="s">
        <v>8807</v>
      </c>
      <c r="L3" s="1446" t="s">
        <v>2942</v>
      </c>
      <c r="M3" s="1446" t="s">
        <v>8808</v>
      </c>
      <c r="N3" s="1446" t="s">
        <v>2497</v>
      </c>
      <c r="O3" s="1446" t="s">
        <v>8809</v>
      </c>
      <c r="P3" s="1446" t="s">
        <v>5502</v>
      </c>
      <c r="Q3" s="1447" t="s">
        <v>5841</v>
      </c>
      <c r="R3" s="1447" t="s">
        <v>8810</v>
      </c>
      <c r="S3" s="1447" t="s">
        <v>337</v>
      </c>
      <c r="T3" s="1447" t="s">
        <v>8811</v>
      </c>
      <c r="U3" s="1448" t="s">
        <v>8066</v>
      </c>
      <c r="V3" s="1447" t="s">
        <v>8812</v>
      </c>
      <c r="W3" s="1449" t="s">
        <v>4141</v>
      </c>
      <c r="X3" s="1449" t="s">
        <v>7677</v>
      </c>
      <c r="Y3" s="1450" t="s">
        <v>8813</v>
      </c>
      <c r="Z3" s="1450" t="s">
        <v>1340</v>
      </c>
      <c r="AA3" s="1450" t="s">
        <v>5985</v>
      </c>
      <c r="AB3" s="1449" t="s">
        <v>2980</v>
      </c>
      <c r="AC3" s="1450" t="s">
        <v>8814</v>
      </c>
      <c r="AD3" s="1444" t="s">
        <v>8815</v>
      </c>
      <c r="AE3" s="1444" t="s">
        <v>6854</v>
      </c>
      <c r="AF3" s="1451" t="s">
        <v>8816</v>
      </c>
      <c r="AG3" s="1452" t="s">
        <v>4602</v>
      </c>
      <c r="AH3" s="1452" t="s">
        <v>8817</v>
      </c>
      <c r="AI3" s="1452" t="s">
        <v>8818</v>
      </c>
      <c r="AJ3" s="1451" t="s">
        <v>8819</v>
      </c>
      <c r="AK3" s="1452" t="s">
        <v>8820</v>
      </c>
      <c r="AL3" s="1452" t="s">
        <v>6228</v>
      </c>
      <c r="AM3" s="1453" t="s">
        <v>8821</v>
      </c>
      <c r="AN3" s="1453" t="s">
        <v>3209</v>
      </c>
      <c r="AO3" s="1454" t="s">
        <v>7956</v>
      </c>
      <c r="AP3" s="1454" t="s">
        <v>8822</v>
      </c>
      <c r="AQ3" s="1454" t="s">
        <v>8823</v>
      </c>
      <c r="AR3" s="1454" t="s">
        <v>4066</v>
      </c>
      <c r="AS3" s="1453" t="s">
        <v>5229</v>
      </c>
      <c r="AT3" s="1446" t="s">
        <v>8824</v>
      </c>
      <c r="AU3" s="1455" t="s">
        <v>8825</v>
      </c>
      <c r="AV3" s="1455" t="str">
        <f t="shared" si="1"/>
        <v>3:54</v>
      </c>
      <c r="AW3" s="1456"/>
    </row>
    <row r="4" ht="15.75" customHeight="1">
      <c r="A4" s="1457" t="s">
        <v>8826</v>
      </c>
      <c r="B4" s="1458" t="s">
        <v>8827</v>
      </c>
      <c r="C4" s="1459">
        <v>0.050637731481481485</v>
      </c>
      <c r="D4" s="1460" t="s">
        <v>8828</v>
      </c>
      <c r="E4" s="1460" t="s">
        <v>8829</v>
      </c>
      <c r="F4" s="1460" t="s">
        <v>8830</v>
      </c>
      <c r="G4" s="1460" t="s">
        <v>8831</v>
      </c>
      <c r="H4" s="1461" t="s">
        <v>8832</v>
      </c>
      <c r="I4" s="1461" t="s">
        <v>351</v>
      </c>
      <c r="J4" s="1462" t="s">
        <v>8833</v>
      </c>
      <c r="K4" s="1462" t="s">
        <v>6307</v>
      </c>
      <c r="L4" s="1462" t="s">
        <v>3799</v>
      </c>
      <c r="M4" s="1462" t="s">
        <v>8834</v>
      </c>
      <c r="N4" s="1462" t="s">
        <v>8793</v>
      </c>
      <c r="O4" s="1462" t="s">
        <v>8835</v>
      </c>
      <c r="P4" s="1462" t="s">
        <v>8836</v>
      </c>
      <c r="Q4" s="1463" t="s">
        <v>8837</v>
      </c>
      <c r="R4" s="1463" t="s">
        <v>8838</v>
      </c>
      <c r="S4" s="1463" t="s">
        <v>2268</v>
      </c>
      <c r="T4" s="1463" t="s">
        <v>8839</v>
      </c>
      <c r="U4" s="1463" t="s">
        <v>8840</v>
      </c>
      <c r="V4" s="1463" t="s">
        <v>4269</v>
      </c>
      <c r="W4" s="1464" t="s">
        <v>8841</v>
      </c>
      <c r="X4" s="1464" t="s">
        <v>8842</v>
      </c>
      <c r="Y4" s="1464">
        <v>47.93</v>
      </c>
      <c r="Z4" s="1464" t="s">
        <v>8843</v>
      </c>
      <c r="AA4" s="1464" t="s">
        <v>8844</v>
      </c>
      <c r="AB4" s="1464" t="s">
        <v>8845</v>
      </c>
      <c r="AC4" s="1464">
        <v>49.24</v>
      </c>
      <c r="AD4" s="1465" t="s">
        <v>8846</v>
      </c>
      <c r="AE4" s="1466" t="s">
        <v>5596</v>
      </c>
      <c r="AF4" s="1467" t="s">
        <v>2707</v>
      </c>
      <c r="AG4" s="1467" t="s">
        <v>4597</v>
      </c>
      <c r="AH4" s="1467" t="s">
        <v>5231</v>
      </c>
      <c r="AI4" s="1467" t="s">
        <v>8847</v>
      </c>
      <c r="AJ4" s="1467" t="s">
        <v>8848</v>
      </c>
      <c r="AK4" s="1467" t="s">
        <v>887</v>
      </c>
      <c r="AL4" s="1467" t="s">
        <v>8849</v>
      </c>
      <c r="AM4" s="1468" t="s">
        <v>8850</v>
      </c>
      <c r="AN4" s="1469" t="s">
        <v>8851</v>
      </c>
      <c r="AO4" s="1468" t="s">
        <v>8852</v>
      </c>
      <c r="AP4" s="1469" t="s">
        <v>8853</v>
      </c>
      <c r="AQ4" s="1468" t="s">
        <v>8854</v>
      </c>
      <c r="AR4" s="1468" t="s">
        <v>6657</v>
      </c>
      <c r="AS4" s="1468" t="s">
        <v>756</v>
      </c>
      <c r="AT4" s="1470" t="s">
        <v>8855</v>
      </c>
      <c r="AU4" s="1471" t="s">
        <v>8856</v>
      </c>
      <c r="AV4" s="1472" t="str">
        <f t="shared" si="1"/>
        <v>2:49</v>
      </c>
      <c r="AW4" s="1440"/>
    </row>
    <row r="5" ht="15.75" customHeight="1">
      <c r="A5" s="1473" t="s">
        <v>1060</v>
      </c>
      <c r="B5" s="1474" t="s">
        <v>8774</v>
      </c>
      <c r="C5" s="1475">
        <v>0.0490162037037037</v>
      </c>
      <c r="D5" s="1476" t="s">
        <v>8775</v>
      </c>
      <c r="E5" s="1476" t="s">
        <v>8776</v>
      </c>
      <c r="F5" s="1477" t="s">
        <v>8857</v>
      </c>
      <c r="G5" s="1478" t="s">
        <v>8778</v>
      </c>
      <c r="H5" s="1476" t="s">
        <v>6285</v>
      </c>
      <c r="I5" s="1476" t="s">
        <v>8779</v>
      </c>
      <c r="J5" s="1478" t="s">
        <v>5200</v>
      </c>
      <c r="K5" s="1479" t="s">
        <v>4363</v>
      </c>
      <c r="L5" s="1477" t="s">
        <v>2309</v>
      </c>
      <c r="M5" s="1479" t="s">
        <v>2565</v>
      </c>
      <c r="N5" s="1480" t="s">
        <v>4059</v>
      </c>
      <c r="O5" s="1481" t="s">
        <v>8858</v>
      </c>
      <c r="P5" s="1482" t="s">
        <v>4179</v>
      </c>
      <c r="Q5" s="1480" t="s">
        <v>8782</v>
      </c>
      <c r="R5" s="1478" t="s">
        <v>8783</v>
      </c>
      <c r="S5" s="1480" t="s">
        <v>6881</v>
      </c>
      <c r="T5" s="1478" t="s">
        <v>3266</v>
      </c>
      <c r="U5" s="1480" t="s">
        <v>7624</v>
      </c>
      <c r="V5" s="1483" t="s">
        <v>3765</v>
      </c>
      <c r="W5" s="1476" t="s">
        <v>8784</v>
      </c>
      <c r="X5" s="1478" t="s">
        <v>8785</v>
      </c>
      <c r="Y5" s="1478" t="s">
        <v>5853</v>
      </c>
      <c r="Z5" s="1481" t="s">
        <v>5057</v>
      </c>
      <c r="AA5" s="1478" t="s">
        <v>8786</v>
      </c>
      <c r="AB5" s="1477" t="s">
        <v>3286</v>
      </c>
      <c r="AC5" s="1480" t="s">
        <v>4085</v>
      </c>
      <c r="AD5" s="1478" t="s">
        <v>8788</v>
      </c>
      <c r="AE5" s="1479" t="s">
        <v>1098</v>
      </c>
      <c r="AF5" s="1393" t="s">
        <v>8859</v>
      </c>
      <c r="AG5" s="1265" t="s">
        <v>8860</v>
      </c>
      <c r="AH5" s="1477" t="s">
        <v>5558</v>
      </c>
      <c r="AI5" s="1480" t="s">
        <v>5408</v>
      </c>
      <c r="AJ5" s="1265" t="s">
        <v>8861</v>
      </c>
      <c r="AK5" s="1480" t="s">
        <v>8792</v>
      </c>
      <c r="AL5" s="1478" t="s">
        <v>5568</v>
      </c>
      <c r="AM5" s="1478" t="s">
        <v>8793</v>
      </c>
      <c r="AN5" s="1481" t="s">
        <v>5344</v>
      </c>
      <c r="AO5" s="1479" t="s">
        <v>7494</v>
      </c>
      <c r="AP5" s="1478" t="s">
        <v>8795</v>
      </c>
      <c r="AQ5" s="1478" t="s">
        <v>8796</v>
      </c>
      <c r="AR5" s="1265" t="s">
        <v>8862</v>
      </c>
      <c r="AS5" s="1481" t="s">
        <v>105</v>
      </c>
      <c r="AT5" s="1477" t="s">
        <v>8863</v>
      </c>
      <c r="AU5" s="1484" t="s">
        <v>8864</v>
      </c>
      <c r="AV5" s="1393" t="str">
        <f t="shared" si="1"/>
        <v>2:02</v>
      </c>
      <c r="AW5" s="1485" t="s">
        <v>8865</v>
      </c>
    </row>
    <row r="6" ht="15.75" customHeight="1">
      <c r="A6" s="1486" t="s">
        <v>437</v>
      </c>
      <c r="B6" s="1474" t="s">
        <v>8774</v>
      </c>
      <c r="C6" s="1475">
        <v>0.0493287037037037</v>
      </c>
      <c r="D6" s="1487" t="s">
        <v>8866</v>
      </c>
      <c r="E6" s="1488" t="s">
        <v>8867</v>
      </c>
      <c r="F6" s="1488" t="s">
        <v>8868</v>
      </c>
      <c r="G6" s="1488" t="s">
        <v>8869</v>
      </c>
      <c r="H6" s="1488" t="s">
        <v>8870</v>
      </c>
      <c r="I6" s="1489" t="s">
        <v>8871</v>
      </c>
      <c r="J6" s="1488" t="s">
        <v>8872</v>
      </c>
      <c r="K6" s="1488" t="s">
        <v>782</v>
      </c>
      <c r="L6" s="1488" t="s">
        <v>8873</v>
      </c>
      <c r="M6" s="1488" t="s">
        <v>2565</v>
      </c>
      <c r="N6" s="1488" t="s">
        <v>8874</v>
      </c>
      <c r="O6" s="1488" t="s">
        <v>8875</v>
      </c>
      <c r="P6" s="1490" t="s">
        <v>1287</v>
      </c>
      <c r="Q6" s="1482" t="s">
        <v>1571</v>
      </c>
      <c r="R6" s="1488" t="s">
        <v>4443</v>
      </c>
      <c r="S6" s="1488" t="s">
        <v>8872</v>
      </c>
      <c r="T6" s="1488" t="s">
        <v>5272</v>
      </c>
      <c r="U6" s="1482" t="s">
        <v>8876</v>
      </c>
      <c r="V6" s="1491" t="s">
        <v>8612</v>
      </c>
      <c r="W6" s="1488" t="s">
        <v>8877</v>
      </c>
      <c r="X6" s="1488" t="s">
        <v>8878</v>
      </c>
      <c r="Y6" s="1492">
        <v>46.72</v>
      </c>
      <c r="Z6" s="1492" t="s">
        <v>3693</v>
      </c>
      <c r="AA6" s="1488" t="s">
        <v>3706</v>
      </c>
      <c r="AB6" s="1490" t="s">
        <v>8787</v>
      </c>
      <c r="AC6" s="1488" t="s">
        <v>5483</v>
      </c>
      <c r="AD6" s="1488" t="s">
        <v>7642</v>
      </c>
      <c r="AE6" s="1493" t="s">
        <v>4792</v>
      </c>
      <c r="AF6" s="1492" t="s">
        <v>8879</v>
      </c>
      <c r="AG6" s="1491" t="s">
        <v>6149</v>
      </c>
      <c r="AH6" s="1490" t="s">
        <v>3841</v>
      </c>
      <c r="AI6" s="1488" t="s">
        <v>6045</v>
      </c>
      <c r="AJ6" s="1492" t="s">
        <v>8880</v>
      </c>
      <c r="AK6" s="1492" t="s">
        <v>5957</v>
      </c>
      <c r="AL6" s="1491" t="s">
        <v>6272</v>
      </c>
      <c r="AM6" s="1488" t="s">
        <v>8881</v>
      </c>
      <c r="AN6" s="1491" t="s">
        <v>4234</v>
      </c>
      <c r="AO6" s="1491" t="s">
        <v>2810</v>
      </c>
      <c r="AP6" s="1491" t="s">
        <v>8882</v>
      </c>
      <c r="AQ6" s="1393" t="s">
        <v>8883</v>
      </c>
      <c r="AR6" s="1491" t="s">
        <v>8884</v>
      </c>
      <c r="AS6" s="1491" t="s">
        <v>8885</v>
      </c>
      <c r="AT6" s="1491" t="s">
        <v>8886</v>
      </c>
      <c r="AU6" s="1494" t="s">
        <v>8887</v>
      </c>
      <c r="AV6" s="1393" t="str">
        <f t="shared" si="1"/>
        <v>2:15</v>
      </c>
      <c r="AW6" s="1485"/>
    </row>
    <row r="7">
      <c r="A7" s="1495" t="s">
        <v>2540</v>
      </c>
      <c r="B7" s="1496" t="s">
        <v>8774</v>
      </c>
      <c r="C7" s="1497">
        <v>0.04939673611111111</v>
      </c>
      <c r="D7" s="1498" t="s">
        <v>8888</v>
      </c>
      <c r="E7" s="1499" t="s">
        <v>2683</v>
      </c>
      <c r="F7" s="1498" t="s">
        <v>8889</v>
      </c>
      <c r="G7" s="1500" t="s">
        <v>8890</v>
      </c>
      <c r="H7" s="1498" t="s">
        <v>5942</v>
      </c>
      <c r="I7" s="1499" t="s">
        <v>4274</v>
      </c>
      <c r="J7" s="1498" t="s">
        <v>8891</v>
      </c>
      <c r="K7" s="1498" t="s">
        <v>8892</v>
      </c>
      <c r="L7" s="1498" t="s">
        <v>8893</v>
      </c>
      <c r="M7" s="1501" t="s">
        <v>8894</v>
      </c>
      <c r="N7" s="1499" t="s">
        <v>3847</v>
      </c>
      <c r="O7" s="1500" t="s">
        <v>8895</v>
      </c>
      <c r="P7" s="1500" t="s">
        <v>6580</v>
      </c>
      <c r="Q7" s="1500" t="s">
        <v>5802</v>
      </c>
      <c r="R7" s="1498" t="s">
        <v>5608</v>
      </c>
      <c r="S7" s="1499" t="s">
        <v>7459</v>
      </c>
      <c r="T7" s="1498" t="s">
        <v>8896</v>
      </c>
      <c r="U7" s="1502" t="s">
        <v>8897</v>
      </c>
      <c r="V7" s="1498" t="s">
        <v>8898</v>
      </c>
      <c r="W7" s="1499" t="s">
        <v>8899</v>
      </c>
      <c r="X7" s="1499" t="s">
        <v>4779</v>
      </c>
      <c r="Y7" s="1498" t="s">
        <v>7225</v>
      </c>
      <c r="Z7" s="1501" t="s">
        <v>8900</v>
      </c>
      <c r="AA7" s="1501" t="s">
        <v>8901</v>
      </c>
      <c r="AB7" s="1498" t="s">
        <v>8902</v>
      </c>
      <c r="AC7" s="1498" t="s">
        <v>7214</v>
      </c>
      <c r="AD7" s="1499" t="s">
        <v>8903</v>
      </c>
      <c r="AE7" s="1500" t="s">
        <v>8904</v>
      </c>
      <c r="AF7" s="1500" t="s">
        <v>8905</v>
      </c>
      <c r="AG7" s="1498" t="s">
        <v>6009</v>
      </c>
      <c r="AH7" s="1499" t="s">
        <v>3259</v>
      </c>
      <c r="AI7" s="1498" t="s">
        <v>8906</v>
      </c>
      <c r="AJ7" s="1500" t="s">
        <v>8907</v>
      </c>
      <c r="AK7" s="1498" t="s">
        <v>8793</v>
      </c>
      <c r="AL7" s="1498" t="s">
        <v>8908</v>
      </c>
      <c r="AM7" s="1498" t="s">
        <v>5023</v>
      </c>
      <c r="AN7" s="1500" t="s">
        <v>6272</v>
      </c>
      <c r="AO7" s="1498" t="s">
        <v>8909</v>
      </c>
      <c r="AP7" s="1500" t="s">
        <v>8910</v>
      </c>
      <c r="AQ7" s="1498" t="s">
        <v>4734</v>
      </c>
      <c r="AR7" s="1499" t="s">
        <v>383</v>
      </c>
      <c r="AS7" s="1498" t="s">
        <v>2005</v>
      </c>
      <c r="AT7" s="1498" t="s">
        <v>8911</v>
      </c>
      <c r="AU7" s="1503" t="s">
        <v>8912</v>
      </c>
      <c r="AV7" s="1503" t="str">
        <f t="shared" si="1"/>
        <v>2:06</v>
      </c>
      <c r="AW7" s="1504"/>
    </row>
    <row r="8" ht="15.75" customHeight="1">
      <c r="A8" s="1473" t="s">
        <v>6629</v>
      </c>
      <c r="B8" s="1474" t="s">
        <v>8774</v>
      </c>
      <c r="C8" s="1475">
        <v>0.049444444444444444</v>
      </c>
      <c r="D8" s="1481" t="s">
        <v>8913</v>
      </c>
      <c r="E8" s="1481" t="s">
        <v>8914</v>
      </c>
      <c r="F8" s="1489" t="s">
        <v>8915</v>
      </c>
      <c r="G8" s="1479" t="s">
        <v>8916</v>
      </c>
      <c r="H8" s="1489" t="s">
        <v>8917</v>
      </c>
      <c r="I8" s="1489" t="s">
        <v>2948</v>
      </c>
      <c r="J8" s="1481" t="s">
        <v>8918</v>
      </c>
      <c r="K8" s="1489" t="s">
        <v>3557</v>
      </c>
      <c r="L8" s="1489" t="s">
        <v>4181</v>
      </c>
      <c r="M8" s="1489" t="s">
        <v>6576</v>
      </c>
      <c r="N8" s="1481" t="s">
        <v>8919</v>
      </c>
      <c r="O8" s="1489" t="s">
        <v>8920</v>
      </c>
      <c r="P8" s="1393" t="s">
        <v>7214</v>
      </c>
      <c r="Q8" s="1481" t="s">
        <v>8921</v>
      </c>
      <c r="R8" s="1489" t="s">
        <v>7485</v>
      </c>
      <c r="S8" s="1489" t="s">
        <v>3429</v>
      </c>
      <c r="T8" s="1393" t="s">
        <v>8922</v>
      </c>
      <c r="U8" s="1489" t="s">
        <v>8923</v>
      </c>
      <c r="V8" s="1489" t="s">
        <v>5208</v>
      </c>
      <c r="W8" s="1505" t="s">
        <v>8924</v>
      </c>
      <c r="X8" s="1393" t="s">
        <v>2564</v>
      </c>
      <c r="Y8" s="1506" t="s">
        <v>8925</v>
      </c>
      <c r="Z8" s="1489" t="s">
        <v>7905</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8926</v>
      </c>
      <c r="AF8" s="1393" t="s">
        <v>8927</v>
      </c>
      <c r="AG8" s="1507" t="str">
        <f>HYPERLINK("https://www.twitch.tv/videos/566334947","1:28.73")</f>
        <v>1:28.73</v>
      </c>
      <c r="AH8" s="1489" t="s">
        <v>8928</v>
      </c>
      <c r="AI8" s="1508" t="str">
        <f>HYPERLINK("https://www.twitch.tv/videos/584107631","1:27.68")</f>
        <v>1:27.68</v>
      </c>
      <c r="AJ8" s="1393" t="s">
        <v>8929</v>
      </c>
      <c r="AK8" s="1489" t="s">
        <v>7487</v>
      </c>
      <c r="AL8" s="1489" t="s">
        <v>8930</v>
      </c>
      <c r="AM8" s="1481" t="s">
        <v>4535</v>
      </c>
      <c r="AN8" s="1481" t="s">
        <v>2687</v>
      </c>
      <c r="AO8" s="1481" t="s">
        <v>5732</v>
      </c>
      <c r="AP8" s="1489" t="s">
        <v>8931</v>
      </c>
      <c r="AQ8" s="1393" t="s">
        <v>8932</v>
      </c>
      <c r="AR8" s="1481" t="s">
        <v>8933</v>
      </c>
      <c r="AS8" s="759" t="str">
        <f>HYPERLINK("https://www.twitch.tv/videos/571767101","42.91")</f>
        <v>42.91</v>
      </c>
      <c r="AT8" s="1477" t="s">
        <v>8934</v>
      </c>
      <c r="AU8" s="1494" t="s">
        <v>8935</v>
      </c>
      <c r="AV8" s="1393" t="str">
        <f t="shared" si="1"/>
        <v>2:32</v>
      </c>
      <c r="AW8" s="1509" t="s">
        <v>8936</v>
      </c>
    </row>
    <row r="9" ht="15.75" customHeight="1">
      <c r="A9" s="1473" t="s">
        <v>1810</v>
      </c>
      <c r="B9" s="1474" t="s">
        <v>8774</v>
      </c>
      <c r="C9" s="1475">
        <v>0.04949074074074074</v>
      </c>
      <c r="D9" s="1510" t="s">
        <v>8937</v>
      </c>
      <c r="E9" s="1506" t="s">
        <v>8938</v>
      </c>
      <c r="F9" s="1506" t="s">
        <v>2135</v>
      </c>
      <c r="G9" s="1506" t="s">
        <v>8939</v>
      </c>
      <c r="H9" s="1481" t="s">
        <v>8940</v>
      </c>
      <c r="I9" s="1488">
        <v>47.34</v>
      </c>
      <c r="J9" s="1506" t="s">
        <v>1728</v>
      </c>
      <c r="K9" s="1506" t="s">
        <v>8941</v>
      </c>
      <c r="L9" s="1506">
        <v>55.97</v>
      </c>
      <c r="M9" s="1506" t="s">
        <v>1983</v>
      </c>
      <c r="N9" s="1506" t="s">
        <v>8942</v>
      </c>
      <c r="O9" s="1511" t="s">
        <v>8781</v>
      </c>
      <c r="P9" s="1506">
        <v>47.49</v>
      </c>
      <c r="Q9" s="1506" t="s">
        <v>8943</v>
      </c>
      <c r="R9" s="1506" t="s">
        <v>1228</v>
      </c>
      <c r="S9" s="1512" t="s">
        <v>1833</v>
      </c>
      <c r="T9" s="1506" t="s">
        <v>8944</v>
      </c>
      <c r="U9" s="1481" t="s">
        <v>8945</v>
      </c>
      <c r="V9" s="1506">
        <v>59.32</v>
      </c>
      <c r="W9" s="1510" t="s">
        <v>8946</v>
      </c>
      <c r="X9" s="1513" t="s">
        <v>8947</v>
      </c>
      <c r="Y9" s="1506">
        <v>46.65</v>
      </c>
      <c r="Z9" s="1506" t="s">
        <v>8948</v>
      </c>
      <c r="AA9" s="1506" t="s">
        <v>2494</v>
      </c>
      <c r="AB9" s="1506" t="s">
        <v>8949</v>
      </c>
      <c r="AC9" s="1506">
        <v>47.89</v>
      </c>
      <c r="AD9" s="1506" t="s">
        <v>1832</v>
      </c>
      <c r="AE9" s="1506">
        <v>47.98</v>
      </c>
      <c r="AF9" s="1513" t="s">
        <v>8950</v>
      </c>
      <c r="AG9" s="1506" t="s">
        <v>8951</v>
      </c>
      <c r="AH9" s="1506">
        <v>57.45</v>
      </c>
      <c r="AI9" s="1492" t="s">
        <v>7416</v>
      </c>
      <c r="AJ9" s="1514" t="s">
        <v>8861</v>
      </c>
      <c r="AK9" s="1506" t="s">
        <v>5451</v>
      </c>
      <c r="AL9" s="1506">
        <v>56.23</v>
      </c>
      <c r="AM9" s="1510" t="s">
        <v>4014</v>
      </c>
      <c r="AN9" s="1510" t="s">
        <v>8952</v>
      </c>
      <c r="AO9" s="1506" t="s">
        <v>8953</v>
      </c>
      <c r="AP9" s="1506" t="s">
        <v>8954</v>
      </c>
      <c r="AQ9" s="1506" t="s">
        <v>8955</v>
      </c>
      <c r="AR9" s="1513" t="s">
        <v>3881</v>
      </c>
      <c r="AS9" s="1506">
        <v>46.19</v>
      </c>
      <c r="AT9" s="1515" t="s">
        <v>8798</v>
      </c>
      <c r="AU9" s="1393" t="s">
        <v>8956</v>
      </c>
      <c r="AV9" s="1393" t="str">
        <f t="shared" si="1"/>
        <v>1:33</v>
      </c>
      <c r="AW9" s="1509" t="s">
        <v>8957</v>
      </c>
    </row>
    <row r="10">
      <c r="A10" s="1516" t="s">
        <v>828</v>
      </c>
      <c r="B10" s="1517" t="s">
        <v>8774</v>
      </c>
      <c r="C10" s="1475">
        <v>0.04951388888888889</v>
      </c>
      <c r="D10" s="1491" t="s">
        <v>8913</v>
      </c>
      <c r="E10" s="1491" t="s">
        <v>255</v>
      </c>
      <c r="F10" s="1491" t="s">
        <v>8958</v>
      </c>
      <c r="G10" s="1492" t="s">
        <v>8959</v>
      </c>
      <c r="H10" s="1491" t="s">
        <v>8960</v>
      </c>
      <c r="I10" s="1491" t="s">
        <v>4543</v>
      </c>
      <c r="J10" s="1488" t="s">
        <v>1493</v>
      </c>
      <c r="K10" s="1491" t="s">
        <v>8961</v>
      </c>
      <c r="L10" s="1491" t="s">
        <v>8962</v>
      </c>
      <c r="M10" s="1493" t="s">
        <v>6259</v>
      </c>
      <c r="N10" s="1491" t="s">
        <v>5898</v>
      </c>
      <c r="O10" s="1491" t="s">
        <v>8963</v>
      </c>
      <c r="P10" s="1491" t="s">
        <v>6178</v>
      </c>
      <c r="Q10" s="1491" t="s">
        <v>4787</v>
      </c>
      <c r="R10" s="1491" t="s">
        <v>5745</v>
      </c>
      <c r="S10" s="1481" t="s">
        <v>2868</v>
      </c>
      <c r="T10" s="1491" t="s">
        <v>8964</v>
      </c>
      <c r="U10" s="1491" t="s">
        <v>8965</v>
      </c>
      <c r="V10" s="1491" t="s">
        <v>8966</v>
      </c>
      <c r="W10" s="1491" t="s">
        <v>8967</v>
      </c>
      <c r="X10" s="1481" t="s">
        <v>8968</v>
      </c>
      <c r="Y10" s="1491" t="s">
        <v>6178</v>
      </c>
      <c r="Z10" s="1511" t="s">
        <v>7547</v>
      </c>
      <c r="AA10" s="1481" t="s">
        <v>8818</v>
      </c>
      <c r="AB10" s="1491" t="s">
        <v>417</v>
      </c>
      <c r="AC10" s="1491" t="s">
        <v>3787</v>
      </c>
      <c r="AD10" s="1518" t="s">
        <v>3719</v>
      </c>
      <c r="AE10" s="1492">
        <v>47.81</v>
      </c>
      <c r="AF10" s="1491" t="s">
        <v>8969</v>
      </c>
      <c r="AG10" s="1491" t="s">
        <v>8970</v>
      </c>
      <c r="AH10" s="1491" t="s">
        <v>751</v>
      </c>
      <c r="AI10" s="1491" t="s">
        <v>8971</v>
      </c>
      <c r="AJ10" s="1491" t="s">
        <v>8972</v>
      </c>
      <c r="AK10" s="1491" t="s">
        <v>8973</v>
      </c>
      <c r="AL10" s="1491" t="s">
        <v>8974</v>
      </c>
      <c r="AM10" s="1491" t="s">
        <v>4535</v>
      </c>
      <c r="AN10" s="1511" t="s">
        <v>8794</v>
      </c>
      <c r="AO10" s="1511" t="s">
        <v>7757</v>
      </c>
      <c r="AP10" s="1491" t="s">
        <v>8975</v>
      </c>
      <c r="AQ10" s="1491" t="s">
        <v>8976</v>
      </c>
      <c r="AR10" s="1511" t="s">
        <v>8797</v>
      </c>
      <c r="AS10" s="1493" t="s">
        <v>1334</v>
      </c>
      <c r="AT10" s="1491" t="s">
        <v>8977</v>
      </c>
      <c r="AU10" s="1519" t="s">
        <v>8978</v>
      </c>
      <c r="AV10" s="1393" t="str">
        <f t="shared" si="1"/>
        <v>2:15</v>
      </c>
      <c r="AW10" s="1520" t="s">
        <v>8979</v>
      </c>
    </row>
    <row r="11" ht="15.75" customHeight="1">
      <c r="A11" s="1486" t="s">
        <v>332</v>
      </c>
      <c r="B11" s="1474" t="s">
        <v>8774</v>
      </c>
      <c r="C11" s="1475">
        <v>0.04957175925925926</v>
      </c>
      <c r="D11" s="1521" t="s">
        <v>8980</v>
      </c>
      <c r="E11" s="1488" t="s">
        <v>8981</v>
      </c>
      <c r="F11" s="1522" t="s">
        <v>8777</v>
      </c>
      <c r="G11" s="1491" t="s">
        <v>8982</v>
      </c>
      <c r="H11" s="1523" t="s">
        <v>5420</v>
      </c>
      <c r="I11" s="1491" t="s">
        <v>1389</v>
      </c>
      <c r="J11" s="812" t="s">
        <v>8983</v>
      </c>
      <c r="K11" s="1491" t="s">
        <v>6961</v>
      </c>
      <c r="L11" s="1490" t="s">
        <v>235</v>
      </c>
      <c r="M11" s="812" t="s">
        <v>8984</v>
      </c>
      <c r="N11" s="1488" t="s">
        <v>8985</v>
      </c>
      <c r="O11" s="812" t="s">
        <v>8986</v>
      </c>
      <c r="P11" s="1491" t="s">
        <v>6561</v>
      </c>
      <c r="Q11" s="1491" t="s">
        <v>8943</v>
      </c>
      <c r="R11" s="1491" t="s">
        <v>5642</v>
      </c>
      <c r="S11" s="1491" t="s">
        <v>8987</v>
      </c>
      <c r="T11" s="1491" t="s">
        <v>4068</v>
      </c>
      <c r="U11" s="1491" t="s">
        <v>6256</v>
      </c>
      <c r="V11" s="773" t="s">
        <v>8988</v>
      </c>
      <c r="W11" s="1524" t="s">
        <v>8989</v>
      </c>
      <c r="X11" s="1491" t="s">
        <v>8990</v>
      </c>
      <c r="Y11" s="1488">
        <v>46.63</v>
      </c>
      <c r="Z11" s="767" t="s">
        <v>308</v>
      </c>
      <c r="AA11" s="1488" t="s">
        <v>8991</v>
      </c>
      <c r="AB11" s="1490" t="s">
        <v>8787</v>
      </c>
      <c r="AC11" s="1491" t="s">
        <v>5481</v>
      </c>
      <c r="AD11" s="1491" t="s">
        <v>8992</v>
      </c>
      <c r="AE11" s="1492" t="s">
        <v>8993</v>
      </c>
      <c r="AF11" s="1488" t="s">
        <v>8994</v>
      </c>
      <c r="AG11" s="1506" t="s">
        <v>8995</v>
      </c>
      <c r="AH11" s="1491" t="s">
        <v>8996</v>
      </c>
      <c r="AI11" s="773" t="s">
        <v>8997</v>
      </c>
      <c r="AJ11" s="1492" t="s">
        <v>8998</v>
      </c>
      <c r="AK11" s="1491" t="s">
        <v>1300</v>
      </c>
      <c r="AL11" s="1491" t="s">
        <v>5181</v>
      </c>
      <c r="AM11" s="1491" t="s">
        <v>4068</v>
      </c>
      <c r="AN11" s="812" t="s">
        <v>8999</v>
      </c>
      <c r="AO11" s="1491" t="s">
        <v>8884</v>
      </c>
      <c r="AP11" s="1491" t="s">
        <v>9000</v>
      </c>
      <c r="AQ11" s="1491" t="s">
        <v>9001</v>
      </c>
      <c r="AR11" s="1491" t="s">
        <v>4622</v>
      </c>
      <c r="AS11" s="1491" t="s">
        <v>9002</v>
      </c>
      <c r="AT11" s="1525" t="s">
        <v>9003</v>
      </c>
      <c r="AU11" s="1519" t="s">
        <v>9004</v>
      </c>
      <c r="AV11" s="1393" t="str">
        <f t="shared" si="1"/>
        <v>2:59</v>
      </c>
      <c r="AW11" s="1526"/>
    </row>
    <row r="12">
      <c r="A12" s="1486" t="s">
        <v>6571</v>
      </c>
      <c r="B12" s="1527" t="s">
        <v>8774</v>
      </c>
      <c r="C12" s="1475">
        <v>0.04958333333333333</v>
      </c>
      <c r="D12" s="773" t="s">
        <v>9005</v>
      </c>
      <c r="E12" s="1506" t="s">
        <v>6526</v>
      </c>
      <c r="F12" s="1506" t="s">
        <v>9006</v>
      </c>
      <c r="G12" s="1506" t="s">
        <v>9007</v>
      </c>
      <c r="H12" s="1510" t="s">
        <v>9008</v>
      </c>
      <c r="I12" s="1510" t="s">
        <v>5758</v>
      </c>
      <c r="J12" s="1510" t="s">
        <v>151</v>
      </c>
      <c r="K12" s="1510" t="s">
        <v>7633</v>
      </c>
      <c r="L12" s="1506">
        <v>56.42</v>
      </c>
      <c r="M12" s="1506" t="s">
        <v>5215</v>
      </c>
      <c r="N12" s="1506" t="s">
        <v>9009</v>
      </c>
      <c r="O12" s="1510" t="s">
        <v>9010</v>
      </c>
      <c r="P12" s="1510" t="s">
        <v>282</v>
      </c>
      <c r="Q12" s="1510" t="s">
        <v>9011</v>
      </c>
      <c r="R12" s="1506" t="s">
        <v>9012</v>
      </c>
      <c r="S12" s="1510" t="s">
        <v>9013</v>
      </c>
      <c r="T12" s="1510" t="s">
        <v>5023</v>
      </c>
      <c r="U12" s="1510" t="s">
        <v>9014</v>
      </c>
      <c r="V12" s="1506">
        <v>59.45</v>
      </c>
      <c r="W12" s="1510" t="s">
        <v>9015</v>
      </c>
      <c r="X12" s="1510" t="s">
        <v>9016</v>
      </c>
      <c r="Y12" s="1510" t="s">
        <v>5133</v>
      </c>
      <c r="Z12" s="1506" t="s">
        <v>4175</v>
      </c>
      <c r="AA12" s="1506" t="s">
        <v>9017</v>
      </c>
      <c r="AB12" s="1506" t="s">
        <v>4590</v>
      </c>
      <c r="AC12" s="1510" t="s">
        <v>4886</v>
      </c>
      <c r="AD12" s="1510" t="s">
        <v>9018</v>
      </c>
      <c r="AE12" s="1506">
        <v>47.89</v>
      </c>
      <c r="AF12" s="1506" t="s">
        <v>9019</v>
      </c>
      <c r="AG12" s="1493" t="s">
        <v>8790</v>
      </c>
      <c r="AH12" s="1506">
        <v>57.71</v>
      </c>
      <c r="AI12" s="1510" t="s">
        <v>2229</v>
      </c>
      <c r="AJ12" s="1506" t="s">
        <v>9020</v>
      </c>
      <c r="AK12" s="1510" t="s">
        <v>7496</v>
      </c>
      <c r="AL12" s="1506">
        <v>56.69</v>
      </c>
      <c r="AM12" s="1510" t="s">
        <v>9021</v>
      </c>
      <c r="AN12" s="1510" t="s">
        <v>4136</v>
      </c>
      <c r="AO12" s="1510" t="s">
        <v>2932</v>
      </c>
      <c r="AP12" s="1506" t="s">
        <v>9022</v>
      </c>
      <c r="AQ12" s="1510" t="s">
        <v>9023</v>
      </c>
      <c r="AR12" s="1510" t="s">
        <v>9024</v>
      </c>
      <c r="AS12" s="1506">
        <v>43.65</v>
      </c>
      <c r="AT12" s="1510" t="s">
        <v>9025</v>
      </c>
      <c r="AU12" s="1494" t="s">
        <v>9026</v>
      </c>
      <c r="AV12" s="1393" t="str">
        <f t="shared" si="1"/>
        <v>1:34</v>
      </c>
      <c r="AW12" s="1528" t="s">
        <v>9027</v>
      </c>
    </row>
    <row r="13" ht="15.75" customHeight="1">
      <c r="A13" s="1529" t="s">
        <v>6627</v>
      </c>
      <c r="B13" s="1474" t="s">
        <v>8774</v>
      </c>
      <c r="C13" s="1475">
        <v>0.04967592592592593</v>
      </c>
      <c r="D13" s="773" t="s">
        <v>9028</v>
      </c>
      <c r="E13" s="1489" t="s">
        <v>958</v>
      </c>
      <c r="F13" s="1489" t="s">
        <v>9029</v>
      </c>
      <c r="G13" s="1489" t="s">
        <v>9030</v>
      </c>
      <c r="H13" s="773" t="s">
        <v>9031</v>
      </c>
      <c r="I13" s="1489" t="s">
        <v>9032</v>
      </c>
      <c r="J13" s="1489" t="s">
        <v>9033</v>
      </c>
      <c r="K13" s="1489" t="s">
        <v>6490</v>
      </c>
      <c r="L13" s="1489" t="s">
        <v>4497</v>
      </c>
      <c r="M13" s="1489" t="s">
        <v>8575</v>
      </c>
      <c r="N13" s="1489" t="s">
        <v>2225</v>
      </c>
      <c r="O13" s="1489" t="s">
        <v>3326</v>
      </c>
      <c r="P13" s="1489" t="s">
        <v>9032</v>
      </c>
      <c r="Q13" s="1489" t="s">
        <v>9034</v>
      </c>
      <c r="R13" s="1489" t="s">
        <v>1228</v>
      </c>
      <c r="S13" s="1530" t="s">
        <v>9035</v>
      </c>
      <c r="T13" s="1489" t="s">
        <v>4901</v>
      </c>
      <c r="U13" s="1489" t="s">
        <v>9036</v>
      </c>
      <c r="V13" s="1489" t="s">
        <v>9037</v>
      </c>
      <c r="W13" s="1489" t="s">
        <v>9038</v>
      </c>
      <c r="X13" s="1489" t="s">
        <v>1052</v>
      </c>
      <c r="Y13" s="1489" t="s">
        <v>4384</v>
      </c>
      <c r="Z13" s="1489" t="s">
        <v>9039</v>
      </c>
      <c r="AA13" s="1489" t="s">
        <v>9040</v>
      </c>
      <c r="AB13" s="1489" t="s">
        <v>1841</v>
      </c>
      <c r="AC13" s="1489" t="s">
        <v>761</v>
      </c>
      <c r="AD13" s="1489" t="s">
        <v>9041</v>
      </c>
      <c r="AE13" s="1489" t="s">
        <v>6580</v>
      </c>
      <c r="AF13" s="1481" t="s">
        <v>9042</v>
      </c>
      <c r="AG13" s="1489" t="s">
        <v>9043</v>
      </c>
      <c r="AH13" s="1489" t="s">
        <v>4812</v>
      </c>
      <c r="AI13" s="1489" t="s">
        <v>3013</v>
      </c>
      <c r="AJ13" s="1489" t="s">
        <v>9044</v>
      </c>
      <c r="AK13" s="1489" t="s">
        <v>4183</v>
      </c>
      <c r="AL13" s="1489" t="s">
        <v>9045</v>
      </c>
      <c r="AM13" s="1489" t="s">
        <v>9046</v>
      </c>
      <c r="AN13" s="773" t="s">
        <v>8873</v>
      </c>
      <c r="AO13" s="1489" t="s">
        <v>9047</v>
      </c>
      <c r="AP13" s="1489" t="s">
        <v>9048</v>
      </c>
      <c r="AQ13" s="1481" t="s">
        <v>9049</v>
      </c>
      <c r="AR13" s="1489" t="s">
        <v>1845</v>
      </c>
      <c r="AS13" s="1489" t="s">
        <v>1577</v>
      </c>
      <c r="AT13" s="1489" t="s">
        <v>9050</v>
      </c>
      <c r="AU13" s="1489" t="s">
        <v>9051</v>
      </c>
      <c r="AV13" s="1393" t="str">
        <f t="shared" si="1"/>
        <v>2:47</v>
      </c>
      <c r="AW13" s="1485" t="s">
        <v>9052</v>
      </c>
    </row>
    <row r="14" ht="15.75" customHeight="1">
      <c r="A14" s="1529" t="s">
        <v>2152</v>
      </c>
      <c r="B14" s="1531" t="s">
        <v>8801</v>
      </c>
      <c r="C14" s="1532">
        <v>0.04967592592592593</v>
      </c>
      <c r="D14" s="1533" t="s">
        <v>9053</v>
      </c>
      <c r="E14" s="773" t="s">
        <v>3289</v>
      </c>
      <c r="F14" s="773" t="s">
        <v>9054</v>
      </c>
      <c r="G14" s="1533" t="s">
        <v>9055</v>
      </c>
      <c r="H14" s="1534" t="s">
        <v>8805</v>
      </c>
      <c r="I14" s="773" t="s">
        <v>9056</v>
      </c>
      <c r="J14" s="773" t="s">
        <v>9057</v>
      </c>
      <c r="K14" s="1535" t="s">
        <v>8807</v>
      </c>
      <c r="L14" s="1536" t="s">
        <v>4693</v>
      </c>
      <c r="M14" s="773" t="s">
        <v>6548</v>
      </c>
      <c r="N14" s="1537" t="s">
        <v>5241</v>
      </c>
      <c r="O14" s="773" t="s">
        <v>7614</v>
      </c>
      <c r="P14" s="1537" t="s">
        <v>5481</v>
      </c>
      <c r="Q14" s="773" t="s">
        <v>9058</v>
      </c>
      <c r="R14" s="1535" t="s">
        <v>8810</v>
      </c>
      <c r="S14" s="1538" t="s">
        <v>9059</v>
      </c>
      <c r="T14" s="1539" t="s">
        <v>4014</v>
      </c>
      <c r="U14" s="1540" t="s">
        <v>9060</v>
      </c>
      <c r="V14" s="1541" t="s">
        <v>9061</v>
      </c>
      <c r="W14" s="1542" t="s">
        <v>4141</v>
      </c>
      <c r="X14" s="1536" t="s">
        <v>5985</v>
      </c>
      <c r="Y14" s="1535" t="s">
        <v>8813</v>
      </c>
      <c r="Z14" s="1542" t="s">
        <v>1340</v>
      </c>
      <c r="AA14" s="1543" t="s">
        <v>5742</v>
      </c>
      <c r="AB14" s="1535" t="s">
        <v>7478</v>
      </c>
      <c r="AC14" s="1544" t="s">
        <v>8814</v>
      </c>
      <c r="AD14" s="773" t="s">
        <v>9062</v>
      </c>
      <c r="AE14" s="1545" t="s">
        <v>6854</v>
      </c>
      <c r="AF14" s="1265" t="s">
        <v>9063</v>
      </c>
      <c r="AG14" s="1542" t="s">
        <v>4602</v>
      </c>
      <c r="AH14" s="1546" t="s">
        <v>8817</v>
      </c>
      <c r="AI14" s="1546" t="s">
        <v>8818</v>
      </c>
      <c r="AJ14" s="773" t="s">
        <v>9064</v>
      </c>
      <c r="AK14" s="1536" t="s">
        <v>3368</v>
      </c>
      <c r="AL14" s="1536" t="s">
        <v>9065</v>
      </c>
      <c r="AM14" s="1535" t="s">
        <v>888</v>
      </c>
      <c r="AN14" s="1547" t="s">
        <v>4715</v>
      </c>
      <c r="AO14" s="1535" t="s">
        <v>7956</v>
      </c>
      <c r="AP14" s="1548" t="s">
        <v>8822</v>
      </c>
      <c r="AQ14" s="1549" t="s">
        <v>8823</v>
      </c>
      <c r="AR14" s="1549" t="s">
        <v>4066</v>
      </c>
      <c r="AS14" s="1550" t="s">
        <v>5229</v>
      </c>
      <c r="AT14" s="1535" t="s">
        <v>8824</v>
      </c>
      <c r="AU14" s="1519" t="s">
        <v>9066</v>
      </c>
      <c r="AV14" s="1393" t="str">
        <f t="shared" si="1"/>
        <v>4:01</v>
      </c>
      <c r="AW14" s="1520" t="s">
        <v>9067</v>
      </c>
    </row>
    <row r="15" ht="15.75" customHeight="1">
      <c r="A15" s="1551" t="s">
        <v>2674</v>
      </c>
      <c r="B15" s="1474" t="s">
        <v>8774</v>
      </c>
      <c r="C15" s="1552">
        <v>0.04971064814814815</v>
      </c>
      <c r="D15" s="1316" t="s">
        <v>9068</v>
      </c>
      <c r="E15" s="1553" t="s">
        <v>514</v>
      </c>
      <c r="F15" s="1553" t="s">
        <v>9069</v>
      </c>
      <c r="G15" s="1553" t="s">
        <v>9070</v>
      </c>
      <c r="H15" s="1481" t="s">
        <v>9071</v>
      </c>
      <c r="I15" s="1161" t="s">
        <v>5743</v>
      </c>
      <c r="J15" s="1537" t="s">
        <v>2543</v>
      </c>
      <c r="K15" s="1537" t="s">
        <v>4339</v>
      </c>
      <c r="L15" s="1537" t="s">
        <v>4693</v>
      </c>
      <c r="M15" s="1554" t="s">
        <v>6259</v>
      </c>
      <c r="N15" s="1537" t="s">
        <v>2658</v>
      </c>
      <c r="O15" s="1537" t="s">
        <v>9072</v>
      </c>
      <c r="P15" s="1537" t="s">
        <v>9073</v>
      </c>
      <c r="Q15" s="1481" t="s">
        <v>9074</v>
      </c>
      <c r="R15" s="1540" t="s">
        <v>9075</v>
      </c>
      <c r="S15" s="1481" t="s">
        <v>1833</v>
      </c>
      <c r="T15" s="1540" t="s">
        <v>9076</v>
      </c>
      <c r="U15" s="1481" t="s">
        <v>9077</v>
      </c>
      <c r="V15" s="1540" t="s">
        <v>3480</v>
      </c>
      <c r="W15" s="1555" t="s">
        <v>9078</v>
      </c>
      <c r="X15" s="1555" t="s">
        <v>4097</v>
      </c>
      <c r="Y15" s="1555" t="s">
        <v>7225</v>
      </c>
      <c r="Z15" s="1555" t="s">
        <v>9079</v>
      </c>
      <c r="AA15" s="1555" t="s">
        <v>6149</v>
      </c>
      <c r="AB15" s="1555" t="s">
        <v>4424</v>
      </c>
      <c r="AC15" s="1555" t="s">
        <v>1147</v>
      </c>
      <c r="AD15" s="1553" t="s">
        <v>9080</v>
      </c>
      <c r="AE15" s="1553" t="s">
        <v>5379</v>
      </c>
      <c r="AF15" s="1556" t="s">
        <v>9081</v>
      </c>
      <c r="AG15" s="1556" t="s">
        <v>8037</v>
      </c>
      <c r="AH15" s="1556" t="s">
        <v>5389</v>
      </c>
      <c r="AI15" s="1556" t="s">
        <v>9082</v>
      </c>
      <c r="AJ15" s="1556" t="s">
        <v>9083</v>
      </c>
      <c r="AK15" s="1556" t="s">
        <v>9084</v>
      </c>
      <c r="AL15" s="1556" t="s">
        <v>3573</v>
      </c>
      <c r="AM15" s="1557" t="s">
        <v>9085</v>
      </c>
      <c r="AN15" s="1558" t="s">
        <v>4693</v>
      </c>
      <c r="AO15" s="1558" t="s">
        <v>9086</v>
      </c>
      <c r="AP15" s="1557" t="s">
        <v>9087</v>
      </c>
      <c r="AQ15" s="1557" t="s">
        <v>9088</v>
      </c>
      <c r="AR15" s="1558" t="s">
        <v>9089</v>
      </c>
      <c r="AS15" s="1557" t="s">
        <v>275</v>
      </c>
      <c r="AT15" s="1494" t="s">
        <v>9090</v>
      </c>
      <c r="AU15" s="1519" t="s">
        <v>9091</v>
      </c>
      <c r="AV15" s="1393" t="str">
        <f t="shared" si="1"/>
        <v>2:35</v>
      </c>
      <c r="AW15" s="1559" t="s">
        <v>9092</v>
      </c>
    </row>
    <row r="16">
      <c r="A16" s="1529" t="s">
        <v>2022</v>
      </c>
      <c r="B16" s="1527" t="s">
        <v>8774</v>
      </c>
      <c r="C16" s="1560">
        <v>0.04976851851851852</v>
      </c>
      <c r="D16" s="1510" t="s">
        <v>9093</v>
      </c>
      <c r="E16" s="1510" t="s">
        <v>9094</v>
      </c>
      <c r="F16" s="1510" t="s">
        <v>9095</v>
      </c>
      <c r="G16" s="1513" t="s">
        <v>9096</v>
      </c>
      <c r="H16" s="1510" t="s">
        <v>9097</v>
      </c>
      <c r="I16" s="1510" t="s">
        <v>3747</v>
      </c>
      <c r="J16" s="1510" t="s">
        <v>9098</v>
      </c>
      <c r="K16" s="1515" t="s">
        <v>8780</v>
      </c>
      <c r="L16" s="1510" t="s">
        <v>9099</v>
      </c>
      <c r="M16" s="1510" t="s">
        <v>9100</v>
      </c>
      <c r="N16" s="1510" t="s">
        <v>689</v>
      </c>
      <c r="O16" s="1510" t="s">
        <v>9101</v>
      </c>
      <c r="P16" s="1510" t="s">
        <v>6561</v>
      </c>
      <c r="Q16" s="1510" t="s">
        <v>9102</v>
      </c>
      <c r="R16" s="1510" t="s">
        <v>7586</v>
      </c>
      <c r="S16" s="1510" t="s">
        <v>9103</v>
      </c>
      <c r="T16" s="1510" t="s">
        <v>5862</v>
      </c>
      <c r="U16" s="1510" t="s">
        <v>9104</v>
      </c>
      <c r="V16" s="1510" t="s">
        <v>9105</v>
      </c>
      <c r="W16" s="1510" t="s">
        <v>9106</v>
      </c>
      <c r="X16" s="1510" t="s">
        <v>9107</v>
      </c>
      <c r="Y16" s="1510" t="s">
        <v>8925</v>
      </c>
      <c r="Z16" s="1510" t="s">
        <v>9108</v>
      </c>
      <c r="AA16" s="1510" t="s">
        <v>9109</v>
      </c>
      <c r="AB16" s="1510" t="s">
        <v>9110</v>
      </c>
      <c r="AC16" s="1510" t="s">
        <v>598</v>
      </c>
      <c r="AD16" s="1510" t="s">
        <v>3228</v>
      </c>
      <c r="AE16" s="1510" t="s">
        <v>5531</v>
      </c>
      <c r="AF16" s="1510" t="s">
        <v>9111</v>
      </c>
      <c r="AG16" s="1510" t="s">
        <v>311</v>
      </c>
      <c r="AH16" s="1510" t="s">
        <v>9112</v>
      </c>
      <c r="AI16" s="1510" t="s">
        <v>9017</v>
      </c>
      <c r="AJ16" s="1510" t="s">
        <v>9113</v>
      </c>
      <c r="AK16" s="1510" t="s">
        <v>9114</v>
      </c>
      <c r="AL16" s="1510" t="s">
        <v>345</v>
      </c>
      <c r="AM16" s="1510" t="s">
        <v>2227</v>
      </c>
      <c r="AN16" s="1510" t="s">
        <v>235</v>
      </c>
      <c r="AO16" s="1510" t="s">
        <v>9115</v>
      </c>
      <c r="AP16" s="1510" t="s">
        <v>9116</v>
      </c>
      <c r="AQ16" s="1561" t="s">
        <v>9117</v>
      </c>
      <c r="AR16" s="1510" t="s">
        <v>9118</v>
      </c>
      <c r="AS16" s="1510" t="s">
        <v>840</v>
      </c>
      <c r="AT16" s="1510" t="s">
        <v>2409</v>
      </c>
      <c r="AU16" s="1489" t="s">
        <v>9119</v>
      </c>
      <c r="AV16" s="1393" t="str">
        <f t="shared" si="1"/>
        <v>2:14</v>
      </c>
      <c r="AW16" s="1562"/>
    </row>
    <row r="17" ht="15.75" customHeight="1">
      <c r="A17" s="1473" t="s">
        <v>6372</v>
      </c>
      <c r="B17" s="1563" t="s">
        <v>8774</v>
      </c>
      <c r="C17" s="1475">
        <v>0.04982638888888889</v>
      </c>
      <c r="D17" s="1316" t="s">
        <v>9120</v>
      </c>
      <c r="E17" s="1316" t="s">
        <v>4836</v>
      </c>
      <c r="F17" s="1316" t="s">
        <v>9121</v>
      </c>
      <c r="G17" s="1316" t="s">
        <v>9122</v>
      </c>
      <c r="H17" s="1316" t="s">
        <v>9123</v>
      </c>
      <c r="I17" s="1316" t="s">
        <v>5662</v>
      </c>
      <c r="J17" s="1316" t="s">
        <v>9124</v>
      </c>
      <c r="K17" s="773" t="s">
        <v>9125</v>
      </c>
      <c r="L17" s="1316" t="s">
        <v>9126</v>
      </c>
      <c r="M17" s="1316" t="s">
        <v>9127</v>
      </c>
      <c r="N17" s="1316" t="s">
        <v>2098</v>
      </c>
      <c r="O17" s="1316" t="s">
        <v>9128</v>
      </c>
      <c r="P17" s="773" t="s">
        <v>4472</v>
      </c>
      <c r="Q17" s="1316" t="s">
        <v>9129</v>
      </c>
      <c r="R17" s="1316" t="s">
        <v>1872</v>
      </c>
      <c r="S17" s="1316" t="s">
        <v>3429</v>
      </c>
      <c r="T17" s="1316" t="s">
        <v>9130</v>
      </c>
      <c r="U17" s="1316" t="s">
        <v>9131</v>
      </c>
      <c r="V17" s="1316" t="s">
        <v>6838</v>
      </c>
      <c r="W17" s="1316" t="s">
        <v>5469</v>
      </c>
      <c r="X17" s="1316" t="s">
        <v>8790</v>
      </c>
      <c r="Y17" s="1316" t="s">
        <v>8871</v>
      </c>
      <c r="Z17" s="1316" t="s">
        <v>6970</v>
      </c>
      <c r="AA17" s="1564" t="s">
        <v>9132</v>
      </c>
      <c r="AB17" s="1316" t="s">
        <v>5898</v>
      </c>
      <c r="AC17" s="1316" t="s">
        <v>1030</v>
      </c>
      <c r="AD17" s="1316" t="s">
        <v>7669</v>
      </c>
      <c r="AE17" s="1316" t="s">
        <v>4961</v>
      </c>
      <c r="AF17" s="1316" t="s">
        <v>9133</v>
      </c>
      <c r="AG17" s="1316" t="s">
        <v>1534</v>
      </c>
      <c r="AH17" s="773" t="s">
        <v>9134</v>
      </c>
      <c r="AI17" s="1316" t="s">
        <v>8455</v>
      </c>
      <c r="AJ17" s="1316" t="s">
        <v>9135</v>
      </c>
      <c r="AK17" s="1316" t="s">
        <v>9136</v>
      </c>
      <c r="AL17" s="1316" t="s">
        <v>4416</v>
      </c>
      <c r="AM17" s="1316" t="s">
        <v>3487</v>
      </c>
      <c r="AN17" s="1316" t="s">
        <v>9137</v>
      </c>
      <c r="AO17" s="1316" t="s">
        <v>8933</v>
      </c>
      <c r="AP17" s="1494" t="s">
        <v>8876</v>
      </c>
      <c r="AQ17" s="1316" t="s">
        <v>9138</v>
      </c>
      <c r="AR17" s="1316" t="s">
        <v>9139</v>
      </c>
      <c r="AS17" s="1316" t="s">
        <v>9140</v>
      </c>
      <c r="AT17" s="1316" t="s">
        <v>9141</v>
      </c>
      <c r="AU17" s="1323" t="s">
        <v>9142</v>
      </c>
      <c r="AV17" s="1393" t="str">
        <f t="shared" si="1"/>
        <v>2:18</v>
      </c>
      <c r="AW17" s="1565" t="s">
        <v>9143</v>
      </c>
    </row>
    <row r="18" ht="15.75" customHeight="1">
      <c r="A18" s="1473" t="s">
        <v>2087</v>
      </c>
      <c r="B18" s="1474" t="s">
        <v>8774</v>
      </c>
      <c r="C18" s="1475">
        <v>0.049895833333333334</v>
      </c>
      <c r="D18" s="773" t="s">
        <v>9144</v>
      </c>
      <c r="E18" s="1566" t="s">
        <v>958</v>
      </c>
      <c r="F18" s="1553" t="s">
        <v>9145</v>
      </c>
      <c r="G18" s="1566" t="s">
        <v>9146</v>
      </c>
      <c r="H18" s="1058" t="s">
        <v>9147</v>
      </c>
      <c r="I18" s="1161" t="s">
        <v>5533</v>
      </c>
      <c r="J18" s="1537" t="s">
        <v>9148</v>
      </c>
      <c r="K18" s="1567" t="s">
        <v>9149</v>
      </c>
      <c r="L18" s="1537" t="s">
        <v>8893</v>
      </c>
      <c r="M18" s="1537" t="s">
        <v>5059</v>
      </c>
      <c r="N18" s="1537" t="s">
        <v>9150</v>
      </c>
      <c r="O18" s="1567" t="s">
        <v>9151</v>
      </c>
      <c r="P18" s="773" t="s">
        <v>1072</v>
      </c>
      <c r="Q18" s="1540" t="s">
        <v>3540</v>
      </c>
      <c r="R18" s="1568" t="s">
        <v>6966</v>
      </c>
      <c r="S18" s="1568" t="s">
        <v>9152</v>
      </c>
      <c r="T18" s="1568" t="s">
        <v>9153</v>
      </c>
      <c r="U18" s="1568" t="s">
        <v>1830</v>
      </c>
      <c r="V18" s="1540" t="s">
        <v>4451</v>
      </c>
      <c r="W18" s="1555" t="s">
        <v>9154</v>
      </c>
      <c r="X18" s="1569" t="s">
        <v>9155</v>
      </c>
      <c r="Y18" s="1555" t="s">
        <v>9156</v>
      </c>
      <c r="Z18" s="1555" t="s">
        <v>9157</v>
      </c>
      <c r="AA18" s="1555" t="s">
        <v>3313</v>
      </c>
      <c r="AB18" s="1569" t="s">
        <v>8007</v>
      </c>
      <c r="AC18" s="1569" t="s">
        <v>1221</v>
      </c>
      <c r="AD18" s="1566" t="s">
        <v>9158</v>
      </c>
      <c r="AE18" s="1566" t="s">
        <v>9159</v>
      </c>
      <c r="AF18" s="1570" t="s">
        <v>9160</v>
      </c>
      <c r="AG18" s="1556" t="s">
        <v>9161</v>
      </c>
      <c r="AH18" s="1556" t="s">
        <v>9162</v>
      </c>
      <c r="AI18" s="1556" t="s">
        <v>9163</v>
      </c>
      <c r="AJ18" s="1570" t="s">
        <v>9164</v>
      </c>
      <c r="AK18" s="1570" t="s">
        <v>964</v>
      </c>
      <c r="AL18" s="1556" t="s">
        <v>9165</v>
      </c>
      <c r="AM18" s="1558" t="s">
        <v>9166</v>
      </c>
      <c r="AN18" s="1557" t="s">
        <v>3156</v>
      </c>
      <c r="AO18" s="1558" t="s">
        <v>7619</v>
      </c>
      <c r="AP18" s="1557" t="s">
        <v>5649</v>
      </c>
      <c r="AQ18" s="1558" t="s">
        <v>9167</v>
      </c>
      <c r="AR18" s="1557" t="s">
        <v>1163</v>
      </c>
      <c r="AS18" s="1557" t="s">
        <v>3909</v>
      </c>
      <c r="AT18" s="1567" t="s">
        <v>6546</v>
      </c>
      <c r="AU18" s="1571" t="s">
        <v>9168</v>
      </c>
      <c r="AV18" s="1393" t="str">
        <f t="shared" si="1"/>
        <v>2:22</v>
      </c>
      <c r="AW18" s="1526" t="s">
        <v>9169</v>
      </c>
    </row>
    <row r="19">
      <c r="A19" s="1529" t="s">
        <v>1556</v>
      </c>
      <c r="B19" s="1517" t="s">
        <v>8774</v>
      </c>
      <c r="C19" s="1475">
        <v>0.04991898148148148</v>
      </c>
      <c r="D19" s="1572" t="s">
        <v>9170</v>
      </c>
      <c r="E19" s="1573" t="s">
        <v>9171</v>
      </c>
      <c r="F19" s="1573" t="s">
        <v>9172</v>
      </c>
      <c r="G19" s="1573" t="s">
        <v>9173</v>
      </c>
      <c r="H19" s="1573" t="s">
        <v>9174</v>
      </c>
      <c r="I19" s="1573">
        <v>48.07</v>
      </c>
      <c r="J19" s="1573" t="s">
        <v>9175</v>
      </c>
      <c r="K19" s="1573" t="s">
        <v>1704</v>
      </c>
      <c r="L19" s="1573">
        <v>56.32</v>
      </c>
      <c r="M19" s="1573" t="s">
        <v>176</v>
      </c>
      <c r="N19" s="1573" t="s">
        <v>9176</v>
      </c>
      <c r="O19" s="1573" t="s">
        <v>9177</v>
      </c>
      <c r="P19" s="1573">
        <v>47.77</v>
      </c>
      <c r="Q19" s="1573" t="s">
        <v>9178</v>
      </c>
      <c r="R19" s="1573" t="s">
        <v>7522</v>
      </c>
      <c r="S19" s="1573" t="s">
        <v>9179</v>
      </c>
      <c r="T19" s="1573" t="s">
        <v>4581</v>
      </c>
      <c r="U19" s="1573" t="s">
        <v>9180</v>
      </c>
      <c r="V19" s="1573">
        <v>59.79</v>
      </c>
      <c r="W19" s="1573" t="s">
        <v>9181</v>
      </c>
      <c r="X19" s="1573" t="s">
        <v>2065</v>
      </c>
      <c r="Y19" s="1573">
        <v>47.0</v>
      </c>
      <c r="Z19" s="1573" t="s">
        <v>9182</v>
      </c>
      <c r="AA19" s="1573" t="s">
        <v>9183</v>
      </c>
      <c r="AB19" s="1573" t="s">
        <v>7478</v>
      </c>
      <c r="AC19" s="1573">
        <v>47.56</v>
      </c>
      <c r="AD19" s="1573" t="s">
        <v>8815</v>
      </c>
      <c r="AE19" s="1573">
        <v>47.95</v>
      </c>
      <c r="AF19" s="1573" t="s">
        <v>9184</v>
      </c>
      <c r="AG19" s="1573" t="s">
        <v>9185</v>
      </c>
      <c r="AH19" s="1573">
        <v>57.67</v>
      </c>
      <c r="AI19" s="1573" t="s">
        <v>1052</v>
      </c>
      <c r="AJ19" s="1573" t="s">
        <v>9186</v>
      </c>
      <c r="AK19" s="1573" t="s">
        <v>8031</v>
      </c>
      <c r="AL19" s="1573">
        <v>56.37</v>
      </c>
      <c r="AM19" s="1573" t="s">
        <v>9187</v>
      </c>
      <c r="AN19" s="1573">
        <v>55.92</v>
      </c>
      <c r="AO19" s="1573" t="s">
        <v>4502</v>
      </c>
      <c r="AP19" s="1573" t="s">
        <v>8683</v>
      </c>
      <c r="AQ19" s="1573" t="s">
        <v>9188</v>
      </c>
      <c r="AR19" s="1573" t="s">
        <v>6656</v>
      </c>
      <c r="AS19" s="1573">
        <v>46.83</v>
      </c>
      <c r="AT19" s="1574" t="s">
        <v>9189</v>
      </c>
      <c r="AU19" s="1510" t="s">
        <v>9190</v>
      </c>
      <c r="AV19" s="1393" t="str">
        <f t="shared" si="1"/>
        <v>1:53</v>
      </c>
      <c r="AW19" s="1520" t="s">
        <v>9191</v>
      </c>
    </row>
    <row r="20">
      <c r="A20" s="1529" t="s">
        <v>2105</v>
      </c>
      <c r="B20" s="1517" t="s">
        <v>8774</v>
      </c>
      <c r="C20" s="1575">
        <v>0.049930555555555554</v>
      </c>
      <c r="D20" s="1576" t="s">
        <v>9192</v>
      </c>
      <c r="E20" s="1510" t="s">
        <v>9193</v>
      </c>
      <c r="F20" s="1510" t="s">
        <v>4332</v>
      </c>
      <c r="G20" s="1510" t="s">
        <v>9194</v>
      </c>
      <c r="H20" s="1510" t="s">
        <v>9195</v>
      </c>
      <c r="I20" s="1510" t="s">
        <v>5758</v>
      </c>
      <c r="J20" s="1510" t="s">
        <v>6400</v>
      </c>
      <c r="K20" s="1510" t="s">
        <v>9196</v>
      </c>
      <c r="L20" s="1510" t="s">
        <v>3573</v>
      </c>
      <c r="M20" s="1510" t="s">
        <v>1091</v>
      </c>
      <c r="N20" s="1510" t="s">
        <v>9197</v>
      </c>
      <c r="O20" s="1510" t="s">
        <v>800</v>
      </c>
      <c r="P20" s="1506">
        <v>47.54</v>
      </c>
      <c r="Q20" s="1577" t="s">
        <v>5765</v>
      </c>
      <c r="R20" s="1506" t="s">
        <v>9198</v>
      </c>
      <c r="S20" s="1577" t="s">
        <v>9035</v>
      </c>
      <c r="T20" s="1506" t="s">
        <v>9199</v>
      </c>
      <c r="U20" s="1577" t="s">
        <v>9200</v>
      </c>
      <c r="V20" s="1506">
        <v>58.55</v>
      </c>
      <c r="W20" s="1577" t="s">
        <v>9201</v>
      </c>
      <c r="X20" s="1577" t="s">
        <v>9202</v>
      </c>
      <c r="Y20" s="1481" t="s">
        <v>8925</v>
      </c>
      <c r="Z20" s="1577" t="s">
        <v>9203</v>
      </c>
      <c r="AA20" s="1510" t="s">
        <v>9204</v>
      </c>
      <c r="AB20" s="1577" t="s">
        <v>9110</v>
      </c>
      <c r="AC20" s="1393">
        <v>47.2</v>
      </c>
      <c r="AD20" s="1577" t="s">
        <v>9205</v>
      </c>
      <c r="AE20" s="1506">
        <v>47.88</v>
      </c>
      <c r="AF20" s="1577" t="s">
        <v>9206</v>
      </c>
      <c r="AG20" s="1577" t="s">
        <v>9207</v>
      </c>
      <c r="AH20" s="1577">
        <v>57.68</v>
      </c>
      <c r="AI20" s="1577" t="s">
        <v>2891</v>
      </c>
      <c r="AJ20" s="1506" t="s">
        <v>9208</v>
      </c>
      <c r="AK20" s="1481" t="s">
        <v>9209</v>
      </c>
      <c r="AL20" s="1577">
        <v>55.92</v>
      </c>
      <c r="AM20" s="1577" t="s">
        <v>2960</v>
      </c>
      <c r="AN20" s="1481" t="s">
        <v>5747</v>
      </c>
      <c r="AO20" s="1577" t="s">
        <v>6954</v>
      </c>
      <c r="AP20" s="1577" t="s">
        <v>9210</v>
      </c>
      <c r="AQ20" s="1577" t="s">
        <v>7641</v>
      </c>
      <c r="AR20" s="1577" t="s">
        <v>6493</v>
      </c>
      <c r="AS20" s="1578">
        <v>42.83</v>
      </c>
      <c r="AT20" s="1506" t="s">
        <v>8258</v>
      </c>
      <c r="AU20" s="1519" t="s">
        <v>9211</v>
      </c>
      <c r="AV20" s="1393" t="str">
        <f t="shared" si="1"/>
        <v>4:29</v>
      </c>
      <c r="AW20" s="1520" t="s">
        <v>9212</v>
      </c>
    </row>
    <row r="21" ht="15.75" customHeight="1">
      <c r="A21" s="1529" t="s">
        <v>2265</v>
      </c>
      <c r="B21" s="1474" t="s">
        <v>8774</v>
      </c>
      <c r="C21" s="1475">
        <v>0.0499537037037037</v>
      </c>
      <c r="D21" s="1489" t="s">
        <v>9213</v>
      </c>
      <c r="E21" s="1489" t="s">
        <v>2845</v>
      </c>
      <c r="F21" s="1489" t="s">
        <v>9214</v>
      </c>
      <c r="G21" s="1481" t="s">
        <v>9215</v>
      </c>
      <c r="H21" s="1489" t="s">
        <v>9216</v>
      </c>
      <c r="I21" s="1579" t="s">
        <v>9159</v>
      </c>
      <c r="J21" s="1489" t="s">
        <v>1421</v>
      </c>
      <c r="K21" s="1489" t="s">
        <v>5198</v>
      </c>
      <c r="L21" s="1489" t="s">
        <v>9217</v>
      </c>
      <c r="M21" s="1489" t="s">
        <v>9218</v>
      </c>
      <c r="N21" s="1489" t="s">
        <v>9219</v>
      </c>
      <c r="O21" s="1489" t="s">
        <v>9220</v>
      </c>
      <c r="P21" s="1489" t="s">
        <v>6852</v>
      </c>
      <c r="Q21" s="1489" t="s">
        <v>4616</v>
      </c>
      <c r="R21" s="1540" t="s">
        <v>9221</v>
      </c>
      <c r="S21" s="1489" t="s">
        <v>4059</v>
      </c>
      <c r="T21" s="1489" t="s">
        <v>8968</v>
      </c>
      <c r="U21" s="1489" t="s">
        <v>9222</v>
      </c>
      <c r="V21" s="1489" t="s">
        <v>9223</v>
      </c>
      <c r="W21" s="1489" t="s">
        <v>9224</v>
      </c>
      <c r="X21" s="1489" t="s">
        <v>8008</v>
      </c>
      <c r="Y21" s="1489" t="s">
        <v>4344</v>
      </c>
      <c r="Z21" s="1489" t="s">
        <v>9225</v>
      </c>
      <c r="AA21" s="1489" t="s">
        <v>8008</v>
      </c>
      <c r="AB21" s="1489" t="s">
        <v>9226</v>
      </c>
      <c r="AC21" s="1489" t="s">
        <v>5612</v>
      </c>
      <c r="AD21" s="1489" t="s">
        <v>8048</v>
      </c>
      <c r="AE21" s="1489" t="s">
        <v>5938</v>
      </c>
      <c r="AF21" s="1489" t="s">
        <v>9227</v>
      </c>
      <c r="AG21" s="1489" t="s">
        <v>5064</v>
      </c>
      <c r="AH21" s="1489" t="s">
        <v>5217</v>
      </c>
      <c r="AI21" s="1489" t="s">
        <v>9228</v>
      </c>
      <c r="AJ21" s="1480" t="s">
        <v>8791</v>
      </c>
      <c r="AK21" s="1489" t="s">
        <v>2527</v>
      </c>
      <c r="AL21" s="1489" t="s">
        <v>9229</v>
      </c>
      <c r="AM21" s="1489" t="s">
        <v>8947</v>
      </c>
      <c r="AN21" s="1489" t="s">
        <v>559</v>
      </c>
      <c r="AO21" s="1489" t="s">
        <v>9230</v>
      </c>
      <c r="AP21" s="1489" t="s">
        <v>9231</v>
      </c>
      <c r="AQ21" s="1489" t="s">
        <v>4822</v>
      </c>
      <c r="AR21" s="1489" t="s">
        <v>6657</v>
      </c>
      <c r="AS21" s="1489" t="s">
        <v>2545</v>
      </c>
      <c r="AT21" s="1489" t="s">
        <v>3115</v>
      </c>
      <c r="AU21" s="1489" t="s">
        <v>9232</v>
      </c>
      <c r="AV21" s="1393" t="str">
        <f t="shared" si="1"/>
        <v>3:21</v>
      </c>
      <c r="AW21" s="1565" t="s">
        <v>9233</v>
      </c>
    </row>
    <row r="22" ht="15.75" customHeight="1">
      <c r="A22" s="1473" t="s">
        <v>9234</v>
      </c>
      <c r="B22" s="1474" t="s">
        <v>8774</v>
      </c>
      <c r="C22" s="1475">
        <v>0.049965277777777775</v>
      </c>
      <c r="D22" s="773" t="s">
        <v>9235</v>
      </c>
      <c r="E22" s="1489" t="s">
        <v>4366</v>
      </c>
      <c r="F22" s="1489" t="s">
        <v>9236</v>
      </c>
      <c r="G22" s="1489" t="s">
        <v>9237</v>
      </c>
      <c r="H22" s="1393" t="s">
        <v>2289</v>
      </c>
      <c r="I22" s="1489" t="s">
        <v>1389</v>
      </c>
      <c r="J22" s="1489" t="s">
        <v>383</v>
      </c>
      <c r="K22" s="1489" t="s">
        <v>9238</v>
      </c>
      <c r="L22" s="1489" t="s">
        <v>5425</v>
      </c>
      <c r="M22" s="1489" t="s">
        <v>6576</v>
      </c>
      <c r="N22" s="1489" t="s">
        <v>9239</v>
      </c>
      <c r="O22" s="1489" t="s">
        <v>2607</v>
      </c>
      <c r="P22" s="1393" t="s">
        <v>5244</v>
      </c>
      <c r="Q22" s="1489" t="s">
        <v>9240</v>
      </c>
      <c r="R22" s="1489" t="s">
        <v>3291</v>
      </c>
      <c r="S22" s="1489" t="s">
        <v>7915</v>
      </c>
      <c r="T22" s="1489" t="s">
        <v>8565</v>
      </c>
      <c r="U22" s="1489" t="s">
        <v>9241</v>
      </c>
      <c r="V22" s="1489" t="s">
        <v>5036</v>
      </c>
      <c r="W22" s="1489" t="s">
        <v>9242</v>
      </c>
      <c r="X22" s="1393" t="s">
        <v>6960</v>
      </c>
      <c r="Y22" s="1393" t="s">
        <v>5514</v>
      </c>
      <c r="Z22" s="1489" t="s">
        <v>8900</v>
      </c>
      <c r="AA22" s="1489" t="s">
        <v>2331</v>
      </c>
      <c r="AB22" s="1489" t="s">
        <v>9243</v>
      </c>
      <c r="AC22" s="1489" t="s">
        <v>786</v>
      </c>
      <c r="AD22" s="1489" t="s">
        <v>5255</v>
      </c>
      <c r="AE22" s="1489" t="s">
        <v>9244</v>
      </c>
      <c r="AF22" s="1489" t="s">
        <v>947</v>
      </c>
      <c r="AG22" s="1489" t="s">
        <v>9245</v>
      </c>
      <c r="AH22" s="1489" t="s">
        <v>6139</v>
      </c>
      <c r="AI22" s="1489" t="s">
        <v>691</v>
      </c>
      <c r="AJ22" s="1393" t="s">
        <v>9246</v>
      </c>
      <c r="AK22" s="1556" t="s">
        <v>6967</v>
      </c>
      <c r="AL22" s="1489" t="s">
        <v>4608</v>
      </c>
      <c r="AM22" s="1489" t="s">
        <v>3706</v>
      </c>
      <c r="AN22" s="1393" t="s">
        <v>6272</v>
      </c>
      <c r="AO22" s="1393" t="s">
        <v>6657</v>
      </c>
      <c r="AP22" s="1393" t="s">
        <v>9247</v>
      </c>
      <c r="AQ22" s="1393" t="s">
        <v>8883</v>
      </c>
      <c r="AR22" s="1393" t="s">
        <v>493</v>
      </c>
      <c r="AS22" s="1393" t="s">
        <v>5853</v>
      </c>
      <c r="AT22" s="1393" t="s">
        <v>9133</v>
      </c>
      <c r="AU22" s="1489" t="s">
        <v>9248</v>
      </c>
      <c r="AV22" s="1393" t="str">
        <f t="shared" si="1"/>
        <v>3:46</v>
      </c>
      <c r="AW22" s="1562" t="s">
        <v>8335</v>
      </c>
    </row>
    <row r="23" ht="15.75" customHeight="1">
      <c r="A23" s="1580" t="s">
        <v>6330</v>
      </c>
      <c r="B23" s="1474" t="s">
        <v>8774</v>
      </c>
      <c r="C23" s="1475">
        <v>0.05</v>
      </c>
      <c r="D23" s="773" t="s">
        <v>9249</v>
      </c>
      <c r="E23" s="1489" t="s">
        <v>8575</v>
      </c>
      <c r="F23" s="1489" t="s">
        <v>9214</v>
      </c>
      <c r="G23" s="1393" t="s">
        <v>9250</v>
      </c>
      <c r="H23" s="1489" t="s">
        <v>9251</v>
      </c>
      <c r="I23" s="1393" t="s">
        <v>1849</v>
      </c>
      <c r="J23" s="1489" t="s">
        <v>2833</v>
      </c>
      <c r="K23" s="1489" t="s">
        <v>9252</v>
      </c>
      <c r="L23" s="1489" t="s">
        <v>3311</v>
      </c>
      <c r="M23" s="1489" t="s">
        <v>9253</v>
      </c>
      <c r="N23" s="1489" t="s">
        <v>9254</v>
      </c>
      <c r="O23" s="1489" t="s">
        <v>9201</v>
      </c>
      <c r="P23" s="1393" t="s">
        <v>4008</v>
      </c>
      <c r="Q23" s="1489" t="s">
        <v>9255</v>
      </c>
      <c r="R23" s="1489" t="s">
        <v>6881</v>
      </c>
      <c r="S23" s="1489" t="s">
        <v>7142</v>
      </c>
      <c r="T23" s="1489" t="s">
        <v>7524</v>
      </c>
      <c r="U23" s="1489" t="s">
        <v>9256</v>
      </c>
      <c r="V23" s="1489" t="s">
        <v>9257</v>
      </c>
      <c r="W23" s="1489" t="s">
        <v>9258</v>
      </c>
      <c r="X23" s="1489" t="s">
        <v>9109</v>
      </c>
      <c r="Y23" s="1489" t="s">
        <v>9259</v>
      </c>
      <c r="Z23" s="1489" t="s">
        <v>9260</v>
      </c>
      <c r="AA23" s="1489" t="s">
        <v>9107</v>
      </c>
      <c r="AB23" s="1489" t="s">
        <v>9261</v>
      </c>
      <c r="AC23" s="1393" t="s">
        <v>4980</v>
      </c>
      <c r="AD23" s="1489" t="s">
        <v>9262</v>
      </c>
      <c r="AE23" s="1393" t="s">
        <v>5502</v>
      </c>
      <c r="AF23" s="1581" t="s">
        <v>8789</v>
      </c>
      <c r="AG23" s="1489" t="s">
        <v>609</v>
      </c>
      <c r="AH23" s="1489" t="s">
        <v>7125</v>
      </c>
      <c r="AI23" s="1489" t="s">
        <v>311</v>
      </c>
      <c r="AJ23" s="1393" t="s">
        <v>9263</v>
      </c>
      <c r="AK23" s="1489" t="s">
        <v>9264</v>
      </c>
      <c r="AL23" s="1393" t="s">
        <v>3259</v>
      </c>
      <c r="AM23" s="1489" t="s">
        <v>1991</v>
      </c>
      <c r="AN23" s="1393" t="s">
        <v>2625</v>
      </c>
      <c r="AO23" s="1489" t="s">
        <v>3514</v>
      </c>
      <c r="AP23" s="1489" t="s">
        <v>9265</v>
      </c>
      <c r="AQ23" s="1393" t="s">
        <v>9266</v>
      </c>
      <c r="AR23" s="1489" t="s">
        <v>1671</v>
      </c>
      <c r="AS23" s="1393" t="s">
        <v>9140</v>
      </c>
      <c r="AT23" s="1489" t="s">
        <v>9267</v>
      </c>
      <c r="AU23" s="1489" t="s">
        <v>9268</v>
      </c>
      <c r="AV23" s="1393" t="str">
        <f t="shared" si="1"/>
        <v>1:53</v>
      </c>
      <c r="AW23" s="1562"/>
    </row>
    <row r="24" ht="15.75" customHeight="1">
      <c r="A24" s="1529" t="s">
        <v>2641</v>
      </c>
      <c r="B24" s="1517" t="s">
        <v>8801</v>
      </c>
      <c r="C24" s="1475">
        <v>0.05008101851851852</v>
      </c>
      <c r="D24" s="773" t="s">
        <v>9269</v>
      </c>
      <c r="E24" s="773" t="s">
        <v>9270</v>
      </c>
      <c r="F24" s="773" t="s">
        <v>9180</v>
      </c>
      <c r="G24" s="773" t="s">
        <v>9271</v>
      </c>
      <c r="H24" s="773" t="s">
        <v>9272</v>
      </c>
      <c r="I24" s="773" t="s">
        <v>9273</v>
      </c>
      <c r="J24" s="1535" t="s">
        <v>1353</v>
      </c>
      <c r="K24" s="773" t="s">
        <v>1094</v>
      </c>
      <c r="L24" s="773" t="s">
        <v>9274</v>
      </c>
      <c r="M24" s="1537" t="s">
        <v>9127</v>
      </c>
      <c r="N24" s="1535" t="s">
        <v>2497</v>
      </c>
      <c r="O24" s="773" t="s">
        <v>9275</v>
      </c>
      <c r="P24" s="1535" t="s">
        <v>5502</v>
      </c>
      <c r="Q24" s="1535" t="s">
        <v>5841</v>
      </c>
      <c r="R24" s="773" t="s">
        <v>7452</v>
      </c>
      <c r="S24" s="1535" t="s">
        <v>337</v>
      </c>
      <c r="T24" s="1535" t="s">
        <v>8811</v>
      </c>
      <c r="U24" s="773" t="s">
        <v>9276</v>
      </c>
      <c r="V24" s="1535" t="s">
        <v>8812</v>
      </c>
      <c r="W24" s="773" t="s">
        <v>7421</v>
      </c>
      <c r="X24" s="773" t="s">
        <v>5862</v>
      </c>
      <c r="Y24" s="773" t="s">
        <v>5133</v>
      </c>
      <c r="Z24" s="773" t="s">
        <v>1132</v>
      </c>
      <c r="AA24" s="773" t="s">
        <v>9277</v>
      </c>
      <c r="AB24" s="773" t="s">
        <v>2515</v>
      </c>
      <c r="AC24" s="773" t="s">
        <v>1834</v>
      </c>
      <c r="AD24" s="773" t="s">
        <v>6285</v>
      </c>
      <c r="AE24" s="773" t="s">
        <v>3305</v>
      </c>
      <c r="AF24" s="773" t="s">
        <v>8819</v>
      </c>
      <c r="AG24" s="773" t="s">
        <v>9278</v>
      </c>
      <c r="AH24" s="773" t="s">
        <v>5019</v>
      </c>
      <c r="AI24" s="773" t="s">
        <v>3414</v>
      </c>
      <c r="AJ24" s="773" t="s">
        <v>9279</v>
      </c>
      <c r="AK24" s="773" t="s">
        <v>9280</v>
      </c>
      <c r="AL24" s="773" t="s">
        <v>9281</v>
      </c>
      <c r="AM24" s="773" t="s">
        <v>9282</v>
      </c>
      <c r="AN24" s="773" t="s">
        <v>4407</v>
      </c>
      <c r="AO24" s="773" t="s">
        <v>7573</v>
      </c>
      <c r="AP24" s="773" t="s">
        <v>9283</v>
      </c>
      <c r="AQ24" s="773" t="s">
        <v>9284</v>
      </c>
      <c r="AR24" s="773" t="s">
        <v>9285</v>
      </c>
      <c r="AS24" s="773" t="s">
        <v>4660</v>
      </c>
      <c r="AT24" s="773" t="s">
        <v>2743</v>
      </c>
      <c r="AU24" s="1556" t="s">
        <v>8825</v>
      </c>
      <c r="AV24" s="1393" t="str">
        <f t="shared" si="1"/>
        <v>2:51</v>
      </c>
      <c r="AW24" s="1582"/>
    </row>
    <row r="25">
      <c r="A25" s="1529" t="s">
        <v>6631</v>
      </c>
      <c r="B25" s="1527" t="s">
        <v>8801</v>
      </c>
      <c r="C25" s="1475">
        <v>0.05016203703703704</v>
      </c>
      <c r="D25" s="1506" t="s">
        <v>9286</v>
      </c>
      <c r="E25" s="1583" t="s">
        <v>7394</v>
      </c>
      <c r="F25" s="1506" t="s">
        <v>9287</v>
      </c>
      <c r="G25" s="1506" t="s">
        <v>9288</v>
      </c>
      <c r="H25" s="1506" t="s">
        <v>9289</v>
      </c>
      <c r="I25" s="1506" t="s">
        <v>5347</v>
      </c>
      <c r="J25" s="1506" t="s">
        <v>9290</v>
      </c>
      <c r="K25" s="1506" t="s">
        <v>9291</v>
      </c>
      <c r="L25" s="773" t="s">
        <v>5128</v>
      </c>
      <c r="M25" s="1535" t="s">
        <v>8808</v>
      </c>
      <c r="N25" s="1506" t="s">
        <v>9292</v>
      </c>
      <c r="O25" s="1506" t="s">
        <v>9293</v>
      </c>
      <c r="P25" s="1506" t="s">
        <v>5913</v>
      </c>
      <c r="Q25" s="1506" t="s">
        <v>2709</v>
      </c>
      <c r="R25" s="1506" t="s">
        <v>972</v>
      </c>
      <c r="S25" s="1506" t="s">
        <v>9294</v>
      </c>
      <c r="T25" s="1506" t="s">
        <v>1394</v>
      </c>
      <c r="U25" s="1506" t="s">
        <v>9295</v>
      </c>
      <c r="V25" s="1506" t="s">
        <v>9296</v>
      </c>
      <c r="W25" s="1506" t="s">
        <v>9297</v>
      </c>
      <c r="X25" s="1506" t="s">
        <v>1303</v>
      </c>
      <c r="Y25" s="1506" t="s">
        <v>1095</v>
      </c>
      <c r="Z25" s="1506" t="s">
        <v>9203</v>
      </c>
      <c r="AA25" s="1506" t="s">
        <v>9298</v>
      </c>
      <c r="AB25" s="1506" t="s">
        <v>9299</v>
      </c>
      <c r="AC25" s="1506" t="s">
        <v>4792</v>
      </c>
      <c r="AD25" s="1506" t="s">
        <v>9300</v>
      </c>
      <c r="AE25" s="1506" t="s">
        <v>9301</v>
      </c>
      <c r="AF25" s="1506" t="s">
        <v>5769</v>
      </c>
      <c r="AG25" s="1506" t="s">
        <v>9302</v>
      </c>
      <c r="AH25" s="1506" t="s">
        <v>4275</v>
      </c>
      <c r="AI25" s="1489" t="s">
        <v>4153</v>
      </c>
      <c r="AJ25" s="1506" t="s">
        <v>9303</v>
      </c>
      <c r="AK25" s="1506" t="s">
        <v>9304</v>
      </c>
      <c r="AL25" s="1506" t="s">
        <v>2510</v>
      </c>
      <c r="AM25" s="1506" t="s">
        <v>4064</v>
      </c>
      <c r="AN25" s="1506" t="s">
        <v>6050</v>
      </c>
      <c r="AO25" s="1506" t="s">
        <v>9305</v>
      </c>
      <c r="AP25" s="1506" t="s">
        <v>9306</v>
      </c>
      <c r="AQ25" s="1506" t="s">
        <v>4049</v>
      </c>
      <c r="AR25" s="1506" t="s">
        <v>2757</v>
      </c>
      <c r="AS25" s="1506" t="s">
        <v>756</v>
      </c>
      <c r="AT25" s="1506" t="s">
        <v>9307</v>
      </c>
      <c r="AU25" s="1489" t="s">
        <v>9308</v>
      </c>
      <c r="AV25" s="1393" t="str">
        <f t="shared" si="1"/>
        <v>3:20</v>
      </c>
      <c r="AW25" s="756"/>
    </row>
    <row r="26" ht="15.75" customHeight="1">
      <c r="A26" s="1486" t="s">
        <v>1417</v>
      </c>
      <c r="B26" s="1474" t="s">
        <v>8774</v>
      </c>
      <c r="C26" s="1475">
        <v>0.05025462962962963</v>
      </c>
      <c r="D26" s="773" t="s">
        <v>9309</v>
      </c>
      <c r="E26" s="1553" t="s">
        <v>9310</v>
      </c>
      <c r="F26" s="1566" t="s">
        <v>9311</v>
      </c>
      <c r="G26" s="1481" t="s">
        <v>9312</v>
      </c>
      <c r="H26" s="1161" t="s">
        <v>9313</v>
      </c>
      <c r="I26" s="1161" t="s">
        <v>1047</v>
      </c>
      <c r="J26" s="1537" t="s">
        <v>8941</v>
      </c>
      <c r="K26" s="1567" t="s">
        <v>7254</v>
      </c>
      <c r="L26" s="1567" t="s">
        <v>5177</v>
      </c>
      <c r="M26" s="1584" t="str">
        <f>HYPERLINK("https://youtu.be/teAIifUZjFw","1:14.18")</f>
        <v>1:14.18</v>
      </c>
      <c r="N26" s="1567" t="s">
        <v>3768</v>
      </c>
      <c r="O26" s="1567" t="s">
        <v>9314</v>
      </c>
      <c r="P26" s="1567" t="s">
        <v>2096</v>
      </c>
      <c r="Q26" s="1568" t="s">
        <v>9315</v>
      </c>
      <c r="R26" s="1540" t="s">
        <v>9316</v>
      </c>
      <c r="S26" s="1540" t="s">
        <v>5460</v>
      </c>
      <c r="T26" s="1585" t="str">
        <f>HYPERLINK("https://youtu.be/AiXricVH5ss","1:24.99")</f>
        <v>1:24.99</v>
      </c>
      <c r="U26" s="1586" t="str">
        <f>HYPERLINK("https://www.twitch.tv/videos/450151935","2:00.31")</f>
        <v>2:00.31</v>
      </c>
      <c r="V26" s="1540" t="s">
        <v>9061</v>
      </c>
      <c r="W26" s="1587" t="str">
        <f>HYPERLINK("https://youtu.be/eafNhBoXVWA","1:46.09")</f>
        <v>1:46.09</v>
      </c>
      <c r="X26" s="1569" t="s">
        <v>4469</v>
      </c>
      <c r="Y26" s="1569" t="s">
        <v>9032</v>
      </c>
      <c r="Z26" s="1569" t="s">
        <v>9317</v>
      </c>
      <c r="AA26" s="1555" t="s">
        <v>8995</v>
      </c>
      <c r="AB26" s="1569" t="s">
        <v>7256</v>
      </c>
      <c r="AC26" s="1569" t="s">
        <v>7880</v>
      </c>
      <c r="AD26" s="1588" t="str">
        <f>HYPERLINK("https://youtu.be/8FEcTKESSh0","1:49.80")</f>
        <v>1:49.80</v>
      </c>
      <c r="AE26" s="1553" t="s">
        <v>6580</v>
      </c>
      <c r="AF26" s="1570" t="s">
        <v>9318</v>
      </c>
      <c r="AG26" s="1570" t="s">
        <v>9319</v>
      </c>
      <c r="AH26" s="1570" t="s">
        <v>9320</v>
      </c>
      <c r="AI26" s="1570" t="s">
        <v>4065</v>
      </c>
      <c r="AJ26" s="1570" t="s">
        <v>9321</v>
      </c>
      <c r="AK26" s="1556" t="s">
        <v>9199</v>
      </c>
      <c r="AL26" s="1570" t="s">
        <v>9322</v>
      </c>
      <c r="AM26" s="1558" t="s">
        <v>9166</v>
      </c>
      <c r="AN26" s="1558" t="s">
        <v>8566</v>
      </c>
      <c r="AO26" s="1558" t="s">
        <v>9285</v>
      </c>
      <c r="AP26" s="1557" t="s">
        <v>9323</v>
      </c>
      <c r="AQ26" s="1557" t="s">
        <v>9324</v>
      </c>
      <c r="AR26" s="1558" t="s">
        <v>9325</v>
      </c>
      <c r="AS26" s="1557" t="s">
        <v>5562</v>
      </c>
      <c r="AT26" s="1584" t="str">
        <f>HYPERLINK("https://youtu.be/xDirVtS1AZ4?t=4416","2:27.45")</f>
        <v>2:27.45</v>
      </c>
      <c r="AU26" s="1571" t="s">
        <v>9326</v>
      </c>
      <c r="AV26" s="1393" t="str">
        <f t="shared" si="1"/>
        <v>2:34</v>
      </c>
      <c r="AW26" s="1526" t="s">
        <v>9327</v>
      </c>
    </row>
    <row r="27">
      <c r="A27" s="1529" t="s">
        <v>6618</v>
      </c>
      <c r="B27" s="1527" t="s">
        <v>8774</v>
      </c>
      <c r="C27" s="1475">
        <v>0.0502662037037037</v>
      </c>
      <c r="D27" s="773" t="s">
        <v>9328</v>
      </c>
      <c r="E27" s="1489" t="s">
        <v>8984</v>
      </c>
      <c r="F27" s="1489" t="s">
        <v>9329</v>
      </c>
      <c r="G27" s="1489" t="s">
        <v>9330</v>
      </c>
      <c r="H27" s="1489" t="s">
        <v>9331</v>
      </c>
      <c r="I27" s="773" t="s">
        <v>265</v>
      </c>
      <c r="J27" s="773" t="s">
        <v>6153</v>
      </c>
      <c r="K27" s="1489" t="s">
        <v>9252</v>
      </c>
      <c r="L27" s="1489" t="s">
        <v>3573</v>
      </c>
      <c r="M27" s="773" t="s">
        <v>2691</v>
      </c>
      <c r="N27" s="1489" t="s">
        <v>9332</v>
      </c>
      <c r="O27" s="1489" t="s">
        <v>9333</v>
      </c>
      <c r="P27" s="773" t="s">
        <v>9334</v>
      </c>
      <c r="Q27" s="1489" t="s">
        <v>9335</v>
      </c>
      <c r="R27" s="773" t="s">
        <v>9336</v>
      </c>
      <c r="S27" s="1489" t="s">
        <v>9337</v>
      </c>
      <c r="T27" s="773" t="s">
        <v>9338</v>
      </c>
      <c r="U27" s="1489" t="s">
        <v>1032</v>
      </c>
      <c r="V27" s="773" t="s">
        <v>5036</v>
      </c>
      <c r="W27" s="773" t="s">
        <v>7423</v>
      </c>
      <c r="X27" s="773" t="s">
        <v>6960</v>
      </c>
      <c r="Y27" s="773" t="s">
        <v>884</v>
      </c>
      <c r="Z27" s="773" t="s">
        <v>9339</v>
      </c>
      <c r="AA27" s="1489" t="s">
        <v>9340</v>
      </c>
      <c r="AB27" s="773" t="s">
        <v>7879</v>
      </c>
      <c r="AC27" s="1489" t="s">
        <v>9273</v>
      </c>
      <c r="AD27" s="773" t="s">
        <v>6311</v>
      </c>
      <c r="AE27" s="1489" t="s">
        <v>8904</v>
      </c>
      <c r="AF27" s="1489" t="s">
        <v>9341</v>
      </c>
      <c r="AG27" s="773" t="s">
        <v>2053</v>
      </c>
      <c r="AH27" s="773" t="s">
        <v>2632</v>
      </c>
      <c r="AI27" s="1489" t="s">
        <v>9342</v>
      </c>
      <c r="AJ27" s="773" t="s">
        <v>9343</v>
      </c>
      <c r="AK27" s="773" t="s">
        <v>8878</v>
      </c>
      <c r="AL27" s="773" t="s">
        <v>4608</v>
      </c>
      <c r="AM27" s="773" t="s">
        <v>9344</v>
      </c>
      <c r="AN27" s="773" t="s">
        <v>4608</v>
      </c>
      <c r="AO27" s="773" t="s">
        <v>1846</v>
      </c>
      <c r="AP27" s="1489" t="s">
        <v>9345</v>
      </c>
      <c r="AQ27" s="773" t="s">
        <v>2228</v>
      </c>
      <c r="AR27" s="1489" t="s">
        <v>8681</v>
      </c>
      <c r="AS27" s="773" t="s">
        <v>1905</v>
      </c>
      <c r="AT27" s="1489" t="s">
        <v>9346</v>
      </c>
      <c r="AU27" s="1489" t="s">
        <v>9347</v>
      </c>
      <c r="AV27" s="1393" t="str">
        <f t="shared" si="1"/>
        <v>2:28</v>
      </c>
      <c r="AW27" s="1528" t="s">
        <v>9348</v>
      </c>
    </row>
    <row r="28">
      <c r="A28" s="1529" t="s">
        <v>9349</v>
      </c>
      <c r="B28" s="1589" t="s">
        <v>8774</v>
      </c>
      <c r="C28" s="1475">
        <v>0.0503125</v>
      </c>
      <c r="D28" s="773" t="s">
        <v>9350</v>
      </c>
      <c r="E28" s="1553" t="s">
        <v>9351</v>
      </c>
      <c r="F28" s="1553" t="s">
        <v>9352</v>
      </c>
      <c r="G28" s="1553" t="s">
        <v>8369</v>
      </c>
      <c r="H28" s="1096" t="s">
        <v>9353</v>
      </c>
      <c r="I28" s="1096" t="s">
        <v>7224</v>
      </c>
      <c r="J28" s="1537" t="s">
        <v>1842</v>
      </c>
      <c r="K28" s="1537" t="s">
        <v>6070</v>
      </c>
      <c r="L28" s="1537" t="s">
        <v>3544</v>
      </c>
      <c r="M28" s="1537" t="s">
        <v>8894</v>
      </c>
      <c r="N28" s="1537" t="s">
        <v>7771</v>
      </c>
      <c r="O28" s="1537" t="s">
        <v>4141</v>
      </c>
      <c r="P28" s="1537" t="s">
        <v>4749</v>
      </c>
      <c r="Q28" s="1540" t="s">
        <v>9354</v>
      </c>
      <c r="R28" s="1540" t="s">
        <v>9355</v>
      </c>
      <c r="S28" s="1540" t="s">
        <v>551</v>
      </c>
      <c r="T28" s="1540" t="s">
        <v>9356</v>
      </c>
      <c r="U28" s="1540" t="s">
        <v>9357</v>
      </c>
      <c r="V28" s="1540" t="s">
        <v>9358</v>
      </c>
      <c r="W28" s="1555" t="s">
        <v>9359</v>
      </c>
      <c r="X28" s="1555" t="s">
        <v>4469</v>
      </c>
      <c r="Y28" s="1555" t="s">
        <v>1552</v>
      </c>
      <c r="Z28" s="1555" t="s">
        <v>2402</v>
      </c>
      <c r="AA28" s="1555" t="s">
        <v>9360</v>
      </c>
      <c r="AB28" s="1555" t="s">
        <v>3797</v>
      </c>
      <c r="AC28" s="1555" t="s">
        <v>9361</v>
      </c>
      <c r="AD28" s="1553" t="s">
        <v>9362</v>
      </c>
      <c r="AE28" s="1553" t="s">
        <v>5938</v>
      </c>
      <c r="AF28" s="1556" t="s">
        <v>9363</v>
      </c>
      <c r="AG28" s="1556" t="s">
        <v>8077</v>
      </c>
      <c r="AH28" s="1556" t="s">
        <v>9364</v>
      </c>
      <c r="AI28" s="1556" t="s">
        <v>5148</v>
      </c>
      <c r="AJ28" s="1556" t="s">
        <v>9365</v>
      </c>
      <c r="AK28" s="1556" t="s">
        <v>9366</v>
      </c>
      <c r="AL28" s="1556" t="s">
        <v>9367</v>
      </c>
      <c r="AM28" s="1558" t="s">
        <v>9082</v>
      </c>
      <c r="AN28" s="1558" t="s">
        <v>9368</v>
      </c>
      <c r="AO28" s="1558" t="s">
        <v>3207</v>
      </c>
      <c r="AP28" s="1558" t="s">
        <v>9369</v>
      </c>
      <c r="AQ28" s="1558" t="s">
        <v>9370</v>
      </c>
      <c r="AR28" s="1558" t="s">
        <v>3011</v>
      </c>
      <c r="AS28" s="1558" t="s">
        <v>304</v>
      </c>
      <c r="AT28" s="1537" t="s">
        <v>9371</v>
      </c>
      <c r="AU28" s="1519" t="s">
        <v>9372</v>
      </c>
      <c r="AV28" s="1393" t="str">
        <f t="shared" si="1"/>
        <v>2:59</v>
      </c>
      <c r="AW28" s="1520" t="s">
        <v>9373</v>
      </c>
    </row>
    <row r="29">
      <c r="A29" s="1590" t="s">
        <v>2901</v>
      </c>
      <c r="B29" s="1517" t="s">
        <v>8801</v>
      </c>
      <c r="C29" s="1591">
        <v>0.050373842592592595</v>
      </c>
      <c r="D29" s="773" t="s">
        <v>9374</v>
      </c>
      <c r="E29" s="1553" t="s">
        <v>7760</v>
      </c>
      <c r="F29" s="1553" t="s">
        <v>1149</v>
      </c>
      <c r="G29" s="1553" t="s">
        <v>9375</v>
      </c>
      <c r="H29" s="773" t="s">
        <v>1658</v>
      </c>
      <c r="I29" s="1096" t="s">
        <v>1352</v>
      </c>
      <c r="J29" s="1537" t="s">
        <v>9376</v>
      </c>
      <c r="K29" s="1537" t="s">
        <v>9377</v>
      </c>
      <c r="L29" s="1537" t="s">
        <v>9378</v>
      </c>
      <c r="M29" s="1537" t="s">
        <v>9379</v>
      </c>
      <c r="N29" s="1537" t="s">
        <v>3644</v>
      </c>
      <c r="O29" s="1537" t="s">
        <v>9275</v>
      </c>
      <c r="P29" s="1537" t="s">
        <v>1863</v>
      </c>
      <c r="Q29" s="1540" t="s">
        <v>6258</v>
      </c>
      <c r="R29" s="1540" t="s">
        <v>2673</v>
      </c>
      <c r="S29" s="1540" t="s">
        <v>2644</v>
      </c>
      <c r="T29" s="1592" t="s">
        <v>9380</v>
      </c>
      <c r="U29" s="1592" t="s">
        <v>8009</v>
      </c>
      <c r="V29" s="1592" t="s">
        <v>7518</v>
      </c>
      <c r="W29" s="816" t="s">
        <v>9381</v>
      </c>
      <c r="X29" s="1555" t="s">
        <v>1188</v>
      </c>
      <c r="Y29" s="1555" t="s">
        <v>8303</v>
      </c>
      <c r="Z29" s="1555" t="s">
        <v>1594</v>
      </c>
      <c r="AA29" s="1489" t="s">
        <v>9382</v>
      </c>
      <c r="AB29" s="1555" t="s">
        <v>9383</v>
      </c>
      <c r="AC29" s="1555" t="s">
        <v>1834</v>
      </c>
      <c r="AD29" s="1553" t="s">
        <v>9384</v>
      </c>
      <c r="AE29" s="1553" t="s">
        <v>9385</v>
      </c>
      <c r="AF29" s="1556" t="s">
        <v>9386</v>
      </c>
      <c r="AG29" s="1556" t="s">
        <v>2922</v>
      </c>
      <c r="AH29" s="913" t="s">
        <v>9387</v>
      </c>
      <c r="AI29" s="1556" t="s">
        <v>509</v>
      </c>
      <c r="AJ29" s="1556" t="s">
        <v>9388</v>
      </c>
      <c r="AK29" s="1556" t="s">
        <v>9389</v>
      </c>
      <c r="AL29" s="1556" t="s">
        <v>4556</v>
      </c>
      <c r="AM29" s="1558" t="s">
        <v>9390</v>
      </c>
      <c r="AN29" s="1558" t="s">
        <v>4135</v>
      </c>
      <c r="AO29" s="1558" t="s">
        <v>9391</v>
      </c>
      <c r="AP29" s="1558" t="s">
        <v>9392</v>
      </c>
      <c r="AQ29" s="1558" t="s">
        <v>9284</v>
      </c>
      <c r="AR29" s="1558" t="s">
        <v>3011</v>
      </c>
      <c r="AS29" s="1558" t="s">
        <v>1143</v>
      </c>
      <c r="AT29" s="1537" t="s">
        <v>2664</v>
      </c>
      <c r="AU29" s="1593" t="s">
        <v>9393</v>
      </c>
      <c r="AV29" s="1594" t="str">
        <f t="shared" si="1"/>
        <v>2:15</v>
      </c>
      <c r="AW29" s="1595"/>
    </row>
    <row r="30" ht="15.75" customHeight="1">
      <c r="A30" s="1473" t="s">
        <v>9394</v>
      </c>
      <c r="B30" s="1563" t="s">
        <v>8801</v>
      </c>
      <c r="C30" s="1475">
        <v>0.05042824074074074</v>
      </c>
      <c r="D30" s="773" t="s">
        <v>9120</v>
      </c>
      <c r="E30" s="1553" t="s">
        <v>6344</v>
      </c>
      <c r="F30" s="1553" t="s">
        <v>9395</v>
      </c>
      <c r="G30" s="1566" t="s">
        <v>9396</v>
      </c>
      <c r="H30" s="1161" t="s">
        <v>9397</v>
      </c>
      <c r="I30" s="1096" t="s">
        <v>3357</v>
      </c>
      <c r="J30" s="1537" t="s">
        <v>4856</v>
      </c>
      <c r="K30" s="1537" t="s">
        <v>9291</v>
      </c>
      <c r="L30" s="1537" t="s">
        <v>2472</v>
      </c>
      <c r="M30" s="1537" t="s">
        <v>2041</v>
      </c>
      <c r="N30" s="1537" t="s">
        <v>4184</v>
      </c>
      <c r="O30" s="1537" t="s">
        <v>9398</v>
      </c>
      <c r="P30" s="1567" t="s">
        <v>761</v>
      </c>
      <c r="Q30" s="1540" t="s">
        <v>9399</v>
      </c>
      <c r="R30" s="1540" t="s">
        <v>3429</v>
      </c>
      <c r="S30" s="1540" t="s">
        <v>7839</v>
      </c>
      <c r="T30" s="1568" t="s">
        <v>9017</v>
      </c>
      <c r="U30" s="1540" t="s">
        <v>8945</v>
      </c>
      <c r="V30" s="1568" t="s">
        <v>5003</v>
      </c>
      <c r="W30" s="1569" t="s">
        <v>7606</v>
      </c>
      <c r="X30" s="1555" t="s">
        <v>2604</v>
      </c>
      <c r="Y30" s="1569" t="s">
        <v>9400</v>
      </c>
      <c r="Z30" s="1555" t="s">
        <v>9401</v>
      </c>
      <c r="AA30" s="1569" t="s">
        <v>9402</v>
      </c>
      <c r="AB30" s="773" t="s">
        <v>7682</v>
      </c>
      <c r="AC30" s="1569" t="s">
        <v>3683</v>
      </c>
      <c r="AD30" s="1545" t="s">
        <v>8815</v>
      </c>
      <c r="AE30" s="1553" t="s">
        <v>3305</v>
      </c>
      <c r="AF30" s="1556" t="s">
        <v>9403</v>
      </c>
      <c r="AG30" s="1570" t="s">
        <v>3988</v>
      </c>
      <c r="AH30" s="1570" t="s">
        <v>6135</v>
      </c>
      <c r="AI30" s="1393" t="s">
        <v>9340</v>
      </c>
      <c r="AJ30" s="1570" t="s">
        <v>9404</v>
      </c>
      <c r="AK30" s="1596" t="s">
        <v>8820</v>
      </c>
      <c r="AL30" s="1570" t="s">
        <v>3688</v>
      </c>
      <c r="AM30" s="1558" t="s">
        <v>9405</v>
      </c>
      <c r="AN30" s="1558" t="s">
        <v>5115</v>
      </c>
      <c r="AO30" s="1558" t="s">
        <v>2078</v>
      </c>
      <c r="AP30" s="1558" t="s">
        <v>9406</v>
      </c>
      <c r="AQ30" s="1557" t="s">
        <v>9407</v>
      </c>
      <c r="AR30" s="1557" t="s">
        <v>3733</v>
      </c>
      <c r="AS30" s="1557" t="s">
        <v>5214</v>
      </c>
      <c r="AT30" s="1537" t="s">
        <v>9408</v>
      </c>
      <c r="AU30" s="1519" t="s">
        <v>9409</v>
      </c>
      <c r="AV30" s="1393" t="str">
        <f t="shared" si="1"/>
        <v>2:55</v>
      </c>
      <c r="AW30" s="1595"/>
    </row>
    <row r="31" ht="15.75" customHeight="1">
      <c r="A31" s="1473" t="s">
        <v>4337</v>
      </c>
      <c r="B31" s="1474" t="s">
        <v>8774</v>
      </c>
      <c r="C31" s="1597">
        <v>0.05043981481481481</v>
      </c>
      <c r="D31" s="773" t="s">
        <v>9410</v>
      </c>
      <c r="E31" s="1393" t="s">
        <v>7578</v>
      </c>
      <c r="F31" s="1393" t="s">
        <v>1579</v>
      </c>
      <c r="G31" s="1393" t="s">
        <v>9411</v>
      </c>
      <c r="H31" s="1393" t="s">
        <v>9008</v>
      </c>
      <c r="I31" s="1393" t="s">
        <v>4713</v>
      </c>
      <c r="J31" s="1393" t="s">
        <v>4479</v>
      </c>
      <c r="K31" s="1393" t="s">
        <v>9238</v>
      </c>
      <c r="L31" s="1393" t="s">
        <v>3936</v>
      </c>
      <c r="M31" s="1393" t="s">
        <v>9412</v>
      </c>
      <c r="N31" s="1393" t="s">
        <v>8811</v>
      </c>
      <c r="O31" s="1393" t="s">
        <v>9413</v>
      </c>
      <c r="P31" s="1393" t="s">
        <v>5379</v>
      </c>
      <c r="Q31" s="1393" t="s">
        <v>9414</v>
      </c>
      <c r="R31" s="1393" t="s">
        <v>9415</v>
      </c>
      <c r="S31" s="1393" t="s">
        <v>9416</v>
      </c>
      <c r="T31" s="1393" t="s">
        <v>9417</v>
      </c>
      <c r="U31" s="1393" t="s">
        <v>9418</v>
      </c>
      <c r="V31" s="1393" t="s">
        <v>2285</v>
      </c>
      <c r="W31" s="1393" t="s">
        <v>9419</v>
      </c>
      <c r="X31" s="1393" t="s">
        <v>9420</v>
      </c>
      <c r="Y31" s="1393" t="s">
        <v>9259</v>
      </c>
      <c r="Z31" s="1393" t="s">
        <v>1132</v>
      </c>
      <c r="AA31" s="1393" t="s">
        <v>3414</v>
      </c>
      <c r="AB31" s="1393" t="s">
        <v>4856</v>
      </c>
      <c r="AC31" s="1393" t="s">
        <v>7880</v>
      </c>
      <c r="AD31" s="1393" t="s">
        <v>6285</v>
      </c>
      <c r="AE31" s="1393" t="s">
        <v>5531</v>
      </c>
      <c r="AF31" s="1393" t="s">
        <v>9421</v>
      </c>
      <c r="AG31" s="1393" t="s">
        <v>5928</v>
      </c>
      <c r="AH31" s="1393" t="s">
        <v>4093</v>
      </c>
      <c r="AI31" s="1393" t="s">
        <v>5148</v>
      </c>
      <c r="AJ31" s="1393" t="s">
        <v>9422</v>
      </c>
      <c r="AK31" s="1393" t="s">
        <v>9423</v>
      </c>
      <c r="AL31" s="1393" t="s">
        <v>6007</v>
      </c>
      <c r="AM31" s="1393" t="s">
        <v>1233</v>
      </c>
      <c r="AN31" s="1393" t="s">
        <v>4187</v>
      </c>
      <c r="AO31" s="1393" t="s">
        <v>9424</v>
      </c>
      <c r="AP31" s="1508" t="str">
        <f>HYPERLINK("https://www.twitch.tv/videos/511415405","2:00.79")</f>
        <v>2:00.79</v>
      </c>
      <c r="AQ31" s="1393" t="s">
        <v>3598</v>
      </c>
      <c r="AR31" s="1393" t="s">
        <v>7573</v>
      </c>
      <c r="AS31" s="1393" t="s">
        <v>9425</v>
      </c>
      <c r="AT31" s="1393" t="s">
        <v>9426</v>
      </c>
      <c r="AU31" s="1393" t="s">
        <v>9427</v>
      </c>
      <c r="AV31" s="1393" t="str">
        <f t="shared" si="1"/>
        <v>2:36</v>
      </c>
      <c r="AW31" s="1509" t="s">
        <v>6706</v>
      </c>
    </row>
    <row r="32">
      <c r="A32" s="1529" t="s">
        <v>1198</v>
      </c>
      <c r="B32" s="1517" t="s">
        <v>8774</v>
      </c>
      <c r="C32" s="1475">
        <v>0.050486111111111114</v>
      </c>
      <c r="D32" s="1553" t="s">
        <v>9428</v>
      </c>
      <c r="E32" s="1553" t="s">
        <v>4250</v>
      </c>
      <c r="F32" s="1553" t="s">
        <v>9429</v>
      </c>
      <c r="G32" s="1553" t="s">
        <v>9430</v>
      </c>
      <c r="H32" s="773" t="s">
        <v>9431</v>
      </c>
      <c r="I32" s="1096" t="s">
        <v>929</v>
      </c>
      <c r="J32" s="1537" t="s">
        <v>5891</v>
      </c>
      <c r="K32" s="1537" t="s">
        <v>8094</v>
      </c>
      <c r="L32" s="1537" t="s">
        <v>6532</v>
      </c>
      <c r="M32" s="1537" t="s">
        <v>5027</v>
      </c>
      <c r="N32" s="1537" t="s">
        <v>9432</v>
      </c>
      <c r="O32" s="1537" t="s">
        <v>9433</v>
      </c>
      <c r="P32" s="1537" t="s">
        <v>9159</v>
      </c>
      <c r="Q32" s="1540" t="s">
        <v>171</v>
      </c>
      <c r="R32" s="1540" t="s">
        <v>4802</v>
      </c>
      <c r="S32" s="1540" t="s">
        <v>9304</v>
      </c>
      <c r="T32" s="1540" t="s">
        <v>9434</v>
      </c>
      <c r="U32" s="1540" t="s">
        <v>9435</v>
      </c>
      <c r="V32" s="1540" t="s">
        <v>9436</v>
      </c>
      <c r="W32" s="1555" t="s">
        <v>9437</v>
      </c>
      <c r="X32" s="1555" t="s">
        <v>9438</v>
      </c>
      <c r="Y32" s="1555" t="s">
        <v>7187</v>
      </c>
      <c r="Z32" s="1555" t="s">
        <v>9439</v>
      </c>
      <c r="AA32" s="1489" t="s">
        <v>9440</v>
      </c>
      <c r="AB32" s="1555" t="s">
        <v>3396</v>
      </c>
      <c r="AC32" s="1555" t="s">
        <v>1047</v>
      </c>
      <c r="AD32" s="1553" t="s">
        <v>9441</v>
      </c>
      <c r="AE32" s="1553" t="s">
        <v>2224</v>
      </c>
      <c r="AF32" s="1556" t="s">
        <v>9442</v>
      </c>
      <c r="AG32" s="1556" t="s">
        <v>530</v>
      </c>
      <c r="AH32" s="1556" t="s">
        <v>9443</v>
      </c>
      <c r="AI32" s="1556" t="s">
        <v>2668</v>
      </c>
      <c r="AJ32" s="1556" t="s">
        <v>9444</v>
      </c>
      <c r="AK32" s="1556" t="s">
        <v>7657</v>
      </c>
      <c r="AL32" s="1556" t="s">
        <v>2854</v>
      </c>
      <c r="AM32" s="1558" t="s">
        <v>9445</v>
      </c>
      <c r="AN32" s="1558" t="s">
        <v>9274</v>
      </c>
      <c r="AO32" s="1558" t="s">
        <v>9446</v>
      </c>
      <c r="AP32" s="1558" t="s">
        <v>9447</v>
      </c>
      <c r="AQ32" s="1558" t="s">
        <v>9448</v>
      </c>
      <c r="AR32" s="1558" t="s">
        <v>1160</v>
      </c>
      <c r="AS32" s="1558" t="s">
        <v>1552</v>
      </c>
      <c r="AT32" s="1537" t="s">
        <v>9449</v>
      </c>
      <c r="AU32" s="1519" t="s">
        <v>9450</v>
      </c>
      <c r="AV32" s="1393" t="str">
        <f t="shared" si="1"/>
        <v>3:47</v>
      </c>
      <c r="AW32" s="1520"/>
    </row>
    <row r="33" ht="15.75" customHeight="1">
      <c r="A33" s="1529" t="s">
        <v>1635</v>
      </c>
      <c r="B33" s="1474" t="s">
        <v>8774</v>
      </c>
      <c r="C33" s="1475">
        <v>0.05049768518518519</v>
      </c>
      <c r="D33" s="773" t="s">
        <v>9451</v>
      </c>
      <c r="E33" s="1566" t="s">
        <v>9452</v>
      </c>
      <c r="F33" s="1588" t="str">
        <f>HYPERLINK("https://www.youtube.com/watch?v=rtR6KkKhM6I","1:59.91")</f>
        <v>1:59.91</v>
      </c>
      <c r="G33" s="1566" t="s">
        <v>9453</v>
      </c>
      <c r="H33" s="1598" t="str">
        <f>HYPERLINK("https://www.youtube.com/watch?v=cg-eipYsN1s","1:54.47")</f>
        <v>1:54.47</v>
      </c>
      <c r="I33" s="1161" t="s">
        <v>9400</v>
      </c>
      <c r="J33" s="1567" t="s">
        <v>6493</v>
      </c>
      <c r="K33" s="1537" t="s">
        <v>6655</v>
      </c>
      <c r="L33" s="1584" t="str">
        <f>HYPERLINK("https://www.youtube.com/watch?v=tJdjPKdAbw4","57.01")</f>
        <v>57.01</v>
      </c>
      <c r="M33" s="1567" t="s">
        <v>7485</v>
      </c>
      <c r="N33" s="1537" t="s">
        <v>2304</v>
      </c>
      <c r="O33" s="1567" t="s">
        <v>9454</v>
      </c>
      <c r="P33" s="1567" t="s">
        <v>282</v>
      </c>
      <c r="Q33" s="1568" t="s">
        <v>240</v>
      </c>
      <c r="R33" s="1568" t="s">
        <v>9455</v>
      </c>
      <c r="S33" s="1586" t="str">
        <f>HYPERLINK("https://www.youtube.com/watch?v=_3ms_ZhYFzo","1:18.01")</f>
        <v>1:18.01</v>
      </c>
      <c r="T33" s="1568" t="s">
        <v>9456</v>
      </c>
      <c r="U33" s="1586" t="str">
        <f>HYPERLINK("https://www.youtube.com/watch?v=ZOy_TI3Zw14","2:02.38")</f>
        <v>2:02.38</v>
      </c>
      <c r="V33" s="1568" t="s">
        <v>9436</v>
      </c>
      <c r="W33" s="1569" t="s">
        <v>3303</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9159</v>
      </c>
      <c r="AF33" s="1570" t="s">
        <v>9457</v>
      </c>
      <c r="AG33" s="1599" t="str">
        <f>HYPERLINK("https://www.youtube.com/watch?v=KXwTRrVVluY","1:30.62")</f>
        <v>1:30.62</v>
      </c>
      <c r="AH33" s="1570" t="s">
        <v>3048</v>
      </c>
      <c r="AI33" s="1570" t="s">
        <v>9319</v>
      </c>
      <c r="AJ33" s="1570" t="s">
        <v>9458</v>
      </c>
      <c r="AK33" s="1556" t="s">
        <v>9459</v>
      </c>
      <c r="AL33" s="1570" t="s">
        <v>9460</v>
      </c>
      <c r="AM33" s="1600" t="str">
        <f>HYPERLINK("https://www.youtube.com/watch?v=BAoEwuQ0LoI","1:25.68")</f>
        <v>1:25.68</v>
      </c>
      <c r="AN33" s="1600" t="str">
        <f>HYPERLINK("https://www.youtube.com/watch?v=F-LtZeEZXek","56.36")</f>
        <v>56.36</v>
      </c>
      <c r="AO33" s="1557" t="s">
        <v>9461</v>
      </c>
      <c r="AP33" s="1557" t="s">
        <v>9462</v>
      </c>
      <c r="AQ33" s="1557" t="s">
        <v>9463</v>
      </c>
      <c r="AR33" s="1600" t="str">
        <f>HYPERLINK("https://www.youtube.com/watch?v=WSIIkWWbKgE","1:21.74")</f>
        <v>1:21.74</v>
      </c>
      <c r="AS33" s="1557" t="s">
        <v>5553</v>
      </c>
      <c r="AT33" s="1584" t="str">
        <f>HYPERLINK("https://www.youtube.com/watch?v=H67SXBLcISI","2:29.09")</f>
        <v>2:29.09</v>
      </c>
      <c r="AU33" s="1571" t="s">
        <v>9464</v>
      </c>
      <c r="AV33" s="1393" t="str">
        <f t="shared" si="1"/>
        <v>2:03</v>
      </c>
      <c r="AW33" s="1601" t="s">
        <v>9465</v>
      </c>
    </row>
    <row r="34">
      <c r="A34" s="1529" t="s">
        <v>3090</v>
      </c>
      <c r="B34" s="1517" t="s">
        <v>8801</v>
      </c>
      <c r="C34" s="1475">
        <v>0.050520833333333334</v>
      </c>
      <c r="D34" s="1553" t="s">
        <v>9466</v>
      </c>
      <c r="E34" s="1576" t="s">
        <v>4594</v>
      </c>
      <c r="F34" s="1576" t="s">
        <v>8822</v>
      </c>
      <c r="G34" s="1553" t="s">
        <v>9467</v>
      </c>
      <c r="H34" s="1576" t="s">
        <v>9468</v>
      </c>
      <c r="I34" s="1576" t="s">
        <v>3114</v>
      </c>
      <c r="J34" s="1537" t="s">
        <v>9469</v>
      </c>
      <c r="K34" s="1602" t="s">
        <v>9470</v>
      </c>
      <c r="L34" s="1537" t="s">
        <v>9471</v>
      </c>
      <c r="M34" s="1481" t="s">
        <v>5788</v>
      </c>
      <c r="N34" s="1537" t="s">
        <v>888</v>
      </c>
      <c r="O34" s="1537" t="s">
        <v>9314</v>
      </c>
      <c r="P34" s="1537" t="s">
        <v>413</v>
      </c>
      <c r="Q34" s="759" t="str">
        <f>HYPERLINK("https://www.twitch.tv/planktonsecretformula/v/1588460220?sr=a", "2:12.43")</f>
        <v>2:12.43</v>
      </c>
      <c r="R34" s="1540" t="s">
        <v>9415</v>
      </c>
      <c r="S34" s="1540" t="s">
        <v>9472</v>
      </c>
      <c r="T34" s="1603" t="s">
        <v>9473</v>
      </c>
      <c r="U34" s="1576" t="s">
        <v>9474</v>
      </c>
      <c r="V34" s="1576" t="s">
        <v>9475</v>
      </c>
      <c r="W34" s="1564" t="s">
        <v>9476</v>
      </c>
      <c r="X34" s="1555" t="s">
        <v>859</v>
      </c>
      <c r="Y34" s="1555" t="s">
        <v>6852</v>
      </c>
      <c r="Z34" s="1555" t="s">
        <v>8942</v>
      </c>
      <c r="AA34" s="1489" t="s">
        <v>9477</v>
      </c>
      <c r="AB34" s="1555" t="s">
        <v>4137</v>
      </c>
      <c r="AC34" s="1555" t="s">
        <v>944</v>
      </c>
      <c r="AD34" s="1553" t="s">
        <v>3916</v>
      </c>
      <c r="AE34" s="1553" t="s">
        <v>5913</v>
      </c>
      <c r="AF34" s="1556" t="s">
        <v>9478</v>
      </c>
      <c r="AG34" s="1576" t="s">
        <v>4630</v>
      </c>
      <c r="AH34" s="1556" t="s">
        <v>9479</v>
      </c>
      <c r="AI34" s="1556" t="s">
        <v>6955</v>
      </c>
      <c r="AJ34" s="1556" t="s">
        <v>9480</v>
      </c>
      <c r="AK34" s="1556" t="s">
        <v>9481</v>
      </c>
      <c r="AL34" s="1556" t="s">
        <v>9482</v>
      </c>
      <c r="AM34" s="1558" t="s">
        <v>9017</v>
      </c>
      <c r="AN34" s="1558" t="s">
        <v>9162</v>
      </c>
      <c r="AO34" s="1558" t="s">
        <v>3011</v>
      </c>
      <c r="AP34" s="1558" t="s">
        <v>9483</v>
      </c>
      <c r="AQ34" s="759" t="str">
        <f>HYPERLINK("https://www.twitch.tv/planktonsecretformula/v/1678454360?sr=a&amp;t=0s", "1:37.46")</f>
        <v>1:37.46</v>
      </c>
      <c r="AR34" s="1558" t="s">
        <v>9484</v>
      </c>
      <c r="AS34" s="1558" t="s">
        <v>719</v>
      </c>
      <c r="AT34" s="1537" t="s">
        <v>9485</v>
      </c>
      <c r="AU34" s="1519" t="s">
        <v>9486</v>
      </c>
      <c r="AV34" s="1393" t="str">
        <f t="shared" si="1"/>
        <v>4:40</v>
      </c>
      <c r="AW34" s="1520" t="s">
        <v>9487</v>
      </c>
    </row>
    <row r="35" ht="15.75" customHeight="1">
      <c r="A35" s="1580" t="s">
        <v>9488</v>
      </c>
      <c r="B35" s="1474" t="s">
        <v>8774</v>
      </c>
      <c r="C35" s="1475">
        <v>0.050555555555555555</v>
      </c>
      <c r="D35" s="773" t="s">
        <v>9489</v>
      </c>
      <c r="E35" s="1553" t="s">
        <v>9490</v>
      </c>
      <c r="F35" s="1553" t="s">
        <v>9491</v>
      </c>
      <c r="G35" s="1553" t="s">
        <v>9492</v>
      </c>
      <c r="H35" s="1096" t="s">
        <v>9493</v>
      </c>
      <c r="I35" s="1096" t="s">
        <v>9494</v>
      </c>
      <c r="J35" s="1537" t="s">
        <v>9495</v>
      </c>
      <c r="K35" s="1537" t="s">
        <v>9496</v>
      </c>
      <c r="L35" s="1537" t="s">
        <v>9497</v>
      </c>
      <c r="M35" s="1537" t="s">
        <v>3201</v>
      </c>
      <c r="N35" s="1537" t="s">
        <v>9498</v>
      </c>
      <c r="O35" s="1537" t="s">
        <v>9398</v>
      </c>
      <c r="P35" s="1537" t="s">
        <v>4886</v>
      </c>
      <c r="Q35" s="1540" t="s">
        <v>9499</v>
      </c>
      <c r="R35" s="1540" t="s">
        <v>2673</v>
      </c>
      <c r="S35" s="1540" t="s">
        <v>9500</v>
      </c>
      <c r="T35" s="1540" t="s">
        <v>9390</v>
      </c>
      <c r="U35" s="1540" t="s">
        <v>9501</v>
      </c>
      <c r="V35" s="1540" t="s">
        <v>9061</v>
      </c>
      <c r="W35" s="1555" t="s">
        <v>9502</v>
      </c>
      <c r="X35" s="1555" t="s">
        <v>9503</v>
      </c>
      <c r="Y35" s="1555" t="s">
        <v>9504</v>
      </c>
      <c r="Z35" s="1555" t="s">
        <v>1385</v>
      </c>
      <c r="AA35" s="1555" t="s">
        <v>9505</v>
      </c>
      <c r="AB35" s="1555" t="s">
        <v>6654</v>
      </c>
      <c r="AC35" s="1569" t="s">
        <v>2174</v>
      </c>
      <c r="AD35" s="1553" t="s">
        <v>9506</v>
      </c>
      <c r="AE35" s="1553" t="s">
        <v>9159</v>
      </c>
      <c r="AF35" s="1556" t="s">
        <v>9507</v>
      </c>
      <c r="AG35" s="1556" t="s">
        <v>9508</v>
      </c>
      <c r="AH35" s="1556" t="s">
        <v>5613</v>
      </c>
      <c r="AI35" s="1556" t="s">
        <v>9509</v>
      </c>
      <c r="AJ35" s="1556" t="s">
        <v>9510</v>
      </c>
      <c r="AK35" s="1556" t="s">
        <v>4469</v>
      </c>
      <c r="AL35" s="1556" t="s">
        <v>5717</v>
      </c>
      <c r="AM35" s="1558" t="s">
        <v>2065</v>
      </c>
      <c r="AN35" s="1558" t="s">
        <v>4615</v>
      </c>
      <c r="AO35" s="1558" t="s">
        <v>9511</v>
      </c>
      <c r="AP35" s="1558" t="s">
        <v>9512</v>
      </c>
      <c r="AQ35" s="1558" t="s">
        <v>9513</v>
      </c>
      <c r="AR35" s="1558" t="s">
        <v>9176</v>
      </c>
      <c r="AS35" s="1558" t="s">
        <v>884</v>
      </c>
      <c r="AT35" s="1537" t="s">
        <v>9514</v>
      </c>
      <c r="AU35" s="1519" t="s">
        <v>9515</v>
      </c>
      <c r="AV35" s="1393" t="str">
        <f t="shared" si="1"/>
        <v>2:07</v>
      </c>
      <c r="AW35" s="1595"/>
    </row>
    <row r="36">
      <c r="A36" s="1529" t="s">
        <v>646</v>
      </c>
      <c r="B36" s="1517" t="s">
        <v>8774</v>
      </c>
      <c r="C36" s="1475">
        <v>0.050555555555555555</v>
      </c>
      <c r="D36" s="773" t="s">
        <v>9516</v>
      </c>
      <c r="E36" s="773" t="s">
        <v>9517</v>
      </c>
      <c r="F36" s="773" t="s">
        <v>9518</v>
      </c>
      <c r="G36" s="773" t="s">
        <v>9519</v>
      </c>
      <c r="H36" s="773" t="s">
        <v>9520</v>
      </c>
      <c r="I36" s="773" t="s">
        <v>2552</v>
      </c>
      <c r="J36" s="773" t="s">
        <v>1304</v>
      </c>
      <c r="K36" s="773" t="s">
        <v>9521</v>
      </c>
      <c r="L36" s="773" t="s">
        <v>4244</v>
      </c>
      <c r="M36" s="773" t="s">
        <v>4164</v>
      </c>
      <c r="N36" s="773" t="s">
        <v>9522</v>
      </c>
      <c r="O36" s="773" t="s">
        <v>9523</v>
      </c>
      <c r="P36" s="773" t="s">
        <v>9385</v>
      </c>
      <c r="Q36" s="773" t="s">
        <v>9524</v>
      </c>
      <c r="R36" s="773" t="s">
        <v>2079</v>
      </c>
      <c r="S36" s="773" t="s">
        <v>9525</v>
      </c>
      <c r="T36" s="773" t="s">
        <v>9366</v>
      </c>
      <c r="U36" s="773" t="s">
        <v>9526</v>
      </c>
      <c r="V36" s="773" t="s">
        <v>9527</v>
      </c>
      <c r="W36" s="773" t="s">
        <v>4722</v>
      </c>
      <c r="X36" s="773" t="s">
        <v>9528</v>
      </c>
      <c r="Y36" s="773" t="s">
        <v>5133</v>
      </c>
      <c r="Z36" s="773" t="s">
        <v>9529</v>
      </c>
      <c r="AA36" s="773" t="s">
        <v>9530</v>
      </c>
      <c r="AB36" s="773" t="s">
        <v>9531</v>
      </c>
      <c r="AC36" s="773" t="s">
        <v>7880</v>
      </c>
      <c r="AD36" s="773" t="s">
        <v>9532</v>
      </c>
      <c r="AE36" s="773" t="s">
        <v>8993</v>
      </c>
      <c r="AF36" s="773" t="s">
        <v>9533</v>
      </c>
      <c r="AG36" s="773" t="s">
        <v>5129</v>
      </c>
      <c r="AH36" s="773" t="s">
        <v>4439</v>
      </c>
      <c r="AI36" s="773" t="s">
        <v>9534</v>
      </c>
      <c r="AJ36" s="773" t="s">
        <v>9535</v>
      </c>
      <c r="AK36" s="773" t="s">
        <v>1762</v>
      </c>
      <c r="AL36" s="773" t="s">
        <v>9536</v>
      </c>
      <c r="AM36" s="773" t="s">
        <v>4034</v>
      </c>
      <c r="AN36" s="773" t="s">
        <v>4071</v>
      </c>
      <c r="AO36" s="773" t="s">
        <v>6348</v>
      </c>
      <c r="AP36" s="773" t="s">
        <v>9537</v>
      </c>
      <c r="AQ36" s="773" t="s">
        <v>9538</v>
      </c>
      <c r="AR36" s="773" t="s">
        <v>9086</v>
      </c>
      <c r="AS36" s="773" t="s">
        <v>840</v>
      </c>
      <c r="AT36" s="773" t="s">
        <v>9539</v>
      </c>
      <c r="AU36" s="1519" t="s">
        <v>9427</v>
      </c>
      <c r="AV36" s="1393" t="str">
        <f t="shared" si="1"/>
        <v>2:26</v>
      </c>
      <c r="AW36" s="1520" t="s">
        <v>9540</v>
      </c>
    </row>
    <row r="37" ht="15.75" customHeight="1">
      <c r="A37" s="1473" t="s">
        <v>741</v>
      </c>
      <c r="B37" s="1563" t="s">
        <v>8801</v>
      </c>
      <c r="C37" s="1475">
        <v>0.05056712962962963</v>
      </c>
      <c r="D37" s="1535" t="s">
        <v>8802</v>
      </c>
      <c r="E37" s="1566" t="s">
        <v>9310</v>
      </c>
      <c r="F37" s="1583" t="s">
        <v>8803</v>
      </c>
      <c r="G37" s="1489" t="s">
        <v>9541</v>
      </c>
      <c r="H37" s="1489" t="s">
        <v>9542</v>
      </c>
      <c r="I37" s="1583" t="s">
        <v>8806</v>
      </c>
      <c r="J37" s="1489" t="s">
        <v>1106</v>
      </c>
      <c r="K37" s="1489" t="s">
        <v>4901</v>
      </c>
      <c r="L37" s="1489" t="s">
        <v>2291</v>
      </c>
      <c r="M37" s="1489" t="s">
        <v>2244</v>
      </c>
      <c r="N37" s="1489" t="s">
        <v>9264</v>
      </c>
      <c r="O37" s="1489" t="s">
        <v>9543</v>
      </c>
      <c r="P37" s="1489" t="s">
        <v>4008</v>
      </c>
      <c r="Q37" s="1489" t="s">
        <v>9544</v>
      </c>
      <c r="R37" s="1489" t="s">
        <v>3111</v>
      </c>
      <c r="S37" s="1489" t="s">
        <v>8909</v>
      </c>
      <c r="T37" s="1489" t="s">
        <v>2359</v>
      </c>
      <c r="U37" s="1489" t="s">
        <v>9029</v>
      </c>
      <c r="V37" s="1489" t="s">
        <v>2848</v>
      </c>
      <c r="W37" s="1489" t="s">
        <v>9545</v>
      </c>
      <c r="X37" s="1489" t="s">
        <v>9546</v>
      </c>
      <c r="Y37" s="1489" t="s">
        <v>864</v>
      </c>
      <c r="Z37" s="1489" t="s">
        <v>9182</v>
      </c>
      <c r="AA37" s="1489" t="s">
        <v>7657</v>
      </c>
      <c r="AB37" s="1489" t="s">
        <v>6148</v>
      </c>
      <c r="AC37" s="1393" t="s">
        <v>538</v>
      </c>
      <c r="AD37" s="1489" t="s">
        <v>9547</v>
      </c>
      <c r="AE37" s="1489" t="s">
        <v>9301</v>
      </c>
      <c r="AF37" s="1489" t="s">
        <v>9548</v>
      </c>
      <c r="AG37" s="1489" t="s">
        <v>9366</v>
      </c>
      <c r="AH37" s="1489" t="s">
        <v>2956</v>
      </c>
      <c r="AI37" s="1489" t="s">
        <v>9549</v>
      </c>
      <c r="AJ37" s="1489" t="s">
        <v>3218</v>
      </c>
      <c r="AK37" s="1489" t="s">
        <v>5279</v>
      </c>
      <c r="AL37" s="1489" t="s">
        <v>4187</v>
      </c>
      <c r="AM37" s="1489" t="s">
        <v>3313</v>
      </c>
      <c r="AN37" s="1489" t="s">
        <v>345</v>
      </c>
      <c r="AO37" s="1489" t="s">
        <v>9550</v>
      </c>
      <c r="AP37" s="1489" t="s">
        <v>9551</v>
      </c>
      <c r="AQ37" s="1489" t="s">
        <v>7590</v>
      </c>
      <c r="AR37" s="1489" t="s">
        <v>2658</v>
      </c>
      <c r="AS37" s="1489" t="s">
        <v>4085</v>
      </c>
      <c r="AT37" s="1489" t="s">
        <v>5578</v>
      </c>
      <c r="AU37" s="1489" t="s">
        <v>9211</v>
      </c>
      <c r="AV37" s="1393" t="str">
        <f t="shared" si="1"/>
        <v>3:34</v>
      </c>
      <c r="AW37" s="1528" t="s">
        <v>9552</v>
      </c>
    </row>
    <row r="38" ht="15.75" customHeight="1">
      <c r="A38" s="1529" t="s">
        <v>646</v>
      </c>
      <c r="B38" s="1563" t="s">
        <v>8801</v>
      </c>
      <c r="C38" s="1597">
        <v>0.05056712962962963</v>
      </c>
      <c r="D38" s="773" t="s">
        <v>9553</v>
      </c>
      <c r="E38" s="1393" t="s">
        <v>9554</v>
      </c>
      <c r="F38" s="1393" t="s">
        <v>9241</v>
      </c>
      <c r="G38" s="1393" t="s">
        <v>9555</v>
      </c>
      <c r="H38" s="1393" t="s">
        <v>4442</v>
      </c>
      <c r="I38" s="1393" t="s">
        <v>1183</v>
      </c>
      <c r="J38" s="1489" t="s">
        <v>3501</v>
      </c>
      <c r="K38" s="1489" t="s">
        <v>3501</v>
      </c>
      <c r="L38" s="1393" t="s">
        <v>9556</v>
      </c>
      <c r="M38" s="1393" t="s">
        <v>9557</v>
      </c>
      <c r="N38" s="1393" t="s">
        <v>9187</v>
      </c>
      <c r="O38" s="1583" t="s">
        <v>8809</v>
      </c>
      <c r="P38" s="1393" t="s">
        <v>7221</v>
      </c>
      <c r="Q38" s="1393" t="s">
        <v>787</v>
      </c>
      <c r="R38" s="1489" t="s">
        <v>3501</v>
      </c>
      <c r="S38" s="1393" t="s">
        <v>9558</v>
      </c>
      <c r="T38" s="1393" t="s">
        <v>156</v>
      </c>
      <c r="U38" s="1393" t="s">
        <v>9559</v>
      </c>
      <c r="V38" s="1393" t="s">
        <v>9560</v>
      </c>
      <c r="W38" s="1393" t="s">
        <v>9561</v>
      </c>
      <c r="X38" s="1393" t="s">
        <v>9360</v>
      </c>
      <c r="Y38" s="1393" t="s">
        <v>9361</v>
      </c>
      <c r="Z38" s="1393" t="s">
        <v>151</v>
      </c>
      <c r="AA38" s="1393" t="s">
        <v>9562</v>
      </c>
      <c r="AB38" s="1393" t="s">
        <v>9047</v>
      </c>
      <c r="AC38" s="1393" t="s">
        <v>4472</v>
      </c>
      <c r="AD38" s="1393" t="s">
        <v>2323</v>
      </c>
      <c r="AE38" s="1393" t="s">
        <v>9504</v>
      </c>
      <c r="AF38" s="1393" t="s">
        <v>9563</v>
      </c>
      <c r="AG38" s="1393" t="s">
        <v>9564</v>
      </c>
      <c r="AH38" s="1393" t="s">
        <v>4459</v>
      </c>
      <c r="AI38" s="1393" t="s">
        <v>3794</v>
      </c>
      <c r="AJ38" s="1393" t="s">
        <v>9565</v>
      </c>
      <c r="AK38" s="1393" t="s">
        <v>1163</v>
      </c>
      <c r="AL38" s="1393" t="s">
        <v>9364</v>
      </c>
      <c r="AM38" s="1393" t="s">
        <v>875</v>
      </c>
      <c r="AN38" s="1489" t="s">
        <v>9378</v>
      </c>
      <c r="AO38" s="1489" t="s">
        <v>3501</v>
      </c>
      <c r="AP38" s="1393" t="s">
        <v>5400</v>
      </c>
      <c r="AQ38" s="1393" t="s">
        <v>254</v>
      </c>
      <c r="AR38" s="1393" t="s">
        <v>9566</v>
      </c>
      <c r="AS38" s="1393" t="s">
        <v>9567</v>
      </c>
      <c r="AT38" s="1393" t="s">
        <v>9568</v>
      </c>
      <c r="AU38" s="1489" t="s">
        <v>9569</v>
      </c>
      <c r="AV38" s="1393" t="str">
        <f t="shared" si="1"/>
        <v>3:07</v>
      </c>
      <c r="AW38" s="1562" t="s">
        <v>9570</v>
      </c>
    </row>
    <row r="39" ht="15.75" customHeight="1">
      <c r="A39" s="1473" t="s">
        <v>4240</v>
      </c>
      <c r="B39" s="1474" t="s">
        <v>8774</v>
      </c>
      <c r="C39" s="1597">
        <v>0.05060185185185185</v>
      </c>
      <c r="D39" s="773" t="s">
        <v>9571</v>
      </c>
      <c r="E39" s="1566" t="s">
        <v>3289</v>
      </c>
      <c r="F39" s="1566" t="s">
        <v>6088</v>
      </c>
      <c r="G39" s="1566" t="s">
        <v>9572</v>
      </c>
      <c r="H39" s="1161" t="s">
        <v>9573</v>
      </c>
      <c r="I39" s="1161" t="s">
        <v>4776</v>
      </c>
      <c r="J39" s="1567" t="s">
        <v>9009</v>
      </c>
      <c r="K39" s="1567" t="s">
        <v>8094</v>
      </c>
      <c r="L39" s="1567" t="s">
        <v>5532</v>
      </c>
      <c r="M39" s="1567" t="s">
        <v>9574</v>
      </c>
      <c r="N39" s="1567" t="s">
        <v>5318</v>
      </c>
      <c r="O39" s="1567" t="s">
        <v>9575</v>
      </c>
      <c r="P39" s="1567" t="s">
        <v>5938</v>
      </c>
      <c r="Q39" s="1568" t="s">
        <v>9576</v>
      </c>
      <c r="R39" s="1568" t="s">
        <v>5478</v>
      </c>
      <c r="S39" s="1568" t="s">
        <v>6654</v>
      </c>
      <c r="T39" s="1568" t="s">
        <v>9577</v>
      </c>
      <c r="U39" s="1568" t="s">
        <v>6221</v>
      </c>
      <c r="V39" s="1568" t="s">
        <v>3879</v>
      </c>
      <c r="W39" s="1569" t="s">
        <v>9578</v>
      </c>
      <c r="X39" s="1569" t="s">
        <v>8080</v>
      </c>
      <c r="Y39" s="1569" t="s">
        <v>5090</v>
      </c>
      <c r="Z39" s="1569" t="s">
        <v>1842</v>
      </c>
      <c r="AA39" s="1569" t="s">
        <v>9579</v>
      </c>
      <c r="AB39" s="1569" t="s">
        <v>9047</v>
      </c>
      <c r="AC39" s="1569" t="s">
        <v>5533</v>
      </c>
      <c r="AD39" s="1566" t="s">
        <v>6556</v>
      </c>
      <c r="AE39" s="1566" t="s">
        <v>6852</v>
      </c>
      <c r="AF39" s="1570" t="s">
        <v>9580</v>
      </c>
      <c r="AG39" s="1570" t="s">
        <v>9508</v>
      </c>
      <c r="AH39" s="1570" t="s">
        <v>7307</v>
      </c>
      <c r="AI39" s="1570" t="s">
        <v>5528</v>
      </c>
      <c r="AJ39" s="1570" t="s">
        <v>9581</v>
      </c>
      <c r="AK39" s="1570" t="s">
        <v>9582</v>
      </c>
      <c r="AL39" s="1570" t="s">
        <v>9583</v>
      </c>
      <c r="AM39" s="1557" t="s">
        <v>9584</v>
      </c>
      <c r="AN39" s="1557" t="s">
        <v>9585</v>
      </c>
      <c r="AO39" s="1557" t="s">
        <v>9586</v>
      </c>
      <c r="AP39" s="1557" t="s">
        <v>9587</v>
      </c>
      <c r="AQ39" s="1557" t="s">
        <v>9448</v>
      </c>
      <c r="AR39" s="1557" t="s">
        <v>9588</v>
      </c>
      <c r="AS39" s="1557" t="s">
        <v>4384</v>
      </c>
      <c r="AT39" s="1567" t="s">
        <v>9589</v>
      </c>
      <c r="AU39" s="1571" t="s">
        <v>9590</v>
      </c>
      <c r="AV39" s="1393" t="str">
        <f t="shared" si="1"/>
        <v>1:56</v>
      </c>
      <c r="AW39" s="1595"/>
    </row>
    <row r="40" ht="15.75" customHeight="1">
      <c r="A40" s="1486" t="s">
        <v>901</v>
      </c>
      <c r="B40" s="1474" t="s">
        <v>8774</v>
      </c>
      <c r="C40" s="1475">
        <v>0.05061342592592592</v>
      </c>
      <c r="D40" s="773" t="s">
        <v>9591</v>
      </c>
      <c r="E40" s="1489" t="s">
        <v>8984</v>
      </c>
      <c r="F40" s="1489" t="s">
        <v>5438</v>
      </c>
      <c r="G40" s="1393" t="s">
        <v>9592</v>
      </c>
      <c r="H40" s="1489" t="s">
        <v>9593</v>
      </c>
      <c r="I40" s="1489" t="s">
        <v>389</v>
      </c>
      <c r="J40" s="1489" t="s">
        <v>6957</v>
      </c>
      <c r="K40" s="1393" t="s">
        <v>9238</v>
      </c>
      <c r="L40" s="1489" t="s">
        <v>9594</v>
      </c>
      <c r="M40" s="1489" t="s">
        <v>9595</v>
      </c>
      <c r="N40" s="1489" t="s">
        <v>4391</v>
      </c>
      <c r="O40" s="1489" t="s">
        <v>9596</v>
      </c>
      <c r="P40" s="1489" t="s">
        <v>1591</v>
      </c>
      <c r="Q40" s="1479" t="s">
        <v>9597</v>
      </c>
      <c r="R40" s="1489" t="s">
        <v>9598</v>
      </c>
      <c r="S40" s="1393" t="s">
        <v>9599</v>
      </c>
      <c r="T40" s="1489" t="s">
        <v>9344</v>
      </c>
      <c r="U40" s="1489" t="s">
        <v>7397</v>
      </c>
      <c r="V40" s="1489" t="s">
        <v>2477</v>
      </c>
      <c r="W40" s="1507" t="str">
        <f>HYPERLINK("https://www.youtube.com/watch?v=nn1ub1z3NYM","1:45.96")</f>
        <v>1:45.96</v>
      </c>
      <c r="X40" s="1489" t="s">
        <v>5715</v>
      </c>
      <c r="Y40" s="1393" t="s">
        <v>5514</v>
      </c>
      <c r="Z40" s="1489" t="s">
        <v>1505</v>
      </c>
      <c r="AA40" s="1489" t="s">
        <v>9600</v>
      </c>
      <c r="AB40" s="1489" t="s">
        <v>9601</v>
      </c>
      <c r="AC40" s="1489" t="s">
        <v>1047</v>
      </c>
      <c r="AD40" s="1489" t="s">
        <v>9602</v>
      </c>
      <c r="AE40" s="1479" t="s">
        <v>4613</v>
      </c>
      <c r="AF40" s="1393" t="s">
        <v>9603</v>
      </c>
      <c r="AG40" s="1489" t="s">
        <v>2077</v>
      </c>
      <c r="AH40" s="1489" t="s">
        <v>3048</v>
      </c>
      <c r="AI40" s="1489" t="s">
        <v>9604</v>
      </c>
      <c r="AJ40" s="1393" t="s">
        <v>8343</v>
      </c>
      <c r="AK40" s="1489" t="s">
        <v>9605</v>
      </c>
      <c r="AL40" s="1393" t="s">
        <v>4345</v>
      </c>
      <c r="AM40" s="1393" t="s">
        <v>9606</v>
      </c>
      <c r="AN40" s="1393" t="s">
        <v>2510</v>
      </c>
      <c r="AO40" s="1489" t="s">
        <v>3599</v>
      </c>
      <c r="AP40" s="1489" t="s">
        <v>9607</v>
      </c>
      <c r="AQ40" s="1489" t="s">
        <v>9608</v>
      </c>
      <c r="AR40" s="1489" t="s">
        <v>1304</v>
      </c>
      <c r="AS40" s="1489" t="s">
        <v>4745</v>
      </c>
      <c r="AT40" s="1489" t="s">
        <v>9609</v>
      </c>
      <c r="AU40" s="1489" t="s">
        <v>9610</v>
      </c>
      <c r="AV40" s="1393" t="str">
        <f t="shared" si="1"/>
        <v>2:25</v>
      </c>
      <c r="AW40" s="1528"/>
    </row>
    <row r="41">
      <c r="A41" s="1486" t="s">
        <v>9611</v>
      </c>
      <c r="B41" s="1527" t="s">
        <v>8774</v>
      </c>
      <c r="C41" s="1475">
        <v>0.050625</v>
      </c>
      <c r="D41" s="1604" t="s">
        <v>9612</v>
      </c>
      <c r="E41" s="1489" t="s">
        <v>4699</v>
      </c>
      <c r="F41" s="1489" t="s">
        <v>9613</v>
      </c>
      <c r="G41" s="1489" t="s">
        <v>9614</v>
      </c>
      <c r="H41" s="1489" t="s">
        <v>1658</v>
      </c>
      <c r="I41" s="1489" t="s">
        <v>1834</v>
      </c>
      <c r="J41" s="1489" t="s">
        <v>9615</v>
      </c>
      <c r="K41" s="1489" t="s">
        <v>3620</v>
      </c>
      <c r="L41" s="1489" t="s">
        <v>9616</v>
      </c>
      <c r="M41" s="1489" t="s">
        <v>9617</v>
      </c>
      <c r="N41" s="1489" t="s">
        <v>9618</v>
      </c>
      <c r="O41" s="1489" t="s">
        <v>9619</v>
      </c>
      <c r="P41" s="1489" t="s">
        <v>9504</v>
      </c>
      <c r="Q41" s="1489" t="s">
        <v>4634</v>
      </c>
      <c r="R41" s="1489" t="s">
        <v>4005</v>
      </c>
      <c r="S41" s="1489" t="s">
        <v>2644</v>
      </c>
      <c r="T41" s="1489" t="s">
        <v>2359</v>
      </c>
      <c r="U41" s="1489" t="s">
        <v>9620</v>
      </c>
      <c r="V41" s="1489" t="s">
        <v>2215</v>
      </c>
      <c r="W41" s="1489" t="s">
        <v>7788</v>
      </c>
      <c r="X41" s="1489" t="s">
        <v>9621</v>
      </c>
      <c r="Y41" s="1489" t="s">
        <v>9622</v>
      </c>
      <c r="Z41" s="1489" t="s">
        <v>9623</v>
      </c>
      <c r="AA41" s="1489" t="s">
        <v>9624</v>
      </c>
      <c r="AB41" s="1489"/>
      <c r="AC41" s="1489" t="s">
        <v>9625</v>
      </c>
      <c r="AD41" s="1489" t="s">
        <v>9626</v>
      </c>
      <c r="AE41" s="1489" t="s">
        <v>4961</v>
      </c>
      <c r="AF41" s="1489" t="s">
        <v>9627</v>
      </c>
      <c r="AG41" s="1489" t="s">
        <v>9628</v>
      </c>
      <c r="AH41" s="1489" t="s">
        <v>9629</v>
      </c>
      <c r="AI41" s="1489" t="s">
        <v>728</v>
      </c>
      <c r="AJ41" s="1489" t="s">
        <v>9630</v>
      </c>
      <c r="AK41" s="1489" t="s">
        <v>8785</v>
      </c>
      <c r="AL41" s="1489" t="s">
        <v>9631</v>
      </c>
      <c r="AM41" s="1489" t="s">
        <v>9632</v>
      </c>
      <c r="AN41" s="1489" t="s">
        <v>8851</v>
      </c>
      <c r="AO41" s="1489" t="s">
        <v>9633</v>
      </c>
      <c r="AP41" s="1489" t="s">
        <v>9634</v>
      </c>
      <c r="AQ41" s="1489" t="s">
        <v>9635</v>
      </c>
      <c r="AR41" s="1489" t="s">
        <v>6659</v>
      </c>
      <c r="AS41" s="1489" t="s">
        <v>5849</v>
      </c>
      <c r="AT41" s="1489" t="s">
        <v>8445</v>
      </c>
      <c r="AU41" s="1489" t="s">
        <v>9636</v>
      </c>
      <c r="AV41" s="1393" t="str">
        <f t="shared" si="1"/>
        <v>2:05</v>
      </c>
      <c r="AW41" s="1562"/>
    </row>
    <row r="42">
      <c r="A42" s="1486" t="s">
        <v>9637</v>
      </c>
      <c r="B42" s="1517" t="s">
        <v>8774</v>
      </c>
      <c r="C42" s="1475">
        <v>0.0506712962962963</v>
      </c>
      <c r="D42" s="1604" t="s">
        <v>9638</v>
      </c>
      <c r="E42" s="1553" t="s">
        <v>3289</v>
      </c>
      <c r="F42" s="1553" t="s">
        <v>9131</v>
      </c>
      <c r="G42" s="1553" t="s">
        <v>9639</v>
      </c>
      <c r="H42" s="1096" t="s">
        <v>9640</v>
      </c>
      <c r="I42" s="1096" t="s">
        <v>9641</v>
      </c>
      <c r="J42" s="1537" t="s">
        <v>9642</v>
      </c>
      <c r="K42" s="1537" t="s">
        <v>7262</v>
      </c>
      <c r="L42" s="1537" t="s">
        <v>4307</v>
      </c>
      <c r="M42" s="1537" t="s">
        <v>7263</v>
      </c>
      <c r="N42" s="1537" t="s">
        <v>9643</v>
      </c>
      <c r="O42" s="1537" t="s">
        <v>2248</v>
      </c>
      <c r="P42" s="1537" t="s">
        <v>7224</v>
      </c>
      <c r="Q42" s="1540" t="s">
        <v>7998</v>
      </c>
      <c r="R42" s="1540" t="s">
        <v>9644</v>
      </c>
      <c r="S42" s="1540" t="s">
        <v>9645</v>
      </c>
      <c r="T42" s="1540" t="s">
        <v>9646</v>
      </c>
      <c r="U42" s="1540" t="s">
        <v>9647</v>
      </c>
      <c r="V42" s="1540" t="s">
        <v>9648</v>
      </c>
      <c r="W42" s="1555" t="s">
        <v>9649</v>
      </c>
      <c r="X42" s="1555" t="s">
        <v>9650</v>
      </c>
      <c r="Y42" s="1555" t="s">
        <v>6276</v>
      </c>
      <c r="Z42" s="1555" t="s">
        <v>9651</v>
      </c>
      <c r="AA42" s="1489" t="s">
        <v>1767</v>
      </c>
      <c r="AB42" s="1555" t="s">
        <v>9376</v>
      </c>
      <c r="AC42" s="1555" t="s">
        <v>7880</v>
      </c>
      <c r="AD42" s="1553" t="s">
        <v>9652</v>
      </c>
      <c r="AE42" s="1553" t="s">
        <v>538</v>
      </c>
      <c r="AF42" s="1556" t="s">
        <v>9653</v>
      </c>
      <c r="AG42" s="1556" t="s">
        <v>3988</v>
      </c>
      <c r="AH42" s="1556" t="s">
        <v>5217</v>
      </c>
      <c r="AI42" s="1556" t="s">
        <v>9654</v>
      </c>
      <c r="AJ42" s="1556" t="s">
        <v>9655</v>
      </c>
      <c r="AK42" s="1556" t="s">
        <v>402</v>
      </c>
      <c r="AL42" s="1556" t="s">
        <v>2616</v>
      </c>
      <c r="AM42" s="1558" t="s">
        <v>9132</v>
      </c>
      <c r="AN42" s="1558" t="s">
        <v>9367</v>
      </c>
      <c r="AO42" s="1558" t="s">
        <v>9305</v>
      </c>
      <c r="AP42" s="1558" t="s">
        <v>9656</v>
      </c>
      <c r="AQ42" s="1558" t="s">
        <v>9657</v>
      </c>
      <c r="AR42" s="1558" t="s">
        <v>4910</v>
      </c>
      <c r="AS42" s="1558" t="s">
        <v>9658</v>
      </c>
      <c r="AT42" s="1537" t="s">
        <v>9659</v>
      </c>
      <c r="AU42" s="1519" t="s">
        <v>9450</v>
      </c>
      <c r="AV42" s="1393" t="str">
        <f t="shared" si="1"/>
        <v>3:31</v>
      </c>
      <c r="AW42" s="1595"/>
    </row>
    <row r="43" ht="15.75" customHeight="1">
      <c r="A43" s="1580" t="s">
        <v>9660</v>
      </c>
      <c r="B43" s="1474" t="s">
        <v>8774</v>
      </c>
      <c r="C43" s="1475">
        <v>0.05070601851851852</v>
      </c>
      <c r="D43" s="773" t="s">
        <v>9661</v>
      </c>
      <c r="E43" s="1566" t="s">
        <v>3193</v>
      </c>
      <c r="F43" s="1566" t="s">
        <v>8975</v>
      </c>
      <c r="G43" s="1566" t="s">
        <v>9662</v>
      </c>
      <c r="H43" s="1161" t="s">
        <v>9663</v>
      </c>
      <c r="I43" s="1161" t="s">
        <v>389</v>
      </c>
      <c r="J43" s="1567" t="s">
        <v>2074</v>
      </c>
      <c r="K43" s="1567" t="s">
        <v>3445</v>
      </c>
      <c r="L43" s="1567" t="s">
        <v>5447</v>
      </c>
      <c r="M43" s="1567" t="s">
        <v>9664</v>
      </c>
      <c r="N43" s="1567" t="s">
        <v>9390</v>
      </c>
      <c r="O43" s="1567" t="s">
        <v>9665</v>
      </c>
      <c r="P43" s="1567" t="s">
        <v>5493</v>
      </c>
      <c r="Q43" s="1568" t="s">
        <v>9666</v>
      </c>
      <c r="R43" s="1568" t="s">
        <v>732</v>
      </c>
      <c r="S43" s="1568" t="s">
        <v>9633</v>
      </c>
      <c r="T43" s="1568" t="s">
        <v>9503</v>
      </c>
      <c r="U43" s="1568" t="s">
        <v>9667</v>
      </c>
      <c r="V43" s="1568" t="s">
        <v>2477</v>
      </c>
      <c r="W43" s="1569" t="s">
        <v>9668</v>
      </c>
      <c r="X43" s="1569" t="s">
        <v>6149</v>
      </c>
      <c r="Y43" s="1569" t="s">
        <v>8132</v>
      </c>
      <c r="Z43" s="1569" t="s">
        <v>8862</v>
      </c>
      <c r="AA43" s="1569" t="s">
        <v>9669</v>
      </c>
      <c r="AB43" s="1569" t="s">
        <v>2635</v>
      </c>
      <c r="AC43" s="1569" t="s">
        <v>3107</v>
      </c>
      <c r="AD43" s="1566" t="s">
        <v>9670</v>
      </c>
      <c r="AE43" s="1566" t="s">
        <v>6278</v>
      </c>
      <c r="AF43" s="1570" t="s">
        <v>8927</v>
      </c>
      <c r="AG43" s="1570" t="s">
        <v>9671</v>
      </c>
      <c r="AH43" s="1570" t="s">
        <v>2257</v>
      </c>
      <c r="AI43" s="1570" t="s">
        <v>9672</v>
      </c>
      <c r="AJ43" s="1570" t="s">
        <v>9673</v>
      </c>
      <c r="AK43" s="1570" t="s">
        <v>9674</v>
      </c>
      <c r="AL43" s="1570" t="s">
        <v>5416</v>
      </c>
      <c r="AM43" s="1557" t="s">
        <v>9528</v>
      </c>
      <c r="AN43" s="1557" t="s">
        <v>5416</v>
      </c>
      <c r="AO43" s="1557" t="s">
        <v>2304</v>
      </c>
      <c r="AP43" s="1557" t="s">
        <v>9675</v>
      </c>
      <c r="AQ43" s="1557" t="s">
        <v>9676</v>
      </c>
      <c r="AR43" s="1557" t="s">
        <v>4682</v>
      </c>
      <c r="AS43" s="1557" t="s">
        <v>4387</v>
      </c>
      <c r="AT43" s="1567" t="s">
        <v>9677</v>
      </c>
      <c r="AU43" s="1571" t="s">
        <v>9678</v>
      </c>
      <c r="AV43" s="1393" t="str">
        <f t="shared" si="1"/>
        <v>2:54</v>
      </c>
      <c r="AW43" s="1595"/>
    </row>
    <row r="44">
      <c r="A44" s="1529" t="s">
        <v>2789</v>
      </c>
      <c r="B44" s="1527" t="s">
        <v>8774</v>
      </c>
      <c r="C44" s="1475">
        <v>0.050826388888888886</v>
      </c>
      <c r="D44" s="1489" t="s">
        <v>9679</v>
      </c>
      <c r="E44" s="1489" t="s">
        <v>7621</v>
      </c>
      <c r="F44" s="1553" t="s">
        <v>9680</v>
      </c>
      <c r="G44" s="1489" t="s">
        <v>9681</v>
      </c>
      <c r="H44" s="1489" t="s">
        <v>6542</v>
      </c>
      <c r="I44" s="1489" t="s">
        <v>1294</v>
      </c>
      <c r="J44" s="1489" t="s">
        <v>9682</v>
      </c>
      <c r="K44" s="1489" t="s">
        <v>3962</v>
      </c>
      <c r="L44" s="1489" t="s">
        <v>5926</v>
      </c>
      <c r="M44" s="1489" t="s">
        <v>9683</v>
      </c>
      <c r="N44" s="1489" t="s">
        <v>7513</v>
      </c>
      <c r="O44" s="1489" t="s">
        <v>9684</v>
      </c>
      <c r="P44" s="1489" t="s">
        <v>9244</v>
      </c>
      <c r="Q44" s="1489" t="s">
        <v>9685</v>
      </c>
      <c r="R44" s="1489" t="s">
        <v>9686</v>
      </c>
      <c r="S44" s="1489" t="s">
        <v>9687</v>
      </c>
      <c r="T44" s="1489" t="s">
        <v>1795</v>
      </c>
      <c r="U44" s="1489" t="s">
        <v>9688</v>
      </c>
      <c r="V44" s="1489" t="s">
        <v>7309</v>
      </c>
      <c r="W44" s="1489" t="s">
        <v>5477</v>
      </c>
      <c r="X44" s="1489" t="s">
        <v>9689</v>
      </c>
      <c r="Y44" s="1489" t="s">
        <v>7215</v>
      </c>
      <c r="Z44" s="1489" t="s">
        <v>9690</v>
      </c>
      <c r="AA44" s="1555" t="s">
        <v>9691</v>
      </c>
      <c r="AB44" s="1489" t="s">
        <v>1842</v>
      </c>
      <c r="AC44" s="1489" t="s">
        <v>7880</v>
      </c>
      <c r="AD44" s="1489" t="s">
        <v>9692</v>
      </c>
      <c r="AE44" s="1489" t="s">
        <v>4961</v>
      </c>
      <c r="AF44" s="1489" t="s">
        <v>9693</v>
      </c>
      <c r="AG44" s="1489" t="s">
        <v>1177</v>
      </c>
      <c r="AH44" s="1489" t="s">
        <v>3953</v>
      </c>
      <c r="AI44" s="1489" t="s">
        <v>9694</v>
      </c>
      <c r="AJ44" s="1489" t="s">
        <v>9695</v>
      </c>
      <c r="AK44" s="1489" t="s">
        <v>9605</v>
      </c>
      <c r="AL44" s="1489" t="s">
        <v>4350</v>
      </c>
      <c r="AM44" s="1489" t="s">
        <v>9605</v>
      </c>
      <c r="AN44" s="1489" t="s">
        <v>8851</v>
      </c>
      <c r="AO44" s="1489" t="s">
        <v>7573</v>
      </c>
      <c r="AP44" s="1489" t="s">
        <v>9696</v>
      </c>
      <c r="AQ44" s="1489" t="s">
        <v>9697</v>
      </c>
      <c r="AR44" s="1489" t="s">
        <v>5155</v>
      </c>
      <c r="AS44" s="1489" t="s">
        <v>6117</v>
      </c>
      <c r="AT44" s="1489" t="s">
        <v>9698</v>
      </c>
      <c r="AU44" s="1489" t="s">
        <v>9699</v>
      </c>
      <c r="AV44" s="1393" t="str">
        <f t="shared" si="1"/>
        <v>2:25</v>
      </c>
      <c r="AW44" s="1562"/>
    </row>
    <row r="45" ht="15.75" customHeight="1">
      <c r="A45" s="1529" t="s">
        <v>4635</v>
      </c>
      <c r="B45" s="1474" t="s">
        <v>8774</v>
      </c>
      <c r="C45" s="1597">
        <v>0.050868055555555555</v>
      </c>
      <c r="D45" s="773" t="s">
        <v>9700</v>
      </c>
      <c r="E45" s="1393" t="s">
        <v>7831</v>
      </c>
      <c r="F45" s="1393" t="s">
        <v>9701</v>
      </c>
      <c r="G45" s="1393" t="s">
        <v>9702</v>
      </c>
      <c r="H45" s="1393" t="s">
        <v>9542</v>
      </c>
      <c r="I45" s="1393" t="s">
        <v>1294</v>
      </c>
      <c r="J45" s="1393" t="s">
        <v>4910</v>
      </c>
      <c r="K45" s="1393" t="s">
        <v>9252</v>
      </c>
      <c r="L45" s="1393" t="s">
        <v>9134</v>
      </c>
      <c r="M45" s="1393" t="s">
        <v>5377</v>
      </c>
      <c r="N45" s="1393" t="s">
        <v>8302</v>
      </c>
      <c r="O45" s="1393" t="s">
        <v>9703</v>
      </c>
      <c r="P45" s="1393" t="s">
        <v>4274</v>
      </c>
      <c r="Q45" s="1393" t="s">
        <v>9704</v>
      </c>
      <c r="R45" s="1393" t="s">
        <v>7530</v>
      </c>
      <c r="S45" s="1393" t="s">
        <v>9089</v>
      </c>
      <c r="T45" s="1393" t="s">
        <v>4602</v>
      </c>
      <c r="U45" s="1393" t="s">
        <v>9705</v>
      </c>
      <c r="V45" s="1393" t="s">
        <v>9296</v>
      </c>
      <c r="W45" s="1393" t="s">
        <v>9706</v>
      </c>
      <c r="X45" s="1393" t="s">
        <v>9302</v>
      </c>
      <c r="Y45" s="1393" t="s">
        <v>3627</v>
      </c>
      <c r="Z45" s="1393" t="s">
        <v>9707</v>
      </c>
      <c r="AA45" s="1393" t="s">
        <v>9708</v>
      </c>
      <c r="AB45" s="1393" t="s">
        <v>195</v>
      </c>
      <c r="AC45" s="1393" t="s">
        <v>3010</v>
      </c>
      <c r="AD45" s="1393" t="s">
        <v>9709</v>
      </c>
      <c r="AE45" s="1393" t="s">
        <v>620</v>
      </c>
      <c r="AF45" s="1393" t="s">
        <v>9710</v>
      </c>
      <c r="AG45" s="1393" t="s">
        <v>6015</v>
      </c>
      <c r="AH45" s="1393" t="s">
        <v>9711</v>
      </c>
      <c r="AI45" s="1393" t="s">
        <v>7678</v>
      </c>
      <c r="AJ45" s="1393" t="s">
        <v>9712</v>
      </c>
      <c r="AK45" s="1393" t="s">
        <v>5405</v>
      </c>
      <c r="AL45" s="1393" t="s">
        <v>9713</v>
      </c>
      <c r="AM45" s="1393" t="s">
        <v>9714</v>
      </c>
      <c r="AN45" s="1393" t="s">
        <v>3333</v>
      </c>
      <c r="AO45" s="1393" t="s">
        <v>9238</v>
      </c>
      <c r="AP45" s="1393" t="s">
        <v>9715</v>
      </c>
      <c r="AQ45" s="1393" t="s">
        <v>9716</v>
      </c>
      <c r="AR45" s="1393" t="s">
        <v>9125</v>
      </c>
      <c r="AS45" s="1393" t="s">
        <v>5118</v>
      </c>
      <c r="AT45" s="1393" t="s">
        <v>9717</v>
      </c>
      <c r="AU45" s="1393" t="s">
        <v>9718</v>
      </c>
      <c r="AV45" s="1393" t="str">
        <f t="shared" si="1"/>
        <v>2:44</v>
      </c>
      <c r="AW45" s="1509"/>
    </row>
    <row r="46" ht="15.75" customHeight="1">
      <c r="A46" s="1529" t="s">
        <v>1810</v>
      </c>
      <c r="B46" s="1605" t="s">
        <v>8827</v>
      </c>
      <c r="C46" s="1606">
        <v>0.05092592592592592</v>
      </c>
      <c r="D46" s="1607" t="s">
        <v>8828</v>
      </c>
      <c r="E46" s="1608" t="s">
        <v>8829</v>
      </c>
      <c r="F46" s="1607" t="s">
        <v>8830</v>
      </c>
      <c r="G46" s="1489" t="s">
        <v>9719</v>
      </c>
      <c r="H46" s="1607" t="s">
        <v>8832</v>
      </c>
      <c r="I46" s="1393" t="s">
        <v>1412</v>
      </c>
      <c r="J46" s="1566" t="s">
        <v>9720</v>
      </c>
      <c r="K46" s="1393" t="s">
        <v>9390</v>
      </c>
      <c r="L46" s="1566" t="s">
        <v>2329</v>
      </c>
      <c r="M46" s="1393" t="s">
        <v>2673</v>
      </c>
      <c r="N46" s="1607" t="s">
        <v>8793</v>
      </c>
      <c r="O46" s="1393" t="s">
        <v>9721</v>
      </c>
      <c r="P46" s="1566" t="s">
        <v>638</v>
      </c>
      <c r="Q46" s="1608" t="s">
        <v>8837</v>
      </c>
      <c r="R46" s="1607" t="s">
        <v>8838</v>
      </c>
      <c r="S46" s="1393" t="s">
        <v>1163</v>
      </c>
      <c r="T46" s="1566" t="s">
        <v>7918</v>
      </c>
      <c r="U46" s="1608" t="s">
        <v>8840</v>
      </c>
      <c r="V46" s="1607" t="s">
        <v>4269</v>
      </c>
      <c r="W46" s="1393" t="s">
        <v>9722</v>
      </c>
      <c r="X46" s="1607" t="s">
        <v>8842</v>
      </c>
      <c r="Y46" s="1393" t="s">
        <v>5646</v>
      </c>
      <c r="Z46" s="1553" t="s">
        <v>9723</v>
      </c>
      <c r="AA46" s="1393" t="s">
        <v>2306</v>
      </c>
      <c r="AB46" s="1566" t="s">
        <v>9724</v>
      </c>
      <c r="AC46" s="1489" t="s">
        <v>9725</v>
      </c>
      <c r="AD46" s="1566" t="s">
        <v>9726</v>
      </c>
      <c r="AE46" s="1489" t="s">
        <v>9727</v>
      </c>
      <c r="AF46" s="1566" t="s">
        <v>9728</v>
      </c>
      <c r="AG46" s="1393" t="s">
        <v>7131</v>
      </c>
      <c r="AH46" s="1553" t="s">
        <v>9616</v>
      </c>
      <c r="AI46" s="1608" t="s">
        <v>8847</v>
      </c>
      <c r="AJ46" s="1566" t="s">
        <v>9729</v>
      </c>
      <c r="AK46" s="1393" t="s">
        <v>5898</v>
      </c>
      <c r="AL46" s="1607" t="s">
        <v>8849</v>
      </c>
      <c r="AM46" s="1393" t="s">
        <v>9204</v>
      </c>
      <c r="AN46" s="1566" t="s">
        <v>3874</v>
      </c>
      <c r="AO46" s="1489" t="s">
        <v>4862</v>
      </c>
      <c r="AP46" s="1553" t="s">
        <v>9730</v>
      </c>
      <c r="AQ46" s="1489" t="s">
        <v>9731</v>
      </c>
      <c r="AR46" s="1553" t="s">
        <v>9732</v>
      </c>
      <c r="AS46" s="1393" t="s">
        <v>976</v>
      </c>
      <c r="AT46" s="1607" t="s">
        <v>8855</v>
      </c>
      <c r="AU46" s="1608" t="s">
        <v>8856</v>
      </c>
      <c r="AV46" s="1393" t="str">
        <f t="shared" si="1"/>
        <v>2:24</v>
      </c>
      <c r="AW46" s="1528"/>
    </row>
    <row r="47">
      <c r="A47" s="1529" t="s">
        <v>2572</v>
      </c>
      <c r="B47" s="1531" t="s">
        <v>8801</v>
      </c>
      <c r="C47" s="1475">
        <v>0.05092592592592592</v>
      </c>
      <c r="D47" s="773" t="s">
        <v>9733</v>
      </c>
      <c r="E47" s="1553" t="s">
        <v>9734</v>
      </c>
      <c r="F47" s="1553" t="s">
        <v>9735</v>
      </c>
      <c r="G47" s="1553" t="s">
        <v>9736</v>
      </c>
      <c r="H47" s="1096" t="s">
        <v>9737</v>
      </c>
      <c r="I47" s="1096" t="s">
        <v>2954</v>
      </c>
      <c r="J47" s="1537" t="s">
        <v>8944</v>
      </c>
      <c r="K47" s="1537" t="s">
        <v>3585</v>
      </c>
      <c r="L47" s="1537" t="s">
        <v>5780</v>
      </c>
      <c r="M47" s="1537" t="s">
        <v>3125</v>
      </c>
      <c r="N47" s="1537" t="s">
        <v>875</v>
      </c>
      <c r="O47" s="1537" t="s">
        <v>9738</v>
      </c>
      <c r="P47" s="1537" t="s">
        <v>774</v>
      </c>
      <c r="Q47" s="1540" t="s">
        <v>7907</v>
      </c>
      <c r="R47" s="1540" t="s">
        <v>7599</v>
      </c>
      <c r="S47" s="1540" t="s">
        <v>6655</v>
      </c>
      <c r="T47" s="1540" t="s">
        <v>9739</v>
      </c>
      <c r="U47" s="1609" t="s">
        <v>8066</v>
      </c>
      <c r="V47" s="1540" t="s">
        <v>9740</v>
      </c>
      <c r="W47" s="1555" t="s">
        <v>6876</v>
      </c>
      <c r="X47" s="1555" t="s">
        <v>9741</v>
      </c>
      <c r="Y47" s="1555" t="s">
        <v>9742</v>
      </c>
      <c r="Z47" s="1555" t="s">
        <v>7839</v>
      </c>
      <c r="AA47" s="1555" t="s">
        <v>1869</v>
      </c>
      <c r="AB47" s="1555" t="s">
        <v>9743</v>
      </c>
      <c r="AC47" s="1555" t="s">
        <v>2446</v>
      </c>
      <c r="AD47" s="1553" t="s">
        <v>9744</v>
      </c>
      <c r="AE47" s="1553" t="s">
        <v>5223</v>
      </c>
      <c r="AF47" s="1556" t="s">
        <v>9745</v>
      </c>
      <c r="AG47" s="1556" t="s">
        <v>5277</v>
      </c>
      <c r="AH47" s="1556" t="s">
        <v>4459</v>
      </c>
      <c r="AI47" s="1556" t="s">
        <v>9746</v>
      </c>
      <c r="AJ47" s="1546" t="s">
        <v>8819</v>
      </c>
      <c r="AK47" s="1556" t="s">
        <v>195</v>
      </c>
      <c r="AL47" s="1556" t="s">
        <v>5899</v>
      </c>
      <c r="AM47" s="1558" t="s">
        <v>4065</v>
      </c>
      <c r="AN47" s="1558" t="s">
        <v>3724</v>
      </c>
      <c r="AO47" s="1558" t="s">
        <v>2400</v>
      </c>
      <c r="AP47" s="1558" t="s">
        <v>9747</v>
      </c>
      <c r="AQ47" s="1558" t="s">
        <v>4290</v>
      </c>
      <c r="AR47" s="1558" t="s">
        <v>7897</v>
      </c>
      <c r="AS47" s="1558" t="s">
        <v>6561</v>
      </c>
      <c r="AT47" s="1537" t="s">
        <v>9748</v>
      </c>
      <c r="AU47" s="721" t="s">
        <v>9749</v>
      </c>
      <c r="AV47" s="1393" t="str">
        <f t="shared" si="1"/>
        <v>4:25</v>
      </c>
      <c r="AW47" s="1526"/>
    </row>
    <row r="48" ht="15.75" customHeight="1">
      <c r="A48" s="1473" t="s">
        <v>4489</v>
      </c>
      <c r="B48" s="1563" t="s">
        <v>8801</v>
      </c>
      <c r="C48" s="1475">
        <v>0.05100810185185185</v>
      </c>
      <c r="D48" s="773" t="s">
        <v>9750</v>
      </c>
      <c r="E48" s="1553" t="s">
        <v>9751</v>
      </c>
      <c r="F48" s="1553" t="s">
        <v>9752</v>
      </c>
      <c r="G48" s="1566" t="s">
        <v>9753</v>
      </c>
      <c r="H48" s="1096" t="s">
        <v>9754</v>
      </c>
      <c r="I48" s="1096" t="s">
        <v>1412</v>
      </c>
      <c r="J48" s="1537" t="s">
        <v>5155</v>
      </c>
      <c r="K48" s="1537" t="s">
        <v>9498</v>
      </c>
      <c r="L48" s="1537" t="s">
        <v>4403</v>
      </c>
      <c r="M48" s="1537" t="s">
        <v>1455</v>
      </c>
      <c r="N48" s="1537" t="s">
        <v>9755</v>
      </c>
      <c r="O48" s="1537" t="s">
        <v>8989</v>
      </c>
      <c r="P48" s="1537" t="s">
        <v>9756</v>
      </c>
      <c r="Q48" s="1540" t="s">
        <v>9757</v>
      </c>
      <c r="R48" s="1540" t="s">
        <v>3429</v>
      </c>
      <c r="S48" s="1540" t="s">
        <v>7256</v>
      </c>
      <c r="T48" s="1540" t="s">
        <v>9758</v>
      </c>
      <c r="U48" s="1540" t="s">
        <v>9759</v>
      </c>
      <c r="V48" s="1568" t="s">
        <v>1365</v>
      </c>
      <c r="W48" s="1555" t="s">
        <v>9760</v>
      </c>
      <c r="X48" s="1555" t="s">
        <v>9549</v>
      </c>
      <c r="Y48" s="1555" t="s">
        <v>4008</v>
      </c>
      <c r="Z48" s="1555" t="s">
        <v>7787</v>
      </c>
      <c r="AA48" s="1555" t="s">
        <v>1025</v>
      </c>
      <c r="AB48" s="1555" t="s">
        <v>3904</v>
      </c>
      <c r="AC48" s="1569" t="s">
        <v>6818</v>
      </c>
      <c r="AD48" s="1553" t="s">
        <v>9761</v>
      </c>
      <c r="AE48" s="1566" t="s">
        <v>4949</v>
      </c>
      <c r="AF48" s="1556" t="s">
        <v>9762</v>
      </c>
      <c r="AG48" s="1556" t="s">
        <v>9763</v>
      </c>
      <c r="AH48" s="1556" t="s">
        <v>9764</v>
      </c>
      <c r="AI48" s="1556" t="s">
        <v>9185</v>
      </c>
      <c r="AJ48" s="1556" t="s">
        <v>9765</v>
      </c>
      <c r="AK48" s="1556" t="s">
        <v>9766</v>
      </c>
      <c r="AL48" s="1556" t="s">
        <v>4521</v>
      </c>
      <c r="AM48" s="1558" t="s">
        <v>9767</v>
      </c>
      <c r="AN48" s="1558" t="s">
        <v>3404</v>
      </c>
      <c r="AO48" s="1558" t="s">
        <v>9768</v>
      </c>
      <c r="AP48" s="1558" t="s">
        <v>9769</v>
      </c>
      <c r="AQ48" s="1558" t="s">
        <v>4290</v>
      </c>
      <c r="AR48" s="1558" t="s">
        <v>9770</v>
      </c>
      <c r="AS48" s="1558" t="s">
        <v>4543</v>
      </c>
      <c r="AT48" s="1537" t="s">
        <v>9771</v>
      </c>
      <c r="AU48" s="1519" t="s">
        <v>9772</v>
      </c>
      <c r="AV48" s="1393" t="str">
        <f t="shared" si="1"/>
        <v>3:17</v>
      </c>
      <c r="AW48" s="1520" t="s">
        <v>9773</v>
      </c>
    </row>
    <row r="49" ht="15.75" customHeight="1">
      <c r="A49" s="1529" t="s">
        <v>984</v>
      </c>
      <c r="B49" s="1517" t="s">
        <v>8801</v>
      </c>
      <c r="C49" s="1475">
        <v>0.05112268518518519</v>
      </c>
      <c r="D49" s="1553" t="s">
        <v>9774</v>
      </c>
      <c r="E49" s="1553" t="s">
        <v>4647</v>
      </c>
      <c r="F49" s="1553" t="s">
        <v>9775</v>
      </c>
      <c r="G49" s="1553" t="s">
        <v>9776</v>
      </c>
      <c r="H49" s="773" t="s">
        <v>9777</v>
      </c>
      <c r="I49" s="1096" t="s">
        <v>5347</v>
      </c>
      <c r="J49" s="1537" t="s">
        <v>4068</v>
      </c>
      <c r="K49" s="1537" t="s">
        <v>9778</v>
      </c>
      <c r="L49" s="1481" t="s">
        <v>3642</v>
      </c>
      <c r="M49" s="1537" t="s">
        <v>4443</v>
      </c>
      <c r="N49" s="1537" t="s">
        <v>9528</v>
      </c>
      <c r="O49" s="1537" t="s">
        <v>9779</v>
      </c>
      <c r="P49" s="1537" t="s">
        <v>1529</v>
      </c>
      <c r="Q49" s="1540" t="s">
        <v>9780</v>
      </c>
      <c r="R49" s="1610" t="s">
        <v>6125</v>
      </c>
      <c r="S49" s="1540" t="s">
        <v>417</v>
      </c>
      <c r="T49" s="1540" t="s">
        <v>9781</v>
      </c>
      <c r="U49" s="1540" t="s">
        <v>9782</v>
      </c>
      <c r="V49" s="1540" t="s">
        <v>9783</v>
      </c>
      <c r="W49" s="1555" t="s">
        <v>9784</v>
      </c>
      <c r="X49" s="1555" t="s">
        <v>9785</v>
      </c>
      <c r="Y49" s="1611" t="s">
        <v>976</v>
      </c>
      <c r="Z49" s="1555" t="s">
        <v>9786</v>
      </c>
      <c r="AA49" s="1489" t="s">
        <v>9787</v>
      </c>
      <c r="AB49" s="1555" t="s">
        <v>2810</v>
      </c>
      <c r="AC49" s="1555" t="s">
        <v>5055</v>
      </c>
      <c r="AD49" s="1553" t="s">
        <v>9788</v>
      </c>
      <c r="AE49" s="1553" t="s">
        <v>5596</v>
      </c>
      <c r="AF49" s="1556" t="s">
        <v>9007</v>
      </c>
      <c r="AG49" s="1556" t="s">
        <v>276</v>
      </c>
      <c r="AH49" s="1556" t="s">
        <v>466</v>
      </c>
      <c r="AI49" s="1556" t="s">
        <v>9789</v>
      </c>
      <c r="AJ49" s="1556" t="s">
        <v>9790</v>
      </c>
      <c r="AK49" s="1556" t="s">
        <v>4140</v>
      </c>
      <c r="AL49" s="1556" t="s">
        <v>9791</v>
      </c>
      <c r="AM49" s="1558" t="s">
        <v>9792</v>
      </c>
      <c r="AN49" s="1549" t="s">
        <v>3209</v>
      </c>
      <c r="AO49" s="1558" t="s">
        <v>7262</v>
      </c>
      <c r="AP49" s="1558" t="s">
        <v>9793</v>
      </c>
      <c r="AQ49" s="1558" t="s">
        <v>9794</v>
      </c>
      <c r="AR49" s="1558" t="s">
        <v>9795</v>
      </c>
      <c r="AS49" s="1558" t="s">
        <v>8732</v>
      </c>
      <c r="AT49" s="1537" t="s">
        <v>9796</v>
      </c>
      <c r="AU49" s="1519" t="s">
        <v>9797</v>
      </c>
      <c r="AV49" s="1393" t="str">
        <f t="shared" si="1"/>
        <v>4:57</v>
      </c>
      <c r="AW49" s="1595"/>
    </row>
    <row r="50">
      <c r="A50" s="1529" t="s">
        <v>2373</v>
      </c>
      <c r="B50" s="1527" t="s">
        <v>8801</v>
      </c>
      <c r="C50" s="1475">
        <v>0.05112268518518519</v>
      </c>
      <c r="D50" s="1489" t="s">
        <v>9798</v>
      </c>
      <c r="E50" s="1489" t="s">
        <v>4508</v>
      </c>
      <c r="F50" s="1489" t="s">
        <v>6128</v>
      </c>
      <c r="G50" s="1583" t="s">
        <v>8804</v>
      </c>
      <c r="H50" s="773" t="s">
        <v>9799</v>
      </c>
      <c r="I50" s="1489" t="s">
        <v>767</v>
      </c>
      <c r="J50" s="1489" t="s">
        <v>6658</v>
      </c>
      <c r="K50" s="1489" t="s">
        <v>2498</v>
      </c>
      <c r="L50" s="1489" t="s">
        <v>1365</v>
      </c>
      <c r="M50" s="1489" t="s">
        <v>9800</v>
      </c>
      <c r="N50" s="1489" t="s">
        <v>9282</v>
      </c>
      <c r="O50" s="1489" t="s">
        <v>9801</v>
      </c>
      <c r="P50" s="1489" t="s">
        <v>3627</v>
      </c>
      <c r="Q50" s="1489" t="s">
        <v>9802</v>
      </c>
      <c r="R50" s="1489" t="s">
        <v>9803</v>
      </c>
      <c r="S50" s="1489" t="s">
        <v>3771</v>
      </c>
      <c r="T50" s="1489" t="s">
        <v>8080</v>
      </c>
      <c r="U50" s="1540" t="s">
        <v>9210</v>
      </c>
      <c r="V50" s="1489" t="s">
        <v>9804</v>
      </c>
      <c r="W50" s="1489" t="s">
        <v>9805</v>
      </c>
      <c r="X50" s="1489" t="s">
        <v>1489</v>
      </c>
      <c r="Y50" s="1489" t="s">
        <v>7221</v>
      </c>
      <c r="Z50" s="1489" t="s">
        <v>9033</v>
      </c>
      <c r="AA50" s="1555" t="s">
        <v>615</v>
      </c>
      <c r="AB50" s="1489" t="s">
        <v>9806</v>
      </c>
      <c r="AC50" s="1489" t="s">
        <v>5223</v>
      </c>
      <c r="AD50" s="1489" t="s">
        <v>9807</v>
      </c>
      <c r="AE50" s="1489" t="s">
        <v>3627</v>
      </c>
      <c r="AF50" s="1489" t="s">
        <v>9808</v>
      </c>
      <c r="AG50" s="1489" t="s">
        <v>9809</v>
      </c>
      <c r="AH50" s="1489" t="s">
        <v>2522</v>
      </c>
      <c r="AI50" s="1489" t="s">
        <v>6161</v>
      </c>
      <c r="AJ50" s="1489" t="s">
        <v>9810</v>
      </c>
      <c r="AK50" s="1489" t="s">
        <v>9305</v>
      </c>
      <c r="AL50" s="1489" t="s">
        <v>9811</v>
      </c>
      <c r="AM50" s="1489" t="s">
        <v>2668</v>
      </c>
      <c r="AN50" s="1489" t="s">
        <v>9812</v>
      </c>
      <c r="AO50" s="1489" t="s">
        <v>8941</v>
      </c>
      <c r="AP50" s="1489" t="s">
        <v>9813</v>
      </c>
      <c r="AQ50" s="1489" t="s">
        <v>9814</v>
      </c>
      <c r="AR50" s="1489" t="s">
        <v>2256</v>
      </c>
      <c r="AS50" s="1489" t="s">
        <v>7215</v>
      </c>
      <c r="AT50" s="1489" t="s">
        <v>9815</v>
      </c>
      <c r="AU50" s="1489" t="s">
        <v>9816</v>
      </c>
      <c r="AV50" s="1393" t="str">
        <f t="shared" si="1"/>
        <v>3:15</v>
      </c>
      <c r="AW50" s="731"/>
    </row>
    <row r="51">
      <c r="A51" s="1529" t="s">
        <v>2727</v>
      </c>
      <c r="B51" s="1527" t="s">
        <v>8774</v>
      </c>
      <c r="C51" s="1475">
        <v>0.051145833333333335</v>
      </c>
      <c r="D51" s="773" t="s">
        <v>9817</v>
      </c>
      <c r="E51" s="1579" t="s">
        <v>4126</v>
      </c>
      <c r="F51" s="1579" t="s">
        <v>1772</v>
      </c>
      <c r="G51" s="1579" t="s">
        <v>9818</v>
      </c>
      <c r="H51" s="773" t="s">
        <v>9819</v>
      </c>
      <c r="I51" s="1579" t="s">
        <v>9725</v>
      </c>
      <c r="J51" s="1579" t="s">
        <v>9820</v>
      </c>
      <c r="K51" s="1579" t="s">
        <v>9820</v>
      </c>
      <c r="L51" s="1579" t="s">
        <v>4130</v>
      </c>
      <c r="M51" s="1579" t="s">
        <v>3489</v>
      </c>
      <c r="N51" s="1579" t="s">
        <v>9821</v>
      </c>
      <c r="O51" s="1579" t="s">
        <v>9822</v>
      </c>
      <c r="P51" s="1579" t="s">
        <v>6854</v>
      </c>
      <c r="Q51" s="1579" t="s">
        <v>9823</v>
      </c>
      <c r="R51" s="1579" t="s">
        <v>9824</v>
      </c>
      <c r="S51" s="1477" t="s">
        <v>7459</v>
      </c>
      <c r="T51" s="1579" t="s">
        <v>9825</v>
      </c>
      <c r="U51" s="1579" t="s">
        <v>231</v>
      </c>
      <c r="V51" s="1579" t="s">
        <v>9826</v>
      </c>
      <c r="W51" s="1579" t="s">
        <v>9827</v>
      </c>
      <c r="X51" s="1579" t="s">
        <v>9828</v>
      </c>
      <c r="Y51" s="1579" t="s">
        <v>598</v>
      </c>
      <c r="Z51" s="1579" t="s">
        <v>9829</v>
      </c>
      <c r="AA51" s="1579" t="s">
        <v>9562</v>
      </c>
      <c r="AB51" s="1579" t="s">
        <v>5891</v>
      </c>
      <c r="AC51" s="1579" t="s">
        <v>1235</v>
      </c>
      <c r="AD51" s="1579" t="s">
        <v>9830</v>
      </c>
      <c r="AE51" s="1579" t="s">
        <v>9244</v>
      </c>
      <c r="AF51" s="1579" t="s">
        <v>9831</v>
      </c>
      <c r="AG51" s="1579" t="s">
        <v>9832</v>
      </c>
      <c r="AH51" s="1579" t="s">
        <v>3752</v>
      </c>
      <c r="AI51" s="1579" t="s">
        <v>9833</v>
      </c>
      <c r="AJ51" s="1579" t="s">
        <v>9834</v>
      </c>
      <c r="AK51" s="1579" t="s">
        <v>9835</v>
      </c>
      <c r="AL51" s="1579" t="s">
        <v>4970</v>
      </c>
      <c r="AM51" s="1579" t="s">
        <v>3610</v>
      </c>
      <c r="AN51" s="1579" t="s">
        <v>5558</v>
      </c>
      <c r="AO51" s="1579" t="s">
        <v>5155</v>
      </c>
      <c r="AP51" s="1579" t="s">
        <v>9836</v>
      </c>
      <c r="AQ51" s="1579" t="s">
        <v>3360</v>
      </c>
      <c r="AR51" s="1579" t="s">
        <v>9377</v>
      </c>
      <c r="AS51" s="1579" t="s">
        <v>1400</v>
      </c>
      <c r="AT51" s="1579" t="s">
        <v>700</v>
      </c>
      <c r="AU51" s="1579" t="s">
        <v>9837</v>
      </c>
      <c r="AV51" s="1393" t="str">
        <f t="shared" si="1"/>
        <v>3:47</v>
      </c>
      <c r="AW51" s="1612" t="s">
        <v>9838</v>
      </c>
    </row>
    <row r="52" ht="15.75" customHeight="1">
      <c r="A52" s="1473" t="s">
        <v>9839</v>
      </c>
      <c r="B52" s="1613" t="s">
        <v>8774</v>
      </c>
      <c r="C52" s="1475">
        <v>0.051180555555555556</v>
      </c>
      <c r="D52" s="773" t="s">
        <v>9840</v>
      </c>
      <c r="E52" s="1489" t="s">
        <v>9841</v>
      </c>
      <c r="F52" s="1489" t="s">
        <v>164</v>
      </c>
      <c r="G52" s="1489" t="s">
        <v>9842</v>
      </c>
      <c r="H52" s="1489" t="s">
        <v>9843</v>
      </c>
      <c r="I52" s="1489" t="s">
        <v>162</v>
      </c>
      <c r="J52" s="1489" t="s">
        <v>888</v>
      </c>
      <c r="K52" s="1489" t="s">
        <v>7771</v>
      </c>
      <c r="L52" s="1489" t="s">
        <v>8996</v>
      </c>
      <c r="M52" s="1489" t="s">
        <v>5940</v>
      </c>
      <c r="N52" s="1489" t="s">
        <v>9844</v>
      </c>
      <c r="O52" s="1489" t="s">
        <v>9845</v>
      </c>
      <c r="P52" s="1489" t="s">
        <v>5513</v>
      </c>
      <c r="Q52" s="1489" t="s">
        <v>7501</v>
      </c>
      <c r="R52" s="1489" t="s">
        <v>9846</v>
      </c>
      <c r="S52" s="1489" t="s">
        <v>8681</v>
      </c>
      <c r="T52" s="1393" t="s">
        <v>4185</v>
      </c>
      <c r="U52" s="1393" t="s">
        <v>9847</v>
      </c>
      <c r="V52" s="1489" t="s">
        <v>1899</v>
      </c>
      <c r="W52" s="1489" t="s">
        <v>9848</v>
      </c>
      <c r="X52" s="1489" t="s">
        <v>9849</v>
      </c>
      <c r="Y52" s="1489" t="s">
        <v>9244</v>
      </c>
      <c r="Z52" s="1489" t="s">
        <v>9850</v>
      </c>
      <c r="AA52" s="1489" t="s">
        <v>9851</v>
      </c>
      <c r="AB52" s="1489" t="s">
        <v>9852</v>
      </c>
      <c r="AC52" s="1489" t="s">
        <v>850</v>
      </c>
      <c r="AD52" s="1489" t="s">
        <v>9761</v>
      </c>
      <c r="AE52" s="1489" t="s">
        <v>3206</v>
      </c>
      <c r="AF52" s="1393" t="s">
        <v>9853</v>
      </c>
      <c r="AG52" s="1489" t="s">
        <v>388</v>
      </c>
      <c r="AH52" s="1489" t="s">
        <v>9854</v>
      </c>
      <c r="AI52" s="1489" t="s">
        <v>9855</v>
      </c>
      <c r="AJ52" s="1489" t="s">
        <v>9856</v>
      </c>
      <c r="AK52" s="1489" t="s">
        <v>9857</v>
      </c>
      <c r="AL52" s="1489" t="s">
        <v>4920</v>
      </c>
      <c r="AM52" s="1489" t="s">
        <v>7570</v>
      </c>
      <c r="AN52" s="1489" t="s">
        <v>9460</v>
      </c>
      <c r="AO52" s="1507" t="str">
        <f>HYPERLINK("https://clips.twitch.tv/AltruisticEmpathicManateeDoritosChip","1:20.90")</f>
        <v>1:20.90</v>
      </c>
      <c r="AP52" s="1489" t="s">
        <v>9858</v>
      </c>
      <c r="AQ52" s="1489" t="s">
        <v>9859</v>
      </c>
      <c r="AR52" s="1489" t="s">
        <v>9860</v>
      </c>
      <c r="AS52" s="1489" t="s">
        <v>9425</v>
      </c>
      <c r="AT52" s="1489" t="s">
        <v>9861</v>
      </c>
      <c r="AU52" s="1489" t="s">
        <v>9862</v>
      </c>
      <c r="AV52" s="1393" t="str">
        <f t="shared" si="1"/>
        <v>2:40</v>
      </c>
      <c r="AW52" s="1562" t="s">
        <v>9863</v>
      </c>
    </row>
    <row r="53" ht="15.75" customHeight="1">
      <c r="A53" s="1529" t="s">
        <v>3740</v>
      </c>
      <c r="B53" s="1605" t="s">
        <v>8774</v>
      </c>
      <c r="C53" s="1614">
        <v>0.05123738425925926</v>
      </c>
      <c r="D53" s="1553" t="s">
        <v>9864</v>
      </c>
      <c r="E53" s="1553" t="s">
        <v>3865</v>
      </c>
      <c r="F53" s="1553" t="s">
        <v>9865</v>
      </c>
      <c r="G53" s="1553" t="s">
        <v>9263</v>
      </c>
      <c r="H53" s="1096" t="s">
        <v>9866</v>
      </c>
      <c r="I53" s="1096" t="s">
        <v>2552</v>
      </c>
      <c r="J53" s="1537" t="s">
        <v>9498</v>
      </c>
      <c r="K53" s="1537" t="s">
        <v>7249</v>
      </c>
      <c r="L53" s="1537" t="s">
        <v>9867</v>
      </c>
      <c r="M53" s="1537" t="s">
        <v>9221</v>
      </c>
      <c r="N53" s="1615" t="s">
        <v>1162</v>
      </c>
      <c r="O53" s="1537" t="s">
        <v>3482</v>
      </c>
      <c r="P53" s="1537" t="s">
        <v>8926</v>
      </c>
      <c r="Q53" s="1540" t="s">
        <v>9868</v>
      </c>
      <c r="R53" s="1540" t="s">
        <v>9455</v>
      </c>
      <c r="S53" s="1540" t="s">
        <v>9869</v>
      </c>
      <c r="T53" s="1540" t="s">
        <v>9870</v>
      </c>
      <c r="U53" s="1540" t="s">
        <v>9871</v>
      </c>
      <c r="V53" s="1540" t="s">
        <v>4212</v>
      </c>
      <c r="W53" s="1555" t="s">
        <v>9872</v>
      </c>
      <c r="X53" s="1555" t="s">
        <v>9873</v>
      </c>
      <c r="Y53" s="1555" t="s">
        <v>9874</v>
      </c>
      <c r="Z53" s="1555" t="s">
        <v>1353</v>
      </c>
      <c r="AA53" s="1555" t="s">
        <v>9185</v>
      </c>
      <c r="AB53" s="1555" t="s">
        <v>9599</v>
      </c>
      <c r="AC53" s="1555" t="s">
        <v>485</v>
      </c>
      <c r="AD53" s="1553" t="s">
        <v>9875</v>
      </c>
      <c r="AE53" s="1553" t="s">
        <v>6580</v>
      </c>
      <c r="AF53" s="1556" t="s">
        <v>9876</v>
      </c>
      <c r="AG53" s="1556" t="s">
        <v>9877</v>
      </c>
      <c r="AH53" s="1556" t="s">
        <v>9878</v>
      </c>
      <c r="AI53" s="1556" t="s">
        <v>314</v>
      </c>
      <c r="AJ53" s="1556" t="s">
        <v>9879</v>
      </c>
      <c r="AK53" s="1525" t="s">
        <v>9342</v>
      </c>
      <c r="AL53" s="1556" t="s">
        <v>9274</v>
      </c>
      <c r="AM53" s="1558" t="s">
        <v>9880</v>
      </c>
      <c r="AN53" s="1558" t="s">
        <v>572</v>
      </c>
      <c r="AO53" s="1558" t="s">
        <v>9881</v>
      </c>
      <c r="AP53" s="1558" t="s">
        <v>9882</v>
      </c>
      <c r="AQ53" s="773" t="s">
        <v>9883</v>
      </c>
      <c r="AR53" s="1616" t="s">
        <v>9884</v>
      </c>
      <c r="AS53" s="1558" t="s">
        <v>9885</v>
      </c>
      <c r="AT53" s="1537" t="s">
        <v>9886</v>
      </c>
      <c r="AU53" s="1519" t="s">
        <v>9887</v>
      </c>
      <c r="AV53" s="1393" t="str">
        <f t="shared" si="1"/>
        <v>4:25</v>
      </c>
      <c r="AW53" s="1520" t="s">
        <v>9888</v>
      </c>
    </row>
    <row r="54" ht="15.75" customHeight="1">
      <c r="A54" s="1529" t="s">
        <v>1635</v>
      </c>
      <c r="B54" s="1617" t="s">
        <v>8827</v>
      </c>
      <c r="C54" s="1597">
        <v>0.051319444444444445</v>
      </c>
      <c r="D54" s="773" t="s">
        <v>9889</v>
      </c>
      <c r="E54" s="1393" t="s">
        <v>9890</v>
      </c>
      <c r="F54" s="1393" t="s">
        <v>9891</v>
      </c>
      <c r="G54" s="1393" t="s">
        <v>9892</v>
      </c>
      <c r="H54" s="1393" t="s">
        <v>5069</v>
      </c>
      <c r="I54" s="1393" t="s">
        <v>6579</v>
      </c>
      <c r="J54" s="1393" t="s">
        <v>9893</v>
      </c>
      <c r="K54" s="1393" t="s">
        <v>8947</v>
      </c>
      <c r="L54" s="1393" t="s">
        <v>3954</v>
      </c>
      <c r="M54" s="1393" t="s">
        <v>9644</v>
      </c>
      <c r="N54" s="1393" t="s">
        <v>9438</v>
      </c>
      <c r="O54" s="1393" t="s">
        <v>9894</v>
      </c>
      <c r="P54" s="1618" t="s">
        <v>8836</v>
      </c>
      <c r="Q54" s="1393" t="s">
        <v>9895</v>
      </c>
      <c r="R54" s="1393" t="s">
        <v>5929</v>
      </c>
      <c r="S54" s="1393" t="s">
        <v>1160</v>
      </c>
      <c r="T54" s="1393" t="s">
        <v>9896</v>
      </c>
      <c r="U54" s="1393" t="s">
        <v>1007</v>
      </c>
      <c r="V54" s="1393" t="s">
        <v>454</v>
      </c>
      <c r="W54" s="1393" t="s">
        <v>9897</v>
      </c>
      <c r="X54" s="1393" t="s">
        <v>311</v>
      </c>
      <c r="Y54" s="1393" t="s">
        <v>9898</v>
      </c>
      <c r="Z54" s="1393" t="s">
        <v>7575</v>
      </c>
      <c r="AA54" s="1393" t="s">
        <v>9672</v>
      </c>
      <c r="AB54" s="1393" t="s">
        <v>4502</v>
      </c>
      <c r="AC54" s="1393" t="s">
        <v>6118</v>
      </c>
      <c r="AD54" s="1393" t="s">
        <v>9899</v>
      </c>
      <c r="AE54" s="1618" t="s">
        <v>5596</v>
      </c>
      <c r="AF54" s="1618" t="s">
        <v>2707</v>
      </c>
      <c r="AG54" s="1393" t="s">
        <v>4584</v>
      </c>
      <c r="AH54" s="1393" t="s">
        <v>9900</v>
      </c>
      <c r="AI54" s="1393" t="s">
        <v>9901</v>
      </c>
      <c r="AJ54" s="1393" t="s">
        <v>9902</v>
      </c>
      <c r="AK54" s="1393" t="s">
        <v>6070</v>
      </c>
      <c r="AL54" s="1393" t="s">
        <v>6298</v>
      </c>
      <c r="AM54" s="1618" t="s">
        <v>8850</v>
      </c>
      <c r="AN54" s="1489" t="s">
        <v>2472</v>
      </c>
      <c r="AO54" s="1393" t="s">
        <v>4946</v>
      </c>
      <c r="AP54" s="1393" t="s">
        <v>9903</v>
      </c>
      <c r="AQ54" s="1393" t="s">
        <v>9904</v>
      </c>
      <c r="AR54" s="1393" t="s">
        <v>7254</v>
      </c>
      <c r="AS54" s="1393" t="s">
        <v>4432</v>
      </c>
      <c r="AT54" s="1393" t="s">
        <v>9905</v>
      </c>
      <c r="AU54" s="1393" t="s">
        <v>9906</v>
      </c>
      <c r="AV54" s="1393" t="str">
        <f t="shared" si="1"/>
        <v>3:15</v>
      </c>
      <c r="AW54" s="1562" t="s">
        <v>9907</v>
      </c>
    </row>
    <row r="55">
      <c r="A55" s="1529" t="s">
        <v>1880</v>
      </c>
      <c r="B55" s="1517" t="s">
        <v>8774</v>
      </c>
      <c r="C55" s="1475">
        <v>0.05133101851851852</v>
      </c>
      <c r="D55" s="1604" t="s">
        <v>9908</v>
      </c>
      <c r="E55" s="1553" t="s">
        <v>9909</v>
      </c>
      <c r="F55" s="1553" t="s">
        <v>9910</v>
      </c>
      <c r="G55" s="1553" t="s">
        <v>9911</v>
      </c>
      <c r="H55" s="1096" t="s">
        <v>9912</v>
      </c>
      <c r="I55" s="1096" t="s">
        <v>3107</v>
      </c>
      <c r="J55" s="1537" t="s">
        <v>1867</v>
      </c>
      <c r="K55" s="1537" t="s">
        <v>9913</v>
      </c>
      <c r="L55" s="1537" t="s">
        <v>4173</v>
      </c>
      <c r="M55" s="1537" t="s">
        <v>9914</v>
      </c>
      <c r="N55" s="1537" t="s">
        <v>9040</v>
      </c>
      <c r="O55" s="1537" t="s">
        <v>9915</v>
      </c>
      <c r="P55" s="1537" t="s">
        <v>8993</v>
      </c>
      <c r="Q55" s="1540" t="s">
        <v>9916</v>
      </c>
      <c r="R55" s="1540" t="s">
        <v>9686</v>
      </c>
      <c r="S55" s="1540" t="s">
        <v>8098</v>
      </c>
      <c r="T55" s="1540" t="s">
        <v>9691</v>
      </c>
      <c r="U55" s="1540" t="s">
        <v>9917</v>
      </c>
      <c r="V55" s="1540" t="s">
        <v>9475</v>
      </c>
      <c r="W55" s="1555" t="s">
        <v>9918</v>
      </c>
      <c r="X55" s="1555" t="s">
        <v>9919</v>
      </c>
      <c r="Y55" s="1555" t="s">
        <v>5481</v>
      </c>
      <c r="Z55" s="1555" t="s">
        <v>1505</v>
      </c>
      <c r="AA55" s="1555" t="s">
        <v>9920</v>
      </c>
      <c r="AB55" s="1555" t="s">
        <v>6365</v>
      </c>
      <c r="AC55" s="1555" t="s">
        <v>265</v>
      </c>
      <c r="AD55" s="1553" t="s">
        <v>9251</v>
      </c>
      <c r="AE55" s="1553" t="s">
        <v>5481</v>
      </c>
      <c r="AF55" s="1556" t="s">
        <v>9921</v>
      </c>
      <c r="AG55" s="1556" t="s">
        <v>5860</v>
      </c>
      <c r="AH55" s="1556" t="s">
        <v>4054</v>
      </c>
      <c r="AI55" s="1556" t="s">
        <v>9922</v>
      </c>
      <c r="AJ55" s="1556" t="s">
        <v>9923</v>
      </c>
      <c r="AK55" s="1556" t="s">
        <v>9849</v>
      </c>
      <c r="AL55" s="1556" t="s">
        <v>4057</v>
      </c>
      <c r="AM55" s="1558" t="s">
        <v>9278</v>
      </c>
      <c r="AN55" s="1558" t="s">
        <v>4063</v>
      </c>
      <c r="AO55" s="1558" t="s">
        <v>9924</v>
      </c>
      <c r="AP55" s="1558" t="s">
        <v>9925</v>
      </c>
      <c r="AQ55" s="1558" t="s">
        <v>9513</v>
      </c>
      <c r="AR55" s="1558" t="s">
        <v>9926</v>
      </c>
      <c r="AS55" s="1558" t="s">
        <v>9927</v>
      </c>
      <c r="AT55" s="1537" t="s">
        <v>9928</v>
      </c>
      <c r="AU55" s="1519" t="s">
        <v>9929</v>
      </c>
      <c r="AV55" s="1393" t="str">
        <f t="shared" si="1"/>
        <v>1:34</v>
      </c>
      <c r="AW55" s="1595"/>
    </row>
    <row r="56">
      <c r="A56" s="1529" t="s">
        <v>2986</v>
      </c>
      <c r="B56" s="1517" t="s">
        <v>8774</v>
      </c>
      <c r="C56" s="1475">
        <v>0.05134259259259259</v>
      </c>
      <c r="D56" s="1553" t="s">
        <v>9930</v>
      </c>
      <c r="E56" s="1553" t="s">
        <v>6576</v>
      </c>
      <c r="F56" s="1553" t="s">
        <v>9931</v>
      </c>
      <c r="G56" s="1553" t="s">
        <v>9932</v>
      </c>
      <c r="H56" s="1553" t="s">
        <v>9933</v>
      </c>
      <c r="I56" s="1553" t="s">
        <v>1294</v>
      </c>
      <c r="J56" s="1537" t="s">
        <v>5023</v>
      </c>
      <c r="K56" s="1537" t="s">
        <v>7496</v>
      </c>
      <c r="L56" s="1537" t="s">
        <v>4867</v>
      </c>
      <c r="M56" s="1537" t="s">
        <v>3634</v>
      </c>
      <c r="N56" s="1537" t="s">
        <v>2010</v>
      </c>
      <c r="O56" s="1537" t="s">
        <v>9934</v>
      </c>
      <c r="P56" s="1537" t="s">
        <v>4541</v>
      </c>
      <c r="Q56" s="1540" t="s">
        <v>9935</v>
      </c>
      <c r="R56" s="1540" t="s">
        <v>2591</v>
      </c>
      <c r="S56" s="1540" t="s">
        <v>9936</v>
      </c>
      <c r="T56" s="1540" t="s">
        <v>9937</v>
      </c>
      <c r="U56" s="1540" t="s">
        <v>9782</v>
      </c>
      <c r="V56" s="1540" t="s">
        <v>9938</v>
      </c>
      <c r="W56" s="1555" t="s">
        <v>9939</v>
      </c>
      <c r="X56" s="1555" t="s">
        <v>8847</v>
      </c>
      <c r="Y56" s="1555" t="s">
        <v>9385</v>
      </c>
      <c r="Z56" s="1555" t="s">
        <v>3031</v>
      </c>
      <c r="AA56" s="1489" t="s">
        <v>593</v>
      </c>
      <c r="AB56" s="1555" t="s">
        <v>9115</v>
      </c>
      <c r="AC56" s="1555" t="s">
        <v>9400</v>
      </c>
      <c r="AD56" s="1553" t="s">
        <v>9940</v>
      </c>
      <c r="AE56" s="1553" t="s">
        <v>9941</v>
      </c>
      <c r="AF56" s="1556" t="s">
        <v>9942</v>
      </c>
      <c r="AG56" s="1556" t="s">
        <v>9943</v>
      </c>
      <c r="AH56" s="1556" t="s">
        <v>1906</v>
      </c>
      <c r="AI56" s="1556" t="s">
        <v>421</v>
      </c>
      <c r="AJ56" s="1556" t="s">
        <v>9944</v>
      </c>
      <c r="AK56" s="1556" t="s">
        <v>9945</v>
      </c>
      <c r="AL56" s="1556" t="s">
        <v>5685</v>
      </c>
      <c r="AM56" s="1558" t="s">
        <v>9946</v>
      </c>
      <c r="AN56" s="1558" t="s">
        <v>6532</v>
      </c>
      <c r="AO56" s="1558" t="s">
        <v>9947</v>
      </c>
      <c r="AP56" s="1558" t="s">
        <v>9948</v>
      </c>
      <c r="AQ56" s="1558" t="s">
        <v>9513</v>
      </c>
      <c r="AR56" s="1558" t="s">
        <v>9949</v>
      </c>
      <c r="AS56" s="1558" t="s">
        <v>1905</v>
      </c>
      <c r="AT56" s="1537" t="s">
        <v>9950</v>
      </c>
      <c r="AU56" s="1519" t="s">
        <v>9816</v>
      </c>
      <c r="AV56" s="1393" t="str">
        <f t="shared" si="1"/>
        <v>2:56</v>
      </c>
      <c r="AW56" s="1520" t="s">
        <v>9951</v>
      </c>
    </row>
    <row r="57" ht="15.75" customHeight="1">
      <c r="A57" s="1486" t="s">
        <v>1417</v>
      </c>
      <c r="B57" s="1617" t="s">
        <v>8827</v>
      </c>
      <c r="C57" s="1597">
        <v>0.05134259259259259</v>
      </c>
      <c r="D57" s="773" t="s">
        <v>9952</v>
      </c>
      <c r="E57" s="1566" t="s">
        <v>5995</v>
      </c>
      <c r="F57" s="1566" t="s">
        <v>9931</v>
      </c>
      <c r="G57" s="1566" t="s">
        <v>9953</v>
      </c>
      <c r="H57" s="1161" t="s">
        <v>9954</v>
      </c>
      <c r="I57" s="1619" t="s">
        <v>351</v>
      </c>
      <c r="J57" s="1567" t="s">
        <v>9955</v>
      </c>
      <c r="K57" s="1567" t="s">
        <v>4034</v>
      </c>
      <c r="L57" s="1620" t="s">
        <v>3799</v>
      </c>
      <c r="M57" s="1567" t="s">
        <v>5642</v>
      </c>
      <c r="N57" s="1567" t="s">
        <v>9956</v>
      </c>
      <c r="O57" s="1620" t="s">
        <v>8835</v>
      </c>
      <c r="P57" s="1567" t="s">
        <v>389</v>
      </c>
      <c r="Q57" s="1568" t="s">
        <v>9957</v>
      </c>
      <c r="R57" s="1568" t="s">
        <v>1626</v>
      </c>
      <c r="S57" s="1568" t="s">
        <v>9958</v>
      </c>
      <c r="T57" s="1621" t="s">
        <v>8839</v>
      </c>
      <c r="U57" s="1568" t="s">
        <v>9959</v>
      </c>
      <c r="V57" s="1568" t="s">
        <v>4056</v>
      </c>
      <c r="W57" s="1622" t="s">
        <v>8841</v>
      </c>
      <c r="X57" s="1569" t="s">
        <v>4358</v>
      </c>
      <c r="Y57" s="1569" t="s">
        <v>6579</v>
      </c>
      <c r="Z57" s="1569" t="s">
        <v>7864</v>
      </c>
      <c r="AA57" s="1569" t="s">
        <v>9342</v>
      </c>
      <c r="AB57" s="1622" t="s">
        <v>8845</v>
      </c>
      <c r="AC57" s="1569" t="s">
        <v>6670</v>
      </c>
      <c r="AD57" s="1558" t="s">
        <v>9960</v>
      </c>
      <c r="AE57" s="1566" t="s">
        <v>9961</v>
      </c>
      <c r="AF57" s="1570" t="s">
        <v>9962</v>
      </c>
      <c r="AG57" s="1570" t="s">
        <v>9963</v>
      </c>
      <c r="AH57" s="1570" t="s">
        <v>9964</v>
      </c>
      <c r="AI57" s="1570" t="s">
        <v>9965</v>
      </c>
      <c r="AJ57" s="1570" t="s">
        <v>9966</v>
      </c>
      <c r="AK57" s="1623" t="s">
        <v>887</v>
      </c>
      <c r="AL57" s="1570" t="s">
        <v>1569</v>
      </c>
      <c r="AM57" s="1557" t="s">
        <v>9809</v>
      </c>
      <c r="AN57" s="1558" t="s">
        <v>4674</v>
      </c>
      <c r="AO57" s="1557" t="s">
        <v>9967</v>
      </c>
      <c r="AP57" s="1557" t="s">
        <v>9968</v>
      </c>
      <c r="AQ57" s="1557" t="s">
        <v>9969</v>
      </c>
      <c r="AR57" s="1557" t="s">
        <v>9970</v>
      </c>
      <c r="AS57" s="1557" t="s">
        <v>4613</v>
      </c>
      <c r="AT57" s="1567" t="s">
        <v>9971</v>
      </c>
      <c r="AU57" s="1571" t="s">
        <v>9972</v>
      </c>
      <c r="AV57" s="1393" t="str">
        <f t="shared" si="1"/>
        <v>1:58</v>
      </c>
      <c r="AW57" s="1595"/>
    </row>
    <row r="58" ht="15.75" customHeight="1">
      <c r="A58" s="1473" t="s">
        <v>3369</v>
      </c>
      <c r="B58" s="1474" t="s">
        <v>8774</v>
      </c>
      <c r="C58" s="1597">
        <v>0.05134259259259259</v>
      </c>
      <c r="D58" s="773" t="s">
        <v>9973</v>
      </c>
      <c r="E58" s="1393" t="s">
        <v>9974</v>
      </c>
      <c r="F58" s="1393" t="s">
        <v>9975</v>
      </c>
      <c r="G58" s="1393" t="s">
        <v>7893</v>
      </c>
      <c r="H58" s="1393" t="s">
        <v>9029</v>
      </c>
      <c r="I58" s="1393" t="s">
        <v>6301</v>
      </c>
      <c r="J58" s="1393" t="s">
        <v>9976</v>
      </c>
      <c r="K58" s="1393" t="s">
        <v>3962</v>
      </c>
      <c r="L58" s="1393" t="s">
        <v>9977</v>
      </c>
      <c r="M58" s="1393" t="s">
        <v>9978</v>
      </c>
      <c r="N58" s="1393" t="s">
        <v>2891</v>
      </c>
      <c r="O58" s="1393" t="s">
        <v>9979</v>
      </c>
      <c r="P58" s="1393" t="s">
        <v>1085</v>
      </c>
      <c r="Q58" s="1393" t="s">
        <v>2463</v>
      </c>
      <c r="R58" s="1393" t="s">
        <v>9686</v>
      </c>
      <c r="S58" s="1393" t="s">
        <v>9558</v>
      </c>
      <c r="T58" s="1393" t="s">
        <v>9980</v>
      </c>
      <c r="U58" s="1393" t="s">
        <v>9981</v>
      </c>
      <c r="V58" s="1393" t="s">
        <v>8812</v>
      </c>
      <c r="W58" s="1393" t="s">
        <v>9982</v>
      </c>
      <c r="X58" s="1393" t="s">
        <v>9983</v>
      </c>
      <c r="Y58" s="1393" t="s">
        <v>389</v>
      </c>
      <c r="Z58" s="1393" t="s">
        <v>7256</v>
      </c>
      <c r="AA58" s="1393" t="s">
        <v>9508</v>
      </c>
      <c r="AB58" s="1393" t="s">
        <v>8884</v>
      </c>
      <c r="AC58" s="1393" t="s">
        <v>850</v>
      </c>
      <c r="AD58" s="1393" t="s">
        <v>9984</v>
      </c>
      <c r="AE58" s="1393" t="s">
        <v>389</v>
      </c>
      <c r="AF58" s="1393" t="s">
        <v>9985</v>
      </c>
      <c r="AG58" s="1393" t="s">
        <v>9986</v>
      </c>
      <c r="AH58" s="1393" t="s">
        <v>5209</v>
      </c>
      <c r="AI58" s="1393" t="s">
        <v>9987</v>
      </c>
      <c r="AJ58" s="1393" t="s">
        <v>9923</v>
      </c>
      <c r="AK58" s="1393" t="s">
        <v>7596</v>
      </c>
      <c r="AL58" s="1393" t="s">
        <v>3307</v>
      </c>
      <c r="AM58" s="1393" t="s">
        <v>4138</v>
      </c>
      <c r="AN58" s="1393" t="s">
        <v>5812</v>
      </c>
      <c r="AO58" s="1393" t="s">
        <v>6490</v>
      </c>
      <c r="AP58" s="1393" t="s">
        <v>9988</v>
      </c>
      <c r="AQ58" s="1393" t="s">
        <v>9989</v>
      </c>
      <c r="AR58" s="1393" t="s">
        <v>9990</v>
      </c>
      <c r="AS58" s="1557" t="s">
        <v>4420</v>
      </c>
      <c r="AT58" s="1393" t="s">
        <v>9991</v>
      </c>
      <c r="AU58" s="1393" t="s">
        <v>9211</v>
      </c>
      <c r="AV58" s="1393" t="str">
        <f t="shared" si="1"/>
        <v>2:27</v>
      </c>
      <c r="AW58" s="1562"/>
    </row>
    <row r="59" ht="15.75" customHeight="1">
      <c r="A59" s="1529" t="s">
        <v>1348</v>
      </c>
      <c r="B59" s="1527" t="s">
        <v>8827</v>
      </c>
      <c r="C59" s="1475">
        <v>0.05140046296296296</v>
      </c>
      <c r="D59" s="1489" t="s">
        <v>9992</v>
      </c>
      <c r="E59" s="1489" t="s">
        <v>1659</v>
      </c>
      <c r="F59" s="1489" t="s">
        <v>9993</v>
      </c>
      <c r="G59" s="1608" t="s">
        <v>8831</v>
      </c>
      <c r="H59" s="773" t="s">
        <v>9994</v>
      </c>
      <c r="I59" s="1489" t="s">
        <v>1759</v>
      </c>
      <c r="J59" s="1608" t="s">
        <v>8833</v>
      </c>
      <c r="K59" s="1489" t="s">
        <v>7792</v>
      </c>
      <c r="L59" s="1489" t="s">
        <v>9995</v>
      </c>
      <c r="M59" s="1608" t="s">
        <v>8834</v>
      </c>
      <c r="N59" s="1489" t="s">
        <v>9996</v>
      </c>
      <c r="O59" s="1489" t="s">
        <v>9997</v>
      </c>
      <c r="P59" s="1489" t="s">
        <v>1047</v>
      </c>
      <c r="Q59" s="1489" t="s">
        <v>9780</v>
      </c>
      <c r="R59" s="1489" t="s">
        <v>9998</v>
      </c>
      <c r="S59" s="1489" t="s">
        <v>8896</v>
      </c>
      <c r="T59" s="1489" t="s">
        <v>3208</v>
      </c>
      <c r="U59" s="1489" t="s">
        <v>9701</v>
      </c>
      <c r="V59" s="1489" t="s">
        <v>5952</v>
      </c>
      <c r="W59" s="1489" t="s">
        <v>9999</v>
      </c>
      <c r="X59" s="1489" t="s">
        <v>630</v>
      </c>
      <c r="Y59" s="1489" t="s">
        <v>10000</v>
      </c>
      <c r="Z59" s="1489" t="s">
        <v>10001</v>
      </c>
      <c r="AA59" s="1624" t="s">
        <v>8844</v>
      </c>
      <c r="AB59" s="1489" t="s">
        <v>6044</v>
      </c>
      <c r="AC59" s="1489" t="s">
        <v>10002</v>
      </c>
      <c r="AD59" s="1489" t="s">
        <v>9195</v>
      </c>
      <c r="AE59" s="1489" t="s">
        <v>2597</v>
      </c>
      <c r="AF59" s="1489" t="s">
        <v>10003</v>
      </c>
      <c r="AG59" s="1608" t="s">
        <v>4597</v>
      </c>
      <c r="AH59" s="1608" t="s">
        <v>5231</v>
      </c>
      <c r="AI59" s="1489" t="s">
        <v>10004</v>
      </c>
      <c r="AJ59" s="1489" t="s">
        <v>10005</v>
      </c>
      <c r="AK59" s="1489" t="s">
        <v>6967</v>
      </c>
      <c r="AL59" s="1489" t="s">
        <v>3953</v>
      </c>
      <c r="AM59" s="1489" t="s">
        <v>10006</v>
      </c>
      <c r="AN59" s="1489" t="s">
        <v>3810</v>
      </c>
      <c r="AO59" s="1608" t="s">
        <v>8852</v>
      </c>
      <c r="AP59" s="1625" t="s">
        <v>8853</v>
      </c>
      <c r="AQ59" s="1489" t="s">
        <v>3234</v>
      </c>
      <c r="AR59" s="1489" t="s">
        <v>1622</v>
      </c>
      <c r="AS59" s="1489" t="s">
        <v>4749</v>
      </c>
      <c r="AT59" s="1489" t="s">
        <v>10007</v>
      </c>
      <c r="AU59" s="1489" t="s">
        <v>9211</v>
      </c>
      <c r="AV59" s="1393" t="str">
        <f t="shared" si="1"/>
        <v>2:22</v>
      </c>
      <c r="AW59" s="1528" t="s">
        <v>10008</v>
      </c>
    </row>
    <row r="60" ht="15.75" customHeight="1">
      <c r="A60" s="1529" t="s">
        <v>4040</v>
      </c>
      <c r="B60" s="1517" t="s">
        <v>8774</v>
      </c>
      <c r="C60" s="1475">
        <v>0.05153935185185185</v>
      </c>
      <c r="D60" s="1579" t="s">
        <v>10009</v>
      </c>
      <c r="E60" s="1579" t="s">
        <v>6882</v>
      </c>
      <c r="F60" s="1579" t="s">
        <v>10010</v>
      </c>
      <c r="G60" s="1579" t="s">
        <v>4954</v>
      </c>
      <c r="H60" s="773" t="s">
        <v>10011</v>
      </c>
      <c r="I60" s="1579" t="s">
        <v>1294</v>
      </c>
      <c r="J60" s="1579" t="s">
        <v>10012</v>
      </c>
      <c r="K60" s="1579" t="s">
        <v>3669</v>
      </c>
      <c r="L60" s="1579" t="s">
        <v>4212</v>
      </c>
      <c r="M60" s="1579" t="s">
        <v>7414</v>
      </c>
      <c r="N60" s="1579" t="s">
        <v>10013</v>
      </c>
      <c r="O60" s="1579" t="s">
        <v>3792</v>
      </c>
      <c r="P60" s="1579" t="s">
        <v>7221</v>
      </c>
      <c r="Q60" s="1579" t="s">
        <v>10014</v>
      </c>
      <c r="R60" s="1579" t="s">
        <v>3429</v>
      </c>
      <c r="S60" s="1626" t="s">
        <v>9642</v>
      </c>
      <c r="T60" s="1579" t="s">
        <v>9459</v>
      </c>
      <c r="U60" s="1579" t="s">
        <v>10015</v>
      </c>
      <c r="V60" s="1579" t="s">
        <v>1792</v>
      </c>
      <c r="W60" s="1579" t="s">
        <v>10016</v>
      </c>
      <c r="X60" s="1579" t="s">
        <v>1676</v>
      </c>
      <c r="Y60" s="1579" t="s">
        <v>3683</v>
      </c>
      <c r="Z60" s="1579" t="s">
        <v>7566</v>
      </c>
      <c r="AA60" s="1579" t="s">
        <v>966</v>
      </c>
      <c r="AB60" s="1579" t="s">
        <v>10017</v>
      </c>
      <c r="AC60" s="1579" t="s">
        <v>10002</v>
      </c>
      <c r="AD60" s="1579" t="s">
        <v>10018</v>
      </c>
      <c r="AE60" s="1579" t="s">
        <v>4961</v>
      </c>
      <c r="AF60" s="1481" t="s">
        <v>10019</v>
      </c>
      <c r="AG60" s="1579" t="s">
        <v>10020</v>
      </c>
      <c r="AH60" s="1579" t="s">
        <v>10021</v>
      </c>
      <c r="AI60" s="1579" t="s">
        <v>10022</v>
      </c>
      <c r="AJ60" s="1579" t="s">
        <v>10023</v>
      </c>
      <c r="AK60" s="1579" t="s">
        <v>5129</v>
      </c>
      <c r="AL60" s="1579" t="s">
        <v>9811</v>
      </c>
      <c r="AM60" s="1579" t="s">
        <v>10004</v>
      </c>
      <c r="AN60" s="1579" t="s">
        <v>2586</v>
      </c>
      <c r="AO60" s="1579" t="s">
        <v>5757</v>
      </c>
      <c r="AP60" s="1626" t="s">
        <v>9747</v>
      </c>
      <c r="AQ60" s="1579" t="s">
        <v>10024</v>
      </c>
      <c r="AR60" s="1579" t="s">
        <v>5023</v>
      </c>
      <c r="AS60" s="1579" t="s">
        <v>9425</v>
      </c>
      <c r="AT60" s="1579" t="s">
        <v>10025</v>
      </c>
      <c r="AU60" s="1579" t="s">
        <v>10026</v>
      </c>
      <c r="AV60" s="1393" t="str">
        <f t="shared" si="1"/>
        <v>2:41</v>
      </c>
      <c r="AW60" s="1627" t="s">
        <v>10027</v>
      </c>
    </row>
    <row r="61" ht="15.75" customHeight="1">
      <c r="A61" s="1473" t="s">
        <v>1960</v>
      </c>
      <c r="B61" s="1474" t="s">
        <v>8774</v>
      </c>
      <c r="C61" s="1475">
        <v>0.05157407407407407</v>
      </c>
      <c r="D61" s="773" t="s">
        <v>10028</v>
      </c>
      <c r="E61" s="1553" t="s">
        <v>10029</v>
      </c>
      <c r="F61" s="1553" t="s">
        <v>10030</v>
      </c>
      <c r="G61" s="1566" t="s">
        <v>9519</v>
      </c>
      <c r="H61" s="1161" t="s">
        <v>10031</v>
      </c>
      <c r="I61" s="1161" t="s">
        <v>2099</v>
      </c>
      <c r="J61" s="1567" t="s">
        <v>5451</v>
      </c>
      <c r="K61" s="1567" t="s">
        <v>3445</v>
      </c>
      <c r="L61" s="1567" t="s">
        <v>10032</v>
      </c>
      <c r="M61" s="1567" t="s">
        <v>9683</v>
      </c>
      <c r="N61" s="1567" t="s">
        <v>1231</v>
      </c>
      <c r="O61" s="1567" t="s">
        <v>9999</v>
      </c>
      <c r="P61" s="1567" t="s">
        <v>10033</v>
      </c>
      <c r="Q61" s="1568" t="s">
        <v>10034</v>
      </c>
      <c r="R61" s="1568" t="s">
        <v>10035</v>
      </c>
      <c r="S61" s="1568" t="s">
        <v>10036</v>
      </c>
      <c r="T61" s="1568" t="s">
        <v>7570</v>
      </c>
      <c r="U61" s="1568" t="s">
        <v>2764</v>
      </c>
      <c r="V61" s="1568" t="s">
        <v>5098</v>
      </c>
      <c r="W61" s="1569" t="s">
        <v>10037</v>
      </c>
      <c r="X61" s="1569" t="s">
        <v>10038</v>
      </c>
      <c r="Y61" s="1569" t="s">
        <v>9898</v>
      </c>
      <c r="Z61" s="1569" t="s">
        <v>8845</v>
      </c>
      <c r="AA61" s="1569" t="s">
        <v>6161</v>
      </c>
      <c r="AB61" s="1569" t="s">
        <v>5891</v>
      </c>
      <c r="AC61" s="1569" t="s">
        <v>6443</v>
      </c>
      <c r="AD61" s="1553" t="s">
        <v>10039</v>
      </c>
      <c r="AE61" s="1566" t="s">
        <v>5502</v>
      </c>
      <c r="AF61" s="1570" t="s">
        <v>10040</v>
      </c>
      <c r="AG61" s="1570" t="s">
        <v>10041</v>
      </c>
      <c r="AH61" s="1570" t="s">
        <v>10042</v>
      </c>
      <c r="AI61" s="1570" t="s">
        <v>1038</v>
      </c>
      <c r="AJ61" s="1570" t="s">
        <v>10043</v>
      </c>
      <c r="AK61" s="1556" t="s">
        <v>630</v>
      </c>
      <c r="AL61" s="1556" t="s">
        <v>10044</v>
      </c>
      <c r="AM61" s="1557" t="s">
        <v>3723</v>
      </c>
      <c r="AN61" s="1557" t="s">
        <v>10045</v>
      </c>
      <c r="AO61" s="1557" t="s">
        <v>10046</v>
      </c>
      <c r="AP61" s="1557" t="s">
        <v>10047</v>
      </c>
      <c r="AQ61" s="1557" t="s">
        <v>10048</v>
      </c>
      <c r="AR61" s="1558" t="s">
        <v>8094</v>
      </c>
      <c r="AS61" s="1557" t="s">
        <v>4420</v>
      </c>
      <c r="AT61" s="1567" t="s">
        <v>10049</v>
      </c>
      <c r="AU61" s="1571" t="s">
        <v>10050</v>
      </c>
      <c r="AV61" s="1393" t="str">
        <f t="shared" si="1"/>
        <v>4:40</v>
      </c>
      <c r="AW61" s="1595" t="s">
        <v>10051</v>
      </c>
    </row>
    <row r="62" ht="15.75" customHeight="1">
      <c r="A62" s="1529" t="s">
        <v>10052</v>
      </c>
      <c r="B62" s="1517" t="s">
        <v>8774</v>
      </c>
      <c r="C62" s="1475">
        <v>0.051631944444444446</v>
      </c>
      <c r="D62" s="1553" t="s">
        <v>10053</v>
      </c>
      <c r="E62" s="1553" t="s">
        <v>6725</v>
      </c>
      <c r="F62" s="1553" t="s">
        <v>8975</v>
      </c>
      <c r="G62" s="1553" t="s">
        <v>10054</v>
      </c>
      <c r="H62" s="1096" t="s">
        <v>10055</v>
      </c>
      <c r="I62" s="1096" t="s">
        <v>10056</v>
      </c>
      <c r="J62" s="1537" t="s">
        <v>10057</v>
      </c>
      <c r="K62" s="1537" t="s">
        <v>6967</v>
      </c>
      <c r="L62" s="1537" t="s">
        <v>4451</v>
      </c>
      <c r="M62" s="1537" t="s">
        <v>2927</v>
      </c>
      <c r="N62" s="1537" t="s">
        <v>9456</v>
      </c>
      <c r="O62" s="1537" t="s">
        <v>10058</v>
      </c>
      <c r="P62" s="1537" t="s">
        <v>2174</v>
      </c>
      <c r="Q62" s="1540" t="s">
        <v>10059</v>
      </c>
      <c r="R62" s="1540" t="s">
        <v>5929</v>
      </c>
      <c r="S62" s="1540" t="s">
        <v>5606</v>
      </c>
      <c r="T62" s="1540" t="s">
        <v>6282</v>
      </c>
      <c r="U62" s="1540" t="s">
        <v>10060</v>
      </c>
      <c r="V62" s="1540" t="s">
        <v>10061</v>
      </c>
      <c r="W62" s="1555" t="s">
        <v>10062</v>
      </c>
      <c r="X62" s="1555" t="s">
        <v>630</v>
      </c>
      <c r="Y62" s="1555" t="s">
        <v>5088</v>
      </c>
      <c r="Z62" s="1555" t="s">
        <v>10063</v>
      </c>
      <c r="AA62" s="1489" t="s">
        <v>10064</v>
      </c>
      <c r="AB62" s="1555" t="s">
        <v>9376</v>
      </c>
      <c r="AC62" s="1555" t="s">
        <v>4713</v>
      </c>
      <c r="AD62" s="1553" t="s">
        <v>10065</v>
      </c>
      <c r="AE62" s="1553" t="s">
        <v>9334</v>
      </c>
      <c r="AF62" s="1628" t="s">
        <v>10066</v>
      </c>
      <c r="AG62" s="1556" t="s">
        <v>6849</v>
      </c>
      <c r="AH62" s="1556" t="s">
        <v>10042</v>
      </c>
      <c r="AI62" s="1556" t="s">
        <v>4112</v>
      </c>
      <c r="AJ62" s="1556" t="s">
        <v>10067</v>
      </c>
      <c r="AK62" s="1556" t="s">
        <v>1526</v>
      </c>
      <c r="AL62" s="1556" t="s">
        <v>3510</v>
      </c>
      <c r="AM62" s="1558" t="s">
        <v>6161</v>
      </c>
      <c r="AN62" s="1558" t="s">
        <v>5685</v>
      </c>
      <c r="AO62" s="1558" t="s">
        <v>6657</v>
      </c>
      <c r="AP62" s="1558" t="s">
        <v>10068</v>
      </c>
      <c r="AQ62" s="1558" t="s">
        <v>3453</v>
      </c>
      <c r="AR62" s="1558" t="s">
        <v>9618</v>
      </c>
      <c r="AS62" s="1558" t="s">
        <v>4085</v>
      </c>
      <c r="AT62" s="1537" t="s">
        <v>10069</v>
      </c>
      <c r="AU62" s="1519" t="s">
        <v>10070</v>
      </c>
      <c r="AV62" s="1393" t="str">
        <f t="shared" si="1"/>
        <v>2:25</v>
      </c>
      <c r="AW62" s="1582" t="s">
        <v>10071</v>
      </c>
    </row>
    <row r="63" ht="15.75" customHeight="1">
      <c r="A63" s="1580" t="s">
        <v>10072</v>
      </c>
      <c r="B63" s="1474" t="s">
        <v>8774</v>
      </c>
      <c r="C63" s="1597">
        <v>0.051631944444444446</v>
      </c>
      <c r="D63" s="773" t="s">
        <v>10073</v>
      </c>
      <c r="E63" s="361" t="s">
        <v>10074</v>
      </c>
      <c r="F63" s="361" t="s">
        <v>8853</v>
      </c>
      <c r="G63" s="361" t="s">
        <v>10075</v>
      </c>
      <c r="H63" s="361" t="s">
        <v>10076</v>
      </c>
      <c r="I63" s="361" t="s">
        <v>10002</v>
      </c>
      <c r="J63" s="361" t="s">
        <v>3446</v>
      </c>
      <c r="K63" s="361" t="s">
        <v>10077</v>
      </c>
      <c r="L63" s="361" t="s">
        <v>5276</v>
      </c>
      <c r="M63" s="361" t="s">
        <v>713</v>
      </c>
      <c r="N63" s="361" t="s">
        <v>10078</v>
      </c>
      <c r="O63" s="361" t="s">
        <v>4722</v>
      </c>
      <c r="P63" s="361" t="s">
        <v>8806</v>
      </c>
      <c r="Q63" s="361" t="s">
        <v>2779</v>
      </c>
      <c r="R63" s="361" t="s">
        <v>10079</v>
      </c>
      <c r="S63" s="361" t="s">
        <v>9860</v>
      </c>
      <c r="T63" s="361" t="s">
        <v>9278</v>
      </c>
      <c r="U63" s="361" t="s">
        <v>10080</v>
      </c>
      <c r="V63" s="361" t="s">
        <v>10081</v>
      </c>
      <c r="W63" s="361" t="s">
        <v>10082</v>
      </c>
      <c r="X63" s="361" t="s">
        <v>10004</v>
      </c>
      <c r="Y63" s="361" t="s">
        <v>4713</v>
      </c>
      <c r="Z63" s="361" t="s">
        <v>7460</v>
      </c>
      <c r="AA63" s="361" t="s">
        <v>5928</v>
      </c>
      <c r="AB63" s="361" t="s">
        <v>10083</v>
      </c>
      <c r="AC63" s="361" t="s">
        <v>389</v>
      </c>
      <c r="AD63" s="361" t="s">
        <v>6102</v>
      </c>
      <c r="AE63" s="361" t="s">
        <v>3107</v>
      </c>
      <c r="AF63" s="361" t="s">
        <v>9753</v>
      </c>
      <c r="AG63" s="361" t="s">
        <v>10084</v>
      </c>
      <c r="AH63" s="361" t="s">
        <v>5418</v>
      </c>
      <c r="AI63" s="361" t="s">
        <v>3574</v>
      </c>
      <c r="AJ63" s="361" t="s">
        <v>10085</v>
      </c>
      <c r="AK63" s="361" t="s">
        <v>9920</v>
      </c>
      <c r="AL63" s="361" t="s">
        <v>5202</v>
      </c>
      <c r="AM63" s="361" t="s">
        <v>10086</v>
      </c>
      <c r="AN63" s="361" t="s">
        <v>8622</v>
      </c>
      <c r="AO63" s="361" t="s">
        <v>5141</v>
      </c>
      <c r="AP63" s="361" t="s">
        <v>10087</v>
      </c>
      <c r="AQ63" s="361" t="s">
        <v>3689</v>
      </c>
      <c r="AR63" s="361" t="s">
        <v>9440</v>
      </c>
      <c r="AS63" s="361" t="s">
        <v>4700</v>
      </c>
      <c r="AT63" s="361" t="s">
        <v>10088</v>
      </c>
      <c r="AU63" s="1629" t="str">
        <f>HYPERLINK("https://splits.io/pc9","1:16:48")</f>
        <v>1:16:48</v>
      </c>
      <c r="AV63" s="1393" t="str">
        <f t="shared" si="1"/>
        <v>2:27</v>
      </c>
      <c r="AW63" s="1630" t="s">
        <v>10089</v>
      </c>
    </row>
    <row r="64" ht="15.75" customHeight="1">
      <c r="A64" s="1473" t="s">
        <v>5888</v>
      </c>
      <c r="B64" s="1474" t="s">
        <v>8774</v>
      </c>
      <c r="C64" s="1597">
        <v>0.051631944444444446</v>
      </c>
      <c r="D64" s="773" t="s">
        <v>10090</v>
      </c>
      <c r="E64" s="361" t="s">
        <v>6882</v>
      </c>
      <c r="F64" s="361" t="s">
        <v>10091</v>
      </c>
      <c r="G64" s="361" t="s">
        <v>5351</v>
      </c>
      <c r="H64" s="361" t="s">
        <v>9663</v>
      </c>
      <c r="I64" s="361" t="s">
        <v>4713</v>
      </c>
      <c r="J64" s="361" t="s">
        <v>8964</v>
      </c>
      <c r="K64" s="361" t="s">
        <v>8634</v>
      </c>
      <c r="L64" s="361" t="s">
        <v>5874</v>
      </c>
      <c r="M64" s="361" t="s">
        <v>939</v>
      </c>
      <c r="N64" s="361" t="s">
        <v>10092</v>
      </c>
      <c r="O64" s="361" t="s">
        <v>9894</v>
      </c>
      <c r="P64" s="361" t="s">
        <v>9756</v>
      </c>
      <c r="Q64" s="361" t="s">
        <v>10093</v>
      </c>
      <c r="R64" s="361" t="s">
        <v>10035</v>
      </c>
      <c r="S64" s="361" t="s">
        <v>7487</v>
      </c>
      <c r="T64" s="361" t="s">
        <v>10094</v>
      </c>
      <c r="U64" s="361" t="s">
        <v>10095</v>
      </c>
      <c r="V64" s="361" t="s">
        <v>10096</v>
      </c>
      <c r="W64" s="361" t="s">
        <v>10097</v>
      </c>
      <c r="X64" s="361" t="s">
        <v>10098</v>
      </c>
      <c r="Y64" s="361" t="s">
        <v>1165</v>
      </c>
      <c r="Z64" s="361" t="s">
        <v>4856</v>
      </c>
      <c r="AA64" s="361" t="s">
        <v>10099</v>
      </c>
      <c r="AB64" s="361" t="s">
        <v>7543</v>
      </c>
      <c r="AC64" s="361" t="s">
        <v>10100</v>
      </c>
      <c r="AD64" s="361" t="s">
        <v>10101</v>
      </c>
      <c r="AE64" s="1579" t="s">
        <v>5481</v>
      </c>
      <c r="AF64" s="361" t="s">
        <v>10102</v>
      </c>
      <c r="AG64" s="361" t="s">
        <v>10103</v>
      </c>
      <c r="AH64" s="361" t="s">
        <v>2254</v>
      </c>
      <c r="AI64" s="361" t="s">
        <v>5232</v>
      </c>
      <c r="AJ64" s="361" t="s">
        <v>8440</v>
      </c>
      <c r="AK64" s="361" t="s">
        <v>1707</v>
      </c>
      <c r="AL64" s="361" t="s">
        <v>5685</v>
      </c>
      <c r="AM64" s="361" t="s">
        <v>10104</v>
      </c>
      <c r="AN64" s="361" t="s">
        <v>10105</v>
      </c>
      <c r="AO64" s="361" t="s">
        <v>9076</v>
      </c>
      <c r="AP64" s="361" t="s">
        <v>4916</v>
      </c>
      <c r="AQ64" s="361" t="s">
        <v>10106</v>
      </c>
      <c r="AR64" s="361" t="s">
        <v>4843</v>
      </c>
      <c r="AS64" s="361" t="s">
        <v>3035</v>
      </c>
      <c r="AT64" s="361" t="s">
        <v>10107</v>
      </c>
      <c r="AU64" s="361" t="s">
        <v>10108</v>
      </c>
      <c r="AV64" s="1393" t="str">
        <f t="shared" si="1"/>
        <v>3:33</v>
      </c>
      <c r="AW64" s="1630"/>
    </row>
    <row r="65" ht="15.75" customHeight="1">
      <c r="A65" s="1473" t="s">
        <v>4217</v>
      </c>
      <c r="B65" s="1474" t="s">
        <v>8774</v>
      </c>
      <c r="C65" s="1597">
        <v>0.05164351851851852</v>
      </c>
      <c r="D65" s="773" t="s">
        <v>10109</v>
      </c>
      <c r="E65" s="361" t="s">
        <v>8984</v>
      </c>
      <c r="F65" s="361" t="s">
        <v>10110</v>
      </c>
      <c r="G65" s="361" t="s">
        <v>8831</v>
      </c>
      <c r="H65" s="361" t="s">
        <v>10111</v>
      </c>
      <c r="I65" s="361" t="s">
        <v>1294</v>
      </c>
      <c r="J65" s="361" t="s">
        <v>806</v>
      </c>
      <c r="K65" s="361" t="s">
        <v>7438</v>
      </c>
      <c r="L65" s="361" t="s">
        <v>3724</v>
      </c>
      <c r="M65" s="361" t="s">
        <v>2927</v>
      </c>
      <c r="N65" s="361" t="s">
        <v>9155</v>
      </c>
      <c r="O65" s="361" t="s">
        <v>9760</v>
      </c>
      <c r="P65" s="361" t="s">
        <v>5187</v>
      </c>
      <c r="Q65" s="361" t="s">
        <v>10112</v>
      </c>
      <c r="R65" s="361" t="s">
        <v>8714</v>
      </c>
      <c r="S65" s="361" t="s">
        <v>10113</v>
      </c>
      <c r="T65" s="361" t="s">
        <v>10114</v>
      </c>
      <c r="U65" s="361" t="s">
        <v>10115</v>
      </c>
      <c r="V65" s="361" t="s">
        <v>10116</v>
      </c>
      <c r="W65" s="361" t="s">
        <v>10117</v>
      </c>
      <c r="X65" s="361" t="s">
        <v>609</v>
      </c>
      <c r="Y65" s="361" t="s">
        <v>10118</v>
      </c>
      <c r="Z65" s="361" t="s">
        <v>7864</v>
      </c>
      <c r="AA65" s="361" t="s">
        <v>5610</v>
      </c>
      <c r="AB65" s="361" t="s">
        <v>6658</v>
      </c>
      <c r="AC65" s="361" t="s">
        <v>6818</v>
      </c>
      <c r="AD65" s="361" t="s">
        <v>10119</v>
      </c>
      <c r="AE65" s="361" t="s">
        <v>1849</v>
      </c>
      <c r="AF65" s="361" t="s">
        <v>10120</v>
      </c>
      <c r="AG65" s="361" t="s">
        <v>529</v>
      </c>
      <c r="AH65" s="361" t="s">
        <v>5418</v>
      </c>
      <c r="AI65" s="361" t="s">
        <v>10121</v>
      </c>
      <c r="AJ65" s="361" t="s">
        <v>10122</v>
      </c>
      <c r="AK65" s="361" t="s">
        <v>10123</v>
      </c>
      <c r="AL65" s="361" t="s">
        <v>5184</v>
      </c>
      <c r="AM65" s="361" t="s">
        <v>9562</v>
      </c>
      <c r="AN65" s="361" t="s">
        <v>9217</v>
      </c>
      <c r="AO65" s="361" t="s">
        <v>9970</v>
      </c>
      <c r="AP65" s="361" t="s">
        <v>10124</v>
      </c>
      <c r="AQ65" s="361" t="s">
        <v>10125</v>
      </c>
      <c r="AR65" s="361" t="s">
        <v>3620</v>
      </c>
      <c r="AS65" s="361" t="s">
        <v>10126</v>
      </c>
      <c r="AT65" s="361" t="s">
        <v>9921</v>
      </c>
      <c r="AU65" s="361" t="s">
        <v>10127</v>
      </c>
      <c r="AV65" s="1393" t="str">
        <f t="shared" si="1"/>
        <v>3:13</v>
      </c>
      <c r="AW65" s="1630" t="s">
        <v>10128</v>
      </c>
    </row>
    <row r="66" ht="15.75" customHeight="1">
      <c r="A66" s="1486" t="s">
        <v>901</v>
      </c>
      <c r="B66" s="1617" t="s">
        <v>8827</v>
      </c>
      <c r="C66" s="1597">
        <v>0.05167824074074074</v>
      </c>
      <c r="D66" s="773" t="s">
        <v>10129</v>
      </c>
      <c r="E66" s="361" t="s">
        <v>10130</v>
      </c>
      <c r="F66" s="361" t="s">
        <v>5934</v>
      </c>
      <c r="G66" s="361" t="s">
        <v>10131</v>
      </c>
      <c r="H66" s="361" t="s">
        <v>10132</v>
      </c>
      <c r="I66" s="361" t="s">
        <v>1838</v>
      </c>
      <c r="J66" s="361" t="s">
        <v>9996</v>
      </c>
      <c r="K66" s="361" t="s">
        <v>9136</v>
      </c>
      <c r="L66" s="361" t="s">
        <v>1899</v>
      </c>
      <c r="M66" s="361" t="s">
        <v>7530</v>
      </c>
      <c r="N66" s="361" t="s">
        <v>10133</v>
      </c>
      <c r="O66" s="361" t="s">
        <v>10134</v>
      </c>
      <c r="P66" s="361" t="s">
        <v>2383</v>
      </c>
      <c r="Q66" s="361" t="s">
        <v>721</v>
      </c>
      <c r="R66" s="361" t="s">
        <v>10135</v>
      </c>
      <c r="S66" s="361" t="s">
        <v>10136</v>
      </c>
      <c r="T66" s="361" t="s">
        <v>10137</v>
      </c>
      <c r="U66" s="361" t="s">
        <v>9715</v>
      </c>
      <c r="V66" s="361" t="s">
        <v>490</v>
      </c>
      <c r="W66" s="361" t="s">
        <v>5968</v>
      </c>
      <c r="X66" s="361" t="s">
        <v>10138</v>
      </c>
      <c r="Y66" s="361" t="s">
        <v>944</v>
      </c>
      <c r="Z66" s="361" t="s">
        <v>3904</v>
      </c>
      <c r="AA66" s="361" t="s">
        <v>1623</v>
      </c>
      <c r="AB66" s="361" t="s">
        <v>10139</v>
      </c>
      <c r="AC66" s="361" t="s">
        <v>9056</v>
      </c>
      <c r="AD66" s="1579" t="s">
        <v>10140</v>
      </c>
      <c r="AE66" s="361" t="s">
        <v>1863</v>
      </c>
      <c r="AF66" s="361" t="s">
        <v>9603</v>
      </c>
      <c r="AG66" s="361" t="s">
        <v>6964</v>
      </c>
      <c r="AH66" s="361" t="s">
        <v>4451</v>
      </c>
      <c r="AI66" s="361" t="s">
        <v>6405</v>
      </c>
      <c r="AJ66" s="361" t="s">
        <v>10141</v>
      </c>
      <c r="AK66" s="361" t="s">
        <v>8922</v>
      </c>
      <c r="AL66" s="361" t="s">
        <v>5231</v>
      </c>
      <c r="AM66" s="361" t="s">
        <v>10142</v>
      </c>
      <c r="AN66" s="361" t="s">
        <v>10143</v>
      </c>
      <c r="AO66" s="361" t="s">
        <v>10144</v>
      </c>
      <c r="AP66" s="361" t="s">
        <v>10145</v>
      </c>
      <c r="AQ66" s="361" t="s">
        <v>10146</v>
      </c>
      <c r="AR66" s="361" t="s">
        <v>10147</v>
      </c>
      <c r="AS66" s="361" t="s">
        <v>2568</v>
      </c>
      <c r="AT66" s="361" t="s">
        <v>10148</v>
      </c>
      <c r="AU66" s="361" t="s">
        <v>10149</v>
      </c>
      <c r="AV66" s="1393" t="str">
        <f t="shared" si="1"/>
        <v>2:51</v>
      </c>
      <c r="AW66" s="1631"/>
    </row>
    <row r="67" ht="15.75" customHeight="1">
      <c r="A67" s="1529" t="s">
        <v>4635</v>
      </c>
      <c r="B67" s="1563" t="s">
        <v>8801</v>
      </c>
      <c r="C67" s="1597">
        <v>0.05170138888888889</v>
      </c>
      <c r="D67" s="773" t="s">
        <v>10150</v>
      </c>
      <c r="E67" s="361" t="s">
        <v>4255</v>
      </c>
      <c r="F67" s="361" t="s">
        <v>9705</v>
      </c>
      <c r="G67" s="361" t="s">
        <v>9614</v>
      </c>
      <c r="H67" s="361" t="s">
        <v>10151</v>
      </c>
      <c r="I67" s="361" t="s">
        <v>10152</v>
      </c>
      <c r="J67" s="361" t="s">
        <v>9720</v>
      </c>
      <c r="K67" s="361" t="s">
        <v>9076</v>
      </c>
      <c r="L67" s="361" t="s">
        <v>4088</v>
      </c>
      <c r="M67" s="361" t="s">
        <v>7762</v>
      </c>
      <c r="N67" s="361" t="s">
        <v>6177</v>
      </c>
      <c r="O67" s="361" t="s">
        <v>9845</v>
      </c>
      <c r="P67" s="361" t="s">
        <v>485</v>
      </c>
      <c r="Q67" s="361" t="s">
        <v>2794</v>
      </c>
      <c r="R67" s="361" t="s">
        <v>8891</v>
      </c>
      <c r="S67" s="361" t="s">
        <v>10046</v>
      </c>
      <c r="T67" s="361" t="s">
        <v>2891</v>
      </c>
      <c r="U67" s="361" t="s">
        <v>10153</v>
      </c>
      <c r="V67" s="361" t="s">
        <v>10154</v>
      </c>
      <c r="W67" s="361" t="s">
        <v>10082</v>
      </c>
      <c r="X67" s="361" t="s">
        <v>3723</v>
      </c>
      <c r="Y67" s="361" t="s">
        <v>2446</v>
      </c>
      <c r="Z67" s="361" t="s">
        <v>493</v>
      </c>
      <c r="AA67" s="361" t="s">
        <v>630</v>
      </c>
      <c r="AB67" s="361" t="s">
        <v>10155</v>
      </c>
      <c r="AC67" s="361" t="s">
        <v>5771</v>
      </c>
      <c r="AD67" s="361" t="s">
        <v>9777</v>
      </c>
      <c r="AE67" s="361" t="s">
        <v>680</v>
      </c>
      <c r="AF67" s="361" t="s">
        <v>10156</v>
      </c>
      <c r="AG67" s="361" t="s">
        <v>10157</v>
      </c>
      <c r="AH67" s="361" t="s">
        <v>10158</v>
      </c>
      <c r="AI67" s="361" t="s">
        <v>10159</v>
      </c>
      <c r="AJ67" s="361" t="s">
        <v>10160</v>
      </c>
      <c r="AK67" s="361" t="s">
        <v>9724</v>
      </c>
      <c r="AL67" s="361" t="s">
        <v>10161</v>
      </c>
      <c r="AM67" s="361" t="s">
        <v>10022</v>
      </c>
      <c r="AN67" s="361" t="s">
        <v>10162</v>
      </c>
      <c r="AO67" s="361" t="s">
        <v>9768</v>
      </c>
      <c r="AP67" s="361" t="s">
        <v>3320</v>
      </c>
      <c r="AQ67" s="361" t="s">
        <v>10163</v>
      </c>
      <c r="AR67" s="361" t="s">
        <v>10164</v>
      </c>
      <c r="AS67" s="361" t="s">
        <v>6561</v>
      </c>
      <c r="AT67" s="361" t="s">
        <v>10165</v>
      </c>
      <c r="AU67" s="361" t="s">
        <v>10166</v>
      </c>
      <c r="AV67" s="1393" t="str">
        <f t="shared" si="1"/>
        <v>2:37</v>
      </c>
      <c r="AW67" s="1631" t="s">
        <v>10167</v>
      </c>
    </row>
    <row r="68" ht="15.75" customHeight="1">
      <c r="A68" s="1529" t="s">
        <v>5103</v>
      </c>
      <c r="B68" s="1527" t="s">
        <v>8801</v>
      </c>
      <c r="C68" s="1475">
        <v>0.05171296296296296</v>
      </c>
      <c r="D68" s="1604" t="s">
        <v>10168</v>
      </c>
      <c r="E68" s="1579" t="s">
        <v>10169</v>
      </c>
      <c r="F68" s="1579" t="s">
        <v>1471</v>
      </c>
      <c r="G68" s="1579" t="s">
        <v>10170</v>
      </c>
      <c r="H68" s="1579" t="s">
        <v>8897</v>
      </c>
      <c r="I68" s="1579" t="s">
        <v>10171</v>
      </c>
      <c r="J68" s="1579" t="s">
        <v>888</v>
      </c>
      <c r="K68" s="1579" t="s">
        <v>4901</v>
      </c>
      <c r="L68" s="1579" t="s">
        <v>1889</v>
      </c>
      <c r="M68" s="1632" t="s">
        <v>10172</v>
      </c>
      <c r="N68" s="1579" t="s">
        <v>10173</v>
      </c>
      <c r="O68" s="1579" t="s">
        <v>1785</v>
      </c>
      <c r="P68" s="1579" t="s">
        <v>5088</v>
      </c>
      <c r="Q68" s="1579" t="s">
        <v>2926</v>
      </c>
      <c r="R68" s="1579" t="s">
        <v>10174</v>
      </c>
      <c r="S68" s="1579" t="s">
        <v>8881</v>
      </c>
      <c r="T68" s="1579" t="s">
        <v>10175</v>
      </c>
      <c r="U68" s="1579" t="s">
        <v>9975</v>
      </c>
      <c r="V68" s="1632" t="s">
        <v>10176</v>
      </c>
      <c r="W68" s="1632" t="s">
        <v>10177</v>
      </c>
      <c r="X68" s="1579" t="s">
        <v>9851</v>
      </c>
      <c r="Y68" s="773" t="s">
        <v>2552</v>
      </c>
      <c r="Z68" s="1579" t="s">
        <v>1524</v>
      </c>
      <c r="AA68" s="1579" t="s">
        <v>201</v>
      </c>
      <c r="AB68" s="1632" t="s">
        <v>10178</v>
      </c>
      <c r="AC68" s="1579" t="s">
        <v>1849</v>
      </c>
      <c r="AD68" s="1579" t="s">
        <v>10179</v>
      </c>
      <c r="AE68" s="1579" t="s">
        <v>3844</v>
      </c>
      <c r="AF68" s="1579" t="s">
        <v>10180</v>
      </c>
      <c r="AG68" s="1579" t="s">
        <v>529</v>
      </c>
      <c r="AH68" s="1579" t="s">
        <v>10181</v>
      </c>
      <c r="AI68" s="1579" t="s">
        <v>5444</v>
      </c>
      <c r="AJ68" s="1579" t="s">
        <v>10182</v>
      </c>
      <c r="AK68" s="1579" t="s">
        <v>10183</v>
      </c>
      <c r="AL68" s="1579" t="s">
        <v>1662</v>
      </c>
      <c r="AM68" s="1579" t="s">
        <v>10013</v>
      </c>
      <c r="AN68" s="1579" t="s">
        <v>10184</v>
      </c>
      <c r="AO68" s="1579" t="s">
        <v>2866</v>
      </c>
      <c r="AP68" s="1579" t="s">
        <v>2008</v>
      </c>
      <c r="AQ68" s="1579" t="s">
        <v>759</v>
      </c>
      <c r="AR68" s="1579" t="s">
        <v>9795</v>
      </c>
      <c r="AS68" s="1579" t="s">
        <v>7225</v>
      </c>
      <c r="AT68" s="1579" t="s">
        <v>10185</v>
      </c>
      <c r="AU68" s="1579" t="s">
        <v>10186</v>
      </c>
      <c r="AV68" s="1393" t="str">
        <f t="shared" si="1"/>
        <v>4:14</v>
      </c>
      <c r="AW68" s="1627" t="s">
        <v>10187</v>
      </c>
    </row>
    <row r="69" ht="15.75" customHeight="1">
      <c r="A69" s="1529" t="s">
        <v>2190</v>
      </c>
      <c r="B69" s="1613" t="s">
        <v>8801</v>
      </c>
      <c r="C69" s="1475">
        <v>0.05173611111111111</v>
      </c>
      <c r="D69" s="773" t="s">
        <v>10188</v>
      </c>
      <c r="E69" s="1579" t="s">
        <v>10189</v>
      </c>
      <c r="F69" s="1579" t="s">
        <v>10190</v>
      </c>
      <c r="G69" s="1579" t="s">
        <v>10191</v>
      </c>
      <c r="H69" s="1579" t="s">
        <v>7697</v>
      </c>
      <c r="I69" s="1579" t="s">
        <v>498</v>
      </c>
      <c r="J69" s="1579" t="s">
        <v>9199</v>
      </c>
      <c r="K69" s="1579" t="s">
        <v>8786</v>
      </c>
      <c r="L69" s="1579" t="s">
        <v>7305</v>
      </c>
      <c r="M69" s="1579" t="s">
        <v>3637</v>
      </c>
      <c r="N69" s="1579" t="s">
        <v>10192</v>
      </c>
      <c r="O69" s="1579" t="s">
        <v>10193</v>
      </c>
      <c r="P69" s="1579" t="s">
        <v>3747</v>
      </c>
      <c r="Q69" s="1579" t="s">
        <v>10194</v>
      </c>
      <c r="R69" s="1579" t="s">
        <v>10135</v>
      </c>
      <c r="S69" s="1579" t="s">
        <v>5551</v>
      </c>
      <c r="T69" s="1579" t="s">
        <v>10195</v>
      </c>
      <c r="U69" s="1579" t="s">
        <v>10196</v>
      </c>
      <c r="V69" s="1579" t="s">
        <v>361</v>
      </c>
      <c r="W69" s="1579" t="s">
        <v>5614</v>
      </c>
      <c r="X69" s="1579" t="s">
        <v>10041</v>
      </c>
      <c r="Y69" s="1579" t="s">
        <v>1165</v>
      </c>
      <c r="Z69" s="1579" t="s">
        <v>10197</v>
      </c>
      <c r="AA69" s="1579" t="s">
        <v>5928</v>
      </c>
      <c r="AB69" s="1579" t="s">
        <v>6656</v>
      </c>
      <c r="AC69" s="1579" t="s">
        <v>162</v>
      </c>
      <c r="AD69" s="1579" t="s">
        <v>10065</v>
      </c>
      <c r="AE69" s="1579" t="s">
        <v>9494</v>
      </c>
      <c r="AF69" s="1579" t="s">
        <v>9507</v>
      </c>
      <c r="AG69" s="1579" t="s">
        <v>10198</v>
      </c>
      <c r="AH69" s="1579" t="s">
        <v>10199</v>
      </c>
      <c r="AI69" s="1579" t="s">
        <v>10200</v>
      </c>
      <c r="AJ69" s="1579" t="s">
        <v>6133</v>
      </c>
      <c r="AK69" s="1579" t="s">
        <v>7619</v>
      </c>
      <c r="AL69" s="1579" t="s">
        <v>10201</v>
      </c>
      <c r="AM69" s="1579" t="s">
        <v>2975</v>
      </c>
      <c r="AN69" s="1579" t="s">
        <v>5184</v>
      </c>
      <c r="AO69" s="1579" t="s">
        <v>9967</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8138</v>
      </c>
      <c r="B70" s="1517" t="s">
        <v>8827</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7606</v>
      </c>
      <c r="P70" s="1491" t="s">
        <v>10216</v>
      </c>
      <c r="Q70" s="1491" t="s">
        <v>10217</v>
      </c>
      <c r="R70" s="1492" t="s">
        <v>10218</v>
      </c>
      <c r="S70" s="1492" t="s">
        <v>9860</v>
      </c>
      <c r="T70" s="1492" t="s">
        <v>10219</v>
      </c>
      <c r="U70" s="1492" t="s">
        <v>10220</v>
      </c>
      <c r="V70" s="1492" t="s">
        <v>4303</v>
      </c>
      <c r="W70" s="1492" t="s">
        <v>10221</v>
      </c>
      <c r="X70" s="1492" t="s">
        <v>10222</v>
      </c>
      <c r="Y70" s="1491" t="s">
        <v>9725</v>
      </c>
      <c r="Z70" s="1633" t="s">
        <v>8843</v>
      </c>
      <c r="AA70" s="1492" t="s">
        <v>969</v>
      </c>
      <c r="AB70" s="1491" t="s">
        <v>4339</v>
      </c>
      <c r="AC70" s="1492">
        <v>49.53</v>
      </c>
      <c r="AD70" s="1492" t="s">
        <v>1938</v>
      </c>
      <c r="AE70" s="1491" t="s">
        <v>10223</v>
      </c>
      <c r="AF70" s="1492" t="s">
        <v>8972</v>
      </c>
      <c r="AG70" s="1492" t="s">
        <v>10224</v>
      </c>
      <c r="AH70" s="1492">
        <v>59.93</v>
      </c>
      <c r="AI70" s="1492" t="s">
        <v>10225</v>
      </c>
      <c r="AJ70" s="1492" t="s">
        <v>10226</v>
      </c>
      <c r="AK70" s="1492" t="s">
        <v>5957</v>
      </c>
      <c r="AL70" s="1492">
        <v>59.13</v>
      </c>
      <c r="AM70" s="1492" t="s">
        <v>10164</v>
      </c>
      <c r="AN70" s="1492">
        <v>57.86</v>
      </c>
      <c r="AO70" s="1492" t="s">
        <v>7917</v>
      </c>
      <c r="AP70" s="1492" t="s">
        <v>4915</v>
      </c>
      <c r="AQ70" s="1492" t="s">
        <v>9731</v>
      </c>
      <c r="AR70" s="1492" t="s">
        <v>6234</v>
      </c>
      <c r="AS70" s="1492">
        <v>47.67</v>
      </c>
      <c r="AT70" s="1579" t="s">
        <v>10227</v>
      </c>
      <c r="AU70" s="1579" t="s">
        <v>10228</v>
      </c>
      <c r="AV70" s="1393" t="str">
        <f t="shared" si="1"/>
        <v>2:57</v>
      </c>
      <c r="AW70" s="1612" t="s">
        <v>10229</v>
      </c>
    </row>
    <row r="71">
      <c r="A71" s="1215" t="s">
        <v>1258</v>
      </c>
      <c r="B71" s="1527" t="s">
        <v>8801</v>
      </c>
      <c r="C71" s="1634">
        <v>0.05181712962962963</v>
      </c>
      <c r="D71" s="1481" t="s">
        <v>10230</v>
      </c>
      <c r="E71" s="1481" t="s">
        <v>6731</v>
      </c>
      <c r="F71" s="1481" t="s">
        <v>10231</v>
      </c>
      <c r="G71" s="1481" t="s">
        <v>10232</v>
      </c>
      <c r="H71" s="1481" t="s">
        <v>10233</v>
      </c>
      <c r="I71" s="1481" t="s">
        <v>5045</v>
      </c>
      <c r="J71" s="1481" t="s">
        <v>9183</v>
      </c>
      <c r="K71" s="1481" t="s">
        <v>8811</v>
      </c>
      <c r="L71" s="1481" t="s">
        <v>10199</v>
      </c>
      <c r="M71" s="1481" t="s">
        <v>1456</v>
      </c>
      <c r="N71" s="1481" t="s">
        <v>9694</v>
      </c>
      <c r="O71" s="1481" t="s">
        <v>7669</v>
      </c>
      <c r="P71" s="1481" t="s">
        <v>9273</v>
      </c>
      <c r="Q71" s="1481" t="s">
        <v>10234</v>
      </c>
      <c r="R71" s="1481" t="s">
        <v>7547</v>
      </c>
      <c r="S71" s="1481" t="s">
        <v>3644</v>
      </c>
      <c r="T71" s="1481" t="s">
        <v>10235</v>
      </c>
      <c r="U71" s="1481" t="s">
        <v>10236</v>
      </c>
      <c r="V71" s="1481" t="s">
        <v>10154</v>
      </c>
      <c r="W71" s="1481" t="s">
        <v>8903</v>
      </c>
      <c r="X71" s="1481" t="s">
        <v>9785</v>
      </c>
      <c r="Y71" s="1481" t="s">
        <v>10237</v>
      </c>
      <c r="Z71" s="1481" t="s">
        <v>6386</v>
      </c>
      <c r="AA71" s="1481" t="s">
        <v>959</v>
      </c>
      <c r="AB71" s="1481" t="s">
        <v>10238</v>
      </c>
      <c r="AC71" s="1481" t="s">
        <v>2099</v>
      </c>
      <c r="AD71" s="1481" t="s">
        <v>10239</v>
      </c>
      <c r="AE71" s="1481" t="s">
        <v>2174</v>
      </c>
      <c r="AF71" s="1481" t="s">
        <v>9921</v>
      </c>
      <c r="AG71" s="1481" t="s">
        <v>402</v>
      </c>
      <c r="AH71" s="1481" t="s">
        <v>10240</v>
      </c>
      <c r="AI71" s="1481" t="s">
        <v>248</v>
      </c>
      <c r="AJ71" s="1481" t="s">
        <v>10241</v>
      </c>
      <c r="AK71" s="1481" t="s">
        <v>9511</v>
      </c>
      <c r="AL71" s="1481" t="s">
        <v>4727</v>
      </c>
      <c r="AM71" s="1481" t="s">
        <v>10242</v>
      </c>
      <c r="AN71" s="1481" t="s">
        <v>9556</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3126</v>
      </c>
      <c r="B72" s="1563" t="s">
        <v>8801</v>
      </c>
      <c r="C72" s="1597">
        <v>0.051863425925925924</v>
      </c>
      <c r="D72" s="773" t="s">
        <v>10250</v>
      </c>
      <c r="E72" s="361" t="s">
        <v>6548</v>
      </c>
      <c r="F72" s="361" t="s">
        <v>10251</v>
      </c>
      <c r="G72" s="361" t="s">
        <v>10252</v>
      </c>
      <c r="H72" s="361" t="s">
        <v>10253</v>
      </c>
      <c r="I72" s="361" t="s">
        <v>2031</v>
      </c>
      <c r="J72" s="361" t="s">
        <v>1762</v>
      </c>
      <c r="K72" s="361" t="s">
        <v>1596</v>
      </c>
      <c r="L72" s="361" t="s">
        <v>3134</v>
      </c>
      <c r="M72" s="361" t="s">
        <v>10035</v>
      </c>
      <c r="N72" s="361" t="s">
        <v>5129</v>
      </c>
      <c r="O72" s="361" t="s">
        <v>10254</v>
      </c>
      <c r="P72" s="361" t="s">
        <v>1235</v>
      </c>
      <c r="Q72" s="361" t="s">
        <v>10255</v>
      </c>
      <c r="R72" s="361" t="s">
        <v>5834</v>
      </c>
      <c r="S72" s="361" t="s">
        <v>10256</v>
      </c>
      <c r="T72" s="361" t="s">
        <v>10257</v>
      </c>
      <c r="U72" s="361" t="s">
        <v>10258</v>
      </c>
      <c r="V72" s="361" t="s">
        <v>9804</v>
      </c>
      <c r="W72" s="361" t="s">
        <v>10259</v>
      </c>
      <c r="X72" s="361" t="s">
        <v>10159</v>
      </c>
      <c r="Y72" s="361" t="s">
        <v>3357</v>
      </c>
      <c r="Z72" s="361" t="s">
        <v>10260</v>
      </c>
      <c r="AA72" s="361" t="s">
        <v>10261</v>
      </c>
      <c r="AB72" s="361" t="s">
        <v>8681</v>
      </c>
      <c r="AC72" s="361" t="s">
        <v>5771</v>
      </c>
      <c r="AD72" s="361" t="s">
        <v>10262</v>
      </c>
      <c r="AE72" s="361" t="s">
        <v>1183</v>
      </c>
      <c r="AF72" s="361" t="s">
        <v>10263</v>
      </c>
      <c r="AG72" s="361" t="s">
        <v>10264</v>
      </c>
      <c r="AH72" s="361" t="s">
        <v>5276</v>
      </c>
      <c r="AI72" s="361" t="s">
        <v>10200</v>
      </c>
      <c r="AJ72" s="361" t="s">
        <v>10265</v>
      </c>
      <c r="AK72" s="361" t="s">
        <v>1842</v>
      </c>
      <c r="AL72" s="361" t="s">
        <v>10240</v>
      </c>
      <c r="AM72" s="361" t="s">
        <v>10266</v>
      </c>
      <c r="AN72" s="361" t="s">
        <v>9713</v>
      </c>
      <c r="AO72" s="361" t="s">
        <v>8968</v>
      </c>
      <c r="AP72" s="361" t="s">
        <v>10267</v>
      </c>
      <c r="AQ72" s="361" t="s">
        <v>10268</v>
      </c>
      <c r="AR72" s="361" t="s">
        <v>2229</v>
      </c>
      <c r="AS72" s="361" t="s">
        <v>4834</v>
      </c>
      <c r="AT72" s="361" t="s">
        <v>10269</v>
      </c>
      <c r="AU72" s="361" t="s">
        <v>10270</v>
      </c>
      <c r="AV72" s="1393" t="str">
        <f t="shared" si="1"/>
        <v>2:06</v>
      </c>
      <c r="AW72" s="1627" t="s">
        <v>10271</v>
      </c>
    </row>
    <row r="73" ht="15.75" customHeight="1">
      <c r="A73" s="1473" t="s">
        <v>1128</v>
      </c>
      <c r="B73" s="1474" t="s">
        <v>8774</v>
      </c>
      <c r="C73" s="1597">
        <v>0.051875</v>
      </c>
      <c r="D73" s="773" t="s">
        <v>10272</v>
      </c>
      <c r="E73" s="361" t="s">
        <v>3202</v>
      </c>
      <c r="F73" s="361" t="s">
        <v>10273</v>
      </c>
      <c r="G73" s="361" t="s">
        <v>10274</v>
      </c>
      <c r="H73" s="361" t="s">
        <v>10275</v>
      </c>
      <c r="I73" s="361" t="s">
        <v>10276</v>
      </c>
      <c r="J73" s="361" t="s">
        <v>2527</v>
      </c>
      <c r="K73" s="361" t="s">
        <v>10277</v>
      </c>
      <c r="L73" s="361" t="s">
        <v>9037</v>
      </c>
      <c r="M73" s="361" t="s">
        <v>7809</v>
      </c>
      <c r="N73" s="361" t="s">
        <v>9278</v>
      </c>
      <c r="O73" s="361" t="s">
        <v>4465</v>
      </c>
      <c r="P73" s="361" t="s">
        <v>1529</v>
      </c>
      <c r="Q73" s="361" t="s">
        <v>10278</v>
      </c>
      <c r="R73" s="361" t="s">
        <v>2079</v>
      </c>
      <c r="S73" s="361" t="s">
        <v>4430</v>
      </c>
      <c r="T73" s="361" t="s">
        <v>10279</v>
      </c>
      <c r="U73" s="361" t="s">
        <v>10080</v>
      </c>
      <c r="V73" s="361" t="s">
        <v>6557</v>
      </c>
      <c r="W73" s="361" t="s">
        <v>4465</v>
      </c>
      <c r="X73" s="361" t="s">
        <v>9694</v>
      </c>
      <c r="Y73" s="361" t="s">
        <v>9727</v>
      </c>
      <c r="Z73" s="361" t="s">
        <v>6504</v>
      </c>
      <c r="AA73" s="361" t="s">
        <v>421</v>
      </c>
      <c r="AB73" s="361" t="s">
        <v>624</v>
      </c>
      <c r="AC73" s="361" t="s">
        <v>10280</v>
      </c>
      <c r="AD73" s="361" t="s">
        <v>10119</v>
      </c>
      <c r="AE73" s="361" t="s">
        <v>850</v>
      </c>
      <c r="AF73" s="361" t="s">
        <v>10281</v>
      </c>
      <c r="AG73" s="361" t="s">
        <v>10282</v>
      </c>
      <c r="AH73" s="361" t="s">
        <v>10032</v>
      </c>
      <c r="AI73" s="361" t="s">
        <v>10283</v>
      </c>
      <c r="AJ73" s="361" t="s">
        <v>10284</v>
      </c>
      <c r="AK73" s="361" t="s">
        <v>10285</v>
      </c>
      <c r="AL73" s="361" t="s">
        <v>5613</v>
      </c>
      <c r="AM73" s="361" t="s">
        <v>10286</v>
      </c>
      <c r="AN73" s="361" t="s">
        <v>6370</v>
      </c>
      <c r="AO73" s="1579" t="s">
        <v>9884</v>
      </c>
      <c r="AP73" s="361" t="s">
        <v>10287</v>
      </c>
      <c r="AQ73" s="361" t="s">
        <v>10288</v>
      </c>
      <c r="AR73" s="361" t="s">
        <v>9546</v>
      </c>
      <c r="AS73" s="361" t="s">
        <v>4745</v>
      </c>
      <c r="AT73" s="361" t="s">
        <v>10289</v>
      </c>
      <c r="AU73" s="1579" t="s">
        <v>10290</v>
      </c>
      <c r="AV73" s="1393" t="str">
        <f t="shared" si="1"/>
        <v>0:37</v>
      </c>
      <c r="AW73" s="1631" t="s">
        <v>10291</v>
      </c>
    </row>
    <row r="74">
      <c r="A74" s="1529" t="s">
        <v>8104</v>
      </c>
      <c r="B74" s="1527" t="s">
        <v>8774</v>
      </c>
      <c r="C74" s="1475">
        <v>0.05188657407407407</v>
      </c>
      <c r="D74" s="1579" t="s">
        <v>10292</v>
      </c>
      <c r="E74" s="773" t="s">
        <v>176</v>
      </c>
      <c r="F74" s="773" t="s">
        <v>10293</v>
      </c>
      <c r="G74" s="773" t="s">
        <v>10294</v>
      </c>
      <c r="H74" s="773" t="s">
        <v>10295</v>
      </c>
      <c r="I74" s="773" t="s">
        <v>680</v>
      </c>
      <c r="J74" s="773" t="s">
        <v>4140</v>
      </c>
      <c r="K74" s="773" t="s">
        <v>9521</v>
      </c>
      <c r="L74" s="773" t="s">
        <v>2847</v>
      </c>
      <c r="M74" s="773" t="s">
        <v>10296</v>
      </c>
      <c r="N74" s="773" t="s">
        <v>4065</v>
      </c>
      <c r="O74" s="773" t="s">
        <v>10297</v>
      </c>
      <c r="P74" s="773" t="s">
        <v>5188</v>
      </c>
      <c r="Q74" s="773" t="s">
        <v>10298</v>
      </c>
      <c r="R74" s="773" t="s">
        <v>5534</v>
      </c>
      <c r="S74" s="773" t="s">
        <v>10299</v>
      </c>
      <c r="T74" s="773" t="s">
        <v>8847</v>
      </c>
      <c r="U74" s="773" t="s">
        <v>10300</v>
      </c>
      <c r="V74" s="773" t="s">
        <v>5260</v>
      </c>
      <c r="W74" s="773" t="s">
        <v>10301</v>
      </c>
      <c r="X74" s="773" t="s">
        <v>10302</v>
      </c>
      <c r="Y74" s="773" t="s">
        <v>10303</v>
      </c>
      <c r="Z74" s="773" t="s">
        <v>9531</v>
      </c>
      <c r="AA74" s="773" t="s">
        <v>5148</v>
      </c>
      <c r="AB74" s="773" t="s">
        <v>689</v>
      </c>
      <c r="AC74" s="773" t="s">
        <v>10304</v>
      </c>
      <c r="AD74" s="773" t="s">
        <v>2745</v>
      </c>
      <c r="AE74" s="773" t="s">
        <v>5913</v>
      </c>
      <c r="AF74" s="773" t="s">
        <v>10305</v>
      </c>
      <c r="AG74" s="773" t="s">
        <v>2413</v>
      </c>
      <c r="AH74" s="773" t="s">
        <v>2847</v>
      </c>
      <c r="AI74" s="773" t="s">
        <v>200</v>
      </c>
      <c r="AJ74" s="773" t="s">
        <v>10306</v>
      </c>
      <c r="AK74" s="773" t="s">
        <v>9538</v>
      </c>
      <c r="AL74" s="773" t="s">
        <v>9995</v>
      </c>
      <c r="AM74" s="773" t="s">
        <v>9509</v>
      </c>
      <c r="AN74" s="773" t="s">
        <v>3631</v>
      </c>
      <c r="AO74" s="773" t="s">
        <v>10307</v>
      </c>
      <c r="AP74" s="773" t="s">
        <v>9948</v>
      </c>
      <c r="AQ74" s="773" t="s">
        <v>10288</v>
      </c>
      <c r="AR74" s="773" t="s">
        <v>10308</v>
      </c>
      <c r="AS74" s="773" t="s">
        <v>6561</v>
      </c>
      <c r="AT74" s="773" t="s">
        <v>9055</v>
      </c>
      <c r="AU74" s="1579" t="s">
        <v>10309</v>
      </c>
      <c r="AV74" s="1393" t="str">
        <f t="shared" si="1"/>
        <v>4:21</v>
      </c>
      <c r="AW74" s="1627" t="s">
        <v>10310</v>
      </c>
    </row>
    <row r="75">
      <c r="A75" s="1529" t="s">
        <v>8718</v>
      </c>
      <c r="B75" s="1517" t="s">
        <v>8774</v>
      </c>
      <c r="C75" s="1475">
        <v>0.05193287037037037</v>
      </c>
      <c r="D75" s="1604" t="s">
        <v>10311</v>
      </c>
      <c r="E75" s="1579" t="s">
        <v>7831</v>
      </c>
      <c r="F75" s="1579" t="s">
        <v>10312</v>
      </c>
      <c r="G75" s="1579" t="s">
        <v>10313</v>
      </c>
      <c r="H75" s="1579" t="s">
        <v>10314</v>
      </c>
      <c r="I75" s="1579" t="s">
        <v>2383</v>
      </c>
      <c r="J75" s="1579" t="s">
        <v>4239</v>
      </c>
      <c r="K75" s="1579" t="s">
        <v>9461</v>
      </c>
      <c r="L75" s="1579"/>
      <c r="M75" s="1579" t="s">
        <v>7444</v>
      </c>
      <c r="N75" s="1579" t="s">
        <v>4682</v>
      </c>
      <c r="O75" s="1579" t="s">
        <v>8841</v>
      </c>
      <c r="P75" s="1579" t="s">
        <v>9941</v>
      </c>
      <c r="Q75" s="1579" t="s">
        <v>10315</v>
      </c>
      <c r="R75" s="1579" t="s">
        <v>10316</v>
      </c>
      <c r="S75" s="1579" t="s">
        <v>9115</v>
      </c>
      <c r="T75" s="1579" t="s">
        <v>9477</v>
      </c>
      <c r="U75" s="1579" t="s">
        <v>2270</v>
      </c>
      <c r="V75" s="1579" t="s">
        <v>9296</v>
      </c>
      <c r="W75" s="1579" t="s">
        <v>5962</v>
      </c>
      <c r="X75" s="1579" t="s">
        <v>630</v>
      </c>
      <c r="Y75" s="1579" t="s">
        <v>9259</v>
      </c>
      <c r="Z75" s="1579" t="s">
        <v>8862</v>
      </c>
      <c r="AA75" s="1579" t="s">
        <v>7929</v>
      </c>
      <c r="AB75" s="1579" t="s">
        <v>9949</v>
      </c>
      <c r="AC75" s="1579" t="s">
        <v>3010</v>
      </c>
      <c r="AD75" s="1579" t="s">
        <v>10317</v>
      </c>
      <c r="AE75" s="1579" t="s">
        <v>10318</v>
      </c>
      <c r="AF75" s="1579" t="s">
        <v>10319</v>
      </c>
      <c r="AG75" s="1579" t="s">
        <v>10084</v>
      </c>
      <c r="AH75" s="1579" t="s">
        <v>10320</v>
      </c>
      <c r="AI75" s="1579" t="s">
        <v>10321</v>
      </c>
      <c r="AJ75" s="1579" t="s">
        <v>10322</v>
      </c>
      <c r="AK75" s="1579" t="s">
        <v>10323</v>
      </c>
      <c r="AL75" s="1579" t="s">
        <v>3353</v>
      </c>
      <c r="AM75" s="1579" t="s">
        <v>10324</v>
      </c>
      <c r="AN75" s="1579" t="s">
        <v>3642</v>
      </c>
      <c r="AO75" s="1579" t="s">
        <v>10325</v>
      </c>
      <c r="AP75" s="1579" t="s">
        <v>10326</v>
      </c>
      <c r="AQ75" s="1579" t="s">
        <v>10327</v>
      </c>
      <c r="AR75" s="1579" t="s">
        <v>10328</v>
      </c>
      <c r="AS75" s="1579" t="s">
        <v>3787</v>
      </c>
      <c r="AT75" s="1579" t="s">
        <v>10329</v>
      </c>
      <c r="AU75" s="1579" t="s">
        <v>10330</v>
      </c>
      <c r="AV75" s="1393" t="str">
        <f t="shared" si="1"/>
        <v>4:12</v>
      </c>
      <c r="AW75" s="1631"/>
    </row>
    <row r="76" ht="15.75" customHeight="1">
      <c r="A76" s="1580" t="s">
        <v>10331</v>
      </c>
      <c r="B76" s="1474" t="s">
        <v>8774</v>
      </c>
      <c r="C76" s="1597">
        <v>0.05199074074074074</v>
      </c>
      <c r="D76" s="773" t="s">
        <v>10332</v>
      </c>
      <c r="E76" s="361" t="s">
        <v>10333</v>
      </c>
      <c r="F76" s="361" t="s">
        <v>10334</v>
      </c>
      <c r="G76" s="361" t="s">
        <v>10335</v>
      </c>
      <c r="H76" s="361" t="s">
        <v>7723</v>
      </c>
      <c r="I76" s="361" t="s">
        <v>9898</v>
      </c>
      <c r="J76" s="361" t="s">
        <v>10336</v>
      </c>
      <c r="K76" s="361" t="s">
        <v>10337</v>
      </c>
      <c r="L76" s="361" t="s">
        <v>3134</v>
      </c>
      <c r="M76" s="361" t="s">
        <v>10338</v>
      </c>
      <c r="N76" s="361" t="s">
        <v>9605</v>
      </c>
      <c r="O76" s="361" t="s">
        <v>10339</v>
      </c>
      <c r="P76" s="361" t="s">
        <v>2436</v>
      </c>
      <c r="Q76" s="361" t="s">
        <v>5106</v>
      </c>
      <c r="R76" s="361" t="s">
        <v>5342</v>
      </c>
      <c r="S76" s="361" t="s">
        <v>10340</v>
      </c>
      <c r="T76" s="361" t="s">
        <v>5860</v>
      </c>
      <c r="U76" s="361" t="s">
        <v>10341</v>
      </c>
      <c r="V76" s="361" t="s">
        <v>6557</v>
      </c>
      <c r="W76" s="361" t="s">
        <v>8110</v>
      </c>
      <c r="X76" s="361" t="s">
        <v>10342</v>
      </c>
      <c r="Y76" s="361" t="s">
        <v>2099</v>
      </c>
      <c r="Z76" s="361" t="s">
        <v>10343</v>
      </c>
      <c r="AA76" s="361" t="s">
        <v>10038</v>
      </c>
      <c r="AB76" s="361" t="s">
        <v>10344</v>
      </c>
      <c r="AC76" s="361" t="s">
        <v>5596</v>
      </c>
      <c r="AD76" s="361" t="s">
        <v>10345</v>
      </c>
      <c r="AE76" s="361" t="s">
        <v>6818</v>
      </c>
      <c r="AF76" s="361" t="s">
        <v>10346</v>
      </c>
      <c r="AG76" s="361" t="s">
        <v>10285</v>
      </c>
      <c r="AH76" s="361" t="s">
        <v>10347</v>
      </c>
      <c r="AI76" s="361" t="s">
        <v>10348</v>
      </c>
      <c r="AJ76" s="361" t="s">
        <v>10349</v>
      </c>
      <c r="AK76" s="361" t="s">
        <v>811</v>
      </c>
      <c r="AL76" s="361" t="s">
        <v>3333</v>
      </c>
      <c r="AM76" s="361" t="s">
        <v>9789</v>
      </c>
      <c r="AN76" s="361" t="s">
        <v>10350</v>
      </c>
      <c r="AO76" s="1579" t="s">
        <v>7683</v>
      </c>
      <c r="AP76" s="1579" t="s">
        <v>10351</v>
      </c>
      <c r="AQ76" s="361" t="s">
        <v>5381</v>
      </c>
      <c r="AR76" s="361" t="s">
        <v>9825</v>
      </c>
      <c r="AS76" s="361" t="s">
        <v>1089</v>
      </c>
      <c r="AT76" s="361" t="s">
        <v>9942</v>
      </c>
      <c r="AU76" s="1629" t="str">
        <f>HYPERLINK("https://splits.io/m3t","1:18:40")</f>
        <v>1:18:40</v>
      </c>
      <c r="AV76" s="1393" t="str">
        <f t="shared" si="1"/>
        <v>3:48</v>
      </c>
      <c r="AW76" s="1630" t="s">
        <v>10352</v>
      </c>
    </row>
    <row r="77" ht="15.75" customHeight="1">
      <c r="A77" s="1580" t="s">
        <v>10353</v>
      </c>
      <c r="B77" s="1474" t="s">
        <v>8774</v>
      </c>
      <c r="C77" s="1597">
        <v>0.052002314814814814</v>
      </c>
      <c r="D77" s="773" t="s">
        <v>10354</v>
      </c>
      <c r="E77" s="361" t="s">
        <v>9127</v>
      </c>
      <c r="F77" s="361" t="s">
        <v>10355</v>
      </c>
      <c r="G77" s="361" t="s">
        <v>10356</v>
      </c>
      <c r="H77" s="361" t="s">
        <v>10357</v>
      </c>
      <c r="I77" s="361" t="s">
        <v>3643</v>
      </c>
      <c r="J77" s="361" t="s">
        <v>9498</v>
      </c>
      <c r="K77" s="361" t="s">
        <v>4430</v>
      </c>
      <c r="L77" s="361" t="s">
        <v>3439</v>
      </c>
      <c r="M77" s="361" t="s">
        <v>10079</v>
      </c>
      <c r="N77" s="361" t="s">
        <v>4469</v>
      </c>
      <c r="O77" s="361" t="s">
        <v>10358</v>
      </c>
      <c r="P77" s="361" t="s">
        <v>10359</v>
      </c>
      <c r="Q77" s="361" t="s">
        <v>4927</v>
      </c>
      <c r="R77" s="361" t="s">
        <v>1456</v>
      </c>
      <c r="S77" s="361" t="s">
        <v>9577</v>
      </c>
      <c r="T77" s="361" t="s">
        <v>530</v>
      </c>
      <c r="U77" s="361" t="s">
        <v>1924</v>
      </c>
      <c r="V77" s="361" t="s">
        <v>467</v>
      </c>
      <c r="W77" s="361" t="s">
        <v>5762</v>
      </c>
      <c r="X77" s="361" t="s">
        <v>9855</v>
      </c>
      <c r="Y77" s="361" t="s">
        <v>2446</v>
      </c>
      <c r="Z77" s="361" t="s">
        <v>5241</v>
      </c>
      <c r="AA77" s="361" t="s">
        <v>9605</v>
      </c>
      <c r="AB77" s="361" t="s">
        <v>10360</v>
      </c>
      <c r="AC77" s="361" t="s">
        <v>3107</v>
      </c>
      <c r="AD77" s="361" t="s">
        <v>10361</v>
      </c>
      <c r="AE77" s="361" t="s">
        <v>5188</v>
      </c>
      <c r="AF77" s="361" t="s">
        <v>10362</v>
      </c>
      <c r="AG77" s="361" t="s">
        <v>10363</v>
      </c>
      <c r="AH77" s="361" t="s">
        <v>2254</v>
      </c>
      <c r="AI77" s="361" t="s">
        <v>10364</v>
      </c>
      <c r="AJ77" s="361" t="s">
        <v>10365</v>
      </c>
      <c r="AK77" s="361" t="s">
        <v>4630</v>
      </c>
      <c r="AL77" s="361" t="s">
        <v>6139</v>
      </c>
      <c r="AM77" s="361" t="s">
        <v>1461</v>
      </c>
      <c r="AN77" s="361" t="s">
        <v>8988</v>
      </c>
      <c r="AO77" s="361" t="s">
        <v>9291</v>
      </c>
      <c r="AP77" s="361" t="s">
        <v>4677</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8801</v>
      </c>
      <c r="C78" s="1597">
        <v>0.05201388888888889</v>
      </c>
      <c r="D78" s="773" t="s">
        <v>10373</v>
      </c>
      <c r="E78" s="1579" t="s">
        <v>10374</v>
      </c>
      <c r="F78" s="361" t="s">
        <v>10375</v>
      </c>
      <c r="G78" s="361" t="s">
        <v>10376</v>
      </c>
      <c r="H78" s="361" t="s">
        <v>129</v>
      </c>
      <c r="I78" s="361" t="s">
        <v>10377</v>
      </c>
      <c r="J78" s="361" t="s">
        <v>10378</v>
      </c>
      <c r="K78" s="361" t="s">
        <v>4207</v>
      </c>
      <c r="L78" s="361" t="s">
        <v>10379</v>
      </c>
      <c r="M78" s="361" t="s">
        <v>10380</v>
      </c>
      <c r="N78" s="361" t="s">
        <v>10381</v>
      </c>
      <c r="O78" s="361" t="s">
        <v>10382</v>
      </c>
      <c r="P78" s="361" t="s">
        <v>162</v>
      </c>
      <c r="Q78" s="361" t="s">
        <v>10383</v>
      </c>
      <c r="R78" s="361" t="s">
        <v>7599</v>
      </c>
      <c r="S78" s="361" t="s">
        <v>10384</v>
      </c>
      <c r="T78" s="361" t="s">
        <v>10385</v>
      </c>
      <c r="U78" s="361" t="s">
        <v>10386</v>
      </c>
      <c r="V78" s="361" t="s">
        <v>8376</v>
      </c>
      <c r="W78" s="361" t="s">
        <v>10387</v>
      </c>
      <c r="X78" s="361" t="s">
        <v>9855</v>
      </c>
      <c r="Y78" s="361" t="s">
        <v>210</v>
      </c>
      <c r="Z78" s="361" t="s">
        <v>2377</v>
      </c>
      <c r="AA78" s="361" t="s">
        <v>5901</v>
      </c>
      <c r="AB78" s="361" t="s">
        <v>9150</v>
      </c>
      <c r="AC78" s="361" t="s">
        <v>929</v>
      </c>
      <c r="AD78" s="361" t="s">
        <v>10388</v>
      </c>
      <c r="AE78" s="361" t="s">
        <v>1165</v>
      </c>
      <c r="AF78" s="361" t="s">
        <v>10389</v>
      </c>
      <c r="AG78" s="361" t="s">
        <v>2975</v>
      </c>
      <c r="AH78" s="361" t="s">
        <v>6180</v>
      </c>
      <c r="AI78" s="361" t="s">
        <v>1575</v>
      </c>
      <c r="AJ78" s="361" t="s">
        <v>10390</v>
      </c>
      <c r="AK78" s="361" t="s">
        <v>3620</v>
      </c>
      <c r="AL78" s="361" t="s">
        <v>3954</v>
      </c>
      <c r="AM78" s="361" t="s">
        <v>842</v>
      </c>
      <c r="AN78" s="361" t="s">
        <v>10161</v>
      </c>
      <c r="AO78" s="361" t="s">
        <v>2256</v>
      </c>
      <c r="AP78" s="361" t="s">
        <v>10391</v>
      </c>
      <c r="AQ78" s="361" t="s">
        <v>1004</v>
      </c>
      <c r="AR78" s="361" t="s">
        <v>8842</v>
      </c>
      <c r="AS78" s="361" t="s">
        <v>9927</v>
      </c>
      <c r="AT78" s="361" t="s">
        <v>10392</v>
      </c>
      <c r="AU78" s="361" t="s">
        <v>10393</v>
      </c>
      <c r="AV78" s="1393" t="str">
        <f t="shared" si="1"/>
        <v>2:58</v>
      </c>
      <c r="AW78" s="1631" t="s">
        <v>10394</v>
      </c>
    </row>
    <row r="79" ht="15.75" customHeight="1">
      <c r="A79" s="1473" t="s">
        <v>6627</v>
      </c>
      <c r="B79" s="1563" t="s">
        <v>8801</v>
      </c>
      <c r="C79" s="1597">
        <v>0.05207175925925926</v>
      </c>
      <c r="D79" s="773" t="s">
        <v>10395</v>
      </c>
      <c r="E79" s="361" t="s">
        <v>10396</v>
      </c>
      <c r="F79" s="361" t="s">
        <v>10397</v>
      </c>
      <c r="G79" s="361" t="s">
        <v>10398</v>
      </c>
      <c r="H79" s="361" t="s">
        <v>9054</v>
      </c>
      <c r="I79" s="361" t="s">
        <v>4899</v>
      </c>
      <c r="J79" s="361" t="s">
        <v>9405</v>
      </c>
      <c r="K79" s="361" t="s">
        <v>10046</v>
      </c>
      <c r="L79" s="361" t="s">
        <v>10399</v>
      </c>
      <c r="M79" s="361" t="s">
        <v>2723</v>
      </c>
      <c r="N79" s="361" t="s">
        <v>10400</v>
      </c>
      <c r="O79" s="361" t="s">
        <v>10401</v>
      </c>
      <c r="P79" s="361" t="s">
        <v>767</v>
      </c>
      <c r="Q79" s="361" t="s">
        <v>10402</v>
      </c>
      <c r="R79" s="361" t="s">
        <v>4945</v>
      </c>
      <c r="S79" s="361" t="s">
        <v>6157</v>
      </c>
      <c r="T79" s="361" t="s">
        <v>5860</v>
      </c>
      <c r="U79" s="361" t="s">
        <v>10403</v>
      </c>
      <c r="V79" s="361" t="s">
        <v>2419</v>
      </c>
      <c r="W79" s="361" t="s">
        <v>8846</v>
      </c>
      <c r="X79" s="361" t="s">
        <v>10404</v>
      </c>
      <c r="Y79" s="361" t="s">
        <v>1412</v>
      </c>
      <c r="Z79" s="361" t="s">
        <v>7521</v>
      </c>
      <c r="AA79" s="361" t="s">
        <v>1488</v>
      </c>
      <c r="AB79" s="361" t="s">
        <v>10405</v>
      </c>
      <c r="AC79" s="361" t="s">
        <v>241</v>
      </c>
      <c r="AD79" s="361" t="s">
        <v>4246</v>
      </c>
      <c r="AE79" s="361" t="s">
        <v>6118</v>
      </c>
      <c r="AF79" s="361" t="s">
        <v>10406</v>
      </c>
      <c r="AG79" s="361" t="s">
        <v>9855</v>
      </c>
      <c r="AH79" s="361" t="s">
        <v>7308</v>
      </c>
      <c r="AI79" s="361" t="s">
        <v>10200</v>
      </c>
      <c r="AJ79" s="361" t="s">
        <v>10407</v>
      </c>
      <c r="AK79" s="361" t="s">
        <v>10408</v>
      </c>
      <c r="AL79" s="361" t="s">
        <v>4351</v>
      </c>
      <c r="AM79" s="361" t="s">
        <v>9965</v>
      </c>
      <c r="AN79" s="361" t="s">
        <v>3954</v>
      </c>
      <c r="AO79" s="361" t="s">
        <v>4207</v>
      </c>
      <c r="AP79" s="361" t="s">
        <v>9685</v>
      </c>
      <c r="AQ79" s="361" t="s">
        <v>10409</v>
      </c>
      <c r="AR79" s="361" t="s">
        <v>1487</v>
      </c>
      <c r="AS79" s="361" t="s">
        <v>6276</v>
      </c>
      <c r="AT79" s="361" t="s">
        <v>7893</v>
      </c>
      <c r="AU79" s="361" t="s">
        <v>10410</v>
      </c>
      <c r="AV79" s="1393" t="str">
        <f t="shared" si="1"/>
        <v>3:10</v>
      </c>
      <c r="AW79" s="1631" t="s">
        <v>10411</v>
      </c>
    </row>
    <row r="80">
      <c r="A80" s="1215" t="s">
        <v>3860</v>
      </c>
      <c r="B80" s="1617" t="s">
        <v>8827</v>
      </c>
      <c r="C80" s="1636">
        <v>0.052141203703703703</v>
      </c>
      <c r="D80" s="773" t="s">
        <v>10412</v>
      </c>
      <c r="E80" s="1553" t="s">
        <v>3002</v>
      </c>
      <c r="F80" s="1553" t="s">
        <v>10413</v>
      </c>
      <c r="G80" s="1576" t="s">
        <v>10414</v>
      </c>
      <c r="H80" s="1576" t="s">
        <v>10415</v>
      </c>
      <c r="I80" s="1576" t="s">
        <v>2431</v>
      </c>
      <c r="J80" s="1576" t="s">
        <v>7138</v>
      </c>
      <c r="K80" s="1637" t="s">
        <v>6307</v>
      </c>
      <c r="L80" s="1638" t="s">
        <v>7305</v>
      </c>
      <c r="M80" s="1576" t="s">
        <v>5727</v>
      </c>
      <c r="N80" s="1576" t="s">
        <v>5860</v>
      </c>
      <c r="O80" s="1576" t="s">
        <v>5537</v>
      </c>
      <c r="P80" s="1576" t="s">
        <v>1849</v>
      </c>
      <c r="Q80" s="1576" t="s">
        <v>10416</v>
      </c>
      <c r="R80" s="1576" t="s">
        <v>10417</v>
      </c>
      <c r="S80" s="1639" t="s">
        <v>2268</v>
      </c>
      <c r="T80" s="1576" t="s">
        <v>9107</v>
      </c>
      <c r="U80" s="1576" t="s">
        <v>3540</v>
      </c>
      <c r="V80" s="1576" t="s">
        <v>10418</v>
      </c>
      <c r="W80" s="1576" t="s">
        <v>10419</v>
      </c>
      <c r="X80" s="1576" t="s">
        <v>4454</v>
      </c>
      <c r="Y80" s="1576" t="s">
        <v>3683</v>
      </c>
      <c r="Z80" s="1576" t="s">
        <v>4176</v>
      </c>
      <c r="AA80" s="1576" t="s">
        <v>402</v>
      </c>
      <c r="AB80" s="1576" t="s">
        <v>627</v>
      </c>
      <c r="AC80" s="1576" t="s">
        <v>6118</v>
      </c>
      <c r="AD80" s="1481" t="s">
        <v>9216</v>
      </c>
      <c r="AE80" s="1576" t="s">
        <v>481</v>
      </c>
      <c r="AF80" s="1576" t="s">
        <v>10420</v>
      </c>
      <c r="AG80" s="1576" t="s">
        <v>10421</v>
      </c>
      <c r="AH80" s="1576" t="s">
        <v>4571</v>
      </c>
      <c r="AI80" s="1576" t="s">
        <v>10422</v>
      </c>
      <c r="AJ80" s="1576" t="s">
        <v>10423</v>
      </c>
      <c r="AK80" s="1576" t="s">
        <v>10424</v>
      </c>
      <c r="AL80" s="1576" t="s">
        <v>5108</v>
      </c>
      <c r="AM80" s="1576" t="s">
        <v>10086</v>
      </c>
      <c r="AN80" s="1576" t="s">
        <v>4307</v>
      </c>
      <c r="AO80" s="1576" t="s">
        <v>9199</v>
      </c>
      <c r="AP80" s="1576" t="s">
        <v>10425</v>
      </c>
      <c r="AQ80" s="1637" t="s">
        <v>8854</v>
      </c>
      <c r="AR80" s="1576" t="s">
        <v>10426</v>
      </c>
      <c r="AS80" s="1640" t="s">
        <v>756</v>
      </c>
      <c r="AT80" s="1576" t="s">
        <v>10427</v>
      </c>
      <c r="AU80" s="1519" t="s">
        <v>10428</v>
      </c>
      <c r="AV80" s="1393" t="str">
        <f t="shared" si="1"/>
        <v>4:08</v>
      </c>
      <c r="AW80" s="1593" t="s">
        <v>10429</v>
      </c>
    </row>
    <row r="81">
      <c r="A81" s="1529" t="s">
        <v>3959</v>
      </c>
      <c r="B81" s="1517" t="s">
        <v>8774</v>
      </c>
      <c r="C81" s="1475">
        <v>0.0522337962962963</v>
      </c>
      <c r="D81" s="1604" t="s">
        <v>10430</v>
      </c>
      <c r="E81" s="1579" t="s">
        <v>10431</v>
      </c>
      <c r="F81" s="1579" t="s">
        <v>10432</v>
      </c>
      <c r="G81" s="1579" t="s">
        <v>10433</v>
      </c>
      <c r="H81" s="1579" t="s">
        <v>10434</v>
      </c>
      <c r="I81" s="1579" t="s">
        <v>143</v>
      </c>
      <c r="J81" s="1579" t="s">
        <v>8455</v>
      </c>
      <c r="K81" s="1579" t="s">
        <v>4430</v>
      </c>
      <c r="L81" s="1579" t="s">
        <v>6318</v>
      </c>
      <c r="M81" s="1579" t="s">
        <v>10435</v>
      </c>
      <c r="N81" s="1579" t="s">
        <v>9833</v>
      </c>
      <c r="O81" s="1579" t="s">
        <v>10436</v>
      </c>
      <c r="P81" s="1579" t="s">
        <v>5188</v>
      </c>
      <c r="Q81" s="1579" t="s">
        <v>10437</v>
      </c>
      <c r="R81" s="1579" t="s">
        <v>6305</v>
      </c>
      <c r="S81" s="1579" t="s">
        <v>609</v>
      </c>
      <c r="T81" s="1579" t="s">
        <v>10242</v>
      </c>
      <c r="U81" s="1579" t="s">
        <v>9240</v>
      </c>
      <c r="V81" s="1579" t="s">
        <v>10438</v>
      </c>
      <c r="W81" s="1579" t="s">
        <v>10439</v>
      </c>
      <c r="X81" s="1579" t="s">
        <v>10440</v>
      </c>
      <c r="Y81" s="1579" t="s">
        <v>761</v>
      </c>
      <c r="Z81" s="1579" t="s">
        <v>10441</v>
      </c>
      <c r="AA81" s="773" t="s">
        <v>10442</v>
      </c>
      <c r="AB81" s="1579" t="s">
        <v>7249</v>
      </c>
      <c r="AC81" s="1579" t="s">
        <v>10223</v>
      </c>
      <c r="AD81" s="1579" t="s">
        <v>7720</v>
      </c>
      <c r="AE81" s="1579" t="s">
        <v>4949</v>
      </c>
      <c r="AF81" s="1265" t="s">
        <v>10443</v>
      </c>
      <c r="AG81" s="1579" t="s">
        <v>10444</v>
      </c>
      <c r="AH81" s="1579" t="s">
        <v>5063</v>
      </c>
      <c r="AI81" s="1579" t="s">
        <v>6843</v>
      </c>
      <c r="AJ81" s="1579" t="s">
        <v>10445</v>
      </c>
      <c r="AK81" s="1579" t="s">
        <v>10446</v>
      </c>
      <c r="AL81" s="1579" t="s">
        <v>10162</v>
      </c>
      <c r="AM81" s="1579" t="s">
        <v>9835</v>
      </c>
      <c r="AN81" s="1579" t="s">
        <v>1079</v>
      </c>
      <c r="AO81" s="1579" t="s">
        <v>6476</v>
      </c>
      <c r="AP81" s="1579" t="s">
        <v>5616</v>
      </c>
      <c r="AQ81" s="1579" t="s">
        <v>10447</v>
      </c>
      <c r="AR81" s="1579" t="s">
        <v>692</v>
      </c>
      <c r="AS81" s="1265" t="s">
        <v>2793</v>
      </c>
      <c r="AT81" s="1579" t="s">
        <v>10448</v>
      </c>
      <c r="AU81" s="1579" t="s">
        <v>10449</v>
      </c>
      <c r="AV81" s="1393" t="str">
        <f t="shared" si="1"/>
        <v>4:32</v>
      </c>
      <c r="AW81" s="1627" t="s">
        <v>10450</v>
      </c>
    </row>
    <row r="82">
      <c r="A82" s="1529" t="s">
        <v>5196</v>
      </c>
      <c r="B82" s="1527" t="s">
        <v>8801</v>
      </c>
      <c r="C82" s="1475">
        <v>0.05232638888888889</v>
      </c>
      <c r="D82" s="1604" t="s">
        <v>10451</v>
      </c>
      <c r="E82" s="1579" t="s">
        <v>1232</v>
      </c>
      <c r="F82" s="1579" t="s">
        <v>10452</v>
      </c>
      <c r="G82" s="1579" t="s">
        <v>10453</v>
      </c>
      <c r="H82" s="1579" t="s">
        <v>10454</v>
      </c>
      <c r="I82" s="1579" t="s">
        <v>1352</v>
      </c>
      <c r="J82" s="1579" t="s">
        <v>8031</v>
      </c>
      <c r="K82" s="1579" t="s">
        <v>10057</v>
      </c>
      <c r="L82" s="1579" t="s">
        <v>10455</v>
      </c>
      <c r="M82" s="1579" t="s">
        <v>7748</v>
      </c>
      <c r="N82" s="1579" t="s">
        <v>10456</v>
      </c>
      <c r="O82" s="1579" t="s">
        <v>10457</v>
      </c>
      <c r="P82" s="1579" t="s">
        <v>522</v>
      </c>
      <c r="Q82" s="1579" t="s">
        <v>9895</v>
      </c>
      <c r="R82" s="1579" t="s">
        <v>5273</v>
      </c>
      <c r="S82" s="1579" t="s">
        <v>9694</v>
      </c>
      <c r="T82" s="1579" t="s">
        <v>10458</v>
      </c>
      <c r="U82" s="1579" t="s">
        <v>10459</v>
      </c>
      <c r="V82" s="1579" t="s">
        <v>10460</v>
      </c>
      <c r="W82" s="1579" t="s">
        <v>6394</v>
      </c>
      <c r="X82" s="1579" t="s">
        <v>314</v>
      </c>
      <c r="Y82" s="1579" t="s">
        <v>6671</v>
      </c>
      <c r="Z82" s="1579" t="s">
        <v>782</v>
      </c>
      <c r="AA82" s="361" t="s">
        <v>9694</v>
      </c>
      <c r="AB82" s="1579" t="s">
        <v>10461</v>
      </c>
      <c r="AC82" s="1579" t="s">
        <v>6301</v>
      </c>
      <c r="AD82" s="1579" t="s">
        <v>10462</v>
      </c>
      <c r="AE82" s="1579" t="s">
        <v>226</v>
      </c>
      <c r="AF82" s="1579" t="s">
        <v>8369</v>
      </c>
      <c r="AG82" s="1579" t="s">
        <v>4070</v>
      </c>
      <c r="AH82" s="1579" t="s">
        <v>1889</v>
      </c>
      <c r="AI82" s="1579" t="s">
        <v>420</v>
      </c>
      <c r="AJ82" s="1579" t="s">
        <v>10463</v>
      </c>
      <c r="AK82" s="1579" t="s">
        <v>10464</v>
      </c>
      <c r="AL82" s="1579" t="s">
        <v>10201</v>
      </c>
      <c r="AM82" s="1579" t="s">
        <v>2975</v>
      </c>
      <c r="AN82" s="1579" t="s">
        <v>6031</v>
      </c>
      <c r="AO82" s="1579" t="s">
        <v>3717</v>
      </c>
      <c r="AP82" s="1579" t="s">
        <v>10465</v>
      </c>
      <c r="AQ82" s="1579" t="s">
        <v>7747</v>
      </c>
      <c r="AR82" s="1579" t="s">
        <v>6300</v>
      </c>
      <c r="AS82" s="1579" t="s">
        <v>10466</v>
      </c>
      <c r="AT82" s="1579" t="s">
        <v>10467</v>
      </c>
      <c r="AU82" s="1579" t="s">
        <v>10468</v>
      </c>
      <c r="AV82" s="1393" t="str">
        <f t="shared" si="1"/>
        <v>3:48</v>
      </c>
      <c r="AW82" s="1631"/>
    </row>
    <row r="83" ht="15.75" customHeight="1">
      <c r="A83" s="1473" t="s">
        <v>10469</v>
      </c>
      <c r="B83" s="1474" t="s">
        <v>8774</v>
      </c>
      <c r="C83" s="1597">
        <v>0.05240740740740741</v>
      </c>
      <c r="D83" s="773" t="s">
        <v>10470</v>
      </c>
      <c r="E83" s="361" t="s">
        <v>1659</v>
      </c>
      <c r="F83" s="361" t="s">
        <v>8021</v>
      </c>
      <c r="G83" s="361" t="s">
        <v>10182</v>
      </c>
      <c r="H83" s="361" t="s">
        <v>10471</v>
      </c>
      <c r="I83" s="361" t="s">
        <v>10472</v>
      </c>
      <c r="J83" s="361" t="s">
        <v>10473</v>
      </c>
      <c r="K83" s="361" t="s">
        <v>10474</v>
      </c>
      <c r="L83" s="361" t="s">
        <v>4459</v>
      </c>
      <c r="M83" s="361" t="s">
        <v>3291</v>
      </c>
      <c r="N83" s="361" t="s">
        <v>4853</v>
      </c>
      <c r="O83" s="361" t="s">
        <v>10475</v>
      </c>
      <c r="P83" s="361" t="s">
        <v>10476</v>
      </c>
      <c r="Q83" s="361" t="s">
        <v>4221</v>
      </c>
      <c r="R83" s="361" t="s">
        <v>9803</v>
      </c>
      <c r="S83" s="361" t="s">
        <v>9967</v>
      </c>
      <c r="T83" s="361" t="s">
        <v>5064</v>
      </c>
      <c r="U83" s="361" t="s">
        <v>10477</v>
      </c>
      <c r="V83" s="361" t="s">
        <v>10478</v>
      </c>
      <c r="W83" s="361" t="s">
        <v>10479</v>
      </c>
      <c r="X83" s="361" t="s">
        <v>10480</v>
      </c>
      <c r="Y83" s="361" t="s">
        <v>6579</v>
      </c>
      <c r="Z83" s="361" t="s">
        <v>10343</v>
      </c>
      <c r="AA83" s="361" t="s">
        <v>1869</v>
      </c>
      <c r="AB83" s="361" t="s">
        <v>10481</v>
      </c>
      <c r="AC83" s="361" t="s">
        <v>1543</v>
      </c>
      <c r="AD83" s="361" t="s">
        <v>10482</v>
      </c>
      <c r="AE83" s="361" t="s">
        <v>1543</v>
      </c>
      <c r="AF83" s="361" t="s">
        <v>10483</v>
      </c>
      <c r="AG83" s="361" t="s">
        <v>10121</v>
      </c>
      <c r="AH83" s="361" t="s">
        <v>2114</v>
      </c>
      <c r="AI83" s="361" t="s">
        <v>3360</v>
      </c>
      <c r="AJ83" s="361" t="s">
        <v>10484</v>
      </c>
      <c r="AK83" s="361" t="s">
        <v>7250</v>
      </c>
      <c r="AL83" s="361" t="s">
        <v>10485</v>
      </c>
      <c r="AM83" s="361" t="s">
        <v>1190</v>
      </c>
      <c r="AN83" s="361" t="s">
        <v>3003</v>
      </c>
      <c r="AO83" s="361" t="s">
        <v>10486</v>
      </c>
      <c r="AP83" s="361" t="s">
        <v>3652</v>
      </c>
      <c r="AQ83" s="361" t="s">
        <v>10487</v>
      </c>
      <c r="AR83" s="361" t="s">
        <v>5692</v>
      </c>
      <c r="AS83" s="361" t="s">
        <v>9425</v>
      </c>
      <c r="AT83" s="361" t="s">
        <v>9510</v>
      </c>
      <c r="AU83" s="361" t="s">
        <v>10488</v>
      </c>
      <c r="AV83" s="1393" t="str">
        <f t="shared" si="1"/>
        <v>3:40</v>
      </c>
      <c r="AW83" s="1630" t="s">
        <v>10489</v>
      </c>
    </row>
    <row r="84" ht="15.75" customHeight="1">
      <c r="A84" s="1580" t="s">
        <v>10490</v>
      </c>
      <c r="B84" s="1474" t="s">
        <v>8774</v>
      </c>
      <c r="C84" s="1597">
        <v>0.05263888888888889</v>
      </c>
      <c r="D84" s="773" t="s">
        <v>10491</v>
      </c>
      <c r="E84" s="361" t="s">
        <v>6731</v>
      </c>
      <c r="F84" s="361" t="s">
        <v>10492</v>
      </c>
      <c r="G84" s="361" t="s">
        <v>10493</v>
      </c>
      <c r="H84" s="361" t="s">
        <v>10494</v>
      </c>
      <c r="I84" s="361" t="s">
        <v>10495</v>
      </c>
      <c r="J84" s="361" t="s">
        <v>9380</v>
      </c>
      <c r="K84" s="361" t="s">
        <v>4140</v>
      </c>
      <c r="L84" s="361" t="s">
        <v>4212</v>
      </c>
      <c r="M84" s="361" t="s">
        <v>9529</v>
      </c>
      <c r="N84" s="361" t="s">
        <v>10496</v>
      </c>
      <c r="O84" s="361" t="s">
        <v>8815</v>
      </c>
      <c r="P84" s="361" t="s">
        <v>485</v>
      </c>
      <c r="Q84" s="361" t="s">
        <v>10497</v>
      </c>
      <c r="R84" s="361" t="s">
        <v>5534</v>
      </c>
      <c r="S84" s="361" t="s">
        <v>6527</v>
      </c>
      <c r="T84" s="361" t="s">
        <v>10498</v>
      </c>
      <c r="U84" s="361" t="s">
        <v>10499</v>
      </c>
      <c r="V84" s="361" t="s">
        <v>10500</v>
      </c>
      <c r="W84" s="361" t="s">
        <v>10501</v>
      </c>
      <c r="X84" s="361" t="s">
        <v>5855</v>
      </c>
      <c r="Y84" s="361" t="s">
        <v>1543</v>
      </c>
      <c r="Z84" s="361" t="s">
        <v>6658</v>
      </c>
      <c r="AA84" s="1579" t="s">
        <v>6472</v>
      </c>
      <c r="AB84" s="361" t="s">
        <v>9424</v>
      </c>
      <c r="AC84" s="361" t="s">
        <v>10237</v>
      </c>
      <c r="AD84" s="361" t="s">
        <v>3040</v>
      </c>
      <c r="AE84" s="361" t="s">
        <v>4776</v>
      </c>
      <c r="AF84" s="361" t="s">
        <v>10502</v>
      </c>
      <c r="AG84" s="361" t="s">
        <v>2855</v>
      </c>
      <c r="AH84" s="361" t="s">
        <v>6838</v>
      </c>
      <c r="AI84" s="361" t="s">
        <v>10503</v>
      </c>
      <c r="AJ84" s="361" t="s">
        <v>10504</v>
      </c>
      <c r="AK84" s="361" t="s">
        <v>9851</v>
      </c>
      <c r="AL84" s="361" t="s">
        <v>10505</v>
      </c>
      <c r="AM84" s="361" t="s">
        <v>10506</v>
      </c>
      <c r="AN84" s="361" t="s">
        <v>3953</v>
      </c>
      <c r="AO84" s="361" t="s">
        <v>9199</v>
      </c>
      <c r="AP84" s="361" t="s">
        <v>10507</v>
      </c>
      <c r="AQ84" s="361" t="s">
        <v>10508</v>
      </c>
      <c r="AR84" s="361" t="s">
        <v>1384</v>
      </c>
      <c r="AS84" s="361" t="s">
        <v>1089</v>
      </c>
      <c r="AT84" s="361" t="s">
        <v>10509</v>
      </c>
      <c r="AU84" s="361" t="s">
        <v>10510</v>
      </c>
      <c r="AV84" s="1393" t="str">
        <f t="shared" si="1"/>
        <v>4:28</v>
      </c>
      <c r="AW84" s="1630" t="s">
        <v>10511</v>
      </c>
    </row>
    <row r="85">
      <c r="A85" s="1529" t="s">
        <v>3616</v>
      </c>
      <c r="B85" s="1605" t="s">
        <v>8827</v>
      </c>
      <c r="C85" s="1475">
        <v>0.052662037037037035</v>
      </c>
      <c r="D85" s="773" t="s">
        <v>10512</v>
      </c>
      <c r="E85" s="773" t="s">
        <v>534</v>
      </c>
      <c r="F85" s="773" t="s">
        <v>10513</v>
      </c>
      <c r="G85" s="773" t="s">
        <v>10514</v>
      </c>
      <c r="H85" s="773" t="s">
        <v>9036</v>
      </c>
      <c r="I85" s="773" t="s">
        <v>10515</v>
      </c>
      <c r="J85" s="773" t="s">
        <v>158</v>
      </c>
      <c r="K85" s="773" t="s">
        <v>10516</v>
      </c>
      <c r="L85" s="773" t="s">
        <v>2848</v>
      </c>
      <c r="M85" s="773" t="s">
        <v>272</v>
      </c>
      <c r="N85" s="773" t="s">
        <v>9324</v>
      </c>
      <c r="O85" s="773" t="s">
        <v>10517</v>
      </c>
      <c r="P85" s="773" t="s">
        <v>2056</v>
      </c>
      <c r="Q85" s="773" t="s">
        <v>3498</v>
      </c>
      <c r="R85" s="773" t="s">
        <v>10518</v>
      </c>
      <c r="S85" s="773" t="s">
        <v>6116</v>
      </c>
      <c r="T85" s="773" t="s">
        <v>10519</v>
      </c>
      <c r="U85" s="773" t="s">
        <v>10520</v>
      </c>
      <c r="V85" s="773" t="s">
        <v>10521</v>
      </c>
      <c r="W85" s="773" t="s">
        <v>10522</v>
      </c>
      <c r="X85" s="773" t="s">
        <v>2711</v>
      </c>
      <c r="Y85" s="773" t="s">
        <v>2806</v>
      </c>
      <c r="Z85" s="773" t="s">
        <v>6400</v>
      </c>
      <c r="AA85" s="1579" t="s">
        <v>10523</v>
      </c>
      <c r="AB85" s="773" t="s">
        <v>10524</v>
      </c>
      <c r="AC85" s="773" t="s">
        <v>6670</v>
      </c>
      <c r="AD85" s="1641" t="s">
        <v>8846</v>
      </c>
      <c r="AE85" s="773" t="s">
        <v>336</v>
      </c>
      <c r="AF85" s="773" t="s">
        <v>10525</v>
      </c>
      <c r="AG85" s="773" t="s">
        <v>7671</v>
      </c>
      <c r="AH85" s="773" t="s">
        <v>3820</v>
      </c>
      <c r="AI85" s="773" t="s">
        <v>10526</v>
      </c>
      <c r="AJ85" s="773" t="s">
        <v>10527</v>
      </c>
      <c r="AK85" s="773" t="s">
        <v>10528</v>
      </c>
      <c r="AL85" s="773" t="s">
        <v>4596</v>
      </c>
      <c r="AM85" s="773" t="s">
        <v>5761</v>
      </c>
      <c r="AN85" s="1641" t="s">
        <v>8851</v>
      </c>
      <c r="AO85" s="773" t="s">
        <v>10529</v>
      </c>
      <c r="AP85" s="773" t="s">
        <v>10530</v>
      </c>
      <c r="AQ85" s="773" t="s">
        <v>10531</v>
      </c>
      <c r="AR85" s="773" t="s">
        <v>6070</v>
      </c>
      <c r="AS85" s="773" t="s">
        <v>7187</v>
      </c>
      <c r="AT85" s="773" t="s">
        <v>10532</v>
      </c>
      <c r="AU85" s="1642" t="s">
        <v>10533</v>
      </c>
      <c r="AV85" s="1393" t="str">
        <f t="shared" si="1"/>
        <v>4:43</v>
      </c>
      <c r="AW85" s="1612" t="s">
        <v>10534</v>
      </c>
    </row>
    <row r="86" ht="15.75" customHeight="1">
      <c r="A86" s="1529" t="s">
        <v>10535</v>
      </c>
      <c r="B86" s="1527" t="s">
        <v>8774</v>
      </c>
      <c r="C86" s="1475">
        <v>0.05267361111111111</v>
      </c>
      <c r="D86" s="1604" t="s">
        <v>9930</v>
      </c>
      <c r="E86" s="1579" t="s">
        <v>176</v>
      </c>
      <c r="F86" s="1579" t="s">
        <v>7696</v>
      </c>
      <c r="G86" s="1579" t="s">
        <v>10536</v>
      </c>
      <c r="H86" s="1579" t="s">
        <v>10537</v>
      </c>
      <c r="I86" s="1579" t="s">
        <v>5609</v>
      </c>
      <c r="J86" s="773" t="s">
        <v>10538</v>
      </c>
      <c r="K86" s="1579" t="s">
        <v>10539</v>
      </c>
      <c r="L86" s="1579" t="s">
        <v>3820</v>
      </c>
      <c r="M86" s="1579" t="s">
        <v>7653</v>
      </c>
      <c r="N86" s="1579" t="s">
        <v>10540</v>
      </c>
      <c r="O86" s="1579" t="s">
        <v>10541</v>
      </c>
      <c r="P86" s="1579" t="s">
        <v>9898</v>
      </c>
      <c r="Q86" s="1579" t="s">
        <v>10542</v>
      </c>
      <c r="R86" s="1579" t="s">
        <v>5625</v>
      </c>
      <c r="S86" s="1579" t="s">
        <v>7689</v>
      </c>
      <c r="T86" s="1579" t="s">
        <v>10543</v>
      </c>
      <c r="U86" s="1579" t="s">
        <v>10544</v>
      </c>
      <c r="V86" s="1579" t="s">
        <v>3879</v>
      </c>
      <c r="W86" s="1579" t="s">
        <v>10545</v>
      </c>
      <c r="X86" s="1579" t="s">
        <v>2413</v>
      </c>
      <c r="Y86" s="1579" t="s">
        <v>9494</v>
      </c>
      <c r="Z86" s="1579" t="s">
        <v>9009</v>
      </c>
      <c r="AA86" s="1579" t="s">
        <v>10546</v>
      </c>
      <c r="AB86" s="1579" t="s">
        <v>10113</v>
      </c>
      <c r="AC86" s="1579" t="s">
        <v>9361</v>
      </c>
      <c r="AD86" s="1579" t="s">
        <v>10547</v>
      </c>
      <c r="AE86" s="1579" t="s">
        <v>2383</v>
      </c>
      <c r="AF86" s="1579" t="s">
        <v>10548</v>
      </c>
      <c r="AG86" s="1579" t="s">
        <v>10549</v>
      </c>
      <c r="AH86" s="1579" t="s">
        <v>4212</v>
      </c>
      <c r="AI86" s="1579" t="s">
        <v>10550</v>
      </c>
      <c r="AJ86" s="1579" t="s">
        <v>10551</v>
      </c>
      <c r="AK86" s="1579" t="s">
        <v>1689</v>
      </c>
      <c r="AL86" s="1579" t="s">
        <v>2601</v>
      </c>
      <c r="AM86" s="1579" t="s">
        <v>1689</v>
      </c>
      <c r="AN86" s="1579" t="s">
        <v>2601</v>
      </c>
      <c r="AO86" s="1579" t="s">
        <v>6234</v>
      </c>
      <c r="AP86" s="1579" t="s">
        <v>10552</v>
      </c>
      <c r="AQ86" s="1579" t="s">
        <v>2207</v>
      </c>
      <c r="AR86" s="1579" t="s">
        <v>10366</v>
      </c>
      <c r="AS86" s="1579" t="s">
        <v>10553</v>
      </c>
      <c r="AT86" s="1579" t="s">
        <v>10554</v>
      </c>
      <c r="AU86" s="1579" t="s">
        <v>10555</v>
      </c>
      <c r="AV86" s="1393" t="str">
        <f t="shared" si="1"/>
        <v>5:58</v>
      </c>
      <c r="AW86" s="1627" t="s">
        <v>10556</v>
      </c>
    </row>
    <row r="87" ht="15.75" customHeight="1">
      <c r="A87" s="1473" t="s">
        <v>6103</v>
      </c>
      <c r="B87" s="1563" t="s">
        <v>8801</v>
      </c>
      <c r="C87" s="1597">
        <v>0.05275462962962963</v>
      </c>
      <c r="D87" s="773" t="s">
        <v>10557</v>
      </c>
      <c r="E87" s="361" t="s">
        <v>5995</v>
      </c>
      <c r="F87" s="361" t="s">
        <v>10558</v>
      </c>
      <c r="G87" s="361" t="s">
        <v>8972</v>
      </c>
      <c r="H87" s="361" t="s">
        <v>7482</v>
      </c>
      <c r="I87" s="361" t="s">
        <v>2284</v>
      </c>
      <c r="J87" s="361" t="s">
        <v>4153</v>
      </c>
      <c r="K87" s="361" t="s">
        <v>10256</v>
      </c>
      <c r="L87" s="361" t="s">
        <v>5321</v>
      </c>
      <c r="M87" s="361" t="s">
        <v>4139</v>
      </c>
      <c r="N87" s="361" t="s">
        <v>10559</v>
      </c>
      <c r="O87" s="361" t="s">
        <v>10560</v>
      </c>
      <c r="P87" s="361" t="s">
        <v>6352</v>
      </c>
      <c r="Q87" s="361" t="s">
        <v>10561</v>
      </c>
      <c r="R87" s="361" t="s">
        <v>10562</v>
      </c>
      <c r="S87" s="361" t="s">
        <v>8790</v>
      </c>
      <c r="T87" s="361" t="s">
        <v>2606</v>
      </c>
      <c r="U87" s="361" t="s">
        <v>500</v>
      </c>
      <c r="V87" s="361" t="s">
        <v>10563</v>
      </c>
      <c r="W87" s="361" t="s">
        <v>10564</v>
      </c>
      <c r="X87" s="361" t="s">
        <v>8976</v>
      </c>
      <c r="Y87" s="361" t="s">
        <v>5774</v>
      </c>
      <c r="Z87" s="361" t="s">
        <v>9150</v>
      </c>
      <c r="AA87" s="361" t="s">
        <v>10565</v>
      </c>
      <c r="AB87" s="361" t="s">
        <v>493</v>
      </c>
      <c r="AC87" s="361" t="s">
        <v>9056</v>
      </c>
      <c r="AD87" s="361" t="s">
        <v>10566</v>
      </c>
      <c r="AE87" s="361" t="s">
        <v>10567</v>
      </c>
      <c r="AF87" s="361" t="s">
        <v>9655</v>
      </c>
      <c r="AG87" s="361" t="s">
        <v>7132</v>
      </c>
      <c r="AH87" s="361" t="s">
        <v>724</v>
      </c>
      <c r="AI87" s="361" t="s">
        <v>5350</v>
      </c>
      <c r="AJ87" s="361" t="s">
        <v>10568</v>
      </c>
      <c r="AK87" s="361" t="s">
        <v>9114</v>
      </c>
      <c r="AL87" s="361" t="s">
        <v>5282</v>
      </c>
      <c r="AM87" s="361" t="s">
        <v>2740</v>
      </c>
      <c r="AN87" s="361" t="s">
        <v>6540</v>
      </c>
      <c r="AO87" s="361" t="s">
        <v>6252</v>
      </c>
      <c r="AP87" s="361" t="s">
        <v>10569</v>
      </c>
      <c r="AQ87" s="361" t="s">
        <v>10570</v>
      </c>
      <c r="AR87" s="361" t="s">
        <v>10195</v>
      </c>
      <c r="AS87" s="361" t="s">
        <v>9159</v>
      </c>
      <c r="AT87" s="361" t="s">
        <v>10571</v>
      </c>
      <c r="AU87" s="361" t="s">
        <v>10572</v>
      </c>
      <c r="AV87" s="1393" t="str">
        <f t="shared" si="1"/>
        <v>3:59</v>
      </c>
      <c r="AW87" s="1631" t="s">
        <v>10573</v>
      </c>
    </row>
    <row r="88" ht="15.75" customHeight="1">
      <c r="A88" s="1580" t="s">
        <v>10574</v>
      </c>
      <c r="B88" s="1617" t="s">
        <v>8827</v>
      </c>
      <c r="C88" s="1597">
        <v>0.05291666666666667</v>
      </c>
      <c r="D88" s="773" t="s">
        <v>10575</v>
      </c>
      <c r="E88" s="361" t="s">
        <v>10576</v>
      </c>
      <c r="F88" s="361" t="s">
        <v>5904</v>
      </c>
      <c r="G88" s="361" t="s">
        <v>9790</v>
      </c>
      <c r="H88" s="361" t="s">
        <v>10132</v>
      </c>
      <c r="I88" s="361" t="s">
        <v>3114</v>
      </c>
      <c r="J88" s="361" t="s">
        <v>10577</v>
      </c>
      <c r="K88" s="361" t="s">
        <v>5446</v>
      </c>
      <c r="L88" s="361" t="s">
        <v>7996</v>
      </c>
      <c r="M88" s="361" t="s">
        <v>10578</v>
      </c>
      <c r="N88" s="361" t="s">
        <v>10579</v>
      </c>
      <c r="O88" s="361" t="s">
        <v>10580</v>
      </c>
      <c r="P88" s="361" t="s">
        <v>10002</v>
      </c>
      <c r="Q88" s="361" t="s">
        <v>10581</v>
      </c>
      <c r="R88" s="361" t="s">
        <v>5929</v>
      </c>
      <c r="S88" s="361" t="s">
        <v>4581</v>
      </c>
      <c r="T88" s="361" t="s">
        <v>9163</v>
      </c>
      <c r="U88" s="361" t="s">
        <v>5521</v>
      </c>
      <c r="V88" s="361" t="s">
        <v>1148</v>
      </c>
      <c r="W88" s="361" t="s">
        <v>1832</v>
      </c>
      <c r="X88" s="361" t="s">
        <v>3354</v>
      </c>
      <c r="Y88" s="361" t="s">
        <v>660</v>
      </c>
      <c r="Z88" s="361" t="s">
        <v>10582</v>
      </c>
      <c r="AA88" s="1579" t="s">
        <v>7924</v>
      </c>
      <c r="AB88" s="361" t="s">
        <v>3669</v>
      </c>
      <c r="AC88" s="361" t="s">
        <v>2446</v>
      </c>
      <c r="AD88" s="361" t="s">
        <v>10583</v>
      </c>
      <c r="AE88" s="361" t="s">
        <v>10584</v>
      </c>
      <c r="AF88" s="361" t="s">
        <v>10585</v>
      </c>
      <c r="AG88" s="361" t="s">
        <v>2772</v>
      </c>
      <c r="AH88" s="361" t="s">
        <v>9826</v>
      </c>
      <c r="AI88" s="361" t="s">
        <v>10586</v>
      </c>
      <c r="AJ88" s="361" t="s">
        <v>10587</v>
      </c>
      <c r="AK88" s="361" t="s">
        <v>10588</v>
      </c>
      <c r="AL88" s="361" t="s">
        <v>1662</v>
      </c>
      <c r="AM88" s="361" t="s">
        <v>2550</v>
      </c>
      <c r="AN88" s="361" t="s">
        <v>8898</v>
      </c>
      <c r="AO88" s="361" t="s">
        <v>10589</v>
      </c>
      <c r="AP88" s="361" t="s">
        <v>8611</v>
      </c>
      <c r="AQ88" s="361" t="s">
        <v>10590</v>
      </c>
      <c r="AR88" s="361" t="s">
        <v>10498</v>
      </c>
      <c r="AS88" s="361" t="s">
        <v>4359</v>
      </c>
      <c r="AT88" s="361" t="s">
        <v>10591</v>
      </c>
      <c r="AU88" s="361" t="s">
        <v>10592</v>
      </c>
      <c r="AV88" s="1393" t="str">
        <f t="shared" si="1"/>
        <v>2:38</v>
      </c>
      <c r="AW88" s="1631"/>
    </row>
    <row r="89" ht="15.75" customHeight="1">
      <c r="A89" s="1529" t="s">
        <v>6419</v>
      </c>
      <c r="B89" s="1517" t="s">
        <v>8774</v>
      </c>
      <c r="C89" s="1475">
        <v>0.05324074074074074</v>
      </c>
      <c r="D89" s="773" t="s">
        <v>10593</v>
      </c>
      <c r="E89" s="773" t="s">
        <v>10594</v>
      </c>
      <c r="F89" s="773" t="s">
        <v>10595</v>
      </c>
      <c r="G89" s="773" t="s">
        <v>9535</v>
      </c>
      <c r="H89" s="773" t="s">
        <v>10596</v>
      </c>
      <c r="I89" s="773" t="s">
        <v>6118</v>
      </c>
      <c r="J89" s="773" t="s">
        <v>1795</v>
      </c>
      <c r="K89" s="773" t="s">
        <v>4263</v>
      </c>
      <c r="L89" s="773" t="s">
        <v>10597</v>
      </c>
      <c r="M89" s="773" t="s">
        <v>10598</v>
      </c>
      <c r="N89" s="773" t="s">
        <v>10599</v>
      </c>
      <c r="O89" s="773" t="s">
        <v>10600</v>
      </c>
      <c r="P89" s="773" t="s">
        <v>10601</v>
      </c>
      <c r="Q89" s="773" t="s">
        <v>10602</v>
      </c>
      <c r="R89" s="773" t="s">
        <v>10603</v>
      </c>
      <c r="S89" s="773" t="s">
        <v>10480</v>
      </c>
      <c r="T89" s="773" t="s">
        <v>10604</v>
      </c>
      <c r="U89" s="773" t="s">
        <v>10605</v>
      </c>
      <c r="V89" s="773" t="s">
        <v>2867</v>
      </c>
      <c r="W89" s="773" t="s">
        <v>10606</v>
      </c>
      <c r="X89" s="773" t="s">
        <v>10607</v>
      </c>
      <c r="Y89" s="773" t="s">
        <v>5609</v>
      </c>
      <c r="Z89" s="773" t="s">
        <v>3565</v>
      </c>
      <c r="AA89" s="1579" t="s">
        <v>10608</v>
      </c>
      <c r="AB89" s="773" t="s">
        <v>9936</v>
      </c>
      <c r="AC89" s="773" t="s">
        <v>5533</v>
      </c>
      <c r="AD89" s="773" t="s">
        <v>10609</v>
      </c>
      <c r="AE89" s="773" t="s">
        <v>9727</v>
      </c>
      <c r="AF89" s="773" t="s">
        <v>10610</v>
      </c>
      <c r="AG89" s="773" t="s">
        <v>10421</v>
      </c>
      <c r="AH89" s="773" t="s">
        <v>5764</v>
      </c>
      <c r="AI89" s="773" t="s">
        <v>10611</v>
      </c>
      <c r="AJ89" s="773" t="s">
        <v>10612</v>
      </c>
      <c r="AK89" s="1579" t="s">
        <v>10613</v>
      </c>
      <c r="AL89" s="773" t="s">
        <v>10240</v>
      </c>
      <c r="AM89" s="773" t="s">
        <v>10614</v>
      </c>
      <c r="AN89" s="773" t="s">
        <v>10081</v>
      </c>
      <c r="AO89" s="773" t="s">
        <v>4530</v>
      </c>
      <c r="AP89" s="773" t="s">
        <v>10615</v>
      </c>
      <c r="AQ89" s="773" t="s">
        <v>10616</v>
      </c>
      <c r="AR89" s="1579" t="s">
        <v>3819</v>
      </c>
      <c r="AS89" s="773" t="s">
        <v>10617</v>
      </c>
      <c r="AT89" s="773" t="s">
        <v>10618</v>
      </c>
      <c r="AU89" s="1579" t="s">
        <v>10533</v>
      </c>
      <c r="AV89" s="1393" t="str">
        <f t="shared" si="1"/>
        <v>3:53</v>
      </c>
      <c r="AW89" s="1627" t="s">
        <v>10619</v>
      </c>
    </row>
    <row r="90">
      <c r="A90" s="1529" t="s">
        <v>4789</v>
      </c>
      <c r="B90" s="1527" t="s">
        <v>8827</v>
      </c>
      <c r="C90" s="1475">
        <v>0.05331018518518518</v>
      </c>
      <c r="D90" s="1579" t="s">
        <v>10620</v>
      </c>
      <c r="E90" s="1579" t="s">
        <v>8095</v>
      </c>
      <c r="F90" s="1579" t="s">
        <v>10397</v>
      </c>
      <c r="G90" s="1579" t="s">
        <v>10621</v>
      </c>
      <c r="H90" s="773" t="s">
        <v>10622</v>
      </c>
      <c r="I90" s="1579" t="s">
        <v>10623</v>
      </c>
      <c r="J90" s="1579" t="s">
        <v>10173</v>
      </c>
      <c r="K90" s="1579" t="s">
        <v>8968</v>
      </c>
      <c r="L90" s="1579" t="s">
        <v>4466</v>
      </c>
      <c r="M90" s="1579" t="s">
        <v>10624</v>
      </c>
      <c r="N90" s="1579" t="s">
        <v>9965</v>
      </c>
      <c r="O90" s="1579" t="s">
        <v>10625</v>
      </c>
      <c r="P90" s="1579" t="s">
        <v>6301</v>
      </c>
      <c r="Q90" s="1579" t="s">
        <v>10626</v>
      </c>
      <c r="R90" s="1579" t="s">
        <v>2150</v>
      </c>
      <c r="S90" s="1579" t="s">
        <v>7959</v>
      </c>
      <c r="T90" s="1579" t="s">
        <v>7464</v>
      </c>
      <c r="U90" s="1579" t="s">
        <v>10627</v>
      </c>
      <c r="V90" s="1579" t="s">
        <v>10154</v>
      </c>
      <c r="W90" s="1579" t="s">
        <v>10628</v>
      </c>
      <c r="X90" s="1579" t="s">
        <v>7133</v>
      </c>
      <c r="Y90" s="1579" t="s">
        <v>5461</v>
      </c>
      <c r="Z90" s="1579" t="s">
        <v>9967</v>
      </c>
      <c r="AA90" s="1579" t="s">
        <v>10629</v>
      </c>
      <c r="AB90" s="1579" t="s">
        <v>3557</v>
      </c>
      <c r="AC90" s="1579" t="s">
        <v>10630</v>
      </c>
      <c r="AD90" s="1579" t="s">
        <v>10631</v>
      </c>
      <c r="AE90" s="1579" t="s">
        <v>5774</v>
      </c>
      <c r="AF90" s="1579" t="s">
        <v>10632</v>
      </c>
      <c r="AG90" s="1579" t="s">
        <v>9284</v>
      </c>
      <c r="AH90" s="1579" t="s">
        <v>10633</v>
      </c>
      <c r="AI90" s="1579" t="s">
        <v>10634</v>
      </c>
      <c r="AJ90" s="1579" t="s">
        <v>10635</v>
      </c>
      <c r="AK90" s="1579" t="s">
        <v>2229</v>
      </c>
      <c r="AL90" s="1579" t="s">
        <v>2198</v>
      </c>
      <c r="AM90" s="1579" t="s">
        <v>10636</v>
      </c>
      <c r="AN90" s="1579" t="s">
        <v>4671</v>
      </c>
      <c r="AO90" s="1579" t="s">
        <v>10637</v>
      </c>
      <c r="AP90" s="1579" t="s">
        <v>2717</v>
      </c>
      <c r="AQ90" s="1579" t="s">
        <v>10638</v>
      </c>
      <c r="AR90" s="1579" t="s">
        <v>1675</v>
      </c>
      <c r="AS90" s="1579" t="s">
        <v>976</v>
      </c>
      <c r="AT90" s="1579" t="s">
        <v>10639</v>
      </c>
      <c r="AU90" s="1579" t="s">
        <v>10640</v>
      </c>
      <c r="AV90" s="1393" t="str">
        <f t="shared" si="1"/>
        <v>4:18</v>
      </c>
      <c r="AW90" s="1631"/>
    </row>
    <row r="91" ht="15.75" customHeight="1">
      <c r="A91" s="1580" t="s">
        <v>10641</v>
      </c>
      <c r="B91" s="1617" t="s">
        <v>8827</v>
      </c>
      <c r="C91" s="1475">
        <v>0.05348379629629629</v>
      </c>
      <c r="D91" s="773" t="s">
        <v>10642</v>
      </c>
      <c r="E91" s="361" t="s">
        <v>10431</v>
      </c>
      <c r="F91" s="361" t="s">
        <v>6539</v>
      </c>
      <c r="G91" s="361" t="s">
        <v>10643</v>
      </c>
      <c r="H91" s="361" t="s">
        <v>10644</v>
      </c>
      <c r="I91" s="361" t="s">
        <v>2350</v>
      </c>
      <c r="J91" s="361" t="s">
        <v>9338</v>
      </c>
      <c r="K91" s="361" t="s">
        <v>8839</v>
      </c>
      <c r="L91" s="361" t="s">
        <v>4851</v>
      </c>
      <c r="M91" s="361" t="s">
        <v>10645</v>
      </c>
      <c r="N91" s="361" t="s">
        <v>10646</v>
      </c>
      <c r="O91" s="361" t="s">
        <v>4309</v>
      </c>
      <c r="P91" s="361" t="s">
        <v>929</v>
      </c>
      <c r="Q91" s="1579" t="s">
        <v>10647</v>
      </c>
      <c r="R91" s="361" t="s">
        <v>10218</v>
      </c>
      <c r="S91" s="361" t="s">
        <v>9564</v>
      </c>
      <c r="T91" s="361" t="s">
        <v>10404</v>
      </c>
      <c r="U91" s="361" t="s">
        <v>10648</v>
      </c>
      <c r="V91" s="361" t="s">
        <v>3219</v>
      </c>
      <c r="W91" s="361" t="s">
        <v>2782</v>
      </c>
      <c r="X91" s="361" t="s">
        <v>3139</v>
      </c>
      <c r="Y91" s="361" t="s">
        <v>1430</v>
      </c>
      <c r="Z91" s="361" t="s">
        <v>9238</v>
      </c>
      <c r="AA91" s="1579" t="s">
        <v>10649</v>
      </c>
      <c r="AB91" s="361" t="s">
        <v>9976</v>
      </c>
      <c r="AC91" s="361" t="s">
        <v>1155</v>
      </c>
      <c r="AD91" s="361" t="s">
        <v>10650</v>
      </c>
      <c r="AE91" s="361" t="s">
        <v>587</v>
      </c>
      <c r="AF91" s="1579" t="s">
        <v>10651</v>
      </c>
      <c r="AG91" s="361" t="s">
        <v>5793</v>
      </c>
      <c r="AH91" s="361" t="s">
        <v>9436</v>
      </c>
      <c r="AI91" s="361" t="s">
        <v>2631</v>
      </c>
      <c r="AJ91" s="361" t="s">
        <v>10652</v>
      </c>
      <c r="AK91" s="361" t="s">
        <v>9252</v>
      </c>
      <c r="AL91" s="361" t="s">
        <v>10653</v>
      </c>
      <c r="AM91" s="361" t="s">
        <v>9023</v>
      </c>
      <c r="AN91" s="361" t="s">
        <v>10240</v>
      </c>
      <c r="AO91" s="361" t="s">
        <v>8947</v>
      </c>
      <c r="AP91" s="361" t="s">
        <v>10654</v>
      </c>
      <c r="AQ91" s="361" t="s">
        <v>4456</v>
      </c>
      <c r="AR91" s="361" t="s">
        <v>1384</v>
      </c>
      <c r="AS91" s="361" t="s">
        <v>9032</v>
      </c>
      <c r="AT91" s="361" t="s">
        <v>4701</v>
      </c>
      <c r="AU91" s="361" t="s">
        <v>10655</v>
      </c>
      <c r="AV91" s="1393" t="str">
        <f t="shared" si="1"/>
        <v>3:27</v>
      </c>
      <c r="AW91" s="1627" t="s">
        <v>10656</v>
      </c>
    </row>
    <row r="92">
      <c r="A92" s="1529" t="s">
        <v>5402</v>
      </c>
      <c r="B92" s="1517" t="s">
        <v>8774</v>
      </c>
      <c r="C92" s="1475">
        <v>0.05376157407407407</v>
      </c>
      <c r="D92" s="1579" t="s">
        <v>10657</v>
      </c>
      <c r="E92" s="1579" t="s">
        <v>5694</v>
      </c>
      <c r="F92" s="1579" t="s">
        <v>10658</v>
      </c>
      <c r="G92" s="1579" t="s">
        <v>10659</v>
      </c>
      <c r="H92" s="1643" t="s">
        <v>10660</v>
      </c>
      <c r="I92" s="773" t="s">
        <v>241</v>
      </c>
      <c r="J92" s="1579" t="s">
        <v>9851</v>
      </c>
      <c r="K92" s="1579" t="s">
        <v>10661</v>
      </c>
      <c r="L92" s="1579" t="s">
        <v>2516</v>
      </c>
      <c r="M92" s="1579" t="s">
        <v>1262</v>
      </c>
      <c r="N92" s="1579" t="s">
        <v>10662</v>
      </c>
      <c r="O92" s="1579" t="s">
        <v>10663</v>
      </c>
      <c r="P92" s="1579" t="s">
        <v>864</v>
      </c>
      <c r="Q92" s="1579" t="s">
        <v>4396</v>
      </c>
      <c r="R92" s="1579" t="s">
        <v>10664</v>
      </c>
      <c r="S92" s="1644" t="s">
        <v>10665</v>
      </c>
      <c r="T92" s="1644" t="s">
        <v>9402</v>
      </c>
      <c r="U92" s="1579" t="s">
        <v>10666</v>
      </c>
      <c r="V92" s="1579" t="s">
        <v>10667</v>
      </c>
      <c r="W92" s="1579" t="s">
        <v>7780</v>
      </c>
      <c r="X92" s="1579" t="s">
        <v>10668</v>
      </c>
      <c r="Y92" s="1579" t="s">
        <v>2125</v>
      </c>
      <c r="Z92" s="1579" t="s">
        <v>9976</v>
      </c>
      <c r="AA92" s="1579" t="s">
        <v>10669</v>
      </c>
      <c r="AB92" s="1579" t="s">
        <v>10670</v>
      </c>
      <c r="AC92" s="1579" t="s">
        <v>7880</v>
      </c>
      <c r="AD92" s="1579" t="s">
        <v>6061</v>
      </c>
      <c r="AE92" s="1579" t="s">
        <v>2446</v>
      </c>
      <c r="AF92" s="1579" t="s">
        <v>10671</v>
      </c>
      <c r="AG92" s="1579" t="s">
        <v>10672</v>
      </c>
      <c r="AH92" s="1579" t="s">
        <v>5003</v>
      </c>
      <c r="AI92" s="1579" t="s">
        <v>7740</v>
      </c>
      <c r="AJ92" s="1579" t="s">
        <v>10673</v>
      </c>
      <c r="AK92" s="1579" t="s">
        <v>4843</v>
      </c>
      <c r="AL92" s="1579" t="s">
        <v>10674</v>
      </c>
      <c r="AM92" s="1579" t="s">
        <v>4854</v>
      </c>
      <c r="AN92" s="1579" t="s">
        <v>10675</v>
      </c>
      <c r="AO92" s="1579" t="s">
        <v>8878</v>
      </c>
      <c r="AP92" s="1579" t="s">
        <v>10676</v>
      </c>
      <c r="AQ92" s="1579" t="s">
        <v>10677</v>
      </c>
      <c r="AR92" s="1579" t="s">
        <v>5185</v>
      </c>
      <c r="AS92" s="1579" t="s">
        <v>9002</v>
      </c>
      <c r="AT92" s="1579" t="s">
        <v>10678</v>
      </c>
      <c r="AU92" s="1579" t="s">
        <v>10679</v>
      </c>
      <c r="AV92" s="1393" t="str">
        <f t="shared" si="1"/>
        <v>4:58</v>
      </c>
      <c r="AW92" s="1645"/>
    </row>
    <row r="93" ht="15.75" customHeight="1">
      <c r="A93" s="1580" t="s">
        <v>6581</v>
      </c>
      <c r="B93" s="1617" t="s">
        <v>8827</v>
      </c>
      <c r="C93" s="1597">
        <v>0.05386574074074074</v>
      </c>
      <c r="D93" s="361" t="s">
        <v>10680</v>
      </c>
      <c r="E93" s="361" t="s">
        <v>7517</v>
      </c>
      <c r="F93" s="361" t="s">
        <v>10681</v>
      </c>
      <c r="G93" s="361" t="s">
        <v>4271</v>
      </c>
      <c r="H93" s="361" t="s">
        <v>10682</v>
      </c>
      <c r="I93" s="361" t="s">
        <v>10623</v>
      </c>
      <c r="J93" s="361" t="s">
        <v>10683</v>
      </c>
      <c r="K93" s="361" t="s">
        <v>10684</v>
      </c>
      <c r="L93" s="361" t="s">
        <v>1437</v>
      </c>
      <c r="M93" s="361" t="s">
        <v>4551</v>
      </c>
      <c r="N93" s="361" t="s">
        <v>7647</v>
      </c>
      <c r="O93" s="361" t="s">
        <v>10685</v>
      </c>
      <c r="P93" s="361" t="s">
        <v>6301</v>
      </c>
      <c r="Q93" s="361" t="s">
        <v>10686</v>
      </c>
      <c r="R93" s="361" t="s">
        <v>10687</v>
      </c>
      <c r="S93" s="361" t="s">
        <v>10688</v>
      </c>
      <c r="T93" s="361" t="s">
        <v>9956</v>
      </c>
      <c r="U93" s="361" t="s">
        <v>10689</v>
      </c>
      <c r="V93" s="361" t="s">
        <v>10690</v>
      </c>
      <c r="W93" s="361" t="s">
        <v>10691</v>
      </c>
      <c r="X93" s="361" t="s">
        <v>1333</v>
      </c>
      <c r="Y93" s="361" t="s">
        <v>1884</v>
      </c>
      <c r="Z93" s="361" t="s">
        <v>8811</v>
      </c>
      <c r="AA93" s="773"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4524</v>
      </c>
      <c r="AM93" s="361" t="s">
        <v>9945</v>
      </c>
      <c r="AN93" s="361" t="s">
        <v>9475</v>
      </c>
      <c r="AO93" s="1579" t="s">
        <v>9646</v>
      </c>
      <c r="AP93" s="361" t="s">
        <v>10700</v>
      </c>
      <c r="AQ93" s="361" t="s">
        <v>10701</v>
      </c>
      <c r="AR93" s="361" t="s">
        <v>10702</v>
      </c>
      <c r="AS93" s="361" t="s">
        <v>9244</v>
      </c>
      <c r="AT93" s="361" t="s">
        <v>10703</v>
      </c>
      <c r="AU93" s="361" t="s">
        <v>10640</v>
      </c>
      <c r="AV93" s="1393" t="str">
        <f t="shared" si="1"/>
        <v>3:30</v>
      </c>
      <c r="AW93" s="1631"/>
    </row>
    <row r="94">
      <c r="A94" s="1529" t="s">
        <v>5301</v>
      </c>
      <c r="B94" s="1517" t="s">
        <v>8827</v>
      </c>
      <c r="C94" s="1475">
        <v>0.05482638888888889</v>
      </c>
      <c r="D94" s="1604" t="s">
        <v>10704</v>
      </c>
      <c r="E94" s="1579" t="s">
        <v>9557</v>
      </c>
      <c r="F94" s="1579" t="s">
        <v>10705</v>
      </c>
      <c r="G94" s="1579" t="s">
        <v>10706</v>
      </c>
      <c r="H94" s="1579" t="s">
        <v>10707</v>
      </c>
      <c r="I94" s="1579" t="s">
        <v>10708</v>
      </c>
      <c r="J94" s="1579" t="s">
        <v>10709</v>
      </c>
      <c r="K94" s="1579" t="s">
        <v>9980</v>
      </c>
      <c r="L94" s="1579" t="s">
        <v>10710</v>
      </c>
      <c r="M94" s="1579" t="s">
        <v>1673</v>
      </c>
      <c r="N94" s="1579" t="s">
        <v>6481</v>
      </c>
      <c r="O94" s="1579" t="s">
        <v>10711</v>
      </c>
      <c r="P94" s="1579" t="s">
        <v>6579</v>
      </c>
      <c r="Q94" s="1579" t="s">
        <v>10712</v>
      </c>
      <c r="R94" s="1579" t="s">
        <v>8900</v>
      </c>
      <c r="S94" s="1579" t="s">
        <v>10713</v>
      </c>
      <c r="T94" s="1579" t="s">
        <v>10629</v>
      </c>
      <c r="U94" s="1579" t="s">
        <v>10714</v>
      </c>
      <c r="V94" s="1579" t="s">
        <v>843</v>
      </c>
      <c r="W94" s="1579" t="s">
        <v>6570</v>
      </c>
      <c r="X94" s="1579" t="s">
        <v>10715</v>
      </c>
      <c r="Y94" s="1579" t="s">
        <v>1768</v>
      </c>
      <c r="Z94" s="1579" t="s">
        <v>9996</v>
      </c>
      <c r="AA94" s="1579" t="s">
        <v>2389</v>
      </c>
      <c r="AB94" s="1579" t="s">
        <v>7626</v>
      </c>
      <c r="AC94" s="1579" t="s">
        <v>10716</v>
      </c>
      <c r="AD94" s="1579" t="s">
        <v>10717</v>
      </c>
      <c r="AE94" s="1579" t="s">
        <v>1543</v>
      </c>
      <c r="AF94" s="1579" t="s">
        <v>10718</v>
      </c>
      <c r="AG94" s="1579" t="s">
        <v>10719</v>
      </c>
      <c r="AH94" s="1579" t="s">
        <v>10720</v>
      </c>
      <c r="AI94" s="1579" t="s">
        <v>5838</v>
      </c>
      <c r="AJ94" s="1579" t="s">
        <v>10721</v>
      </c>
      <c r="AK94" s="1579" t="s">
        <v>248</v>
      </c>
      <c r="AL94" s="1579" t="s">
        <v>7305</v>
      </c>
      <c r="AM94" s="1579" t="s">
        <v>4276</v>
      </c>
      <c r="AN94" s="1579" t="s">
        <v>10722</v>
      </c>
      <c r="AO94" s="1579" t="s">
        <v>1795</v>
      </c>
      <c r="AP94" s="1579" t="s">
        <v>886</v>
      </c>
      <c r="AQ94" s="1579" t="s">
        <v>10723</v>
      </c>
      <c r="AR94" s="1579" t="s">
        <v>10724</v>
      </c>
      <c r="AS94" s="1579" t="s">
        <v>2224</v>
      </c>
      <c r="AT94" s="1579" t="s">
        <v>10725</v>
      </c>
      <c r="AU94" s="1579" t="s">
        <v>10726</v>
      </c>
      <c r="AV94" s="1393" t="str">
        <f t="shared" si="1"/>
        <v>3:40</v>
      </c>
      <c r="AW94" s="1627" t="s">
        <v>10727</v>
      </c>
    </row>
    <row r="95">
      <c r="A95" s="1529" t="s">
        <v>5238</v>
      </c>
      <c r="B95" s="1517" t="s">
        <v>8774</v>
      </c>
      <c r="C95" s="1475">
        <v>0.05482638888888889</v>
      </c>
      <c r="D95" s="1506" t="s">
        <v>10728</v>
      </c>
      <c r="E95" s="1506" t="s">
        <v>9412</v>
      </c>
      <c r="F95" s="1506" t="s">
        <v>10729</v>
      </c>
      <c r="G95" s="1506" t="s">
        <v>10730</v>
      </c>
      <c r="H95" s="1506" t="s">
        <v>10731</v>
      </c>
      <c r="I95" s="1506">
        <v>50.26</v>
      </c>
      <c r="J95" s="1506" t="s">
        <v>10709</v>
      </c>
      <c r="K95" s="1506" t="s">
        <v>10732</v>
      </c>
      <c r="L95" s="1506" t="s">
        <v>10733</v>
      </c>
      <c r="M95" s="1506" t="s">
        <v>2253</v>
      </c>
      <c r="N95" s="1506" t="s">
        <v>10734</v>
      </c>
      <c r="O95" s="1506" t="s">
        <v>10735</v>
      </c>
      <c r="P95" s="1506">
        <v>49.15</v>
      </c>
      <c r="Q95" s="1506" t="s">
        <v>10736</v>
      </c>
      <c r="R95" s="1506" t="s">
        <v>3392</v>
      </c>
      <c r="S95" s="1506" t="s">
        <v>10737</v>
      </c>
      <c r="T95" s="1506" t="s">
        <v>5064</v>
      </c>
      <c r="U95" s="1506" t="s">
        <v>3252</v>
      </c>
      <c r="V95" s="1506" t="s">
        <v>10738</v>
      </c>
      <c r="W95" s="1506" t="s">
        <v>10739</v>
      </c>
      <c r="X95" s="1506" t="s">
        <v>10740</v>
      </c>
      <c r="Y95" s="1506">
        <v>51.87</v>
      </c>
      <c r="Z95" s="1506" t="s">
        <v>6300</v>
      </c>
      <c r="AA95" s="1506" t="s">
        <v>6550</v>
      </c>
      <c r="AB95" s="1506" t="s">
        <v>6527</v>
      </c>
      <c r="AC95" s="1506">
        <v>49.75</v>
      </c>
      <c r="AD95" s="1506" t="s">
        <v>10741</v>
      </c>
      <c r="AE95" s="1506">
        <v>50.16</v>
      </c>
      <c r="AF95" s="1506" t="s">
        <v>10742</v>
      </c>
      <c r="AG95" s="1506" t="s">
        <v>10743</v>
      </c>
      <c r="AH95" s="1506" t="s">
        <v>6391</v>
      </c>
      <c r="AI95" s="1506" t="s">
        <v>7503</v>
      </c>
      <c r="AJ95" s="1506" t="s">
        <v>10744</v>
      </c>
      <c r="AK95" s="1506" t="s">
        <v>10662</v>
      </c>
      <c r="AL95" s="1506">
        <v>59.29</v>
      </c>
      <c r="AM95" s="1506" t="s">
        <v>4456</v>
      </c>
      <c r="AN95" s="1506" t="s">
        <v>625</v>
      </c>
      <c r="AO95" s="1506" t="s">
        <v>10745</v>
      </c>
      <c r="AP95" s="1506" t="s">
        <v>10746</v>
      </c>
      <c r="AQ95" s="1506" t="s">
        <v>10747</v>
      </c>
      <c r="AR95" s="1506" t="s">
        <v>7561</v>
      </c>
      <c r="AS95" s="1506">
        <v>47.7</v>
      </c>
      <c r="AT95" s="1506" t="s">
        <v>10748</v>
      </c>
      <c r="AU95" s="1510" t="s">
        <v>10749</v>
      </c>
      <c r="AV95" s="1393" t="str">
        <f t="shared" si="1"/>
        <v>5:51</v>
      </c>
      <c r="AW95" s="1612" t="s">
        <v>10750</v>
      </c>
    </row>
    <row r="96">
      <c r="A96" s="1529" t="s">
        <v>5490</v>
      </c>
      <c r="B96" s="1527" t="s">
        <v>8774</v>
      </c>
      <c r="C96" s="1475">
        <v>0.05559027777777778</v>
      </c>
      <c r="D96" s="1604" t="s">
        <v>10751</v>
      </c>
      <c r="E96" s="1579" t="s">
        <v>10752</v>
      </c>
      <c r="F96" s="1579" t="s">
        <v>10753</v>
      </c>
      <c r="G96" s="1579" t="s">
        <v>10754</v>
      </c>
      <c r="H96" s="1579" t="s">
        <v>5915</v>
      </c>
      <c r="I96" s="1579" t="s">
        <v>1847</v>
      </c>
      <c r="J96" s="1579" t="s">
        <v>10755</v>
      </c>
      <c r="K96" s="1579" t="s">
        <v>6304</v>
      </c>
      <c r="L96" s="1579" t="s">
        <v>8601</v>
      </c>
      <c r="M96" s="1579" t="s">
        <v>7521</v>
      </c>
      <c r="N96" s="1579" t="s">
        <v>10756</v>
      </c>
      <c r="O96" s="1579" t="s">
        <v>10757</v>
      </c>
      <c r="P96" s="1579" t="s">
        <v>191</v>
      </c>
      <c r="Q96" s="1579" t="s">
        <v>1758</v>
      </c>
      <c r="R96" s="1579" t="s">
        <v>10758</v>
      </c>
      <c r="S96" s="1579" t="s">
        <v>5218</v>
      </c>
      <c r="T96" s="1579" t="s">
        <v>10759</v>
      </c>
      <c r="U96" s="1579" t="s">
        <v>10760</v>
      </c>
      <c r="V96" s="1579" t="s">
        <v>6577</v>
      </c>
      <c r="W96" s="1579" t="s">
        <v>9542</v>
      </c>
      <c r="X96" s="1579" t="s">
        <v>5005</v>
      </c>
      <c r="Y96" s="1579" t="s">
        <v>101</v>
      </c>
      <c r="Z96" s="1579" t="s">
        <v>10761</v>
      </c>
      <c r="AA96" s="1579" t="s">
        <v>10526</v>
      </c>
      <c r="AB96" s="1579" t="s">
        <v>3445</v>
      </c>
      <c r="AC96" s="1579" t="s">
        <v>4713</v>
      </c>
      <c r="AD96" s="1579" t="s">
        <v>6128</v>
      </c>
      <c r="AE96" s="1579" t="s">
        <v>861</v>
      </c>
      <c r="AF96" s="1579" t="s">
        <v>10762</v>
      </c>
      <c r="AG96" s="1579" t="s">
        <v>10763</v>
      </c>
      <c r="AH96" s="1579" t="s">
        <v>4083</v>
      </c>
      <c r="AI96" s="1579" t="s">
        <v>10764</v>
      </c>
      <c r="AJ96" s="1579" t="s">
        <v>10765</v>
      </c>
      <c r="AK96" s="1579" t="s">
        <v>4545</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4942</v>
      </c>
      <c r="B97" s="1527" t="s">
        <v>8801</v>
      </c>
      <c r="C97" s="1560">
        <v>0.05565972222222222</v>
      </c>
      <c r="D97" s="1579" t="s">
        <v>10774</v>
      </c>
      <c r="E97" s="1579" t="s">
        <v>3201</v>
      </c>
      <c r="F97" s="1579" t="s">
        <v>10775</v>
      </c>
      <c r="G97" s="1579" t="s">
        <v>10776</v>
      </c>
      <c r="H97" s="773" t="s">
        <v>9306</v>
      </c>
      <c r="I97" s="1579" t="s">
        <v>3442</v>
      </c>
      <c r="J97" s="1579" t="s">
        <v>9549</v>
      </c>
      <c r="K97" s="1579" t="s">
        <v>806</v>
      </c>
      <c r="L97" s="1579" t="s">
        <v>10777</v>
      </c>
      <c r="M97" s="1579" t="s">
        <v>10778</v>
      </c>
      <c r="N97" s="1579" t="s">
        <v>6411</v>
      </c>
      <c r="O97" s="1579" t="s">
        <v>10779</v>
      </c>
      <c r="P97" s="1579" t="s">
        <v>10223</v>
      </c>
      <c r="Q97" s="1579" t="s">
        <v>10780</v>
      </c>
      <c r="R97" s="1579" t="s">
        <v>9998</v>
      </c>
      <c r="S97" s="1579" t="s">
        <v>420</v>
      </c>
      <c r="T97" s="1579" t="s">
        <v>10781</v>
      </c>
      <c r="U97" s="1579" t="s">
        <v>10782</v>
      </c>
      <c r="V97" s="1579" t="s">
        <v>10783</v>
      </c>
      <c r="W97" s="1579" t="s">
        <v>10784</v>
      </c>
      <c r="X97" s="1579" t="s">
        <v>10785</v>
      </c>
      <c r="Y97" s="1579" t="s">
        <v>2446</v>
      </c>
      <c r="Z97" s="1579" t="s">
        <v>5368</v>
      </c>
      <c r="AA97" s="1579" t="s">
        <v>10159</v>
      </c>
      <c r="AB97" s="1579" t="s">
        <v>10474</v>
      </c>
      <c r="AC97" s="1579" t="s">
        <v>10002</v>
      </c>
      <c r="AD97" s="1579" t="s">
        <v>10786</v>
      </c>
      <c r="AE97" s="1579" t="s">
        <v>10787</v>
      </c>
      <c r="AF97" s="1579" t="s">
        <v>10788</v>
      </c>
      <c r="AG97" s="1579" t="s">
        <v>10789</v>
      </c>
      <c r="AH97" s="1579" t="s">
        <v>10790</v>
      </c>
      <c r="AI97" s="1579" t="s">
        <v>10791</v>
      </c>
      <c r="AJ97" s="1579" t="s">
        <v>10792</v>
      </c>
      <c r="AK97" s="1579" t="s">
        <v>7464</v>
      </c>
      <c r="AL97" s="1579" t="s">
        <v>3752</v>
      </c>
      <c r="AM97" s="1579" t="s">
        <v>4854</v>
      </c>
      <c r="AN97" s="1579" t="s">
        <v>10793</v>
      </c>
      <c r="AO97" s="1579" t="s">
        <v>1991</v>
      </c>
      <c r="AP97" s="1579" t="s">
        <v>10794</v>
      </c>
      <c r="AQ97" s="1579" t="s">
        <v>10795</v>
      </c>
      <c r="AR97" s="1579" t="s">
        <v>10796</v>
      </c>
      <c r="AS97" s="1579" t="s">
        <v>2172</v>
      </c>
      <c r="AT97" s="1579" t="s">
        <v>10797</v>
      </c>
      <c r="AU97" s="1579" t="s">
        <v>10798</v>
      </c>
      <c r="AV97" s="1393" t="str">
        <f t="shared" si="1"/>
        <v>8:24</v>
      </c>
      <c r="AW97" s="1627" t="s">
        <v>9863</v>
      </c>
    </row>
    <row r="98">
      <c r="A98" s="1215" t="s">
        <v>5804</v>
      </c>
      <c r="B98" s="1646" t="s">
        <v>10799</v>
      </c>
      <c r="C98" s="1647">
        <v>0.05614583333333333</v>
      </c>
      <c r="D98" s="773" t="s">
        <v>10800</v>
      </c>
      <c r="E98" s="756" t="s">
        <v>10029</v>
      </c>
      <c r="F98" s="756" t="s">
        <v>10801</v>
      </c>
      <c r="G98" s="756" t="s">
        <v>10802</v>
      </c>
      <c r="H98" s="1648" t="s">
        <v>1366</v>
      </c>
      <c r="I98" s="756" t="s">
        <v>9504</v>
      </c>
      <c r="J98" s="756" t="s">
        <v>10803</v>
      </c>
      <c r="K98" s="756" t="s">
        <v>10804</v>
      </c>
      <c r="L98" s="756" t="s">
        <v>4757</v>
      </c>
      <c r="M98" s="756" t="s">
        <v>7864</v>
      </c>
      <c r="N98" s="756" t="s">
        <v>10055</v>
      </c>
      <c r="O98" s="756" t="s">
        <v>10805</v>
      </c>
      <c r="P98" s="756" t="s">
        <v>8926</v>
      </c>
      <c r="Q98" s="756" t="s">
        <v>10806</v>
      </c>
      <c r="R98" s="756" t="s">
        <v>4005</v>
      </c>
      <c r="S98" s="756" t="s">
        <v>5373</v>
      </c>
      <c r="T98" s="756" t="s">
        <v>1741</v>
      </c>
      <c r="U98" s="756" t="s">
        <v>9070</v>
      </c>
      <c r="V98" s="756" t="s">
        <v>2767</v>
      </c>
      <c r="W98" s="756" t="s">
        <v>10807</v>
      </c>
      <c r="X98" s="756" t="s">
        <v>10808</v>
      </c>
      <c r="Y98" s="756" t="s">
        <v>10809</v>
      </c>
      <c r="Z98" s="756" t="s">
        <v>10810</v>
      </c>
      <c r="AA98" s="816" t="s">
        <v>2131</v>
      </c>
      <c r="AB98" s="756" t="s">
        <v>10529</v>
      </c>
      <c r="AC98" s="756" t="s">
        <v>786</v>
      </c>
      <c r="AD98" s="756" t="s">
        <v>9011</v>
      </c>
      <c r="AE98" s="756" t="s">
        <v>538</v>
      </c>
      <c r="AF98" s="756" t="s">
        <v>10811</v>
      </c>
      <c r="AG98" s="756" t="s">
        <v>10812</v>
      </c>
      <c r="AH98" s="756" t="s">
        <v>9560</v>
      </c>
      <c r="AI98" s="756" t="s">
        <v>10813</v>
      </c>
      <c r="AJ98" s="756" t="s">
        <v>10814</v>
      </c>
      <c r="AK98" s="756" t="s">
        <v>10815</v>
      </c>
      <c r="AL98" s="756" t="s">
        <v>10320</v>
      </c>
      <c r="AM98" s="756" t="s">
        <v>9596</v>
      </c>
      <c r="AN98" s="756" t="s">
        <v>10816</v>
      </c>
      <c r="AO98" s="756" t="s">
        <v>10817</v>
      </c>
      <c r="AP98" s="756" t="s">
        <v>10818</v>
      </c>
      <c r="AQ98" s="756" t="s">
        <v>2720</v>
      </c>
      <c r="AR98" s="756" t="s">
        <v>10262</v>
      </c>
      <c r="AS98" s="756" t="s">
        <v>10819</v>
      </c>
      <c r="AT98" s="756" t="s">
        <v>10820</v>
      </c>
      <c r="AU98" s="756" t="s">
        <v>10821</v>
      </c>
      <c r="AV98" s="731" t="str">
        <f t="shared" si="1"/>
        <v>8:47</v>
      </c>
      <c r="AW98" s="1528" t="s">
        <v>10822</v>
      </c>
    </row>
    <row r="99">
      <c r="A99" s="1580" t="s">
        <v>10823</v>
      </c>
      <c r="B99" s="1563" t="s">
        <v>8801</v>
      </c>
      <c r="C99" s="1597">
        <v>0.057881944444444444</v>
      </c>
      <c r="D99" s="1579" t="s">
        <v>10824</v>
      </c>
      <c r="E99" s="361" t="s">
        <v>10825</v>
      </c>
      <c r="F99" s="1579" t="s">
        <v>10826</v>
      </c>
      <c r="G99" s="1579" t="s">
        <v>10827</v>
      </c>
      <c r="H99" s="361" t="s">
        <v>10828</v>
      </c>
      <c r="I99" s="361" t="s">
        <v>1027</v>
      </c>
      <c r="J99" s="361" t="s">
        <v>10829</v>
      </c>
      <c r="K99" s="361" t="s">
        <v>3706</v>
      </c>
      <c r="L99" s="361" t="s">
        <v>10830</v>
      </c>
      <c r="M99" s="361" t="s">
        <v>6957</v>
      </c>
      <c r="N99" s="361" t="s">
        <v>10831</v>
      </c>
      <c r="O99" s="361" t="s">
        <v>10832</v>
      </c>
      <c r="P99" s="361" t="s">
        <v>3806</v>
      </c>
      <c r="Q99" s="361" t="s">
        <v>10833</v>
      </c>
      <c r="R99" s="361" t="s">
        <v>10834</v>
      </c>
      <c r="S99" s="361" t="s">
        <v>10835</v>
      </c>
      <c r="T99" s="361" t="s">
        <v>1766</v>
      </c>
      <c r="U99" s="361" t="s">
        <v>10836</v>
      </c>
      <c r="V99" s="361" t="s">
        <v>10837</v>
      </c>
      <c r="W99" s="361" t="s">
        <v>10838</v>
      </c>
      <c r="X99" s="361" t="s">
        <v>10839</v>
      </c>
      <c r="Y99" s="361" t="s">
        <v>2972</v>
      </c>
      <c r="Z99" s="361" t="s">
        <v>10840</v>
      </c>
      <c r="AA99" s="1579" t="s">
        <v>10841</v>
      </c>
      <c r="AB99" s="361" t="s">
        <v>9338</v>
      </c>
      <c r="AC99" s="361" t="s">
        <v>3495</v>
      </c>
      <c r="AD99" s="361" t="s">
        <v>5330</v>
      </c>
      <c r="AE99" s="361" t="s">
        <v>2608</v>
      </c>
      <c r="AF99" s="361" t="s">
        <v>10842</v>
      </c>
      <c r="AG99" s="361" t="s">
        <v>5796</v>
      </c>
      <c r="AH99" s="361" t="s">
        <v>10843</v>
      </c>
      <c r="AI99" s="361" t="s">
        <v>4875</v>
      </c>
      <c r="AJ99" s="361" t="s">
        <v>10844</v>
      </c>
      <c r="AK99" s="361" t="s">
        <v>10845</v>
      </c>
      <c r="AL99" s="361" t="s">
        <v>4020</v>
      </c>
      <c r="AM99" s="361" t="s">
        <v>4883</v>
      </c>
      <c r="AN99" s="361" t="s">
        <v>10846</v>
      </c>
      <c r="AO99" s="361" t="s">
        <v>10224</v>
      </c>
      <c r="AP99" s="361" t="s">
        <v>10847</v>
      </c>
      <c r="AQ99" s="361" t="s">
        <v>7481</v>
      </c>
      <c r="AR99" s="361" t="s">
        <v>10848</v>
      </c>
      <c r="AS99" s="361" t="s">
        <v>620</v>
      </c>
      <c r="AT99" s="361" t="s">
        <v>10849</v>
      </c>
      <c r="AU99" s="361" t="s">
        <v>10850</v>
      </c>
      <c r="AV99" s="1393" t="str">
        <f t="shared" si="1"/>
        <v>2:11</v>
      </c>
      <c r="AW99" s="1631" t="s">
        <v>10851</v>
      </c>
    </row>
    <row r="100">
      <c r="A100" s="1590" t="s">
        <v>6498</v>
      </c>
      <c r="B100" s="1649" t="s">
        <v>10799</v>
      </c>
      <c r="C100" s="1650">
        <v>0.0609375</v>
      </c>
      <c r="D100" s="1651" t="s">
        <v>10852</v>
      </c>
      <c r="E100" s="1652" t="s">
        <v>3577</v>
      </c>
      <c r="F100" s="1652" t="s">
        <v>10853</v>
      </c>
      <c r="G100" s="1652" t="s">
        <v>10854</v>
      </c>
      <c r="H100" s="1651" t="s">
        <v>10855</v>
      </c>
      <c r="I100" s="1653" t="s">
        <v>9056</v>
      </c>
      <c r="J100" s="1654" t="s">
        <v>10856</v>
      </c>
      <c r="K100" s="1654" t="s">
        <v>1762</v>
      </c>
      <c r="L100" s="1654" t="s">
        <v>7615</v>
      </c>
      <c r="M100" s="1654" t="s">
        <v>10857</v>
      </c>
      <c r="N100" s="1654" t="s">
        <v>7605</v>
      </c>
      <c r="O100" s="1654" t="s">
        <v>10858</v>
      </c>
      <c r="P100" s="1654" t="s">
        <v>5434</v>
      </c>
      <c r="Q100" s="1655" t="s">
        <v>10859</v>
      </c>
      <c r="R100" s="1655" t="s">
        <v>10860</v>
      </c>
      <c r="S100" s="1655" t="s">
        <v>10861</v>
      </c>
      <c r="T100" s="1655" t="s">
        <v>10862</v>
      </c>
      <c r="U100" s="1655" t="s">
        <v>10863</v>
      </c>
      <c r="V100" s="1655" t="s">
        <v>10864</v>
      </c>
      <c r="W100" s="1656" t="s">
        <v>10865</v>
      </c>
      <c r="X100" s="1656" t="s">
        <v>10841</v>
      </c>
      <c r="Y100" s="1656" t="s">
        <v>10567</v>
      </c>
      <c r="Z100" s="1656" t="s">
        <v>7635</v>
      </c>
      <c r="AA100" s="1657" t="s">
        <v>10770</v>
      </c>
      <c r="AB100" s="1656" t="s">
        <v>10866</v>
      </c>
      <c r="AC100" s="1656" t="s">
        <v>9134</v>
      </c>
      <c r="AD100" s="1652" t="s">
        <v>10867</v>
      </c>
      <c r="AE100" s="1652" t="s">
        <v>1375</v>
      </c>
      <c r="AF100" s="1658" t="s">
        <v>10868</v>
      </c>
      <c r="AG100" s="1658" t="s">
        <v>10869</v>
      </c>
      <c r="AH100" s="1658" t="s">
        <v>10870</v>
      </c>
      <c r="AI100" s="1658" t="s">
        <v>7499</v>
      </c>
      <c r="AJ100" s="1658" t="s">
        <v>10871</v>
      </c>
      <c r="AK100" s="1658" t="s">
        <v>10302</v>
      </c>
      <c r="AL100" s="1658" t="s">
        <v>1821</v>
      </c>
      <c r="AM100" s="1659" t="s">
        <v>8611</v>
      </c>
      <c r="AN100" s="1659" t="s">
        <v>10872</v>
      </c>
      <c r="AO100" s="1659" t="s">
        <v>4477</v>
      </c>
      <c r="AP100" s="1659" t="s">
        <v>10873</v>
      </c>
      <c r="AQ100" s="1659" t="s">
        <v>6408</v>
      </c>
      <c r="AR100" s="1659" t="s">
        <v>10874</v>
      </c>
      <c r="AS100" s="1659" t="s">
        <v>9560</v>
      </c>
      <c r="AT100" s="1654" t="s">
        <v>10875</v>
      </c>
      <c r="AU100" s="1660" t="s">
        <v>10876</v>
      </c>
      <c r="AV100" s="1393" t="str">
        <f t="shared" si="1"/>
        <v>7:58</v>
      </c>
      <c r="AW100" s="1520" t="s">
        <v>10877</v>
      </c>
    </row>
    <row r="101" ht="15.75" customHeight="1">
      <c r="A101" s="1529" t="s">
        <v>6376</v>
      </c>
      <c r="B101" s="1563" t="s">
        <v>8801</v>
      </c>
      <c r="C101" s="1475">
        <v>0.06635416666666667</v>
      </c>
      <c r="D101" s="773" t="s">
        <v>10878</v>
      </c>
      <c r="E101" s="773" t="s">
        <v>8634</v>
      </c>
      <c r="F101" s="773" t="s">
        <v>10879</v>
      </c>
      <c r="G101" s="773" t="s">
        <v>10880</v>
      </c>
      <c r="H101" s="773" t="s">
        <v>10881</v>
      </c>
      <c r="I101" s="773" t="s">
        <v>3504</v>
      </c>
      <c r="J101" s="773" t="s">
        <v>10882</v>
      </c>
      <c r="K101" s="773" t="s">
        <v>3989</v>
      </c>
      <c r="L101" s="773" t="s">
        <v>7522</v>
      </c>
      <c r="M101" s="773" t="s">
        <v>938</v>
      </c>
      <c r="N101" s="773" t="s">
        <v>10883</v>
      </c>
      <c r="O101" s="773" t="s">
        <v>10884</v>
      </c>
      <c r="P101" s="773" t="s">
        <v>10885</v>
      </c>
      <c r="Q101" s="773" t="s">
        <v>10886</v>
      </c>
      <c r="R101" s="773" t="s">
        <v>4561</v>
      </c>
      <c r="S101" s="773" t="s">
        <v>10887</v>
      </c>
      <c r="T101" s="773" t="s">
        <v>6570</v>
      </c>
      <c r="U101" s="773" t="s">
        <v>10888</v>
      </c>
      <c r="V101" s="773" t="s">
        <v>8095</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9417</v>
      </c>
      <c r="AO101" s="773" t="s">
        <v>2330</v>
      </c>
      <c r="AP101" s="773" t="s">
        <v>10903</v>
      </c>
      <c r="AQ101" s="773" t="s">
        <v>132</v>
      </c>
      <c r="AR101" s="773" t="s">
        <v>10904</v>
      </c>
      <c r="AS101" s="773" t="s">
        <v>4071</v>
      </c>
      <c r="AT101" s="773" t="s">
        <v>10905</v>
      </c>
      <c r="AU101" s="1323" t="s">
        <v>10906</v>
      </c>
      <c r="AV101" s="1393" t="str">
        <f t="shared" si="1"/>
        <v>9:53</v>
      </c>
      <c r="AW101" s="1612" t="s">
        <v>10907</v>
      </c>
    </row>
    <row r="102">
      <c r="A102" s="1529" t="s">
        <v>6618</v>
      </c>
      <c r="B102" s="1527" t="s">
        <v>8801</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9297</v>
      </c>
      <c r="X102" s="1506"/>
      <c r="Y102" s="1506"/>
      <c r="Z102" s="1506"/>
      <c r="AA102" s="1506"/>
      <c r="AB102" s="1661" t="s">
        <v>2980</v>
      </c>
      <c r="AC102" s="1506"/>
      <c r="AD102" s="1506"/>
      <c r="AE102" s="1510"/>
      <c r="AF102" s="1506"/>
      <c r="AG102" s="1506"/>
      <c r="AH102" s="1506"/>
      <c r="AI102" s="1506"/>
      <c r="AJ102" s="1506"/>
      <c r="AK102" s="1506"/>
      <c r="AL102" s="1506"/>
      <c r="AM102" s="1513" t="s">
        <v>2400</v>
      </c>
      <c r="AN102" s="1506"/>
      <c r="AO102" s="1506"/>
      <c r="AP102" s="1506"/>
      <c r="AQ102" s="1506"/>
      <c r="AR102" s="1506"/>
      <c r="AS102" s="1506"/>
      <c r="AT102" s="1506"/>
      <c r="AU102" s="1393"/>
      <c r="AV102" s="1393"/>
      <c r="AW102" s="1562"/>
    </row>
    <row r="103">
      <c r="A103" s="1529" t="s">
        <v>4642</v>
      </c>
      <c r="B103" s="1517" t="s">
        <v>8801</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8816</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8736</v>
      </c>
      <c r="C1" s="1406" t="s">
        <v>8737</v>
      </c>
      <c r="D1" s="1669" t="s">
        <v>10908</v>
      </c>
      <c r="E1" s="1670" t="s">
        <v>6872</v>
      </c>
      <c r="F1" s="1671" t="s">
        <v>7183</v>
      </c>
      <c r="G1" s="1672" t="s">
        <v>38</v>
      </c>
      <c r="H1" s="1673" t="s">
        <v>36</v>
      </c>
      <c r="I1" s="1669" t="s">
        <v>10909</v>
      </c>
      <c r="J1" s="1674" t="s">
        <v>39</v>
      </c>
      <c r="K1" s="1675" t="s">
        <v>7121</v>
      </c>
      <c r="L1" s="1414" t="s">
        <v>8769</v>
      </c>
      <c r="M1" s="1415" t="s">
        <v>8770</v>
      </c>
      <c r="N1" s="1676" t="s">
        <v>8771</v>
      </c>
      <c r="O1" s="1677" t="s">
        <v>8772</v>
      </c>
    </row>
    <row r="2" ht="15.75" customHeight="1">
      <c r="A2" s="1678" t="s">
        <v>8773</v>
      </c>
      <c r="B2" s="1679" t="s">
        <v>8774</v>
      </c>
      <c r="C2" s="1680">
        <v>0.0496875</v>
      </c>
      <c r="D2" s="1681" t="s">
        <v>10910</v>
      </c>
      <c r="E2" s="1682" t="s">
        <v>10911</v>
      </c>
      <c r="F2" s="1683" t="s">
        <v>10912</v>
      </c>
      <c r="G2" s="1684" t="s">
        <v>10913</v>
      </c>
      <c r="H2" s="1685" t="s">
        <v>10914</v>
      </c>
      <c r="I2" s="1686" t="s">
        <v>10915</v>
      </c>
      <c r="J2" s="1687" t="s">
        <v>10916</v>
      </c>
      <c r="K2" s="1688" t="s">
        <v>10917</v>
      </c>
      <c r="L2" s="1689" t="s">
        <v>8798</v>
      </c>
      <c r="M2" s="1680">
        <v>0.05042824074074074</v>
      </c>
      <c r="N2" s="1690" t="str">
        <f t="shared" ref="N2:N40" si="1">TEXT(M2-C2, "m:ss")</f>
        <v>1:04</v>
      </c>
      <c r="O2" s="1691"/>
    </row>
    <row r="3" ht="15.75" customHeight="1">
      <c r="A3" s="1692" t="s">
        <v>8800</v>
      </c>
      <c r="B3" s="1693" t="s">
        <v>8801</v>
      </c>
      <c r="C3" s="1694">
        <v>0.051458333333333335</v>
      </c>
      <c r="D3" s="1444" t="s">
        <v>10918</v>
      </c>
      <c r="E3" s="1445" t="s">
        <v>10919</v>
      </c>
      <c r="F3" s="1446" t="s">
        <v>10920</v>
      </c>
      <c r="G3" s="1447" t="s">
        <v>10921</v>
      </c>
      <c r="H3" s="1449" t="s">
        <v>10922</v>
      </c>
      <c r="I3" s="1444" t="s">
        <v>10923</v>
      </c>
      <c r="J3" s="1451" t="s">
        <v>10924</v>
      </c>
      <c r="K3" s="1454" t="s">
        <v>10925</v>
      </c>
      <c r="L3" s="1446" t="s">
        <v>8824</v>
      </c>
      <c r="M3" s="1694">
        <v>0.05236111111111111</v>
      </c>
      <c r="N3" s="1695" t="str">
        <f t="shared" si="1"/>
        <v>1:18</v>
      </c>
      <c r="O3" s="1696"/>
    </row>
    <row r="4" ht="15.75" customHeight="1">
      <c r="A4" s="1697" t="s">
        <v>8826</v>
      </c>
      <c r="B4" s="1698" t="s">
        <v>8827</v>
      </c>
      <c r="C4" s="1699">
        <f>C25</f>
        <v>0.05158564815</v>
      </c>
      <c r="D4" s="1700" t="s">
        <v>10926</v>
      </c>
      <c r="E4" s="1701" t="s">
        <v>10927</v>
      </c>
      <c r="F4" s="1702" t="s">
        <v>10928</v>
      </c>
      <c r="G4" s="1703" t="s">
        <v>10929</v>
      </c>
      <c r="H4" s="1704" t="s">
        <v>10930</v>
      </c>
      <c r="I4" s="1700" t="s">
        <v>10931</v>
      </c>
      <c r="J4" s="1705" t="s">
        <v>10932</v>
      </c>
      <c r="K4" s="1706" t="s">
        <v>10933</v>
      </c>
      <c r="L4" s="1707" t="s">
        <v>8855</v>
      </c>
      <c r="M4" s="1708">
        <f>M25</f>
        <v>0.0521412037</v>
      </c>
      <c r="N4" s="1708" t="str">
        <f t="shared" si="1"/>
        <v>0:48</v>
      </c>
      <c r="O4" s="1691"/>
    </row>
    <row r="5" ht="15.75" customHeight="1">
      <c r="A5" s="1215" t="s">
        <v>1060</v>
      </c>
      <c r="B5" s="1613" t="s">
        <v>8774</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1810</v>
      </c>
      <c r="B6" s="1474" t="s">
        <v>8774</v>
      </c>
      <c r="C6" s="1714">
        <v>0.0499537037037037</v>
      </c>
      <c r="D6" s="1494" t="s">
        <v>10938</v>
      </c>
      <c r="E6" s="1494" t="s">
        <v>10939</v>
      </c>
      <c r="F6" s="1494" t="s">
        <v>10940</v>
      </c>
      <c r="G6" s="1494" t="s">
        <v>10941</v>
      </c>
      <c r="H6" s="1494" t="s">
        <v>10942</v>
      </c>
      <c r="I6" s="1494" t="s">
        <v>10943</v>
      </c>
      <c r="J6" s="1494" t="s">
        <v>10944</v>
      </c>
      <c r="K6" s="1494" t="s">
        <v>10945</v>
      </c>
      <c r="L6" s="1478" t="s">
        <v>8798</v>
      </c>
      <c r="M6" s="1715">
        <v>0.05056712962962963</v>
      </c>
      <c r="N6" s="1716" t="str">
        <f t="shared" si="1"/>
        <v>0:53</v>
      </c>
      <c r="O6" s="1559" t="s">
        <v>10946</v>
      </c>
    </row>
    <row r="7" ht="15.75" customHeight="1">
      <c r="A7" s="1717" t="s">
        <v>437</v>
      </c>
      <c r="B7" s="1474" t="s">
        <v>8774</v>
      </c>
      <c r="C7" s="1718">
        <v>0.04998842592592593</v>
      </c>
      <c r="D7" s="1494" t="s">
        <v>10947</v>
      </c>
      <c r="E7" s="1719" t="s">
        <v>10911</v>
      </c>
      <c r="F7" s="1494" t="s">
        <v>10948</v>
      </c>
      <c r="G7" s="1494" t="s">
        <v>10949</v>
      </c>
      <c r="H7" s="1494" t="s">
        <v>10950</v>
      </c>
      <c r="I7" s="1494" t="s">
        <v>10951</v>
      </c>
      <c r="J7" s="1720" t="s">
        <v>10916</v>
      </c>
      <c r="K7" s="1494" t="s">
        <v>10952</v>
      </c>
      <c r="L7" s="1494" t="s">
        <v>8886</v>
      </c>
      <c r="M7" s="1715">
        <v>0.0508912037037037</v>
      </c>
      <c r="N7" s="1716" t="str">
        <f t="shared" si="1"/>
        <v>1:18</v>
      </c>
      <c r="O7" s="1559" t="s">
        <v>10946</v>
      </c>
    </row>
    <row r="8">
      <c r="A8" s="1721" t="s">
        <v>2540</v>
      </c>
      <c r="B8" s="1722" t="s">
        <v>8774</v>
      </c>
      <c r="C8" s="1718">
        <v>0.05008587962962963</v>
      </c>
      <c r="D8" s="1723" t="s">
        <v>10953</v>
      </c>
      <c r="E8" s="1724" t="s">
        <v>10954</v>
      </c>
      <c r="F8" s="1711" t="s">
        <v>10955</v>
      </c>
      <c r="G8" s="1711" t="s">
        <v>10956</v>
      </c>
      <c r="H8" s="1711" t="s">
        <v>10957</v>
      </c>
      <c r="I8" s="1711" t="s">
        <v>10958</v>
      </c>
      <c r="J8" s="1711" t="s">
        <v>10959</v>
      </c>
      <c r="K8" s="1711" t="s">
        <v>10960</v>
      </c>
      <c r="L8" s="1711" t="s">
        <v>8911</v>
      </c>
      <c r="M8" s="1715">
        <v>0.05085648148148148</v>
      </c>
      <c r="N8" s="1715" t="str">
        <f t="shared" si="1"/>
        <v>1:07</v>
      </c>
      <c r="O8" s="1559"/>
    </row>
    <row r="9" ht="15.75" customHeight="1">
      <c r="A9" s="1717" t="s">
        <v>6571</v>
      </c>
      <c r="B9" s="1531" t="s">
        <v>8774</v>
      </c>
      <c r="C9" s="1714">
        <v>0.05025462962962963</v>
      </c>
      <c r="D9" s="753" t="s">
        <v>10961</v>
      </c>
      <c r="E9" s="1505" t="s">
        <v>10962</v>
      </c>
      <c r="F9" s="1494" t="s">
        <v>10963</v>
      </c>
      <c r="G9" s="1494" t="s">
        <v>10964</v>
      </c>
      <c r="H9" s="1494" t="s">
        <v>10965</v>
      </c>
      <c r="I9" s="1494" t="s">
        <v>10686</v>
      </c>
      <c r="J9" s="1494" t="s">
        <v>10966</v>
      </c>
      <c r="K9" s="1494" t="s">
        <v>10967</v>
      </c>
      <c r="L9" s="1494" t="s">
        <v>9025</v>
      </c>
      <c r="M9" s="1715">
        <v>0.0506712962962963</v>
      </c>
      <c r="N9" s="1716" t="str">
        <f t="shared" si="1"/>
        <v>0:36</v>
      </c>
      <c r="O9" s="1559"/>
    </row>
    <row r="10" ht="15.75" customHeight="1">
      <c r="A10" s="1662" t="s">
        <v>6629</v>
      </c>
      <c r="B10" s="1474" t="s">
        <v>8774</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8774</v>
      </c>
      <c r="C11" s="1714">
        <v>0.05047453703703704</v>
      </c>
      <c r="D11" s="756" t="s">
        <v>10977</v>
      </c>
      <c r="E11" s="1505" t="s">
        <v>10978</v>
      </c>
      <c r="F11" s="1711" t="s">
        <v>10979</v>
      </c>
      <c r="G11" s="1711" t="s">
        <v>10980</v>
      </c>
      <c r="H11" s="1711" t="s">
        <v>10981</v>
      </c>
      <c r="I11" s="1494" t="s">
        <v>10982</v>
      </c>
      <c r="J11" s="1494" t="s">
        <v>10983</v>
      </c>
      <c r="K11" s="1711" t="s">
        <v>10984</v>
      </c>
      <c r="L11" s="1494" t="s">
        <v>3667</v>
      </c>
      <c r="M11" s="1715">
        <v>0.051076388888888886</v>
      </c>
      <c r="N11" s="1716" t="str">
        <f t="shared" si="1"/>
        <v>0:52</v>
      </c>
      <c r="O11" s="1559" t="s">
        <v>10985</v>
      </c>
    </row>
    <row r="12">
      <c r="A12" s="1590" t="s">
        <v>2022</v>
      </c>
      <c r="B12" s="1726" t="s">
        <v>8774</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1556</v>
      </c>
      <c r="B13" s="1727" t="s">
        <v>8774</v>
      </c>
      <c r="C13" s="1714">
        <v>0.05061342592592592</v>
      </c>
      <c r="D13" s="1728" t="s">
        <v>10995</v>
      </c>
      <c r="E13" s="1505" t="s">
        <v>10996</v>
      </c>
      <c r="F13" s="1729" t="s">
        <v>10997</v>
      </c>
      <c r="G13" s="1494" t="s">
        <v>10998</v>
      </c>
      <c r="H13" s="1729" t="s">
        <v>10999</v>
      </c>
      <c r="I13" s="1729" t="s">
        <v>11000</v>
      </c>
      <c r="J13" s="1494" t="s">
        <v>11001</v>
      </c>
      <c r="K13" s="1494" t="s">
        <v>11002</v>
      </c>
      <c r="L13" s="1494" t="s">
        <v>3452</v>
      </c>
      <c r="M13" s="1715">
        <v>0.05122685185185185</v>
      </c>
      <c r="N13" s="1716" t="str">
        <f t="shared" si="1"/>
        <v>0:53</v>
      </c>
      <c r="O13" s="1559" t="s">
        <v>11003</v>
      </c>
    </row>
    <row r="14" ht="15.75" customHeight="1">
      <c r="A14" s="1666" t="s">
        <v>2087</v>
      </c>
      <c r="B14" s="1474" t="s">
        <v>8774</v>
      </c>
      <c r="C14" s="1718">
        <v>0.05061342592592592</v>
      </c>
      <c r="D14" s="756" t="s">
        <v>11004</v>
      </c>
      <c r="E14" s="1730" t="s">
        <v>11005</v>
      </c>
      <c r="F14" s="1494" t="s">
        <v>11006</v>
      </c>
      <c r="G14" s="1494" t="s">
        <v>11007</v>
      </c>
      <c r="H14" s="1494" t="s">
        <v>11008</v>
      </c>
      <c r="I14" s="1494" t="s">
        <v>11009</v>
      </c>
      <c r="J14" s="1494" t="s">
        <v>11010</v>
      </c>
      <c r="K14" s="1494" t="s">
        <v>11011</v>
      </c>
      <c r="L14" s="1494" t="s">
        <v>6546</v>
      </c>
      <c r="M14" s="1715">
        <v>0.05153935185185185</v>
      </c>
      <c r="N14" s="1716" t="str">
        <f t="shared" si="1"/>
        <v>1:20</v>
      </c>
      <c r="O14" s="1559" t="s">
        <v>10946</v>
      </c>
    </row>
    <row r="15" ht="15.75" customHeight="1">
      <c r="A15" s="1717" t="s">
        <v>332</v>
      </c>
      <c r="B15" s="1474" t="s">
        <v>8774</v>
      </c>
      <c r="C15" s="1718">
        <v>0.05068287037037037</v>
      </c>
      <c r="D15" s="1494" t="s">
        <v>11012</v>
      </c>
      <c r="E15" s="1730" t="s">
        <v>11013</v>
      </c>
      <c r="F15" s="1494" t="s">
        <v>11014</v>
      </c>
      <c r="G15" s="1494" t="s">
        <v>11015</v>
      </c>
      <c r="H15" s="1494" t="s">
        <v>11016</v>
      </c>
      <c r="I15" s="1494" t="s">
        <v>6491</v>
      </c>
      <c r="J15" s="1494" t="s">
        <v>11017</v>
      </c>
      <c r="K15" s="1494" t="s">
        <v>11018</v>
      </c>
      <c r="L15" s="1494" t="s">
        <v>9003</v>
      </c>
      <c r="M15" s="1715">
        <v>0.05164351851851852</v>
      </c>
      <c r="N15" s="1716" t="str">
        <f t="shared" si="1"/>
        <v>1:23</v>
      </c>
      <c r="O15" s="1559" t="s">
        <v>10946</v>
      </c>
    </row>
    <row r="16" ht="15.75" customHeight="1">
      <c r="A16" s="1590" t="s">
        <v>2152</v>
      </c>
      <c r="B16" s="1613" t="s">
        <v>8801</v>
      </c>
      <c r="C16" s="1731">
        <v>0.05092592592592592</v>
      </c>
      <c r="D16" s="753" t="s">
        <v>11019</v>
      </c>
      <c r="E16" s="1732" t="s">
        <v>10919</v>
      </c>
      <c r="F16" s="1732" t="s">
        <v>10920</v>
      </c>
      <c r="G16" s="1732" t="s">
        <v>10921</v>
      </c>
      <c r="H16" s="1732" t="s">
        <v>11020</v>
      </c>
      <c r="I16" s="1732" t="s">
        <v>10923</v>
      </c>
      <c r="J16" s="1732" t="s">
        <v>11021</v>
      </c>
      <c r="K16" s="1732" t="s">
        <v>10925</v>
      </c>
      <c r="L16" s="1733" t="s">
        <v>8824</v>
      </c>
      <c r="M16" s="1715">
        <v>0.052662037037037035</v>
      </c>
      <c r="N16" s="1716" t="str">
        <f t="shared" si="1"/>
        <v>2:30</v>
      </c>
      <c r="O16" s="1559" t="s">
        <v>10946</v>
      </c>
    </row>
    <row r="17" ht="15.75" customHeight="1">
      <c r="A17" s="1734" t="s">
        <v>2674</v>
      </c>
      <c r="B17" s="1474" t="s">
        <v>8774</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2265</v>
      </c>
      <c r="B18" s="1531" t="s">
        <v>8774</v>
      </c>
      <c r="C18" s="1718">
        <v>0.051145833333333335</v>
      </c>
      <c r="D18" s="756" t="s">
        <v>11030</v>
      </c>
      <c r="E18" s="1505" t="s">
        <v>11031</v>
      </c>
      <c r="F18" s="1494" t="s">
        <v>11032</v>
      </c>
      <c r="G18" s="1494" t="s">
        <v>11033</v>
      </c>
      <c r="H18" s="1494" t="s">
        <v>11034</v>
      </c>
      <c r="I18" s="1494" t="s">
        <v>11035</v>
      </c>
      <c r="J18" s="1494" t="s">
        <v>11036</v>
      </c>
      <c r="K18" s="1494" t="s">
        <v>11037</v>
      </c>
      <c r="L18" s="1494" t="s">
        <v>3115</v>
      </c>
      <c r="M18" s="1715">
        <v>0.05228009259259259</v>
      </c>
      <c r="N18" s="1716" t="str">
        <f t="shared" si="1"/>
        <v>1:38</v>
      </c>
      <c r="O18" s="1559" t="s">
        <v>11038</v>
      </c>
    </row>
    <row r="19" ht="15.75" customHeight="1">
      <c r="A19" s="1717" t="s">
        <v>1417</v>
      </c>
      <c r="B19" s="1474" t="s">
        <v>8774</v>
      </c>
      <c r="C19" s="1718">
        <v>0.05122685185185185</v>
      </c>
      <c r="D19" s="1494" t="s">
        <v>11039</v>
      </c>
      <c r="E19" s="1730" t="s">
        <v>8831</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1724</v>
      </c>
      <c r="B20" s="1531" t="s">
        <v>8774</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6618</v>
      </c>
      <c r="B21" s="1531" t="s">
        <v>8774</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9234</v>
      </c>
      <c r="B22" s="1474" t="s">
        <v>8774</v>
      </c>
      <c r="C22" s="1714">
        <v>0.05144675925925926</v>
      </c>
      <c r="D22" s="1494" t="s">
        <v>11066</v>
      </c>
      <c r="E22" s="1730" t="s">
        <v>11067</v>
      </c>
      <c r="F22" s="1494" t="s">
        <v>11068</v>
      </c>
      <c r="G22" s="1494" t="s">
        <v>11069</v>
      </c>
      <c r="H22" s="1494" t="s">
        <v>11070</v>
      </c>
      <c r="I22" s="1494" t="s">
        <v>11071</v>
      </c>
      <c r="J22" s="1494" t="s">
        <v>11072</v>
      </c>
      <c r="K22" s="1494" t="s">
        <v>11073</v>
      </c>
      <c r="L22" s="941" t="s">
        <v>9133</v>
      </c>
      <c r="M22" s="1715">
        <v>0.05258101851851852</v>
      </c>
      <c r="N22" s="1716" t="str">
        <f t="shared" si="1"/>
        <v>1:38</v>
      </c>
      <c r="O22" s="1559" t="s">
        <v>10946</v>
      </c>
    </row>
    <row r="23" ht="15.75" customHeight="1">
      <c r="A23" s="1590" t="s">
        <v>9394</v>
      </c>
      <c r="B23" s="1531" t="s">
        <v>8801</v>
      </c>
      <c r="C23" s="1718">
        <v>0.05146990740740741</v>
      </c>
      <c r="D23" s="1732" t="s">
        <v>10918</v>
      </c>
      <c r="E23" s="1505" t="s">
        <v>10335</v>
      </c>
      <c r="F23" s="1505" t="s">
        <v>11074</v>
      </c>
      <c r="G23" s="1505" t="s">
        <v>11075</v>
      </c>
      <c r="H23" s="1505" t="s">
        <v>11076</v>
      </c>
      <c r="I23" s="1494" t="s">
        <v>11077</v>
      </c>
      <c r="J23" s="756" t="s">
        <v>11078</v>
      </c>
      <c r="K23" s="1494" t="s">
        <v>11079</v>
      </c>
      <c r="L23" s="756" t="s">
        <v>9408</v>
      </c>
      <c r="M23" s="1736">
        <v>0.05236111111111111</v>
      </c>
      <c r="N23" s="1716" t="str">
        <f t="shared" si="1"/>
        <v>1:17</v>
      </c>
      <c r="O23" s="1559" t="s">
        <v>10946</v>
      </c>
    </row>
    <row r="24" ht="15.75" customHeight="1">
      <c r="A24" s="1717" t="s">
        <v>901</v>
      </c>
      <c r="B24" s="1474" t="s">
        <v>8774</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1810</v>
      </c>
      <c r="B25" s="1613" t="s">
        <v>8827</v>
      </c>
      <c r="C25" s="1737">
        <v>0.05158564814814815</v>
      </c>
      <c r="D25" s="1738" t="s">
        <v>10926</v>
      </c>
      <c r="E25" s="1739" t="s">
        <v>10927</v>
      </c>
      <c r="F25" s="1738" t="s">
        <v>10928</v>
      </c>
      <c r="G25" s="1738" t="s">
        <v>10929</v>
      </c>
      <c r="H25" s="1738" t="s">
        <v>10930</v>
      </c>
      <c r="I25" s="1738" t="s">
        <v>10931</v>
      </c>
      <c r="J25" s="1738" t="s">
        <v>10932</v>
      </c>
      <c r="K25" s="1738" t="s">
        <v>10933</v>
      </c>
      <c r="L25" s="1738" t="s">
        <v>8855</v>
      </c>
      <c r="M25" s="1740">
        <v>0.052141203703703703</v>
      </c>
      <c r="N25" s="1716" t="str">
        <f t="shared" si="1"/>
        <v>0:48</v>
      </c>
      <c r="O25" s="1559" t="s">
        <v>11088</v>
      </c>
    </row>
    <row r="26" ht="15.75" customHeight="1">
      <c r="A26" s="1215" t="s">
        <v>2789</v>
      </c>
      <c r="B26" s="1531" t="s">
        <v>8774</v>
      </c>
      <c r="C26" s="1714">
        <v>0.051706365740740744</v>
      </c>
      <c r="D26" s="756" t="s">
        <v>11089</v>
      </c>
      <c r="E26" s="1505" t="s">
        <v>11090</v>
      </c>
      <c r="F26" s="1494" t="s">
        <v>11091</v>
      </c>
      <c r="G26" s="1494" t="s">
        <v>11092</v>
      </c>
      <c r="H26" s="1494" t="s">
        <v>11093</v>
      </c>
      <c r="I26" s="1494" t="s">
        <v>11094</v>
      </c>
      <c r="J26" s="1494" t="s">
        <v>11095</v>
      </c>
      <c r="K26" s="1494" t="s">
        <v>11096</v>
      </c>
      <c r="L26" s="1494" t="s">
        <v>9698</v>
      </c>
      <c r="M26" s="1715">
        <v>0.0525</v>
      </c>
      <c r="N26" s="1715" t="str">
        <f t="shared" si="1"/>
        <v>1:09</v>
      </c>
      <c r="O26" s="1559"/>
    </row>
    <row r="27" ht="15.75" customHeight="1">
      <c r="A27" s="1741" t="s">
        <v>2105</v>
      </c>
      <c r="B27" s="1605" t="s">
        <v>8774</v>
      </c>
      <c r="C27" s="1714">
        <v>0.05171296296296296</v>
      </c>
      <c r="D27" s="1742" t="s">
        <v>11097</v>
      </c>
      <c r="E27" s="1742" t="s">
        <v>11098</v>
      </c>
      <c r="F27" s="1742" t="s">
        <v>11099</v>
      </c>
      <c r="G27" s="1742" t="s">
        <v>11100</v>
      </c>
      <c r="H27" s="756" t="s">
        <v>11101</v>
      </c>
      <c r="I27" s="1742" t="s">
        <v>11102</v>
      </c>
      <c r="J27" s="756" t="s">
        <v>11103</v>
      </c>
      <c r="K27" s="1742" t="s">
        <v>11104</v>
      </c>
      <c r="L27" s="756" t="s">
        <v>8258</v>
      </c>
      <c r="M27" s="1715">
        <v>0.054375</v>
      </c>
      <c r="N27" s="1716" t="str">
        <f t="shared" si="1"/>
        <v>3:50</v>
      </c>
      <c r="O27" s="1559" t="s">
        <v>11105</v>
      </c>
    </row>
    <row r="28" ht="15.75" customHeight="1">
      <c r="A28" s="1590" t="s">
        <v>3090</v>
      </c>
      <c r="B28" s="1531" t="s">
        <v>8774</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1348</v>
      </c>
      <c r="B29" s="1613" t="s">
        <v>8827</v>
      </c>
      <c r="C29" s="1714">
        <v>0.052088194444444444</v>
      </c>
      <c r="D29" s="756" t="s">
        <v>11115</v>
      </c>
      <c r="E29" s="1505" t="s">
        <v>11116</v>
      </c>
      <c r="F29" s="1494" t="s">
        <v>11117</v>
      </c>
      <c r="G29" s="1494" t="s">
        <v>11118</v>
      </c>
      <c r="H29" s="1494" t="s">
        <v>11119</v>
      </c>
      <c r="I29" s="1494" t="s">
        <v>11120</v>
      </c>
      <c r="J29" s="1494" t="s">
        <v>11121</v>
      </c>
      <c r="K29" s="1494" t="s">
        <v>11122</v>
      </c>
      <c r="L29" s="1494" t="s">
        <v>10007</v>
      </c>
      <c r="M29" s="1715">
        <v>0.053043981481481484</v>
      </c>
      <c r="N29" s="1716" t="str">
        <f t="shared" si="1"/>
        <v>1:23</v>
      </c>
      <c r="O29" s="1559" t="s">
        <v>10946</v>
      </c>
    </row>
    <row r="30" ht="15.75" customHeight="1">
      <c r="A30" s="1215" t="s">
        <v>2572</v>
      </c>
      <c r="B30" s="1531" t="s">
        <v>8801</v>
      </c>
      <c r="C30" s="1714">
        <v>0.05215277777777778</v>
      </c>
      <c r="D30" s="1494" t="s">
        <v>11123</v>
      </c>
      <c r="E30" s="1494" t="s">
        <v>6008</v>
      </c>
      <c r="F30" s="1494" t="s">
        <v>11124</v>
      </c>
      <c r="G30" s="1494" t="s">
        <v>11125</v>
      </c>
      <c r="H30" s="1494" t="s">
        <v>11126</v>
      </c>
      <c r="I30" s="1494" t="s">
        <v>10996</v>
      </c>
      <c r="J30" s="1494" t="s">
        <v>11127</v>
      </c>
      <c r="K30" s="1494" t="s">
        <v>11128</v>
      </c>
      <c r="L30" s="1494" t="s">
        <v>9748</v>
      </c>
      <c r="M30" s="1715">
        <v>0.05399305555555556</v>
      </c>
      <c r="N30" s="1716" t="str">
        <f t="shared" si="1"/>
        <v>2:39</v>
      </c>
      <c r="O30" s="1559" t="s">
        <v>11129</v>
      </c>
    </row>
    <row r="31" ht="15.75" customHeight="1">
      <c r="A31" s="1590" t="s">
        <v>2986</v>
      </c>
      <c r="B31" s="1531" t="s">
        <v>8774</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8801</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3090</v>
      </c>
      <c r="B33" s="1613" t="s">
        <v>8801</v>
      </c>
      <c r="C33" s="1718">
        <v>0.052316898148148154</v>
      </c>
      <c r="D33" s="756" t="s">
        <v>11150</v>
      </c>
      <c r="E33" s="1505" t="s">
        <v>11151</v>
      </c>
      <c r="F33" s="1494" t="s">
        <v>11152</v>
      </c>
      <c r="G33" s="1494" t="s">
        <v>11153</v>
      </c>
      <c r="H33" s="1494" t="s">
        <v>11154</v>
      </c>
      <c r="I33" s="1494" t="s">
        <v>11155</v>
      </c>
      <c r="J33" s="1494" t="s">
        <v>11156</v>
      </c>
      <c r="K33" s="1494" t="s">
        <v>11157</v>
      </c>
      <c r="L33" s="1494" t="s">
        <v>9485</v>
      </c>
      <c r="M33" s="1715">
        <v>0.05376157407407407</v>
      </c>
      <c r="N33" s="1716" t="str">
        <f t="shared" si="1"/>
        <v>2:05</v>
      </c>
      <c r="O33" s="1559" t="s">
        <v>10946</v>
      </c>
    </row>
    <row r="34" ht="15.75" customHeight="1">
      <c r="A34" s="1215" t="s">
        <v>4040</v>
      </c>
      <c r="B34" s="1531" t="s">
        <v>8774</v>
      </c>
      <c r="C34" s="1714">
        <v>0.05238425925925926</v>
      </c>
      <c r="D34" s="753" t="s">
        <v>11158</v>
      </c>
      <c r="E34" s="1505" t="s">
        <v>11131</v>
      </c>
      <c r="F34" s="1494" t="s">
        <v>11159</v>
      </c>
      <c r="G34" s="1744" t="s">
        <v>11160</v>
      </c>
      <c r="H34" s="1494" t="s">
        <v>11161</v>
      </c>
      <c r="I34" s="1494" t="s">
        <v>11162</v>
      </c>
      <c r="J34" s="1494" t="s">
        <v>11163</v>
      </c>
      <c r="K34" s="1494" t="s">
        <v>11164</v>
      </c>
      <c r="L34" s="1494" t="s">
        <v>10025</v>
      </c>
      <c r="M34" s="1715">
        <v>0.05340277777777778</v>
      </c>
      <c r="N34" s="1716" t="str">
        <f t="shared" si="1"/>
        <v>1:28</v>
      </c>
      <c r="O34" s="1559" t="s">
        <v>11165</v>
      </c>
    </row>
    <row r="35" ht="15.75" customHeight="1">
      <c r="A35" s="1215" t="s">
        <v>2727</v>
      </c>
      <c r="B35" s="1531" t="s">
        <v>8774</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10052</v>
      </c>
      <c r="B36" s="1531" t="s">
        <v>8774</v>
      </c>
      <c r="C36" s="1718">
        <v>0.05268518518518518</v>
      </c>
      <c r="D36" s="756" t="s">
        <v>11175</v>
      </c>
      <c r="E36" s="1505" t="s">
        <v>11176</v>
      </c>
      <c r="F36" s="1494" t="s">
        <v>11177</v>
      </c>
      <c r="G36" s="1494" t="s">
        <v>11178</v>
      </c>
      <c r="H36" s="1494" t="s">
        <v>11179</v>
      </c>
      <c r="I36" s="1494" t="s">
        <v>8073</v>
      </c>
      <c r="J36" s="1494" t="s">
        <v>11180</v>
      </c>
      <c r="K36" s="1494" t="s">
        <v>11181</v>
      </c>
      <c r="L36" s="1494" t="s">
        <v>10069</v>
      </c>
      <c r="M36" s="1715">
        <v>0.05331018518518518</v>
      </c>
      <c r="N36" s="1716" t="str">
        <f t="shared" si="1"/>
        <v>0:54</v>
      </c>
      <c r="O36" s="1559" t="s">
        <v>11182</v>
      </c>
    </row>
    <row r="37" ht="15.75" customHeight="1">
      <c r="A37" s="1590" t="s">
        <v>3740</v>
      </c>
      <c r="B37" s="1726" t="s">
        <v>8774</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3465</v>
      </c>
      <c r="B38" s="1726" t="s">
        <v>8774</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8801</v>
      </c>
      <c r="C39" s="1714">
        <v>0.05378472222222222</v>
      </c>
      <c r="D39" s="756" t="s">
        <v>11201</v>
      </c>
      <c r="E39" s="1505" t="s">
        <v>11202</v>
      </c>
      <c r="F39" s="1494" t="s">
        <v>11203</v>
      </c>
      <c r="G39" s="1494" t="s">
        <v>11204</v>
      </c>
      <c r="H39" s="1494" t="s">
        <v>11205</v>
      </c>
      <c r="I39" s="1494" t="s">
        <v>8369</v>
      </c>
      <c r="J39" s="1494" t="s">
        <v>11206</v>
      </c>
      <c r="K39" s="1494" t="s">
        <v>11207</v>
      </c>
      <c r="L39" s="1494" t="s">
        <v>9796</v>
      </c>
      <c r="M39" s="1715">
        <v>0.054560185185185184</v>
      </c>
      <c r="N39" s="1716" t="str">
        <f t="shared" si="1"/>
        <v>1:07</v>
      </c>
      <c r="O39" s="1559"/>
    </row>
    <row r="40" ht="15.75" customHeight="1">
      <c r="A40" s="1215" t="s">
        <v>4942</v>
      </c>
      <c r="B40" s="1613" t="s">
        <v>8801</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6498</v>
      </c>
      <c r="B41" s="1649" t="s">
        <v>10799</v>
      </c>
      <c r="C41" s="1746">
        <v>0.0609375</v>
      </c>
      <c r="D41" s="1657" t="s">
        <v>11216</v>
      </c>
      <c r="E41" s="1747" t="s">
        <v>8689</v>
      </c>
      <c r="F41" s="1747" t="s">
        <v>11217</v>
      </c>
      <c r="G41" s="1747" t="s">
        <v>11218</v>
      </c>
      <c r="H41" s="1747" t="s">
        <v>11219</v>
      </c>
      <c r="I41" s="1747" t="s">
        <v>8361</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8736</v>
      </c>
      <c r="C1" s="1774" t="s">
        <v>10908</v>
      </c>
      <c r="D1" s="1775" t="s">
        <v>6872</v>
      </c>
      <c r="E1" s="1776" t="s">
        <v>7183</v>
      </c>
      <c r="F1" s="1777" t="s">
        <v>38</v>
      </c>
      <c r="G1" s="1778" t="s">
        <v>36</v>
      </c>
      <c r="H1" s="1774" t="s">
        <v>10909</v>
      </c>
      <c r="I1" s="1779" t="s">
        <v>39</v>
      </c>
      <c r="J1" s="1675" t="s">
        <v>7121</v>
      </c>
      <c r="K1" s="1415" t="s">
        <v>8770</v>
      </c>
      <c r="L1" s="1677" t="s">
        <v>8772</v>
      </c>
    </row>
    <row r="2" ht="15.75" customHeight="1">
      <c r="A2" s="1678" t="s">
        <v>8773</v>
      </c>
      <c r="B2" s="1679" t="s">
        <v>8774</v>
      </c>
      <c r="C2" s="1681" t="s">
        <v>11225</v>
      </c>
      <c r="D2" s="1780" t="s">
        <v>11226</v>
      </c>
      <c r="E2" s="1683" t="s">
        <v>11227</v>
      </c>
      <c r="F2" s="1781" t="s">
        <v>11228</v>
      </c>
      <c r="G2" s="1685" t="s">
        <v>11229</v>
      </c>
      <c r="H2" s="1681" t="s">
        <v>11230</v>
      </c>
      <c r="I2" s="1782" t="s">
        <v>11231</v>
      </c>
      <c r="J2" s="1688" t="s">
        <v>11232</v>
      </c>
      <c r="K2" s="1783" t="s">
        <v>8864</v>
      </c>
      <c r="L2" s="1784"/>
    </row>
    <row r="3" ht="15.75" customHeight="1">
      <c r="A3" s="1692" t="s">
        <v>8800</v>
      </c>
      <c r="B3" s="1693" t="s">
        <v>8801</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8826</v>
      </c>
      <c r="B4" s="1698" t="s">
        <v>8827</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8774</v>
      </c>
      <c r="C5" s="1710" t="s">
        <v>11225</v>
      </c>
      <c r="D5" s="1710" t="s">
        <v>11226</v>
      </c>
      <c r="E5" s="1710" t="s">
        <v>11227</v>
      </c>
      <c r="F5" s="1710" t="s">
        <v>11228</v>
      </c>
      <c r="G5" s="1787" t="s">
        <v>11229</v>
      </c>
      <c r="H5" s="1787" t="s">
        <v>11230</v>
      </c>
      <c r="I5" s="1787" t="s">
        <v>11231</v>
      </c>
      <c r="J5" s="1787" t="s">
        <v>11232</v>
      </c>
      <c r="K5" s="1788" t="s">
        <v>8864</v>
      </c>
      <c r="L5" s="1559" t="s">
        <v>11247</v>
      </c>
    </row>
    <row r="6" ht="15.75" customHeight="1">
      <c r="A6" s="1662" t="s">
        <v>1810</v>
      </c>
      <c r="B6" s="1789" t="s">
        <v>8774</v>
      </c>
      <c r="C6" s="1790" t="s">
        <v>10938</v>
      </c>
      <c r="D6" s="1791" t="s">
        <v>11248</v>
      </c>
      <c r="E6" s="1792" t="s">
        <v>11249</v>
      </c>
      <c r="F6" s="1793" t="s">
        <v>11250</v>
      </c>
      <c r="G6" s="1794" t="s">
        <v>11251</v>
      </c>
      <c r="H6" s="1795" t="s">
        <v>11252</v>
      </c>
      <c r="I6" s="1796" t="s">
        <v>11253</v>
      </c>
      <c r="J6" s="1797" t="s">
        <v>11254</v>
      </c>
      <c r="K6" s="1494" t="s">
        <v>8956</v>
      </c>
      <c r="L6" s="1798" t="s">
        <v>11255</v>
      </c>
    </row>
    <row r="7" ht="15.75" customHeight="1">
      <c r="A7" s="1799" t="s">
        <v>6571</v>
      </c>
      <c r="B7" s="1531" t="s">
        <v>8774</v>
      </c>
      <c r="C7" s="1638" t="s">
        <v>10961</v>
      </c>
      <c r="D7" s="1494" t="s">
        <v>11256</v>
      </c>
      <c r="E7" s="1494" t="s">
        <v>11257</v>
      </c>
      <c r="F7" s="1494" t="s">
        <v>11258</v>
      </c>
      <c r="G7" s="1800" t="s">
        <v>11259</v>
      </c>
      <c r="H7" s="1800" t="s">
        <v>11260</v>
      </c>
      <c r="I7" s="1800" t="s">
        <v>11261</v>
      </c>
      <c r="J7" s="1800" t="s">
        <v>11262</v>
      </c>
      <c r="K7" s="1494" t="s">
        <v>9026</v>
      </c>
      <c r="L7" s="1559"/>
    </row>
    <row r="8" ht="15.75" customHeight="1">
      <c r="A8" s="1215" t="s">
        <v>2540</v>
      </c>
      <c r="B8" s="1531" t="s">
        <v>8774</v>
      </c>
      <c r="C8" s="1723" t="s">
        <v>10953</v>
      </c>
      <c r="D8" s="1711" t="s">
        <v>11263</v>
      </c>
      <c r="E8" s="1711" t="s">
        <v>11264</v>
      </c>
      <c r="F8" s="1711" t="s">
        <v>11265</v>
      </c>
      <c r="G8" s="1801" t="s">
        <v>11266</v>
      </c>
      <c r="H8" s="1802" t="s">
        <v>11267</v>
      </c>
      <c r="I8" s="1803" t="s">
        <v>11268</v>
      </c>
      <c r="J8" s="1804" t="s">
        <v>11269</v>
      </c>
      <c r="K8" s="1711" t="s">
        <v>8912</v>
      </c>
      <c r="L8" s="1559"/>
    </row>
    <row r="9" ht="15.75" customHeight="1">
      <c r="A9" s="1717" t="s">
        <v>437</v>
      </c>
      <c r="B9" s="1474" t="s">
        <v>8774</v>
      </c>
      <c r="C9" s="1638" t="s">
        <v>10947</v>
      </c>
      <c r="D9" s="1494" t="s">
        <v>11270</v>
      </c>
      <c r="E9" s="1494" t="s">
        <v>11271</v>
      </c>
      <c r="F9" s="1494" t="s">
        <v>11272</v>
      </c>
      <c r="G9" s="1800" t="s">
        <v>11273</v>
      </c>
      <c r="H9" s="1800" t="s">
        <v>11274</v>
      </c>
      <c r="I9" s="1800" t="s">
        <v>11275</v>
      </c>
      <c r="J9" s="1800" t="s">
        <v>11276</v>
      </c>
      <c r="K9" s="1494" t="s">
        <v>8887</v>
      </c>
      <c r="L9" s="1559"/>
    </row>
    <row r="10" ht="15.75" customHeight="1">
      <c r="A10" s="1662" t="s">
        <v>6629</v>
      </c>
      <c r="B10" s="1474" t="s">
        <v>8774</v>
      </c>
      <c r="C10" s="1494" t="s">
        <v>11277</v>
      </c>
      <c r="D10" s="1494" t="s">
        <v>11278</v>
      </c>
      <c r="E10" s="1494" t="s">
        <v>11279</v>
      </c>
      <c r="F10" s="1507" t="s">
        <v>11280</v>
      </c>
      <c r="G10" s="1805" t="s">
        <v>11281</v>
      </c>
      <c r="H10" s="1806" t="s">
        <v>11282</v>
      </c>
      <c r="I10" s="1807" t="s">
        <v>11283</v>
      </c>
      <c r="J10" s="1071" t="s">
        <v>11284</v>
      </c>
      <c r="K10" s="1494" t="s">
        <v>8935</v>
      </c>
      <c r="L10" s="1559"/>
    </row>
    <row r="11" ht="15.75" customHeight="1">
      <c r="A11" s="1215" t="s">
        <v>1556</v>
      </c>
      <c r="B11" s="1531" t="s">
        <v>8774</v>
      </c>
      <c r="C11" s="1808" t="s">
        <v>10995</v>
      </c>
      <c r="D11" s="1729" t="s">
        <v>11285</v>
      </c>
      <c r="E11" s="1729" t="s">
        <v>11286</v>
      </c>
      <c r="F11" s="1494" t="s">
        <v>11287</v>
      </c>
      <c r="G11" s="1809" t="s">
        <v>11288</v>
      </c>
      <c r="H11" s="1809" t="s">
        <v>11289</v>
      </c>
      <c r="I11" s="1809" t="s">
        <v>11290</v>
      </c>
      <c r="J11" s="1809" t="s">
        <v>11291</v>
      </c>
      <c r="K11" s="1744" t="s">
        <v>9190</v>
      </c>
      <c r="L11" s="1559" t="s">
        <v>11292</v>
      </c>
    </row>
    <row r="12" ht="15.75" customHeight="1">
      <c r="A12" s="1590" t="s">
        <v>828</v>
      </c>
      <c r="B12" s="1613" t="s">
        <v>8774</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2087</v>
      </c>
      <c r="B13" s="1474" t="s">
        <v>8774</v>
      </c>
      <c r="C13" s="1808" t="s">
        <v>11004</v>
      </c>
      <c r="D13" s="1494" t="s">
        <v>11302</v>
      </c>
      <c r="E13" s="1494" t="s">
        <v>11303</v>
      </c>
      <c r="F13" s="1494" t="s">
        <v>11304</v>
      </c>
      <c r="G13" s="1800" t="s">
        <v>11305</v>
      </c>
      <c r="H13" s="1800" t="s">
        <v>11306</v>
      </c>
      <c r="I13" s="1800" t="s">
        <v>11307</v>
      </c>
      <c r="J13" s="1800" t="s">
        <v>11308</v>
      </c>
      <c r="K13" s="1494" t="s">
        <v>9168</v>
      </c>
      <c r="L13" s="1559"/>
    </row>
    <row r="14" ht="15.75" customHeight="1">
      <c r="A14" s="1717" t="s">
        <v>332</v>
      </c>
      <c r="B14" s="1474" t="s">
        <v>8774</v>
      </c>
      <c r="C14" s="1494" t="s">
        <v>11309</v>
      </c>
      <c r="D14" s="1494" t="s">
        <v>11310</v>
      </c>
      <c r="E14" s="1494" t="s">
        <v>11311</v>
      </c>
      <c r="F14" s="1494" t="s">
        <v>11312</v>
      </c>
      <c r="G14" s="1081" t="s">
        <v>11313</v>
      </c>
      <c r="H14" s="1790" t="s">
        <v>11314</v>
      </c>
      <c r="I14" s="1796" t="s">
        <v>11315</v>
      </c>
      <c r="J14" s="1797" t="s">
        <v>11316</v>
      </c>
      <c r="K14" s="1494" t="s">
        <v>9004</v>
      </c>
      <c r="L14" s="1559"/>
    </row>
    <row r="15" ht="16.5" customHeight="1">
      <c r="A15" s="1734" t="s">
        <v>2674</v>
      </c>
      <c r="B15" s="1474" t="s">
        <v>8774</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1635</v>
      </c>
      <c r="B16" s="1605" t="s">
        <v>8774</v>
      </c>
      <c r="C16" s="1810" t="s">
        <v>11326</v>
      </c>
      <c r="D16" s="1494" t="s">
        <v>11327</v>
      </c>
      <c r="E16" s="1494" t="s">
        <v>11328</v>
      </c>
      <c r="F16" s="1494" t="s">
        <v>11329</v>
      </c>
      <c r="G16" s="1081" t="s">
        <v>11330</v>
      </c>
      <c r="H16" s="1790" t="s">
        <v>11331</v>
      </c>
      <c r="I16" s="1796" t="s">
        <v>11332</v>
      </c>
      <c r="J16" s="1797" t="s">
        <v>11333</v>
      </c>
      <c r="K16" s="1494" t="s">
        <v>9464</v>
      </c>
      <c r="L16" s="1559"/>
    </row>
    <row r="17" ht="15.75" customHeight="1">
      <c r="A17" s="1215" t="s">
        <v>6618</v>
      </c>
      <c r="B17" s="1474" t="s">
        <v>8774</v>
      </c>
      <c r="C17" s="1494" t="s">
        <v>11056</v>
      </c>
      <c r="D17" s="1494" t="s">
        <v>11334</v>
      </c>
      <c r="E17" s="1494" t="s">
        <v>11335</v>
      </c>
      <c r="F17" s="1494" t="s">
        <v>11336</v>
      </c>
      <c r="G17" s="1800" t="s">
        <v>11337</v>
      </c>
      <c r="H17" s="1800" t="s">
        <v>11338</v>
      </c>
      <c r="I17" s="1800" t="s">
        <v>11339</v>
      </c>
      <c r="J17" s="1800" t="s">
        <v>11340</v>
      </c>
      <c r="K17" s="1494" t="s">
        <v>9347</v>
      </c>
      <c r="L17" s="1559" t="s">
        <v>11341</v>
      </c>
    </row>
    <row r="18" ht="15.75" customHeight="1">
      <c r="A18" s="1717" t="s">
        <v>1417</v>
      </c>
      <c r="B18" s="1474" t="s">
        <v>8774</v>
      </c>
      <c r="C18" s="1494" t="s">
        <v>11342</v>
      </c>
      <c r="D18" s="1494" t="s">
        <v>11343</v>
      </c>
      <c r="E18" s="1494" t="s">
        <v>11344</v>
      </c>
      <c r="F18" s="1494" t="s">
        <v>11345</v>
      </c>
      <c r="G18" s="1081" t="s">
        <v>11346</v>
      </c>
      <c r="H18" s="1790" t="s">
        <v>11347</v>
      </c>
      <c r="I18" s="1796" t="s">
        <v>11348</v>
      </c>
      <c r="J18" s="1797" t="s">
        <v>11349</v>
      </c>
      <c r="K18" s="1494" t="s">
        <v>9326</v>
      </c>
      <c r="L18" s="1559"/>
    </row>
    <row r="19" ht="15.75" customHeight="1">
      <c r="A19" s="1215" t="s">
        <v>2265</v>
      </c>
      <c r="B19" s="1613" t="s">
        <v>8774</v>
      </c>
      <c r="C19" s="1810" t="s">
        <v>11030</v>
      </c>
      <c r="D19" s="1494" t="s">
        <v>11350</v>
      </c>
      <c r="E19" s="1494" t="s">
        <v>11351</v>
      </c>
      <c r="F19" s="1494" t="s">
        <v>11352</v>
      </c>
      <c r="G19" s="1800" t="s">
        <v>11353</v>
      </c>
      <c r="H19" s="1800" t="s">
        <v>11354</v>
      </c>
      <c r="I19" s="1800" t="s">
        <v>11355</v>
      </c>
      <c r="J19" s="1800" t="s">
        <v>11356</v>
      </c>
      <c r="K19" s="1494" t="s">
        <v>9232</v>
      </c>
      <c r="L19" s="1559" t="s">
        <v>11357</v>
      </c>
    </row>
    <row r="20" ht="15.75" customHeight="1">
      <c r="A20" s="1717" t="s">
        <v>901</v>
      </c>
      <c r="B20" s="1474" t="s">
        <v>8774</v>
      </c>
      <c r="C20" s="1494" t="s">
        <v>11358</v>
      </c>
      <c r="D20" s="1494" t="s">
        <v>11359</v>
      </c>
      <c r="E20" s="1494" t="s">
        <v>11360</v>
      </c>
      <c r="F20" s="1494" t="s">
        <v>11361</v>
      </c>
      <c r="G20" s="1081" t="s">
        <v>11362</v>
      </c>
      <c r="H20" s="1790" t="s">
        <v>11363</v>
      </c>
      <c r="I20" s="1796" t="s">
        <v>11364</v>
      </c>
      <c r="J20" s="1797" t="s">
        <v>11365</v>
      </c>
      <c r="K20" s="1494" t="s">
        <v>9610</v>
      </c>
      <c r="L20" s="1559"/>
    </row>
    <row r="21" ht="15.75" customHeight="1">
      <c r="A21" s="1215" t="s">
        <v>1724</v>
      </c>
      <c r="B21" s="1531" t="s">
        <v>8774</v>
      </c>
      <c r="C21" s="1494" t="s">
        <v>11366</v>
      </c>
      <c r="D21" s="1494" t="s">
        <v>11367</v>
      </c>
      <c r="E21" s="1744" t="s">
        <v>11368</v>
      </c>
      <c r="F21" s="1494" t="s">
        <v>11369</v>
      </c>
      <c r="G21" s="1800" t="s">
        <v>11370</v>
      </c>
      <c r="H21" s="1800" t="s">
        <v>11371</v>
      </c>
      <c r="I21" s="1800" t="s">
        <v>11372</v>
      </c>
      <c r="J21" s="1800" t="s">
        <v>11373</v>
      </c>
      <c r="K21" s="1494" t="s">
        <v>9372</v>
      </c>
      <c r="L21" s="1559"/>
    </row>
    <row r="22" ht="15.75" customHeight="1">
      <c r="A22" s="1662" t="s">
        <v>9234</v>
      </c>
      <c r="B22" s="1474" t="s">
        <v>8774</v>
      </c>
      <c r="C22" s="1494" t="s">
        <v>11066</v>
      </c>
      <c r="D22" s="1494" t="s">
        <v>11374</v>
      </c>
      <c r="E22" s="1494" t="s">
        <v>11375</v>
      </c>
      <c r="F22" s="1494" t="s">
        <v>11376</v>
      </c>
      <c r="G22" s="1081" t="s">
        <v>11377</v>
      </c>
      <c r="H22" s="1790" t="s">
        <v>11378</v>
      </c>
      <c r="I22" s="1796" t="s">
        <v>11379</v>
      </c>
      <c r="J22" s="1797" t="s">
        <v>11380</v>
      </c>
      <c r="K22" s="1494" t="s">
        <v>9248</v>
      </c>
      <c r="L22" s="1559"/>
    </row>
    <row r="23">
      <c r="A23" s="1721" t="s">
        <v>2152</v>
      </c>
      <c r="B23" s="1613" t="s">
        <v>8801</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8801</v>
      </c>
      <c r="C24" s="1494" t="s">
        <v>11390</v>
      </c>
      <c r="D24" s="1732" t="s">
        <v>11233</v>
      </c>
      <c r="E24" s="1732" t="s">
        <v>11234</v>
      </c>
      <c r="F24" s="1732" t="s">
        <v>11235</v>
      </c>
      <c r="G24" s="1811" t="s">
        <v>11236</v>
      </c>
      <c r="H24" s="1812" t="s">
        <v>11237</v>
      </c>
      <c r="I24" s="1813" t="s">
        <v>11238</v>
      </c>
      <c r="J24" s="1814" t="s">
        <v>11239</v>
      </c>
      <c r="K24" s="1732" t="s">
        <v>9211</v>
      </c>
      <c r="L24" s="1559" t="s">
        <v>11391</v>
      </c>
    </row>
    <row r="25" ht="15.75" customHeight="1">
      <c r="A25" s="1590" t="s">
        <v>1348</v>
      </c>
      <c r="B25" s="1531" t="s">
        <v>8827</v>
      </c>
      <c r="C25" s="1607" t="s">
        <v>11115</v>
      </c>
      <c r="D25" s="1607" t="s">
        <v>11240</v>
      </c>
      <c r="E25" s="1607" t="s">
        <v>11241</v>
      </c>
      <c r="F25" s="1607" t="s">
        <v>11242</v>
      </c>
      <c r="G25" s="1815" t="s">
        <v>11243</v>
      </c>
      <c r="H25" s="1815" t="s">
        <v>11244</v>
      </c>
      <c r="I25" s="1815" t="s">
        <v>11245</v>
      </c>
      <c r="J25" s="1815" t="s">
        <v>11246</v>
      </c>
      <c r="K25" s="1607" t="s">
        <v>9211</v>
      </c>
      <c r="L25" s="1559"/>
    </row>
    <row r="26" ht="16.5" customHeight="1">
      <c r="A26" s="1590" t="s">
        <v>11392</v>
      </c>
      <c r="B26" s="1531" t="s">
        <v>8774</v>
      </c>
      <c r="C26" s="1742" t="s">
        <v>11097</v>
      </c>
      <c r="D26" s="1494" t="s">
        <v>11393</v>
      </c>
      <c r="E26" s="1494" t="s">
        <v>11394</v>
      </c>
      <c r="F26" s="1494" t="s">
        <v>11395</v>
      </c>
      <c r="G26" s="1081" t="s">
        <v>11377</v>
      </c>
      <c r="H26" s="1790" t="s">
        <v>11396</v>
      </c>
      <c r="I26" s="1796" t="s">
        <v>11397</v>
      </c>
      <c r="J26" s="1797" t="s">
        <v>11398</v>
      </c>
      <c r="K26" s="1494" t="s">
        <v>9772</v>
      </c>
      <c r="L26" s="1559"/>
    </row>
    <row r="27" ht="15.75" customHeight="1">
      <c r="A27" s="1590" t="s">
        <v>2986</v>
      </c>
      <c r="B27" s="1531" t="s">
        <v>8774</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3090</v>
      </c>
      <c r="B28" s="1726" t="s">
        <v>8801</v>
      </c>
      <c r="C28" s="1810" t="s">
        <v>11409</v>
      </c>
      <c r="D28" s="1494"/>
      <c r="E28" s="1494" t="s">
        <v>11410</v>
      </c>
      <c r="F28" s="1494" t="s">
        <v>11411</v>
      </c>
      <c r="G28" s="1081"/>
      <c r="H28" s="1790"/>
      <c r="I28" s="1796"/>
      <c r="J28" s="1797"/>
      <c r="K28" s="1494" t="s">
        <v>9906</v>
      </c>
      <c r="L28" s="1559"/>
    </row>
    <row r="29" ht="15.75" customHeight="1">
      <c r="A29" s="1590" t="s">
        <v>2727</v>
      </c>
      <c r="B29" s="1531" t="s">
        <v>8774</v>
      </c>
      <c r="C29" s="1810" t="s">
        <v>11412</v>
      </c>
      <c r="D29" s="1494" t="s">
        <v>11413</v>
      </c>
      <c r="E29" s="1494" t="s">
        <v>11414</v>
      </c>
      <c r="F29" s="1494" t="s">
        <v>11415</v>
      </c>
      <c r="G29" s="1800" t="s">
        <v>11416</v>
      </c>
      <c r="H29" s="1800" t="s">
        <v>11417</v>
      </c>
      <c r="I29" s="1800" t="s">
        <v>11418</v>
      </c>
      <c r="J29" s="1800" t="s">
        <v>11419</v>
      </c>
      <c r="K29" s="1494" t="s">
        <v>9837</v>
      </c>
      <c r="L29" s="1559" t="s">
        <v>11420</v>
      </c>
    </row>
    <row r="30" ht="15.75" customHeight="1">
      <c r="A30" s="1215" t="s">
        <v>2572</v>
      </c>
      <c r="B30" s="1605" t="s">
        <v>8801</v>
      </c>
      <c r="C30" s="1732" t="s">
        <v>11123</v>
      </c>
      <c r="D30" s="1494" t="s">
        <v>11421</v>
      </c>
      <c r="E30" s="1494" t="s">
        <v>11422</v>
      </c>
      <c r="F30" s="1494" t="s">
        <v>11423</v>
      </c>
      <c r="G30" s="1081" t="s">
        <v>11424</v>
      </c>
      <c r="H30" s="1790" t="s">
        <v>11425</v>
      </c>
      <c r="I30" s="1796" t="s">
        <v>11426</v>
      </c>
      <c r="J30" s="1797" t="s">
        <v>11427</v>
      </c>
      <c r="K30" s="1494" t="s">
        <v>9749</v>
      </c>
      <c r="L30" s="1559"/>
    </row>
    <row r="31" ht="15.75" customHeight="1">
      <c r="A31" s="1590" t="s">
        <v>5238</v>
      </c>
      <c r="B31" s="1531" t="s">
        <v>8774</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4942</v>
      </c>
      <c r="B32" s="1531" t="s">
        <v>8801</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5804</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6498</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4337</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4040</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4337</v>
      </c>
      <c r="D13" s="1846" t="s">
        <v>11486</v>
      </c>
      <c r="E13" s="1845" t="s">
        <v>11470</v>
      </c>
      <c r="F13" s="1847">
        <v>44250.0</v>
      </c>
    </row>
    <row r="14" ht="15.75" customHeight="1">
      <c r="A14" s="1843" t="s">
        <v>11487</v>
      </c>
      <c r="B14" s="1848" t="s">
        <v>11472</v>
      </c>
      <c r="C14" s="1845" t="s">
        <v>4240</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5301</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5238</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1635</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1635</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7385</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2265</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4337</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6372</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2458</v>
      </c>
      <c r="D90" s="1859" t="s">
        <v>11533</v>
      </c>
      <c r="E90" s="1845" t="s">
        <v>11470</v>
      </c>
      <c r="F90" s="1860">
        <v>43925.0</v>
      </c>
    </row>
    <row r="91">
      <c r="A91" s="1855"/>
      <c r="B91" s="1849" t="s">
        <v>11475</v>
      </c>
      <c r="C91" s="1845" t="s">
        <v>4789</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5301</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2190</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5301</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4121</v>
      </c>
      <c r="D127" s="1868">
        <v>0.06892361111111112</v>
      </c>
      <c r="E127" s="1845" t="s">
        <v>11480</v>
      </c>
      <c r="F127" s="1847">
        <v>44652.0</v>
      </c>
    </row>
    <row r="128">
      <c r="A128" s="1867"/>
      <c r="B128" s="1849" t="s">
        <v>11475</v>
      </c>
      <c r="C128" s="1854" t="s">
        <v>5402</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2458</v>
      </c>
      <c r="D133" s="1873" t="s">
        <v>11551</v>
      </c>
      <c r="E133" s="1845" t="s">
        <v>11470</v>
      </c>
      <c r="F133" s="1847">
        <v>45152.0</v>
      </c>
    </row>
    <row r="134">
      <c r="A134" s="1867"/>
      <c r="B134" s="1848" t="s">
        <v>11472</v>
      </c>
      <c r="C134" s="1845" t="s">
        <v>4240</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