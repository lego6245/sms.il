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<sst xmlns="http://schemas.openxmlformats.org/spreadsheetml/2006/main" count="26630" uniqueCount="11020">
  <si>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</si>
  <si>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</si>
  <si>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</si>
  <si>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</si>
  <si>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</si>
  <si>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</si>
  <si>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</si>
  <si>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</si>
  <si>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</si>
  <si>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</si>
  <si>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</si>
  <si>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</si>
  <si>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</si>
  <si>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</si>
  <si>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</si>
  <si>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</si>
  <si>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</si>
  <si>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</si>
  <si>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</si>
  <si>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</si>
  <si>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</si>
  <si>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</si>
  <si>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</si>
  <si>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</si>
  <si>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</si>
  <si>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</si>
  <si>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</si>
  <si>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</si>
  <si>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</si>
  <si>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</si>
  <si>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</si>
  <si>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</si>
  <si>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</si>
  <si>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</si>
  <si>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</si>
  <si>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</si>
  <si>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</si>
  <si>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</si>
  <si>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</si>
  <si>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</si>
  <si>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</si>
  <si>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</si>
  <si>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</si>
  <si>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</si>
  <si>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</si>
  <si>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</si>
  <si>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</si>
  <si>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</si>
  <si>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</si>
  <si>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</si>
  <si>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</si>
  <si>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</si>
  <si>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</si>
  <si>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</si>
  <si>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</si>
  <si>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</si>
  <si>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</si>
  <si>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</si>
  <si>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</si>
  <si>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</si>
  <si>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</si>
  <si>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</si>
  <si>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</si>
  <si>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</si>
  <si>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</si>
  <si>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</si>
  <si>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</si>
  <si>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</si>
  <si>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</si>
  <si>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</si>
  <si>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</si>
  <si>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</si>
  <si>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</si>
  <si>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</si>
  <si>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</si>
  <si>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</si>
  <si>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</si>
  <si>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</si>
  <si>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</si>
  <si>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</si>
  <si>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</si>
  <si>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</si>
  <si>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</si>
  <si>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</si>
  <si>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</si>
  <si>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</si>
  <si>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</si>
  <si>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</si>
  <si>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</si>
  <si>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</si>
  <si>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</si>
  <si>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</si>
  <si>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</si>
  <si>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</si>
  <si>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</si>
  <si>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</si>
  <si>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</si>
  <si>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</si>
  <si>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</si>
  <si>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</si>
  <si>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</si>
  <si>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</si>
  <si>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</si>
  <si>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</si>
  <si>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</si>
  <si>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</si>
  <si>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</si>
  <si>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</si>
  <si>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</si>
  <si>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</si>
  <si>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</si>
  <si>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</si>
  <si>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</si>
  <si>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</si>
  <si>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</si>
  <si>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</si>
  <si>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</si>
  <si>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</si>
  <si>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</si>
  <si>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</si>
  <si>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</si>
  <si>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</si>
  <si>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</si>
  <si>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</si>
  <si>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</si>
  <si>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</si>
  <si>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</si>
  <si>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</si>
  <si>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</si>
  <si>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</si>
  <si>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</si>
  <si>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</si>
  <si>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</si>
  <si>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</si>
  <si>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</si>
  <si>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</si>
  <si>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</si>
  <si>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</si>
  <si>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</si>
  <si>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</si>
  <si>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</si>
  <si>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</si>
  <si>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</si>
  <si>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</si>
  <si>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</si>
  <si>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</si>
  <si>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</si>
  <si>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</si>
  <si>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</si>
  <si>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</si>
  <si>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</si>
  <si>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</si>
  <si>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</si>
  <si>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</si>
  <si>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</si>
  <si>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</si>
  <si>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</si>
  <si>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</si>
  <si>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</si>
  <si>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</si>
  <si>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</si>
  <si>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</si>
  <si>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</si>
  <si>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</si>
  <si>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</si>
  <si>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</si>
  <si>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</si>
  <si>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</si>
  <si>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</si>
  <si>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</si>
  <si>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</si>
  <si>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</si>
  <si>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</si>
  <si>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</si>
  <si>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</si>
  <si>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</si>
  <si>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</si>
  <si>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</si>
  <si>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</si>
  <si>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</si>
  <si>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</si>
  <si>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</si>
  <si>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</si>
  <si>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</si>
  <si>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</si>
  <si>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</si>
  <si>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</si>
  <si>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</si>
  <si>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</si>
  <si>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</si>
  <si>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</si>
  <si>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</si>
  <si>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</si>
  <si>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</si>
  <si>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</si>
  <si>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</si>
  <si>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</si>
  <si>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</si>
  <si>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</si>
  <si>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</si>
  <si>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</si>
  <si>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</si>
  <si>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</si>
  <si>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</si>
  <si>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</si>
  <si>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</si>
  <si>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</si>
  <si>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</si>
  <si>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</si>
  <si>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</si>
  <si>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</si>
  <si>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</si>
  <si>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</si>
  <si>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</si>
  <si>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</si>
  <si>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</si>
  <si>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</si>
  <si>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</si>
  <si>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</si>
  <si>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</si>
  <si>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</si>
  <si>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</si>
  <si>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</si>
  <si>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</si>
  <si>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</si>
  <si>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</si>
  <si>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</si>
  <si>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</si>
  <si>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</si>
  <si>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</si>
  <si>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</si>
  <si>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</si>
  <si>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</si>
  <si>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</si>
  <si>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</si>
  <si>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</si>
  <si>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</si>
  <si>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</si>
  <si>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</si>
  <si>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</si>
  <si>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</si>
  <si>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</si>
  <si>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</si>
  <si>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</si>
  <si>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</si>
  <si>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</si>
  <si>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</si>
  <si>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</si>
  <si>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</si>
  <si>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</si>
  <si>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</si>
  <si>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</si>
  <si>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</si>
  <si>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</si>
  <si>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</si>
  <si>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</si>
  <si>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</si>
  <si>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</si>
  <si>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</si>
  <si>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</si>
  <si>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</si>
  <si>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</si>
  <si>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</si>
  <si>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</si>
  <si>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</si>
  <si>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</si>
  <si>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</si>
  <si>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</si>
  <si>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</si>
  <si>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</si>
  <si>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</si>
  <si>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</si>
  <si>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</si>
  <si>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</si>
  <si>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</si>
  <si>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</si>
  <si>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</si>
  <si>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</si>
  <si>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</si>
  <si>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</si>
  <si>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</si>
  <si>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</si>
  <si>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</si>
  <si>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</si>
  <si>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</si>
  <si>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</si>
  <si>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</si>
  <si>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</si>
  <si>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</si>
  <si>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</si>
  <si>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</si>
  <si>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</si>
  <si>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</si>
  <si>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</si>
  <si>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</si>
  <si>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</si>
  <si>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</si>
  <si>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</si>
  <si>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</si>
  <si>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</si>
  <si>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</si>
  <si>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</si>
  <si>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</si>
  <si>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</si>
  <si>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</si>
  <si>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</si>
  <si>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</si>
  <si>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</si>
  <si>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</si>
  <si>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</si>
  <si>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</si>
  <si>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</si>
  <si>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</si>
  <si>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</si>
  <si>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</si>
  <si>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</si>
  <si>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</si>
  <si>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</si>
  <si>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</si>
  <si>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</si>
  <si>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</si>
  <si>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</si>
  <si>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</si>
  <si>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</si>
  <si>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</si>
  <si>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</si>
  <si>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</si>
  <si>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</si>
  <si>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</si>
  <si>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</si>
  <si>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</si>
  <si>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</si>
  <si>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</si>
  <si>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</si>
  <si>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</si>
  <si>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</si>
  <si>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</si>
  <si>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</si>
  <si>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</si>
  <si>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</si>
  <si>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</si>
  <si>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</si>
  <si>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</si>
  <si>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</si>
  <si>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</si>
  <si>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</si>
  <si>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</si>
  <si>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</si>
  <si>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</si>
  <si>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</si>
  <si>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</si>
  <si>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</si>
  <si>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</si>
  <si>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</si>
  <si>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</si>
  <si>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</si>
  <si>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</si>
  <si>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</si>
  <si>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</si>
  <si>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</si>
  <si>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</si>
  <si>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</si>
  <si>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</si>
  <si>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</si>
  <si>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</si>
  <si>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</si>
  <si>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</si>
  <si>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</si>
  <si>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</si>
  <si>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</si>
  <si>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</si>
  <si>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</si>
  <si>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</si>
  <si>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</si>
  <si>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</si>
  <si>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</si>
  <si>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</si>
  <si>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</si>
  <si>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</si>
  <si>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</si>
  <si>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</si>
  <si>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</si>
  <si>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</si>
  <si>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</si>
  <si>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</si>
  <si>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</si>
  <si>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</si>
  <si>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</si>
  <si>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</si>
  <si>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</si>
  <si>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</si>
  <si>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</si>
  <si>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</si>
  <si>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</si>
  <si>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</si>
  <si>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</si>
  <si>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</si>
  <si>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</si>
  <si>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</si>
  <si>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</si>
  <si>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</si>
  <si>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</si>
  <si>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</si>
  <si>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</si>
  <si>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</si>
  <si>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</si>
  <si>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</si>
  <si>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</si>
  <si>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</si>
  <si>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</si>
  <si>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</si>
  <si>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</si>
  <si>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</si>
  <si>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</si>
  <si>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</si>
  <si>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</si>
  <si>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</si>
  <si>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</si>
  <si>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</si>
  <si>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</si>
  <si>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</si>
  <si>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</si>
  <si>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</si>
  <si>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</si>
  <si>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</si>
  <si>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</si>
  <si>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</si>
  <si>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</si>
  <si>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</si>
  <si>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</si>
  <si>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</si>
  <si>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</si>
  <si>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</si>
  <si>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</si>
  <si>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</si>
  <si>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</si>
  <si>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</si>
  <si>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</si>
  <si>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</si>
  <si>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</si>
  <si>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</si>
  <si>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</si>
  <si>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</si>
  <si>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</si>
  <si>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</si>
  <si>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</si>
  <si>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</si>
  <si>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</si>
  <si>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</si>
  <si>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</si>
  <si>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</si>
  <si>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</si>
  <si>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</si>
  <si>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</si>
  <si>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</si>
  <si>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</si>
  <si>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</si>
  <si>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</si>
  <si>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</si>
  <si>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</si>
  <si>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</si>
  <si>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</si>
  <si>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</si>
  <si>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</si>
  <si>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</si>
  <si>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</si>
  <si>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</si>
  <si>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</si>
  <si>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</si>
  <si>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</si>
  <si>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</si>
  <si>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</si>
  <si>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</si>
  <si>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</si>
  <si>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</si>
  <si>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</si>
  <si>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</si>
  <si>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</si>
  <si>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</si>
  <si>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</si>
  <si>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</si>
  <si>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</si>
  <si>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</si>
  <si>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</si>
  <si>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</si>
  <si>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</si>
  <si>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</si>
  <si>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</si>
  <si>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</si>
  <si>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</si>
  <si>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</si>
  <si>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</si>
  <si>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</si>
  <si>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</si>
  <si>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</si>
  <si>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</si>
  <si>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</si>
  <si>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</si>
  <si>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</si>
  <si>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</si>
  <si>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</si>
  <si>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</si>
  <si>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</si>
  <si>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</si>
  <si>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</si>
  <si>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</si>
  <si>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</si>
  <si>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</si>
  <si>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</si>
  <si>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</si>
  <si>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</si>
  <si>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</si>
  <si>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</si>
  <si>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</si>
  <si>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</si>
  <si>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</si>
  <si>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</si>
  <si>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</si>
  <si>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</si>
  <si>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</si>
  <si>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</si>
  <si>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</si>
  <si>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</si>
  <si>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</si>
  <si>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</si>
  <si>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</si>
  <si>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</si>
  <si>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</si>
  <si>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</si>
  <si>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</si>
  <si>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</si>
  <si>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</si>
  <si>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</si>
  <si>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</si>
  <si>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</si>
  <si>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</si>
  <si>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</si>
  <si>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</si>
  <si>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</si>
  <si>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</si>
  <si>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</si>
  <si>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</si>
  <si>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</si>
  <si>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</si>
  <si>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</si>
  <si>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</si>
  <si>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</si>
  <si>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</si>
  <si>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</si>
  <si>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</si>
  <si>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</si>
  <si>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</si>
  <si>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</si>
  <si>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</si>
  <si>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</si>
  <si>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</si>
  <si>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</si>
  <si>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</si>
  <si>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</si>
  <si>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</si>
  <si>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</si>
  <si>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</si>
  <si>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</si>
  <si>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</si>
  <si>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</si>
  <si>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</si>
  <si>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</si>
  <si>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</si>
  <si>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</si>
  <si>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</si>
  <si>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</si>
  <si>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</si>
  <si>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</si>
  <si>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</si>
  <si>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</si>
  <si>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</si>
  <si>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</si>
  <si>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</si>
  <si>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</si>
  <si>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</si>
  <si>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</si>
  <si>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</si>
  <si>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</si>
  <si>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</si>
  <si>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</si>
  <si>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</si>
  <si>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</si>
  <si>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</si>
  <si>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</si>
  <si>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</si>
  <si>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</si>
  <si>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</si>
  <si>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</si>
  <si>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</si>
  <si>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</si>
  <si>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</si>
  <si>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</si>
  <si>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</si>
  <si>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</si>
  <si>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</si>
  <si>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</si>
  <si>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</si>
  <si>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</si>
  <si>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</si>
  <si>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</si>
  <si>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</si>
  <si>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</si>
  <si>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</si>
  <si>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</si>
  <si>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</si>
  <si>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</si>
  <si>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</si>
  <si>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</si>
  <si>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</si>
  <si>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</si>
  <si>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</si>
  <si>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</si>
  <si>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</si>
  <si>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</si>
  <si>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</si>
  <si>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</si>
  <si>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</si>
  <si>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</si>
  <si>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</si>
  <si>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</si>
  <si>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</si>
  <si>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</si>
  <si>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</si>
  <si>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</si>
  <si>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</si>
  <si>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</si>
  <si>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</si>
  <si>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</si>
  <si>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</si>
  <si>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</si>
  <si>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</si>
  <si>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</si>
  <si>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</si>
  <si>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</si>
  <si>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</si>
  <si>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</si>
  <si>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</si>
  <si>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</si>
  <si>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</si>
  <si>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</si>
  <si>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</si>
  <si>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</si>
  <si>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</si>
  <si>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</si>
  <si>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</si>
  <si>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</si>
  <si>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</si>
  <si>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</si>
  <si>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</si>
  <si>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</si>
  <si>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</si>
  <si>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</si>
  <si>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</si>
  <si>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</si>
  <si>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</si>
  <si>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</si>
  <si>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</si>
  <si>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</si>
  <si>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</si>
  <si>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</si>
  <si>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</si>
  <si>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</si>
  <si>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</si>
  <si>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</si>
  <si>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</si>
  <si>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</si>
  <si>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</si>
  <si>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</si>
  <si>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</si>
  <si>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</si>
  <si>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</si>
  <si>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</si>
  <si>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</si>
  <si>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</si>
  <si>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</si>
  <si>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</si>
  <si>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</si>
  <si>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</si>
  <si>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</si>
  <si>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</si>
  <si>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</si>
  <si>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</si>
  <si>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</si>
  <si>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</si>
  <si>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</si>
  <si>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</si>
  <si>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</si>
  <si>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</si>
  <si>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</si>
  <si>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</si>
  <si>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</si>
  <si>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</si>
  <si>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</si>
  <si>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</si>
  <si>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</si>
  <si>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</si>
  <si>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</si>
  <si>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</si>
  <si>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</si>
  <si>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</si>
  <si>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</si>
  <si>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</si>
  <si>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</si>
  <si>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</si>
  <si>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</si>
  <si>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</si>
  <si>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</si>
  <si>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</si>
  <si>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</si>
  <si>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</si>
  <si>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</si>
  <si>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</si>
  <si>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</si>
  <si>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</si>
  <si>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</si>
  <si>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</si>
  <si>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</si>
  <si>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</si>
  <si>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</si>
  <si>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</si>
  <si>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</si>
  <si>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</si>
  <si>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</si>
  <si>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</si>
  <si>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</si>
  <si>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</si>
  <si>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</si>
  <si>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</si>
  <si>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</si>
  <si>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</si>
  <si>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</si>
  <si>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</si>
  <si>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</si>
  <si>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</si>
  <si>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</si>
  <si>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</si>
  <si>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</si>
  <si>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</si>
  <si>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</si>
  <si>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</si>
  <si>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</si>
  <si>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</si>
  <si>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</si>
  <si>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</si>
  <si>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</si>
  <si>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</si>
  <si>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</si>
  <si>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</si>
  <si>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</si>
  <si>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</si>
  <si>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</si>
  <si>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</si>
  <si>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</si>
  <si>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</si>
  <si>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</si>
  <si>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</si>
  <si>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</si>
  <si>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</si>
  <si>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</si>
  <si>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</si>
  <si>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</si>
  <si>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</si>
  <si>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</si>
  <si>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</si>
  <si>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</si>
  <si>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</si>
  <si>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</si>
  <si>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</si>
  <si>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</si>
  <si>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</si>
  <si>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</si>
  <si>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</si>
  <si>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</si>
  <si>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</si>
  <si>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</si>
  <si>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</si>
  <si>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</si>
  <si>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</si>
  <si>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</si>
  <si>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</si>
  <si>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</si>
  <si>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</si>
  <si>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</si>
  <si>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</si>
  <si>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</si>
  <si>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</si>
  <si>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</si>
  <si>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</si>
  <si>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</si>
  <si>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</si>
  <si>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</si>
  <si>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</si>
  <si>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</si>
  <si>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</si>
  <si>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</si>
  <si>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</si>
  <si>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</si>
  <si>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</si>
  <si>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</si>
  <si>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</si>
  <si>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</si>
  <si>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</si>
  <si>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</si>
  <si>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</si>
  <si>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</si>
  <si>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</si>
  <si>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</si>
  <si>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</si>
  <si>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</si>
  <si>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</si>
  <si>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</si>
  <si>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</si>
  <si>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</si>
  <si>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</si>
  <si>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</si>
  <si>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</si>
  <si>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</si>
  <si>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</si>
  <si>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</si>
  <si>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</si>
  <si>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</si>
  <si>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</si>
  <si>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</si>
  <si>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</si>
  <si>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</si>
  <si>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</si>
  <si>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</si>
  <si>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</si>
  <si>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</si>
  <si>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</si>
  <si>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</si>
  <si>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</si>
  <si>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</si>
  <si>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</si>
  <si>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</si>
  <si>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</si>
  <si>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</si>
  <si>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</si>
  <si>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</si>
  <si>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</si>
  <si>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</si>
  <si>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</si>
  <si>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</si>
  <si>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</si>
  <si>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</si>
  <si>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</si>
  <si>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</si>
  <si>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</si>
  <si>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</si>
  <si>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</si>
  <si>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</si>
  <si>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</si>
  <si>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</si>
  <si>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</si>
  <si>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</si>
  <si>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</si>
  <si>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</si>
  <si>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</si>
  <si>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</si>
  <si>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</si>
  <si>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</si>
  <si>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</si>
  <si>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</si>
  <si>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</si>
  <si>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</si>
  <si>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</si>
  <si>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</si>
  <si>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</si>
  <si>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</si>
  <si>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</si>
  <si>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</si>
  <si>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</si>
  <si>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</si>
  <si>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</si>
  <si>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</si>
  <si>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</si>
  <si>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</si>
  <si>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</si>
  <si>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</si>
  <si>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</si>
  <si>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</si>
  <si>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</si>
  <si>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</si>
  <si>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</si>
  <si>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</si>
  <si>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</si>
  <si>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</si>
  <si>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</si>
  <si>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</si>
  <si>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</si>
  <si>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</si>
  <si>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</si>
  <si>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</si>
  <si>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</si>
  <si>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</si>
  <si>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</si>
  <si>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</si>
  <si>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</si>
  <si>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</si>
  <si>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</si>
  <si>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</si>
  <si>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</si>
  <si>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</si>
  <si>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</si>
  <si>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</si>
  <si>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</si>
  <si>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</si>
  <si>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</si>
  <si>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</si>
  <si>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</si>
  <si>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</si>
  <si>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</si>
  <si>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</si>
  <si>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</si>
  <si>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</si>
  <si>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</si>
  <si>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</si>
  <si>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</si>
  <si>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</si>
  <si>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</si>
  <si>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</si>
  <si>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</si>
  <si>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</si>
  <si>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</si>
  <si>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</si>
  <si>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</si>
  <si>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</si>
  <si>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</si>
  <si>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</si>
  <si>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</si>
  <si>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</si>
  <si>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</si>
  <si>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</si>
  <si>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</si>
  <si>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</si>
  <si>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</si>
  <si>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</si>
  <si>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</si>
  <si>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</si>
  <si>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</si>
  <si>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</si>
  <si>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</si>
  <si>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</si>
  <si>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</si>
  <si>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</si>
  <si>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</si>
  <si>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</si>
  <si>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</si>
  <si>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</si>
  <si>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</si>
  <si>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</si>
  <si>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</si>
  <si>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</si>
  <si>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</si>
  <si>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</si>
  <si>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</si>
  <si>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</si>
  <si>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</si>
  <si>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</si>
  <si>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</si>
  <si>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</si>
  <si>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</si>
  <si>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</si>
  <si>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</si>
  <si>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</si>
  <si>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</si>
  <si>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</si>
  <si>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</si>
  <si>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</si>
  <si>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</si>
  <si>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</si>
  <si>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</si>
  <si>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</si>
  <si>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</si>
  <si>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</si>
  <si>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</si>
  <si>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</si>
  <si>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</si>
  <si>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</si>
  <si>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</si>
  <si>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</si>
  <si>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</si>
  <si>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</si>
  <si>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</si>
  <si>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</si>
  <si>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</si>
  <si>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</si>
  <si>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</si>
  <si>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</si>
  <si>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</si>
  <si>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</si>
  <si>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</si>
  <si>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</si>
  <si>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</si>
  <si>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</si>
  <si>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</si>
  <si>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</si>
  <si>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</si>
  <si>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</si>
  <si>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</si>
  <si>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</si>
  <si>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</si>
  <si>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</si>
  <si>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</si>
  <si>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</si>
  <si>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</si>
  <si>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</si>
  <si>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</si>
  <si>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</si>
  <si>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</si>
  <si>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</si>
  <si>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</si>
  <si>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</si>
  <si>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</si>
  <si>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</si>
  <si>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</si>
  <si>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</si>
  <si>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</si>
  <si>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</si>
  <si>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</si>
  <si>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</si>
  <si>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</si>
  <si>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</si>
  <si>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</si>
  <si>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</si>
  <si>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</si>
  <si>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</si>
  <si>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</si>
  <si>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</si>
  <si>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</si>
  <si>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</si>
  <si>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</si>
  <si>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</si>
  <si>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</si>
  <si>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</si>
  <si>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</si>
  <si>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</si>
  <si>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</si>
  <si>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</si>
  <si>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</si>
  <si>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</si>
  <si>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</si>
  <si>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</si>
  <si>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</si>
  <si>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</si>
  <si>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</si>
  <si>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</si>
  <si>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</si>
  <si>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</si>
  <si>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</si>
  <si>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</si>
  <si>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</si>
  <si>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</si>
  <si>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</si>
  <si>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</si>
  <si>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</si>
  <si>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</si>
  <si>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</si>
  <si>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</si>
  <si>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</si>
  <si>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</si>
  <si>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</si>
  <si>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</si>
  <si>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</si>
  <si>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</si>
  <si>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</si>
  <si>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</si>
  <si>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</si>
  <si>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</si>
  <si>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</si>
  <si>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</si>
  <si>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</si>
  <si>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</si>
  <si>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</si>
  <si>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</si>
  <si>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</si>
  <si>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</si>
  <si>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</si>
  <si>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</si>
  <si>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</si>
  <si>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</si>
  <si>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</si>
  <si>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</si>
  <si>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</si>
  <si>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</si>
  <si>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</si>
  <si>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</si>
  <si>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</si>
  <si>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</si>
  <si>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</si>
  <si>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</si>
  <si>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</si>
  <si>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</si>
  <si>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</si>
  <si>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</si>
  <si>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</si>
  <si>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</si>
  <si>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</si>
  <si>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</si>
  <si>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</si>
  <si>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</si>
  <si>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</si>
  <si>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</si>
  <si>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</si>
  <si>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</si>
  <si>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</si>
  <si>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</si>
  <si>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</si>
  <si>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</si>
  <si>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</si>
  <si>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</si>
  <si>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</si>
  <si>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</si>
  <si>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</si>
  <si>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</si>
  <si>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</si>
  <si>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</si>
  <si>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</si>
  <si>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</si>
  <si>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</si>
  <si>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</si>
  <si>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</si>
  <si>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</si>
  <si>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</si>
  <si>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</si>
  <si>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</si>
  <si>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</si>
  <si>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</si>
  <si>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</si>
  <si>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</si>
  <si>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</si>
  <si>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</si>
  <si>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</si>
  <si>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</si>
  <si>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</si>
  <si>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</si>
  <si>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</si>
  <si>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</si>
  <si>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</si>
  <si>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</si>
  <si>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</si>
  <si>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</si>
  <si>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</si>
  <si>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</si>
  <si>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</si>
  <si>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</si>
  <si>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</si>
  <si>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</si>
  <si>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</si>
  <si>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</si>
  <si>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</si>
  <si>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</si>
  <si>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</si>
  <si>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</si>
  <si>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</si>
  <si>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</si>
  <si>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</si>
  <si>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</si>
  <si>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</si>
  <si>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</si>
  <si>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</si>
  <si>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</si>
  <si>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</si>
  <si>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</si>
  <si>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</si>
  <si>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</si>
  <si>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</si>
  <si>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</si>
  <si>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</si>
  <si>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</si>
  <si>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</si>
  <si>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</si>
  <si>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</si>
  <si>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</si>
  <si>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</si>
  <si>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</si>
  <si>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</si>
  <si>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</si>
  <si>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</si>
  <si>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</si>
  <si>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</si>
  <si>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</si>
  <si>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</si>
  <si>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</si>
  <si>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</si>
  <si>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</si>
  <si>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</si>
  <si>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</si>
  <si>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</si>
  <si>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</si>
  <si>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</si>
  <si>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</si>
  <si>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</si>
  <si>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</si>
  <si>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</si>
  <si>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</si>
  <si>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</si>
  <si>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</si>
  <si>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</si>
  <si>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</si>
  <si>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</si>
  <si>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</si>
  <si>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</si>
  <si>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</si>
  <si>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</si>
  <si>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</si>
  <si>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</si>
  <si>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</si>
  <si>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</si>
  <si>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</si>
  <si>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</si>
  <si>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</si>
  <si>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</si>
  <si>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</si>
  <si>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</si>
  <si>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</si>
  <si>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</si>
  <si>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</si>
  <si>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</si>
  <si>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</si>
  <si>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</si>
  <si>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</si>
  <si>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</si>
  <si>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</si>
  <si>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</si>
  <si>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</si>
  <si>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</si>
  <si>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</si>
  <si>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</si>
  <si>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</si>
  <si>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</si>
  <si>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</si>
  <si>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</si>
  <si>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</si>
  <si>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</si>
  <si>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</si>
  <si>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</si>
  <si>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</si>
  <si>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</si>
  <si>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</si>
  <si>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</si>
  <si>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</si>
  <si>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</si>
  <si>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</si>
  <si>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</si>
  <si>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</si>
  <si>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</si>
  <si>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</si>
  <si>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</si>
  <si>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</si>
  <si>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</si>
  <si>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</si>
  <si>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</si>
  <si>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</si>
  <si>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</si>
  <si>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</si>
  <si>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</si>
  <si>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</si>
  <si>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</si>
  <si>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</si>
  <si>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</si>
  <si>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</si>
  <si>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</si>
  <si>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</si>
  <si>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</si>
  <si>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</si>
  <si>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</si>
  <si>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</si>
  <si>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</si>
  <si>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</si>
  <si>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</si>
  <si>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</si>
  <si>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</si>
  <si>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</si>
  <si>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</si>
  <si>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</si>
  <si>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</si>
  <si>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</si>
  <si>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</si>
  <si>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</si>
  <si>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</si>
  <si>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</si>
  <si>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</si>
  <si>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</si>
  <si>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</si>
  <si>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</si>
  <si>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</si>
  <si>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</si>
  <si>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</si>
  <si>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</si>
  <si>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</si>
  <si>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</si>
  <si>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</si>
  <si>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</si>
  <si>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</si>
  <si>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</si>
  <si>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</si>
  <si>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</si>
  <si>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</si>
  <si>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</si>
  <si>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</si>
  <si>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</si>
  <si>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</si>
  <si>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</si>
  <si>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</si>
  <si>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</si>
  <si>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</si>
  <si>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</si>
  <si>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</si>
  <si>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</si>
  <si>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</si>
  <si>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</si>
  <si>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</si>
  <si>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</si>
  <si>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</si>
  <si>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</si>
  <si>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</si>
  <si>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</si>
  <si>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</si>
  <si>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</si>
  <si>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</si>
  <si>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</si>
  <si>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</si>
  <si>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</si>
  <si>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</si>
  <si>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</si>
  <si>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</si>
  <si>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</si>
  <si>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</si>
  <si>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</si>
  <si>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</si>
  <si>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</si>
  <si>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</si>
  <si>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</si>
  <si>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</si>
  <si>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</si>
  <si>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</si>
  <si>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</si>
  <si>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</si>
  <si>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</si>
  <si>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</si>
  <si>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</si>
  <si>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</si>
  <si>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</si>
  <si>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</si>
  <si>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</si>
  <si>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</si>
  <si>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</si>
  <si>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</si>
  <si>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</si>
  <si>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</si>
  <si>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</si>
  <si>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</si>
  <si>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</si>
  <si>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</si>
  <si>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</si>
  <si>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</si>
  <si>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</si>
  <si>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</si>
  <si>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</si>
  <si>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</si>
  <si>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</si>
  <si>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</si>
  <si>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</si>
  <si>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</si>
  <si>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</si>
  <si>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</si>
  <si>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</si>
  <si>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</si>
  <si>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</si>
  <si>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</si>
  <si>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</si>
  <si>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</si>
  <si>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</si>
  <si>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</si>
  <si>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</si>
  <si>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</si>
  <si>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</si>
  <si>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</si>
  <si>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</si>
  <si>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</si>
  <si>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</si>
  <si>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</si>
  <si>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</si>
  <si>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</si>
  <si>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</si>
  <si>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</si>
  <si>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</si>
  <si>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</si>
  <si>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</si>
  <si>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</si>
  <si>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</si>
  <si>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</si>
  <si>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</si>
  <si>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</si>
  <si>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</si>
  <si>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</si>
  <si>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</si>
  <si>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</si>
  <si>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</si>
  <si>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</si>
  <si>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</si>
  <si>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</si>
  <si>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</si>
  <si>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</si>
  <si>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</si>
  <si>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</si>
  <si>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</si>
  <si>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</si>
  <si>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</si>
  <si>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</si>
  <si>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7651</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</si>
  <si>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</si>
  <si>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</si>
  <si>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</si>
  <si>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</si>
  <si>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</si>
  <si>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</si>
  <si>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</si>
  <si>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</si>
  <si>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</si>
  <si>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</si>
  <si>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</si>
  <si>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</si>
  <si>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</si>
  <si>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</si>
  <si>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</si>
  <si>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</si>
  <si>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</si>
  <si>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</si>
  <si>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</si>
  <si>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</si>
  <si>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</si>
  <si>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</si>
  <si>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</si>
  <si>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</si>
  <si>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</si>
  <si>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</si>
  <si>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</si>
  <si>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</si>
  <si>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</si>
  <si>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</si>
  <si>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</si>
  <si>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</si>
  <si>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</si>
  <si>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</si>
  <si>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</si>
  <si>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</si>
  <si>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</si>
  <si>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</si>
  <si>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</si>
  <si>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</si>
  <si>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</si>
  <si>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</si>
  <si>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</si>
  <si>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</si>
  <si>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</si>
  <si>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</si>
  <si>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</si>
  <si>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</si>
  <si>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</si>
  <si>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</si>
  <si>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</si>
  <si>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</si>
  <si>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</si>
  <si>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</si>
  <si>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</si>
  <si>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</si>
  <si>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</si>
  <si>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</si>
  <si>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</si>
  <si>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</si>
  <si>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</si>
  <si>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</si>
  <si>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</si>
  <si>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</si>
  <si>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</si>
  <si>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</si>
  <si>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</si>
  <si>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</si>
  <si>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</si>
  <si>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</si>
  <si>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</si>
  <si>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</si>
  <si>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</si>
  <si>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</si>
  <si>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</si>
  <si>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</si>
  <si>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</si>
  <si>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</si>
  <si>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</si>
  <si>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</si>
  <si>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</si>
  <si>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</si>
  <si>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</si>
  <si>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</si>
  <si>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</si>
  <si>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</si>
  <si>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</si>
  <si>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</si>
  <si>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</si>
  <si>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</si>
  <si>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</si>
  <si>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</si>
  <si>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</si>
  <si>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</si>
  <si>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</si>
  <si>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</si>
  <si>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</si>
  <si>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</si>
  <si>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</si>
  <si>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</si>
  <si>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</si>
  <si>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</si>
  <si>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</si>
  <si>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</si>
  <si>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</si>
  <si>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</si>
  <si>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</si>
  <si>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</si>
  <si>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</si>
  <si>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</si>
  <si>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</si>
  <si>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</si>
  <si>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</si>
  <si>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</si>
  <si>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</si>
  <si>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</si>
  <si>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</si>
  <si>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</si>
  <si>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</si>
  <si>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</si>
  <si>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</si>
  <si>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</si>
  <si>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</si>
  <si>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</si>
  <si>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</si>
  <si>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</si>
  <si>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</si>
  <si>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</si>
  <si>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</si>
  <si>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</si>
  <si>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</si>
  <si>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</si>
  <si>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</si>
  <si>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</si>
  <si>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</si>
  <si>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</si>
  <si>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</si>
  <si>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</si>
  <si>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</si>
  <si>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</si>
  <si>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</si>
  <si>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</si>
  <si>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</si>
  <si>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</si>
  <si>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</si>
  <si>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</si>
  <si>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</si>
  <si>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</si>
  <si>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</si>
  <si>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</si>
  <si>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</si>
  <si>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</si>
  <si>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</si>
  <si>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</si>
  <si>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</si>
  <si>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</si>
  <si>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</si>
  <si>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</si>
  <si>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</si>
  <si>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</si>
  <si>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</si>
  <si>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</si>
  <si>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</si>
  <si>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</si>
  <si>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</si>
  <si>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</si>
  <si>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</si>
  <si>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</si>
  <si>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</si>
  <si>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</si>
  <si>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</si>
  <si>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</si>
  <si>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</si>
  <si>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</si>
  <si>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</si>
  <si>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</si>
  <si>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</si>
  <si>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</si>
  <si>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</si>
  <si>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</si>
  <si>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</si>
  <si>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</si>
  <si>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</si>
  <si>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</si>
  <si>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</si>
  <si>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</si>
  <si>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</si>
  <si>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</si>
  <si>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</si>
  <si>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</si>
  <si>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</si>
  <si>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</si>
  <si>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</si>
  <si>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</si>
  <si>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</si>
  <si>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</si>
  <si>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</si>
  <si>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</si>
  <si>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</si>
  <si>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</si>
  <si>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</si>
  <si>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</si>
  <si>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</si>
  <si>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</si>
  <si>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</si>
  <si>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</si>
  <si>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</si>
  <si>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</si>
  <si>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</si>
  <si>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</si>
  <si>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</si>
  <si>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</si>
  <si>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</si>
  <si>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</si>
  <si>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</si>
  <si>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</si>
  <si>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</si>
  <si>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</si>
  <si>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</si>
  <si>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</si>
  <si>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</si>
  <si>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</si>
  <si>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</si>
  <si>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</si>
  <si>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</si>
  <si>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</si>
  <si>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</si>
  <si>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</si>
  <si>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</si>
  <si>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</si>
  <si>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</si>
  <si>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</si>
  <si>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</si>
  <si>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</si>
  <si>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</si>
  <si>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</si>
  <si>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</si>
  <si>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</si>
  <si>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</si>
  <si>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</si>
  <si>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</si>
  <si>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</si>
  <si>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</si>
  <si>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</si>
  <si>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</si>
  <si>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</si>
  <si>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</si>
  <si>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</si>
  <si>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</si>
  <si>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</si>
  <si>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</si>
  <si>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</si>
  <si>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</si>
  <si>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</si>
  <si>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</si>
  <si>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</si>
  <si>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</si>
  <si>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</si>
  <si>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</si>
  <si>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</si>
  <si>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</si>
  <si>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</si>
  <si>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</si>
  <si>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</si>
  <si>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</si>
  <si>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</si>
  <si>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</si>
  <si>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</si>
  <si>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</si>
  <si>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</si>
  <si>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</si>
  <si>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</si>
  <si>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</si>
  <si>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</si>
  <si>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</si>
  <si>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</si>
  <si>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</si>
  <si>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</si>
  <si>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</si>
  <si>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</si>
  <si>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</si>
  <si>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</si>
  <si>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</si>
  <si>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</si>
  <si>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</si>
  <si>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</si>
  <si>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</si>
  <si>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</si>
  <si>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</si>
  <si>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</si>
  <si>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</si>
  <si>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</si>
  <si>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</si>
  <si>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</si>
  <si>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</si>
  <si>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</si>
  <si>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</si>
  <si>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</si>
  <si>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</si>
  <si>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</si>
  <si>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</si>
  <si>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</si>
  <si>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</si>
  <si>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</si>
  <si>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</si>
  <si>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</si>
  <si>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</si>
  <si>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</si>
  <si>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</si>
  <si>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</si>
  <si>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</si>
  <si>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</si>
  <si>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</si>
  <si>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</si>
  <si>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</si>
  <si>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</si>
  <si>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</si>
  <si>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</si>
  <si>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</si>
  <si>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</si>
  <si>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</si>
  <si>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</si>
  <si>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</si>
  <si>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</si>
  <si>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</si>
  <si>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</si>
  <si>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</si>
  <si>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</si>
  <si>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</si>
  <si>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</si>
  <si>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</si>
  <si>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</si>
  <si>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</si>
  <si>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</si>
  <si>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</si>
  <si>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</si>
  <si>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</si>
  <si>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</si>
  <si>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</si>
  <si>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</si>
  <si>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</si>
  <si>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</si>
  <si>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</si>
  <si>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</si>
  <si>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</si>
  <si>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</si>
  <si>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</si>
  <si>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</si>
  <si>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</si>
  <si>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</si>
  <si>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</si>
  <si>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</si>
  <si>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</si>
  <si>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</si>
  <si>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</si>
  <si>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</si>
  <si>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</si>
  <si>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</si>
  <si>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</si>
  <si>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</si>
  <si>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</si>
  <si>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</si>
  <si>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</si>
  <si>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</si>
  <si>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</si>
  <si>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</si>
  <si>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</si>
  <si>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</si>
  <si>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</si>
  <si>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</si>
  <si>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</si>
  <si>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</si>
  <si>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</si>
  <si>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</si>
  <si>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</si>
  <si>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</si>
  <si>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</si>
  <si>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</si>
  <si>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</si>
  <si>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</si>
  <si>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</si>
  <si>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</si>
  <si>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</si>
  <si>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</si>
  <si>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</si>
  <si>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</si>
  <si>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</si>
  <si>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</si>
  <si>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</si>
  <si>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</si>
  <si>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</si>
  <si>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</si>
  <si>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</si>
  <si>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</si>
  <si>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</si>
  <si>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</si>
  <si>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</si>
  <si>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</si>
  <si>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</si>
  <si>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</si>
  <si>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</si>
  <si>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</si>
  <si>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</si>
  <si>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</si>
  <si>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</si>
  <si>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</si>
  <si>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</si>
  <si>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</si>
  <si>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</si>
  <si>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</si>
  <si>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</si>
  <si>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</si>
  <si>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</si>
  <si>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</si>
  <si>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</si>
  <si>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</si>
  <si>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</si>
  <si>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</si>
  <si>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</si>
  <si>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</si>
  <si>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</si>
  <si>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</si>
  <si>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</si>
  <si>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</si>
  <si>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</si>
  <si>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</si>
  <si>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</si>
  <si>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</si>
  <si>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</si>
  <si>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</si>
  <si>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</si>
  <si>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</si>
  <si>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</si>
  <si>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</si>
  <si>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</si>
  <si>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</si>
  <si>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</si>
  <si>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</si>
  <si>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</si>
  <si>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</si>
  <si>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</si>
  <si>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</si>
  <si>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</si>
  <si>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</si>
  <si>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</si>
  <si>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</si>
  <si>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</si>
  <si>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</si>
  <si>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</si>
  <si>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</si>
  <si>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</si>
  <si>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</si>
  <si>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</si>
  <si>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</si>
  <si>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</si>
  <si>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</si>
  <si>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</si>
  <si>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</si>
  <si>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</si>
  <si>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</si>
  <si>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</si>
  <si>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</si>
  <si>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</si>
  <si>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</si>
  <si>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</si>
  <si>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</si>
  <si>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</si>
  <si>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</si>
  <si>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</si>
  <si>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</si>
  <si>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</si>
  <si>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</si>
  <si>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</si>
  <si>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</si>
  <si>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</si>
  <si>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</si>
  <si>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</si>
  <si>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</si>
  <si>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</si>
  <si>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</si>
  <si>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</si>
  <si>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</si>
  <si>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</si>
  <si>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</si>
  <si>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</si>
  <si>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</si>
  <si>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</si>
  <si>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</si>
  <si>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</si>
  <si>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</si>
  <si>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</si>
  <si>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</si>
  <si>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</si>
  <si>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</si>
  <si>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</si>
  <si>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</si>
  <si>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</si>
  <si>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</si>
  <si>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</si>
  <si>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</si>
  <si>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</si>
  <si>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</si>
  <si>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</si>
  <si>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</si>
  <si>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</si>
  <si>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</si>
  <si>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</si>
  <si>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</si>
  <si>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</si>
  <si>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</si>
  <si>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</si>
  <si>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</si>
  <si>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</si>
  <si>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</si>
  <si>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</si>
  <si>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</si>
  <si>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</si>
  <si>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</si>
  <si>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</si>
  <si>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</si>
  <si>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</si>
  <si>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</si>
  <si>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</si>
  <si>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</si>
  <si>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</si>
  <si>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</si>
  <si>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</si>
  <si>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</si>
  <si>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</si>
  <si>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</si>
  <si>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</si>
  <si>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</si>
  <si>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</si>
  <si>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</si>
  <si>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</si>
  <si>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</si>
  <si>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</si>
  <si>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</si>
  <si>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</si>
  <si>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</si>
  <si>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</si>
  <si>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</si>
  <si>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</si>
  <si>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</si>
  <si>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</si>
  <si>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</si>
  <si>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</si>
  <si>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</si>
  <si>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</si>
  <si>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</si>
  <si>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</si>
  <si>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</si>
  <si>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</si>
  <si>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</si>
  <si>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</si>
  <si>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</si>
  <si>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</si>
  <si>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</si>
  <si>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</si>
  <si>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</si>
  <si>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</si>
  <si>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</si>
  <si>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</si>
  <si>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</si>
  <si>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</si>
  <si>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</si>
  <si>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</si>
  <si>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</si>
  <si>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</si>
  <si>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</si>
  <si>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</si>
  <si>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</si>
  <si>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</si>
  <si>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</si>
  <si>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</si>
  <si>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</si>
  <si>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</si>
  <si>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</si>
  <si>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</si>
  <si>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</si>
  <si>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</si>
  <si>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</si>
  <si>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</si>
  <si>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</si>
  <si>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</si>
  <si>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</si>
  <si>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</si>
  <si>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</si>
  <si>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</si>
  <si>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</si>
  <si>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</si>
  <si>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</si>
  <si>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</si>
  <si>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</si>
  <si>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</si>
  <si>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</si>
  <si>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</si>
  <si>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</si>
  <si>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</si>
  <si>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</si>
  <si>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</si>
  <si>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</si>
  <si>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</si>
  <si>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</si>
  <si>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</si>
  <si>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</si>
  <si>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</si>
  <si>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</si>
  <si>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</si>
  <si>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</si>
  <si>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</si>
  <si>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</si>
  <si>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</si>
  <si>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</si>
  <si>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</si>
  <si>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</si>
  <si>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</si>
  <si>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</si>
  <si>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</si>
  <si>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</si>
  <si>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</si>
  <si>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</si>
  <si>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</si>
  <si>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</si>
  <si>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</si>
  <si>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</si>
  <si>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</si>
  <si>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</si>
  <si>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</si>
  <si>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</si>
  <si>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</si>
  <si>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</si>
  <si>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</si>
  <si>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</si>
  <si>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</si>
  <si>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</si>
  <si>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</si>
  <si>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</si>
  <si>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</si>
  <si>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</si>
  <si>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</si>
  <si>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</si>
  <si>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</si>
  <si>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</si>
  <si>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</si>
  <si>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</si>
  <si>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</si>
  <si>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</si>
  <si>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</si>
  <si>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</si>
  <si>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</si>
  <si>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</si>
  <si>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</si>
  <si>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</si>
  <si>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</si>
  <si>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</si>
  <si>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</si>
  <si>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</si>
  <si>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</si>
  <si>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</si>
  <si>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</si>
  <si>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</si>
  <si>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</si>
  <si>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</si>
  <si>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</si>
  <si>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</si>
  <si>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</si>
  <si>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</si>
  <si>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</si>
  <si>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</si>
  <si>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</si>
  <si>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</si>
  <si>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</si>
  <si>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</si>
  <si>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</si>
  <si>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</si>
  <si>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</si>
  <si>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</si>
  <si>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</si>
  <si>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</si>
  <si>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</si>
  <si>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</si>
  <si>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</si>
  <si>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</si>
  <si>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</si>
  <si>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</si>
  <si>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</si>
  <si>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</si>
  <si>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</si>
  <si>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</si>
  <si>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</si>
  <si>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</si>
  <si>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</si>
  <si>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</si>
  <si>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</si>
  <si>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</si>
  <si>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</si>
  <si>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</si>
  <si>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</si>
  <si>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</si>
  <si>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</si>
  <si>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</si>
  <si>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</si>
  <si>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</si>
  <si>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</si>
  <si>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</si>
  <si>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</si>
  <si>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</si>
  <si>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</si>
  <si>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</si>
  <si>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</si>
  <si>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</si>
  <si>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</si>
  <si>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</si>
  <si>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</si>
  <si>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</si>
  <si>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</si>
  <si>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</si>
  <si>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</si>
  <si>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</si>
  <si>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</si>
  <si>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</si>
  <si>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</si>
  <si>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</si>
  <si>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</si>
  <si>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</si>
  <si>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</si>
  <si>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</si>
  <si>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</si>
  <si>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</si>
  <si>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</si>
  <si>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</si>
  <si>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</si>
  <si>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</si>
  <si>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</si>
  <si>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</si>
  <si>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</si>
  <si>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</si>
  <si>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</si>
  <si>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</si>
  <si>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</si>
  <si>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</si>
  <si>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</si>
  <si>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</si>
  <si>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</si>
  <si>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</si>
  <si>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</si>
  <si>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</si>
  <si>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</si>
  <si>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</si>
  <si>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</si>
  <si>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</si>
  <si>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</si>
  <si>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</si>
  <si>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</si>
  <si>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</si>
  <si>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</si>
  <si>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</si>
  <si>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</si>
  <si>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</si>
  <si>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</si>
  <si>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</si>
  <si>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</si>
  <si>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</si>
  <si>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</si>
  <si>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</si>
  <si>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</si>
  <si>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</si>
  <si>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</si>
  <si>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</si>
  <si>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</si>
  <si>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</si>
  <si>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</si>
  <si>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</si>
  <si>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</si>
  <si>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</si>
  <si>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</si>
  <si>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</si>
  <si>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</si>
  <si>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</si>
  <si>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</si>
  <si>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</si>
  <si>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</si>
  <si>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</si>
  <si>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</si>
  <si>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</si>
  <si>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</si>
  <si>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</si>
  <si>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</si>
  <si>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</si>
  <si>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</si>
  <si>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</si>
  <si>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</si>
  <si>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</si>
  <si>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</si>
  <si>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</si>
  <si>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</si>
  <si>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</si>
  <si>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</si>
  <si>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</si>
  <si>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</si>
  <si>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</si>
  <si>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</si>
  <si>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</si>
  <si>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</si>
  <si>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</si>
  <si>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</si>
  <si>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</si>
  <si>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</si>
  <si>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</si>
  <si>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</si>
  <si>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</si>
  <si>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</si>
  <si>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</si>
  <si>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</si>
  <si>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</si>
  <si>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</si>
  <si>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</si>
  <si>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</si>
  <si>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</si>
  <si>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</si>
  <si>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</si>
  <si>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</si>
  <si>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</si>
  <si>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</si>
  <si>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</si>
  <si>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</si>
  <si>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</si>
  <si>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</si>
  <si>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</si>
  <si>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</si>
  <si>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</si>
  <si>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</si>
  <si>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</si>
  <si>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</si>
  <si>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</si>
  <si>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</si>
  <si>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</si>
  <si>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</si>
  <si>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</si>
  <si>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</si>
  <si>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</si>
  <si>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</si>
  <si>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</si>
  <si>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</si>
  <si>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</si>
  <si>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</si>
  <si>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</si>
  <si>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</si>
  <si>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</si>
  <si>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</si>
  <si>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</si>
  <si>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</si>
  <si>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</si>
  <si>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</si>
  <si>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</si>
  <si>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</si>
  <si>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</si>
  <si>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</si>
  <si>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</si>
  <si>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</si>
  <si>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</si>
  <si>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</si>
  <si>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</si>
  <si>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</si>
  <si>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</si>
  <si>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</si>
  <si>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</si>
  <si>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</si>
  <si>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</si>
  <si>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</si>
  <si>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</si>
  <si>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</si>
  <si>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</si>
  <si>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</si>
  <si>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</si>
  <si>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</si>
  <si>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</si>
  <si>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</si>
  <si>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</si>
  <si>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</si>
  <si>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</si>
  <si>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</si>
  <si>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</si>
  <si>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</si>
  <si>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</si>
  <si>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</si>
  <si>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</si>
  <si>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</si>
  <si>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</si>
  <si>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</si>
  <si>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</si>
  <si>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</si>
  <si>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</si>
  <si>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</si>
  <si>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</si>
  <si>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</si>
  <si>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</si>
  <si>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</si>
  <si>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</si>
  <si>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</si>
  <si>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</si>
  <si>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</si>
  <si>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</si>
  <si>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</si>
  <si>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</si>
  <si>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</si>
  <si>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</si>
  <si>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</si>
  <si>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</si>
  <si>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</si>
  <si>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</si>
  <si>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</si>
  <si>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</si>
  <si>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</si>
  <si>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</si>
  <si>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</si>
  <si>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</si>
  <si>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</si>
  <si>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</si>
  <si>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</si>
  <si>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</si>
  <si>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</si>
  <si>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</si>
  <si>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</si>
  <si>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</si>
  <si>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</si>
  <si>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</si>
  <si>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</si>
  <si>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</si>
  <si>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</si>
  <si>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</si>
  <si>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</si>
  <si>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</si>
  <si>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</si>
  <si>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</si>
  <si>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</si>
  <si>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</si>
  <si>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</si>
  <si>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</si>
  <si>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</si>
  <si>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</si>
  <si>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</si>
  <si>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</si>
  <si>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</si>
  <si>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</si>
  <si>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</si>
  <si>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</si>
  <si>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</si>
  <si>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</si>
  <si>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</si>
  <si>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</si>
  <si>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</si>
  <si>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</si>
  <si>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</si>
  <si>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</si>
  <si>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</si>
  <si>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</si>
  <si>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</si>
  <si>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</si>
  <si>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</si>
  <si>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</si>
  <si>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</si>
  <si>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</si>
  <si>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</si>
  <si>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</si>
  <si>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</si>
  <si>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</si>
  <si>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</si>
  <si>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</si>
  <si>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</si>
  <si>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</si>
  <si>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</si>
  <si>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</si>
  <si>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</si>
  <si>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</si>
  <si>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</si>
  <si>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</si>
  <si>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</si>
  <si>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</si>
  <si>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</si>
  <si>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</si>
  <si>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</si>
  <si>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</si>
  <si>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</si>
  <si>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</si>
  <si>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</si>
  <si>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</si>
  <si>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</si>
  <si>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</si>
  <si>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</si>
  <si>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</si>
  <si>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</si>
  <si>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</si>
  <si>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</si>
  <si>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</si>
  <si>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</si>
  <si>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</si>
  <si>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</si>
  <si>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</si>
  <si>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</si>
  <si>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</si>
  <si>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</si>
  <si>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</si>
  <si>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</si>
  <si>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</si>
  <si>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</si>
  <si>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</si>
  <si>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</si>
  <si>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</si>
  <si>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</si>
  <si>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</si>
  <si>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</si>
  <si>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</si>
  <si>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</si>
  <si>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</si>
  <si>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</si>
  <si>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</si>
  <si>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</si>
  <si>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</si>
  <si>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</si>
  <si>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</si>
  <si>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</si>
  <si>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</si>
  <si>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</si>
  <si>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</si>
  <si>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</si>
  <si>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</si>
  <si>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</si>
  <si>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</si>
  <si>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</si>
  <si>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</si>
  <si>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</si>
  <si>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</si>
  <si>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</si>
  <si>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</si>
  <si>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</si>
  <si>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</si>
  <si>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</si>
  <si>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</si>
  <si>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</si>
  <si>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</si>
  <si>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</si>
  <si>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</si>
  <si>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</si>
  <si>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</si>
  <si>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</si>
  <si>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</si>
  <si>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</si>
  <si>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</si>
  <si>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</si>
  <si>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</si>
  <si>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</si>
  <si>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</si>
  <si>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</si>
  <si>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</si>
  <si>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</si>
  <si>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</si>
  <si>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</si>
  <si>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</si>
  <si>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</si>
  <si>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</si>
  <si>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</si>
  <si>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</si>
  <si>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</si>
  <si>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</si>
  <si>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</si>
  <si>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</si>
  <si>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</si>
  <si>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</si>
  <si>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</si>
  <si>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</si>
  <si>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</si>
  <si>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</si>
  <si>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</si>
  <si>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</si>
  <si>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</si>
  <si>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</si>
  <si>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</si>
  <si>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</si>
  <si>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</si>
  <si>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</si>
  <si>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</si>
  <si>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</si>
  <si>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</si>
  <si>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</si>
  <si>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</si>
  <si>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</si>
  <si>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</si>
  <si>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</si>
  <si>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</si>
  <si>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</si>
  <si>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</si>
  <si>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</si>
  <si>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</si>
  <si>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</si>
  <si>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</si>
  <si>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</si>
  <si>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</si>
  <si>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</si>
  <si>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</si>
  <si>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</si>
  <si>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</si>
  <si>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</si>
  <si>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</si>
  <si>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</si>
  <si>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</si>
  <si>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</si>
  <si>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</si>
  <si>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</si>
  <si>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</si>
  <si>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</si>
  <si>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</si>
  <si>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</si>
  <si>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</si>
  <si>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</si>
  <si>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</si>
  <si>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</si>
  <si>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</si>
  <si>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</si>
  <si>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</si>
  <si>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</si>
  <si>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</si>
  <si>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</si>
  <si>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</si>
  <si>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</si>
  <si>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</si>
  <si>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</si>
  <si>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</si>
  <si>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</si>
  <si>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</si>
  <si>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</si>
  <si>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</si>
  <si>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</si>
  <si>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</si>
  <si>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</si>
  <si>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</si>
  <si>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</si>
  <si>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</si>
  <si>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</si>
  <si>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</si>
  <si>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</si>
  <si>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</si>
  <si>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</si>
  <si>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</si>
  <si>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</si>
  <si>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</si>
  <si>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</si>
  <si>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</si>
  <si>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</si>
  <si>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</si>
  <si>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</si>
  <si>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</si>
  <si>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</si>
  <si>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</si>
  <si>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</si>
  <si>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</si>
  <si>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</si>
  <si>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</si>
  <si>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</si>
  <si>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</si>
  <si>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</si>
  <si>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</si>
  <si>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</si>
  <si>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</si>
  <si>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</si>
  <si>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</si>
  <si>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</si>
  <si>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</si>
  <si>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</si>
  <si>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</si>
  <si>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</si>
  <si>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</si>
  <si>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</si>
  <si>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</si>
  <si>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</si>
  <si>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</si>
  <si>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</si>
  <si>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</si>
  <si>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</si>
  <si>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</si>
  <si>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</si>
  <si>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</si>
  <si>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</si>
  <si>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</si>
  <si>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</si>
  <si>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</si>
  <si>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</si>
  <si>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</si>
  <si>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</si>
  <si>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</si>
  <si>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</si>
  <si>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</si>
  <si>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</si>
  <si>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</si>
  <si>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</si>
  <si>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</si>
  <si>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</si>
  <si>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</si>
  <si>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</si>
  <si>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</si>
  <si>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</si>
  <si>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</si>
  <si>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</si>
  <si>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</si>
  <si>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</si>
  <si>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</si>
  <si>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</si>
  <si>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</si>
  <si>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</si>
  <si>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</si>
  <si>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</si>
  <si>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</si>
  <si>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</si>
  <si>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</si>
  <si>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</si>
  <si>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</si>
  <si>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</si>
  <si>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</si>
  <si>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</si>
  <si>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</si>
  <si>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</si>
  <si>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</si>
  <si>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</si>
  <si>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</si>
  <si>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</si>
  <si>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</si>
  <si>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</si>
  <si>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</si>
  <si>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</si>
  <si>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</si>
  <si>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</si>
  <si>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</si>
  <si>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</si>
  <si>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</si>
  <si>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</si>
  <si>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</si>
  <si>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</si>
  <si>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</si>
  <si>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</si>
  <si>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</si>
  <si>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</si>
  <si>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</si>
  <si>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</si>
  <si>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</si>
  <si>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</si>
  <si>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</si>
  <si>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</si>
  <si>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</si>
  <si>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</si>
  <si>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</si>
  <si>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</si>
  <si>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</si>
  <si>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</si>
  <si>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</si>
  <si>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</si>
  <si>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</si>
  <si>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</si>
  <si>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</si>
  <si>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</si>
  <si>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</si>
  <si>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</si>
  <si>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</si>
  <si>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</si>
  <si>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</si>
  <si>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</si>
  <si>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</si>
  <si>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</si>
  <si>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</si>
  <si>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</si>
  <si>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</si>
  <si>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</si>
  <si>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</si>
  <si>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</si>
  <si>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</si>
  <si>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</si>
  <si>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</si>
  <si>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</si>
  <si>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</si>
  <si>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</si>
  <si>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</si>
  <si>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</si>
  <si>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</si>
  <si>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</si>
  <si>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</si>
  <si>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</si>
  <si>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</si>
  <si>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</si>
  <si>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</si>
  <si>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</si>
  <si>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</si>
  <si>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</si>
  <si>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</si>
  <si>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</si>
  <si>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</si>
  <si>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</si>
  <si>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</si>
  <si>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</si>
  <si>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</si>
  <si>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</si>
  <si>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</si>
  <si>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</si>
  <si>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</si>
  <si>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</si>
  <si>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</si>
  <si>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</si>
  <si>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</si>
  <si>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</si>
  <si>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</si>
  <si>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</si>
  <si>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</si>
  <si>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</si>
  <si>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</si>
  <si>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</si>
  <si>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</si>
  <si>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</si>
  <si>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</si>
  <si>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</si>
  <si>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</si>
  <si>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</si>
  <si>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</si>
  <si>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</si>
  <si>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</si>
  <si>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</si>
  <si>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</si>
  <si>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</si>
  <si>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</si>
  <si>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</si>
  <si>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</si>
  <si>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</si>
  <si>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</si>
  <si>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</si>
  <si>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</si>
  <si>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</si>
  <si>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</si>
  <si>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</si>
  <si>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</si>
  <si>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</si>
  <si>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</si>
  <si>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</si>
  <si>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</si>
  <si>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</si>
  <si>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</si>
  <si>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</si>
  <si>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</si>
  <si>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</si>
  <si>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</si>
  <si>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</si>
  <si>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</si>
  <si>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</si>
  <si>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</si>
  <si>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</si>
  <si>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</si>
  <si>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</si>
  <si>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</si>
  <si>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</si>
  <si>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</si>
  <si>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</si>
  <si>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</si>
  <si>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</si>
  <si>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</si>
  <si>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</si>
  <si>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</si>
  <si>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</si>
  <si>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</si>
  <si>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</si>
  <si>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</si>
  <si>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</si>
  <si>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</si>
  <si>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</si>
  <si>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</si>
  <si>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</si>
  <si>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</si>
  <si>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</si>
  <si>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</si>
  <si>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</si>
  <si>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</si>
  <si>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</si>
  <si>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</si>
  <si>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</si>
  <si>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</si>
  <si>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</si>
  <si>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</si>
  <si>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</si>
  <si>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</si>
  <si>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</si>
  <si>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</si>
  <si>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</si>
  <si>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</si>
  <si>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</si>
  <si>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</si>
  <si>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</si>
  <si>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</si>
  <si>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</si>
  <si>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</si>
  <si>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</si>
  <si>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</si>
  <si>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</si>
  <si>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</si>
  <si>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</si>
  <si>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</si>
  <si>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</si>
  <si>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</si>
  <si>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</si>
  <si>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</si>
  <si>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</si>
  <si>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</si>
  <si>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</si>
  <si>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</si>
  <si>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</si>
  <si>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</si>
  <si>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</si>
  <si>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</si>
  <si>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</si>
  <si>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</si>
  <si>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</si>
  <si>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</si>
  <si>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</si>
  <si>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</si>
  <si>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</si>
  <si>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</si>
  <si>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</si>
  <si>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</si>
  <si>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</si>
  <si>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</si>
  <si>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</si>
  <si>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</si>
  <si>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</si>
  <si>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</si>
  <si>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</si>
  <si>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</si>
  <si>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</si>
  <si>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</si>
  <si>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</si>
  <si>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</si>
  <si>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</si>
  <si>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</si>
  <si>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</si>
  <si>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</si>
  <si>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</si>
  <si>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</si>
  <si>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</si>
  <si>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</si>
  <si>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</si>
  <si>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</si>
  <si>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</si>
  <si>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</si>
  <si>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</si>
  <si>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</si>
  <si>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</si>
  <si>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</si>
  <si>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</si>
  <si>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</si>
  <si>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</si>
  <si>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</si>
  <si>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</si>
  <si>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</si>
  <si>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</si>
  <si>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</si>
  <si>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</si>
  <si>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</si>
  <si>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</si>
  <si>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</si>
  <si>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</si>
  <si>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</si>
  <si>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</si>
  <si>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</si>
  <si>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</si>
  <si>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</si>
  <si>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</si>
  <si>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</si>
  <si>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</si>
  <si>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</si>
  <si>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</si>
  <si>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</si>
  <si>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</si>
  <si>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</si>
  <si>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</si>
  <si>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</si>
  <si>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</si>
  <si>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</si>
  <si>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</si>
  <si>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</si>
  <si>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</si>
  <si>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</si>
  <si>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</si>
  <si>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</si>
  <si>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</si>
  <si>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</si>
  <si>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</si>
  <si>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</si>
  <si>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</si>
  <si>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</si>
  <si>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</si>
  <si>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</si>
  <si>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</si>
  <si>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</si>
  <si>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</si>
  <si>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</si>
  <si>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</si>
  <si>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</si>
  <si>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</si>
  <si>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</si>
  <si>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</si>
  <si>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</si>
  <si>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</si>
  <si>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</si>
  <si>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</si>
  <si>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</si>
  <si>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</si>
  <si>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</si>
  <si>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</si>
  <si>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</si>
  <si>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</si>
  <si>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</si>
  <si>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</si>
  <si>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</si>
  <si>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</si>
  <si>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</si>
  <si>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</si>
  <si>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</si>
  <si>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</si>
  <si>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</si>
  <si>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</si>
  <si>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</si>
  <si>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</si>
  <si>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</si>
  <si>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</si>
  <si>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</si>
  <si>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</si>
  <si>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</si>
  <si>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</si>
  <si>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</si>
  <si>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</si>
  <si>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</si>
  <si>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</si>
  <si>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</si>
  <si>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</si>
  <si>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</si>
  <si>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</si>
  <si>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</si>
  <si>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</si>
  <si>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</si>
  <si>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</si>
  <si>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</si>
  <si>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</si>
  <si>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</si>
  <si>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</si>
  <si>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</si>
  <si>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</si>
  <si>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</si>
  <si>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</si>
  <si>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</si>
  <si>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</si>
  <si>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</si>
  <si>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</si>
  <si>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</si>
  <si>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</si>
  <si>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</si>
  <si>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</si>
  <si>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</si>
  <si>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</si>
  <si>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</si>
  <si>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</si>
  <si>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</si>
  <si>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</si>
  <si>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</si>
  <si>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</si>
  <si>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</si>
  <si>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</si>
  <si>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</si>
  <si>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</si>
  <si>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</si>
  <si>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</si>
  <si>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</si>
  <si>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</si>
  <si>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</si>
  <si>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</si>
  <si>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</si>
  <si>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</si>
  <si>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</si>
  <si>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</si>
  <si>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</si>
  <si>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</si>
  <si>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</si>
  <si>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</si>
  <si>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</si>
  <si>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</si>
  <si>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</si>
  <si>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</si>
  <si>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</si>
  <si>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</si>
  <si>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</si>
  <si>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</si>
  <si>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</si>
  <si>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</si>
  <si>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</si>
  <si>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</si>
  <si>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</si>
  <si>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</si>
  <si>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</si>
  <si>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</si>
  <si>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</si>
  <si>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</si>
  <si>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</si>
  <si>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</si>
  <si>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</si>
  <si>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</si>
  <si>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</si>
  <si>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</si>
  <si>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</si>
  <si>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</si>
  <si>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</si>
  <si>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</si>
  <si>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</si>
  <si>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</si>
  <si>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</si>
  <si>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</si>
  <si>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</si>
  <si>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</si>
  <si>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</si>
  <si>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</si>
  <si>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</si>
  <si>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</si>
  <si>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</si>
  <si>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</si>
  <si>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</si>
  <si>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</si>
  <si>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</si>
  <si>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</si>
  <si>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</si>
  <si>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</si>
  <si>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</si>
  <si>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</si>
  <si>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</si>
  <si>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</si>
  <si>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</si>
  <si>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</si>
  <si>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</si>
  <si>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</si>
  <si>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</si>
  <si>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</si>
  <si>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</si>
  <si>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</si>
  <si>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</si>
  <si>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</si>
  <si>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</si>
  <si>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</si>
  <si>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</si>
  <si>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</si>
  <si>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</si>
  <si>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</si>
  <si>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</si>
  <si>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</si>
  <si>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</si>
  <si>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</si>
  <si>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</si>
  <si>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</si>
  <si>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</si>
  <si>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</si>
  <si>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</si>
  <si>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</si>
  <si>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</si>
  <si>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</si>
  <si>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</si>
  <si>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</si>
  <si>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</si>
  <si>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</si>
  <si>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</si>
  <si>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</si>
  <si>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</si>
  <si>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</si>
  <si>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</si>
  <si>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</si>
  <si>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</si>
  <si>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</si>
  <si>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</si>
  <si>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</si>
  <si>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</si>
  <si>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</si>
  <si>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</si>
  <si>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</si>
  <si>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</si>
  <si>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</si>
  <si>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</si>
  <si>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</si>
  <si>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</si>
  <si>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</si>
  <si>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</si>
  <si>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</si>
  <si>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</si>
  <si>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</si>
  <si>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</si>
  <si>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</si>
  <si>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</si>
  <si>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</si>
  <si>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</si>
  <si>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</si>
  <si>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</si>
  <si>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</si>
  <si>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</si>
  <si>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</si>
  <si>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</si>
  <si>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</si>
  <si>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</si>
  <si>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</si>
  <si>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</si>
  <si>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</si>
  <si>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</si>
  <si>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</si>
  <si>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</si>
  <si>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</si>
  <si>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</si>
  <si>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</si>
  <si>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</si>
  <si>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</si>
  <si>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</si>
  <si>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</si>
  <si>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</si>
  <si>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</si>
  <si>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</si>
  <si>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</si>
  <si>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</si>
  <si>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</si>
  <si>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</si>
  <si>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</si>
  <si>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</si>
  <si>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</si>
  <si>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</si>
  <si>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</si>
  <si>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</si>
  <si>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</si>
  <si>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</si>
  <si>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</si>
  <si>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</si>
  <si>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</si>
  <si>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</si>
  <si>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</si>
  <si>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</si>
  <si>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</si>
  <si>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</si>
  <si>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</si>
  <si>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</si>
  <si>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</si>
  <si>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</si>
  <si>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</si>
  <si>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</si>
  <si>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</si>
  <si>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</si>
  <si>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</si>
  <si>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</si>
  <si>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</si>
  <si>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</si>
  <si>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</si>
  <si>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</si>
  <si>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</si>
  <si>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</si>
  <si>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</si>
  <si>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</si>
  <si>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</si>
  <si>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</si>
  <si>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</si>
  <si>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</si>
  <si>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</si>
  <si>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</si>
  <si>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</si>
  <si>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</si>
  <si>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</si>
  <si>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</si>
  <si>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</si>
  <si>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</si>
  <si>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</si>
  <si>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</si>
  <si>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</si>
  <si>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</si>
  <si>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</si>
  <si>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</si>
  <si>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</si>
  <si>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</si>
  <si>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</si>
  <si>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</si>
  <si>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</si>
  <si>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</si>
  <si>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</si>
  <si>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</si>
  <si>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</si>
  <si>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</si>
  <si>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</si>
  <si>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</si>
  <si>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</si>
  <si>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</si>
  <si>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</si>
  <si>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</si>
  <si>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</si>
  <si>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</si>
  <si>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</si>
  <si>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</si>
  <si>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</si>
  <si>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</si>
  <si>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</si>
  <si>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</si>
  <si>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</si>
  <si>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</si>
  <si>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</si>
  <si>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</si>
  <si>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</si>
  <si>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</si>
  <si>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</si>
  <si>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</si>
  <si>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</si>
  <si>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</si>
  <si>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</si>
  <si>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</si>
  <si>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</si>
  <si>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</si>
  <si>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</si>
  <si>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</si>
  <si>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</si>
  <si>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</si>
  <si>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</si>
  <si>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</si>
  <si>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</si>
  <si>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</si>
  <si>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</si>
  <si>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</si>
  <si>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</si>
  <si>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</si>
  <si>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</si>
  <si>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</si>
  <si>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</si>
  <si>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</si>
  <si>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</si>
  <si>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</si>
  <si>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</si>
  <si>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</si>
  <si>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</si>
  <si>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</si>
  <si>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</si>
  <si>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</si>
  <si>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</si>
  <si>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</si>
  <si>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</si>
  <si>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</si>
  <si>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</si>
  <si>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</si>
  <si>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</si>
  <si>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</si>
  <si>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</si>
  <si>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</si>
  <si>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</si>
  <si>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</si>
  <si>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</si>
  <si>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</si>
  <si>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</si>
  <si>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</si>
  <si>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</si>
  <si>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</si>
  <si>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</si>
  <si>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</si>
  <si>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</si>
  <si>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</si>
  <si>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</si>
  <si>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</si>
  <si>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</si>
  <si>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</si>
  <si>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</si>
  <si>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</si>
  <si>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</si>
  <si>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</si>
  <si>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</si>
  <si>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</si>
  <si>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</si>
  <si>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</si>
  <si>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</si>
  <si>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</si>
  <si>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</si>
  <si>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</si>
  <si>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</si>
  <si>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</si>
  <si>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</si>
  <si>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</si>
  <si>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</si>
  <si>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</si>
  <si>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</si>
  <si>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</si>
  <si>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</si>
  <si>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</si>
  <si>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</si>
  <si>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</si>
  <si>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</si>
  <si>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</si>
  <si>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</si>
  <si>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</si>
  <si>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</si>
  <si>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</si>
  <si>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</si>
  <si>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</si>
  <si>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</si>
  <si>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</si>
  <si>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</si>
  <si>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</si>
  <si>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</si>
  <si>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</si>
  <si>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</si>
  <si>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</si>
  <si>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</si>
  <si>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</si>
  <si>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</si>
  <si>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</si>
  <si>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</si>
  <si>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</si>
  <si>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</si>
  <si>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</si>
  <si>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</si>
  <si>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</si>
  <si>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</si>
  <si>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</si>
  <si>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</si>
  <si>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</si>
  <si>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</si>
  <si>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</si>
  <si>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</si>
  <si>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</si>
  <si>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</si>
  <si>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</si>
  <si>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</si>
  <si>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</si>
  <si>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</si>
  <si>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</si>
  <si>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</si>
  <si>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</si>
  <si>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</si>
  <si>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</si>
  <si>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</si>
  <si>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</si>
  <si>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</si>
  <si>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</si>
  <si>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</si>
  <si>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</si>
  <si>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</si>
  <si>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</si>
  <si>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</si>
  <si>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</si>
  <si>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</si>
  <si>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</si>
  <si>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</si>
  <si>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</si>
  <si>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</si>
  <si>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</si>
  <si>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</si>
  <si>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</si>
  <si>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</si>
  <si>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</si>
  <si>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</si>
  <si>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</si>
  <si>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</si>
  <si>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</si>
  <si>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</si>
  <si>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</si>
  <si>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</si>
  <si>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</si>
  <si>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</si>
  <si>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</si>
  <si>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</si>
  <si>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</si>
  <si>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</si>
  <si>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</si>
  <si>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</si>
  <si>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</si>
  <si>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</si>
  <si>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</si>
  <si>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</si>
  <si>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</si>
  <si>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</si>
  <si>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</si>
  <si>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</si>
  <si>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</si>
  <si>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</si>
  <si>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</si>
  <si>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</si>
  <si>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</si>
  <si>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</si>
  <si>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</si>
  <si>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</si>
  <si>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</si>
  <si>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</si>
  <si>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</si>
  <si>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</si>
  <si>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</si>
  <si>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</si>
  <si>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</si>
  <si>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</si>
  <si>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</si>
  <si>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</si>
  <si>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</si>
  <si>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</si>
  <si>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</si>
  <si>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</si>
  <si>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</si>
  <si>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</si>
  <si>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</si>
  <si>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</si>
  <si>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</si>
  <si>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</si>
  <si>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</si>
  <si>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</si>
  <si>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</si>
  <si>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</si>
  <si>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</si>
  <si>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</si>
  <si>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</si>
  <si>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</si>
  <si>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</si>
  <si>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</si>
  <si>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</si>
  <si>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</si>
  <si>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</si>
  <si>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</si>
  <si>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</si>
  <si>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</si>
  <si>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</si>
  <si>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</si>
  <si>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</si>
  <si>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</si>
  <si>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</si>
  <si>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</si>
  <si>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</si>
  <si>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</si>
  <si>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</si>
  <si>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</si>
  <si>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</si>
  <si>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</si>
  <si>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</si>
  <si>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</si>
  <si>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</si>
  <si>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</si>
  <si>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</si>
  <si>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</si>
  <si>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</si>
  <si>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</si>
  <si>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</si>
  <si>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</si>
  <si>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</si>
  <si>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</si>
  <si>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</si>
  <si>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</si>
  <si>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</si>
  <si>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</si>
  <si>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</si>
  <si>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</si>
  <si>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</si>
  <si>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</si>
  <si>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</si>
  <si>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</si>
  <si>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</si>
  <si>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</si>
  <si>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</si>
  <si>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</si>
  <si>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</si>
  <si>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</si>
  <si>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</si>
  <si>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</si>
  <si>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</si>
  <si>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</si>
  <si>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</si>
  <si>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</si>
  <si>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</si>
  <si>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</si>
  <si>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</si>
  <si>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</si>
  <si>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</si>
  <si>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</si>
  <si>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</si>
  <si>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</si>
  <si>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</si>
  <si>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</si>
  <si>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</si>
  <si>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</si>
  <si>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</si>
  <si>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</si>
  <si>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</si>
  <si>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</si>
  <si>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</si>
  <si>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</si>
  <si>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</si>
  <si>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</si>
  <si>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</si>
  <si>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</si>
  <si>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</si>
  <si>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</si>
  <si>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</si>
  <si>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</si>
  <si>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</si>
  <si>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</si>
  <si>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</si>
  <si>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</si>
  <si>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</si>
  <si>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</si>
  <si>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</si>
  <si>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</si>
  <si>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</si>
  <si>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</si>
  <si>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</si>
  <si>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</si>
  <si>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</si>
  <si>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</si>
  <si>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</si>
  <si>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</si>
  <si>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</si>
  <si>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</si>
  <si>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</si>
  <si>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</si>
  <si>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</si>
  <si>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</si>
  <si>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</si>
  <si>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</si>
  <si>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</si>
  <si>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</si>
  <si>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</si>
  <si>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</si>
  <si>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</si>
  <si>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</si>
  <si>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</si>
  <si>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</si>
  <si>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</si>
  <si>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</si>
  <si>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</si>
  <si>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</si>
  <si>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</si>
  <si>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</si>
  <si>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</si>
  <si>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</si>
  <si>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</si>
  <si>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</si>
  <si>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</si>
  <si>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</si>
  <si>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</si>
  <si>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</si>
  <si>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</si>
  <si>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</si>
  <si>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</si>
  <si>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</si>
  <si>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</si>
  <si>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</si>
  <si>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</si>
  <si>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</si>
  <si>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</si>
  <si>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</si>
  <si>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</si>
  <si>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</si>
  <si>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</si>
  <si>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</si>
  <si>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</si>
  <si>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</si>
  <si>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</si>
  <si>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</si>
  <si>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</si>
  <si>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</si>
  <si>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</si>
  <si>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</si>
  <si>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</si>
  <si>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</si>
  <si>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</si>
  <si>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</si>
  <si>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</si>
  <si>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</si>
  <si>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</si>
  <si>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</si>
  <si>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</si>
  <si>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</si>
  <si>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</si>
  <si>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</si>
  <si>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</si>
  <si>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</si>
  <si>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</si>
  <si>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</si>
  <si>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</si>
  <si>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</si>
  <si>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</si>
  <si>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</si>
  <si>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</si>
  <si>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</si>
  <si>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</si>
  <si>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</si>
  <si>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</si>
  <si>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</si>
  <si>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</si>
  <si>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</si>
  <si>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</si>
  <si>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</si>
  <si>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</si>
  <si>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</si>
  <si>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</si>
  <si>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</si>
  <si>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</si>
  <si>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</si>
  <si>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</si>
  <si>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</si>
  <si>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</si>
  <si>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</si>
  <si>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</si>
  <si>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</si>
  <si>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</si>
  <si>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</si>
  <si>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</si>
  <si>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</si>
  <si>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</si>
  <si>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</si>
  <si>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</si>
  <si>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</si>
  <si>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</si>
  <si>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</si>
  <si>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</si>
  <si>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</si>
  <si>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</si>
  <si>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</si>
  <si>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</si>
  <si>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</si>
  <si>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</si>
  <si>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</si>
  <si>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</si>
  <si>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</si>
  <si>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</si>
  <si>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</si>
  <si>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</si>
  <si>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</si>
  <si>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</si>
  <si>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</si>
  <si>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</si>
  <si>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</si>
  <si>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</si>
  <si>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</si>
  <si>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</si>
  <si>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</si>
  <si>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</si>
  <si>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</si>
  <si>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</si>
  <si>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</si>
  <si>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</si>
  <si>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</si>
  <si>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</si>
  <si>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</si>
  <si>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</si>
  <si>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</si>
  <si>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</si>
  <si>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</si>
  <si>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</si>
  <si>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</si>
  <si>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</si>
  <si>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</si>
  <si>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</si>
  <si>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</si>
  <si>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</si>
  <si>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</si>
  <si>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</si>
  <si>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</si>
  <si>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</si>
  <si>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</si>
  <si>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</si>
  <si>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</si>
  <si>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</si>
  <si>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</si>
  <si>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</si>
  <si>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</si>
  <si>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</si>
  <si>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</si>
  <si>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</si>
  <si>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</si>
  <si>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</si>
  <si>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</si>
  <si>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</si>
  <si>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</si>
  <si>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</si>
  <si>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</si>
  <si>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</si>
  <si>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</si>
  <si>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</si>
  <si>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</si>
  <si>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</si>
  <si>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</si>
  <si>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</si>
  <si>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</si>
  <si>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</si>
  <si>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</si>
  <si>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</si>
  <si>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</si>
  <si>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</si>
  <si>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</si>
  <si>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</si>
  <si>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</si>
  <si>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</si>
  <si>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</si>
  <si>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</si>
  <si>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</si>
  <si>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</si>
  <si>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</si>
  <si>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</si>
  <si>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</si>
  <si>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</si>
  <si>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</si>
  <si>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</si>
  <si>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</si>
  <si>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</si>
  <si>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</si>
  <si>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</si>
  <si>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</si>
  <si>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</si>
  <si>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</si>
  <si>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</si>
  <si>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</si>
  <si>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</si>
  <si>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</si>
  <si>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</si>
  <si>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</si>
  <si>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</si>
  <si>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</si>
  <si>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</si>
  <si>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</si>
  <si>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</si>
  <si>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</si>
  <si>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</si>
  <si>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</si>
  <si>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</si>
  <si>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</si>
  <si>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</si>
  <si>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</si>
  <si>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</si>
  <si>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</si>
  <si>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</si>
  <si>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</si>
  <si>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</si>
  <si>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</si>
  <si>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</si>
  <si>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</si>
  <si>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</si>
  <si>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</si>
  <si>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</si>
  <si>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</si>
  <si>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</si>
  <si>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</si>
  <si>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</si>
  <si>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</si>
  <si>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</si>
  <si>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</si>
  <si>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</si>
  <si>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</si>
  <si>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</si>
  <si>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</si>
  <si>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</si>
  <si>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</si>
  <si>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</si>
  <si>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</si>
  <si>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</si>
  <si>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</si>
  <si>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</si>
  <si>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</si>
  <si>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</si>
  <si>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</si>
  <si>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</si>
  <si>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</si>
  <si>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</si>
  <si>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</si>
  <si>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</si>
  <si>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</si>
  <si>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</si>
  <si>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</si>
  <si>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</si>
  <si>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</si>
  <si>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</si>
  <si>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</si>
  <si>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</si>
  <si>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</si>
  <si>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</si>
  <si>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</si>
  <si>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</si>
  <si>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</si>
  <si>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</si>
  <si>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</si>
  <si>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</si>
  <si>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</si>
  <si>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</si>
  <si>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</si>
  <si>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</si>
  <si>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</si>
  <si>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</si>
  <si>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</si>
  <si>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</si>
  <si>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</si>
  <si>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</si>
  <si>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</si>
  <si>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</si>
  <si>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</si>
  <si>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</si>
  <si>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</si>
  <si>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</si>
  <si>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</si>
  <si>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</si>
  <si>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</si>
  <si>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</si>
  <si>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</si>
  <si>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</si>
  <si>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</si>
  <si>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</si>
  <si>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</si>
  <si>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</si>
  <si>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</si>
  <si>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</si>
  <si>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</si>
  <si>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</si>
  <si>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</si>
  <si>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</si>
  <si>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</si>
  <si>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</si>
  <si>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</si>
  <si>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</si>
  <si>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</si>
  <si>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</si>
  <si>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</si>
  <si>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</si>
  <si>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</si>
  <si>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</si>
  <si>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</si>
  <si>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</si>
  <si>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</si>
  <si>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</si>
  <si>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</si>
  <si>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</si>
  <si>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</si>
  <si>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</si>
  <si>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</si>
  <si>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</si>
  <si>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</si>
  <si>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</si>
  <si>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</si>
  <si>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</si>
  <si>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</si>
  <si>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</si>
  <si>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</si>
  <si>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</si>
  <si>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</si>
  <si>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</si>
  <si>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</si>
  <si>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</si>
  <si>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</si>
  <si>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</si>
  <si>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</si>
  <si>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</si>
  <si>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</si>
  <si>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</si>
  <si>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</si>
  <si>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</si>
  <si>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</si>
  <si>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</si>
  <si>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</si>
  <si>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</si>
  <si>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</si>
  <si>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</si>
  <si>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</si>
  <si>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</si>
  <si>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</si>
  <si>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</si>
  <si>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</si>
  <si>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</si>
  <si>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</si>
  <si>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</si>
  <si>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</si>
  <si>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</si>
  <si>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</si>
  <si>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</si>
  <si>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</si>
  <si>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</si>
  <si>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</si>
  <si>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</si>
  <si>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</si>
  <si>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</si>
  <si>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</si>
  <si>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</si>
  <si>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</si>
  <si>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</si>
  <si>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</si>
  <si>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</si>
  <si>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</si>
  <si>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</si>
  <si>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</si>
  <si>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</si>
  <si>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</si>
  <si>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</si>
  <si>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</si>
  <si>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</si>
  <si>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</si>
  <si>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</si>
  <si>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</si>
  <si>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</si>
  <si>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</si>
  <si>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</si>
  <si>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</si>
  <si>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</si>
  <si>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</si>
  <si>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</si>
  <si>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</si>
  <si>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</si>
  <si>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</si>
  <si>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</si>
  <si>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</si>
  <si>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</si>
  <si>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</si>
  <si>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</si>
  <si>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</si>
  <si>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</si>
  <si>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</si>
  <si>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</si>
  <si>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</si>
  <si>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</si>
  <si>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</si>
  <si>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</si>
  <si>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</si>
  <si>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</si>
  <si>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</si>
  <si>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</si>
  <si>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</si>
  <si>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</si>
  <si>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</si>
  <si>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</si>
  <si>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</si>
  <si>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</si>
  <si>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</si>
  <si>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</si>
  <si>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</si>
  <si>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</si>
  <si>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</si>
  <si>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</si>
  <si>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</si>
  <si>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</si>
  <si>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</si>
  <si>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</si>
  <si>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</si>
  <si>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</si>
  <si>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</si>
  <si>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</si>
  <si>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</si>
  <si>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</si>
  <si>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</si>
  <si>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</si>
  <si>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</si>
  <si>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</si>
  <si>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</si>
  <si>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</si>
  <si>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</si>
  <si>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</si>
  <si>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</si>
  <si>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</si>
  <si>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</si>
  <si>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</si>
  <si>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</si>
  <si>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</si>
  <si>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</si>
  <si>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</si>
  <si>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</si>
  <si>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</si>
  <si>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</si>
  <si>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</si>
  <si>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</si>
  <si>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</si>
  <si>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</si>
  <si>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</si>
  <si>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</si>
  <si>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</si>
  <si>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</si>
  <si>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</si>
  <si>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</si>
  <si>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</si>
  <si>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</si>
  <si>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</si>
  <si>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</si>
  <si>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</si>
  <si>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</si>
  <si>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</si>
  <si>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</si>
  <si>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</si>
  <si>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</si>
  <si>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</si>
  <si>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</si>
  <si>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</si>
  <si>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</si>
  <si>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</si>
  <si>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</si>
  <si>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</si>
  <si>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</si>
  <si>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</si>
  <si>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</si>
  <si>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</si>
  <si>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</si>
  <si>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</si>
  <si>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</si>
  <si>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</si>
  <si>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</si>
  <si>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</si>
  <si>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</si>
  <si>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</si>
  <si>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</si>
  <si>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</si>
  <si>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</si>
  <si>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</si>
  <si>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</si>
  <si>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</si>
  <si>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</si>
  <si>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</si>
  <si>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</si>
  <si>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</si>
  <si>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</si>
  <si>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</si>
  <si>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</si>
  <si>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</si>
  <si>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</si>
  <si>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</si>
  <si>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</si>
  <si>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</si>
  <si>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</si>
  <si>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</si>
  <si>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</si>
  <si>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</si>
  <si>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</si>
  <si>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</si>
  <si>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</si>
  <si>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</si>
  <si>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</si>
  <si>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</si>
  <si>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</si>
  <si>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</si>
  <si>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</si>
  <si>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</si>
  <si>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</si>
  <si>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</si>
  <si>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</si>
  <si>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</si>
  <si>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</si>
  <si>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</si>
  <si>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</si>
  <si>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</si>
  <si>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</si>
  <si>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</si>
  <si>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</si>
  <si>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</si>
  <si>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</si>
  <si>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</si>
  <si>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</si>
  <si>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</si>
  <si>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</si>
  <si>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</si>
  <si>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</si>
  <si>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</si>
  <si>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</si>
  <si>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</si>
  <si>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</si>
  <si>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</si>
  <si>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</si>
  <si>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</si>
  <si>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</si>
  <si>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</si>
  <si>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</si>
  <si>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</si>
  <si>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</si>
  <si>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</si>
  <si>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</si>
  <si>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</si>
  <si>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</si>
  <si>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</si>
  <si>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</si>
  <si>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</si>
  <si>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</si>
  <si>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</si>
  <si>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</si>
  <si>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</si>
  <si>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</si>
  <si>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</si>
  <si>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</si>
  <si>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</si>
  <si>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</si>
  <si>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</si>
  <si>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</si>
  <si>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</si>
  <si>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</si>
  <si>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</si>
  <si>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</si>
  <si>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</si>
  <si>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</si>
  <si>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</si>
  <si>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</si>
  <si>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</si>
  <si>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</si>
  <si>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</si>
  <si>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</si>
  <si>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</si>
  <si>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</si>
  <si>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</si>
  <si>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</si>
  <si>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</si>
  <si>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</si>
  <si>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</si>
  <si>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</si>
  <si>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</si>
  <si>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</si>
  <si>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</si>
  <si>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</si>
  <si>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</si>
  <si>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</si>
  <si>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</si>
  <si>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</si>
  <si>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</si>
  <si>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</si>
  <si>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</si>
  <si>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</si>
  <si>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</si>
  <si>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</si>
  <si>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</si>
  <si>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</si>
  <si>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</si>
  <si>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</si>
  <si>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</si>
  <si>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</si>
  <si>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</si>
  <si>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</si>
  <si>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</si>
  <si>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</si>
  <si>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</si>
  <si>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</si>
  <si>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</si>
  <si>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</si>
  <si>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</si>
  <si>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</si>
  <si>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</si>
  <si>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</si>
  <si>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</si>
  <si>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</si>
  <si>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</si>
  <si>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</si>
  <si>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</si>
  <si>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</si>
  <si>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</si>
  <si>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</si>
  <si>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</si>
  <si>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</si>
  <si>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</si>
  <si>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</si>
  <si>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</si>
  <si>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</si>
  <si>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</si>
  <si>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</si>
  <si>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</si>
  <si>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</si>
  <si>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</si>
  <si>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</si>
  <si>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</si>
  <si>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</si>
  <si>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</si>
  <si>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</si>
  <si>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</si>
  <si>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</si>
  <si>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</si>
  <si>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</si>
  <si>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</si>
  <si>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</si>
  <si>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</si>
  <si>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</si>
  <si>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</si>
  <si>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</si>
  <si>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</si>
  <si>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</si>
  <si>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</si>
  <si>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</si>
  <si>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</si>
  <si>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</si>
  <si>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</si>
  <si>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</si>
  <si>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</si>
  <si>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</si>
  <si>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</si>
  <si>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</si>
  <si>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</si>
  <si>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</si>
  <si>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</si>
  <si>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</si>
  <si>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</si>
  <si>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</si>
  <si>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</si>
  <si>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</si>
  <si>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</si>
  <si>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</si>
  <si>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</si>
  <si>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</si>
  <si>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</si>
  <si>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</si>
  <si>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</si>
  <si>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</si>
  <si>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</si>
  <si>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</si>
  <si>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</si>
  <si>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</si>
  <si>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</si>
  <si>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</si>
  <si>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</si>
  <si>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</si>
  <si>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</si>
  <si>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</si>
  <si>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</si>
  <si>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</si>
  <si>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</si>
  <si>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</si>
  <si>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</si>
  <si>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</si>
  <si>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</si>
  <si>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</si>
  <si>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</si>
  <si>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</si>
  <si>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</si>
  <si>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</si>
  <si>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</si>
  <si>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</si>
  <si>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</si>
  <si>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</si>
  <si>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</si>
  <si>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</si>
  <si>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</si>
  <si>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</si>
  <si>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</si>
  <si>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</si>
  <si>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</si>
  <si>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</si>
  <si>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</si>
  <si>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</si>
  <si>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</si>
  <si>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</si>
  <si>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</si>
  <si>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</si>
  <si>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</si>
  <si>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</si>
  <si>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</si>
  <si>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</si>
  <si>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</si>
  <si>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</si>
  <si>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</si>
  <si>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</si>
  <si>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</si>
  <si>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</si>
  <si>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</si>
  <si>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</si>
  <si>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</si>
  <si>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</si>
  <si>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</si>
  <si>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</si>
  <si>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</si>
  <si>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</si>
  <si>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</si>
  <si>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</si>
  <si>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</si>
  <si>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</si>
  <si>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</si>
  <si>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</si>
  <si>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</si>
  <si>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</si>
  <si>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</si>
  <si>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</si>
  <si>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</si>
  <si>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</si>
  <si>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</si>
  <si>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</si>
  <si>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</si>
  <si>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</si>
  <si>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</si>
  <si>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</si>
  <si>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</si>
  <si>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</si>
  <si>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</si>
  <si>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</si>
  <si>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</si>
  <si>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</si>
  <si>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</si>
  <si>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</si>
  <si>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</si>
  <si>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</si>
  <si>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</si>
  <si>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</si>
  <si>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</si>
  <si>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</si>
  <si>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</si>
  <si>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</si>
  <si>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</si>
  <si>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</si>
  <si>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</si>
  <si>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</si>
  <si>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</si>
  <si>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</si>
  <si>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</si>
  <si>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</si>
  <si>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</si>
  <si>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</si>
  <si>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</si>
  <si>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</si>
  <si>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</si>
  <si>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</si>
  <si>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</si>
  <si>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</si>
  <si>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</si>
  <si>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</si>
  <si>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</si>
  <si>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</si>
  <si>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</si>
  <si>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</si>
  <si>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</si>
  <si>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</si>
  <si>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</si>
  <si>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</si>
  <si>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</si>
  <si>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</si>
  <si>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</si>
  <si>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</si>
  <si>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</si>
  <si>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</si>
  <si>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</si>
  <si>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</si>
  <si>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</si>
  <si>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</si>
  <si>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</si>
  <si>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</si>
  <si>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</si>
  <si>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</si>
  <si>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</si>
  <si>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</si>
  <si>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</si>
  <si>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</si>
  <si>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</si>
  <si>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</si>
  <si>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</si>
  <si>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</si>
  <si>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</si>
  <si>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</si>
  <si>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</si>
  <si>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</si>
  <si>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</si>
  <si>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</si>
  <si>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</si>
  <si>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</si>
  <si>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</si>
  <si>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</si>
  <si>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</si>
  <si>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</si>
  <si>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</si>
  <si>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</si>
  <si>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</si>
  <si>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</si>
  <si>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</si>
  <si>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</si>
  <si>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</si>
  <si>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</si>
  <si>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</si>
  <si>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</si>
  <si>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</si>
  <si>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</si>
  <si>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</si>
  <si>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</si>
  <si>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</si>
  <si>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</si>
  <si>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</si>
  <si>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</si>
  <si>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</si>
  <si>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</si>
  <si>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</si>
  <si>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</si>
  <si>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</si>
  <si>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</si>
  <si>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</si>
  <si>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</si>
  <si>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</si>
  <si>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</si>
  <si>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</si>
  <si>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</si>
  <si>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</si>
  <si>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</si>
  <si>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</si>
  <si>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</si>
  <si>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</si>
  <si>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</si>
  <si>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</si>
  <si>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</si>
  <si>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</si>
  <si>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</si>
  <si>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</si>
  <si>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</si>
  <si>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</si>
  <si>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</si>
  <si>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</si>
  <si>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</si>
  <si>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</si>
  <si>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</si>
  <si>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</si>
  <si>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</si>
  <si>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</si>
  <si>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</si>
  <si>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</si>
  <si>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</si>
  <si>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</si>
  <si>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</si>
  <si>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</si>
  <si>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</si>
  <si>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</si>
  <si>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</si>
  <si>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</si>
  <si>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</si>
  <si>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</si>
  <si>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</si>
  <si>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</si>
  <si>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</si>
  <si>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</si>
  <si>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</si>
  <si>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</si>
  <si>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</si>
  <si>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</si>
  <si>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</si>
  <si>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</si>
  <si>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</si>
  <si>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</si>
  <si>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</si>
  <si>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</si>
  <si>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</si>
  <si>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</si>
  <si>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</si>
  <si>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</si>
  <si>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</si>
  <si>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</si>
  <si>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</si>
  <si>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</si>
  <si>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</si>
  <si>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</si>
  <si>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</si>
  <si>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</si>
  <si>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</si>
  <si>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</si>
  <si>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</si>
  <si>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</si>
  <si>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</si>
  <si>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</si>
  <si>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</si>
  <si>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</si>
  <si>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</si>
  <si>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</si>
  <si>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</si>
  <si>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</si>
  <si>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</si>
  <si>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</si>
  <si>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</si>
  <si>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</si>
  <si>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</si>
  <si>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</si>
  <si>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</si>
  <si>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</si>
  <si>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</si>
  <si>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</si>
  <si>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</si>
  <si>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</si>
  <si>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</si>
  <si>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</si>
  <si>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</si>
  <si>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</si>
  <si>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</si>
  <si>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</si>
  <si>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</si>
  <si>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</si>
  <si>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</si>
  <si>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</si>
  <si>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</si>
  <si>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</si>
  <si>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</si>
  <si>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</si>
  <si>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</si>
  <si>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</si>
  <si>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</si>
  <si>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</si>
  <si>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</si>
  <si>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</si>
  <si>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</si>
  <si>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</si>
  <si>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</si>
  <si>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</si>
  <si>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</si>
  <si>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</si>
  <si>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</si>
  <si>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</si>
  <si>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</si>
  <si>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</si>
  <si>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</si>
  <si>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</si>
  <si>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</si>
  <si>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</si>
  <si>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</si>
  <si>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</si>
  <si>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</si>
  <si>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</si>
  <si>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</si>
  <si>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</si>
  <si>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</si>
  <si>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</si>
  <si>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</si>
  <si>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</si>
  <si>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</si>
  <si>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</si>
  <si>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</si>
  <si>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</si>
  <si>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</si>
  <si>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</si>
  <si>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</si>
  <si>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</si>
  <si>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</si>
  <si>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</si>
  <si>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</si>
  <si>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</si>
  <si>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</si>
  <si>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</si>
  <si>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</si>
  <si>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</si>
  <si>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</si>
  <si>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</si>
  <si>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</si>
  <si>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</si>
  <si>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</si>
  <si>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</si>
  <si>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</si>
  <si>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</si>
  <si>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</si>
  <si>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</si>
  <si>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</si>
  <si>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</si>
  <si>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</si>
  <si>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</si>
  <si>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</si>
  <si>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</si>
  <si>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</si>
  <si>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</si>
  <si>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</si>
  <si>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</si>
  <si>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</si>
  <si>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</si>
  <si>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</si>
  <si>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</si>
  <si>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</si>
  <si>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</si>
  <si>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</si>
  <si>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</si>
  <si>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</si>
  <si>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</si>
  <si>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</si>
  <si>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</si>
  <si>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</si>
  <si>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</si>
  <si>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</si>
  <si>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</si>
  <si>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</si>
  <si>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</si>
  <si>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</si>
  <si>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</si>
  <si>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</si>
  <si>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</si>
  <si>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</si>
  <si>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</si>
  <si>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</si>
  <si>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</si>
  <si>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</si>
  <si>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</si>
  <si>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</si>
  <si>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</si>
  <si>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</si>
  <si>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</si>
  <si>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</si>
  <si>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</si>
  <si>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</si>
  <si>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</si>
  <si>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</si>
  <si>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</si>
  <si>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</si>
  <si>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</si>
  <si>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</si>
  <si>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</si>
  <si>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</si>
  <si>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</si>
  <si>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</si>
  <si>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</si>
  <si>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</si>
  <si>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</si>
  <si>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</si>
  <si>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</si>
  <si>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</si>
  <si>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</si>
  <si>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</si>
  <si>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</si>
  <si>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</si>
  <si>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</si>
  <si>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</si>
  <si>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</si>
  <si>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</si>
  <si>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</si>
  <si>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</si>
  <si>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</si>
  <si>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</si>
  <si>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</si>
  <si>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</si>
  <si>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</si>
  <si>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</si>
  <si>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</si>
  <si>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</si>
  <si>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</si>
  <si>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</si>
  <si>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</si>
  <si>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</si>
  <si>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</si>
  <si>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</si>
  <si>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</si>
  <si>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</si>
  <si>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</si>
  <si>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</si>
  <si>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</si>
  <si>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</si>
  <si>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</si>
  <si>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</si>
  <si>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</si>
  <si>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</si>
  <si>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</si>
  <si>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</si>
  <si>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</si>
  <si>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</si>
  <si>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</si>
  <si>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</si>
  <si>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</si>
  <si>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</si>
  <si>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</si>
  <si>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</si>
  <si>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</si>
  <si>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</si>
  <si>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</si>
  <si>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</si>
  <si>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</si>
  <si>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</si>
  <si>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</si>
  <si>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</si>
  <si>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</si>
  <si>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</si>
  <si>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</si>
  <si>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</si>
  <si>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</si>
  <si>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</si>
  <si>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</si>
  <si>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</si>
  <si>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</si>
  <si>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</si>
  <si>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</si>
  <si>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</si>
  <si>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</si>
  <si>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</si>
  <si>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</si>
  <si>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</si>
  <si>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</si>
  <si>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</si>
  <si>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</si>
  <si>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</si>
  <si>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</si>
  <si>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</si>
  <si>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</si>
  <si>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</si>
  <si>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</si>
  <si>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</si>
  <si>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</si>
  <si>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</si>
  <si>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</si>
  <si>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</si>
  <si>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</si>
  <si>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</si>
  <si>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</si>
  <si>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</si>
  <si>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</si>
  <si>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</si>
  <si>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</si>
  <si>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</si>
  <si>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</si>
  <si>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</si>
  <si>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</si>
  <si>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</si>
  <si>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</si>
  <si>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</si>
  <si>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</si>
  <si>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</si>
  <si>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</si>
  <si>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</si>
  <si>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</si>
  <si>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</si>
  <si>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</si>
  <si>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</si>
  <si>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</si>
  <si>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</si>
  <si>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</si>
  <si>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</si>
  <si>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</si>
  <si>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</si>
  <si>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</si>
  <si>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</si>
  <si>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</si>
  <si>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</si>
  <si>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</si>
  <si>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</si>
  <si>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</si>
  <si>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</si>
  <si>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</si>
  <si>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</si>
  <si>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</si>
  <si>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</si>
  <si>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</si>
  <si>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</si>
  <si>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</si>
  <si>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</si>
  <si>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</si>
  <si>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</si>
  <si>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</si>
  <si>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</si>
  <si>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</si>
  <si>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</si>
  <si>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</si>
  <si>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</si>
  <si>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</si>
  <si>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</si>
  <si>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</si>
  <si>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</si>
  <si>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</si>
  <si>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</si>
  <si>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</si>
  <si>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</si>
  <si>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</si>
  <si>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</si>
  <si>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</si>
  <si>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</si>
  <si>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</si>
  <si>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</si>
  <si>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</si>
  <si>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</si>
  <si>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</si>
  <si>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</si>
  <si>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</si>
  <si>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</si>
  <si>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</si>
  <si>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</si>
  <si>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</si>
  <si>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</si>
  <si>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</si>
  <si>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</si>
  <si>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</si>
  <si>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</si>
  <si>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</si>
  <si>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</si>
  <si>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</si>
  <si>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</si>
  <si>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</si>
  <si>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</si>
  <si>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</si>
  <si>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</si>
  <si>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</si>
  <si>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</si>
  <si>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</si>
  <si>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</si>
  <si>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</si>
  <si>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</si>
  <si>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</si>
  <si>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</si>
  <si>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</si>
  <si>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</si>
  <si>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</si>
  <si>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</si>
  <si>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</si>
  <si>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</si>
  <si>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</si>
  <si>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</si>
  <si>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</si>
  <si>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</si>
  <si>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</si>
  <si>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</si>
  <si>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</si>
  <si>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</si>
  <si>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</si>
  <si>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</si>
  <si>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</si>
  <si>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</si>
  <si>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</si>
  <si>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</si>
  <si>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</si>
  <si>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</si>
  <si>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</si>
  <si>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</si>
  <si>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</si>
  <si>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</si>
  <si>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</si>
  <si>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</si>
  <si>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</si>
  <si>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</si>
  <si>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</si>
  <si>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</si>
  <si>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</si>
  <si>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</si>
  <si>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</si>
  <si>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</si>
  <si>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</si>
  <si>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</si>
  <si>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</si>
  <si>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</si>
  <si>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</si>
  <si>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</si>
  <si>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</si>
  <si>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</si>
  <si>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</si>
  <si>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</si>
  <si>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</si>
  <si>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</si>
  <si>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</si>
  <si>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</si>
  <si>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</si>
  <si>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</si>
  <si>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</si>
  <si>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</si>
  <si>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</si>
  <si>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</si>
  <si>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</si>
  <si>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</si>
  <si>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</si>
  <si>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</si>
  <si>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</si>
  <si>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</si>
  <si>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</si>
  <si>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</si>
  <si>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</si>
  <si>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</si>
  <si>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</si>
  <si>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</si>
  <si>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</si>
  <si>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</si>
  <si>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</si>
  <si>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</si>
  <si>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</si>
  <si>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</si>
  <si>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</si>
  <si>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</si>
  <si>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</si>
  <si>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</si>
  <si>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</si>
  <si>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</si>
  <si>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</si>
  <si>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</si>
  <si>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</si>
  <si>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</si>
  <si>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</si>
  <si>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</si>
  <si>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</si>
  <si>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</si>
  <si>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</si>
  <si>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</si>
  <si>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</si>
  <si>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</si>
  <si>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</si>
  <si>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</si>
  <si>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</si>
  <si>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</si>
  <si>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</si>
  <si>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</si>
  <si>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</si>
  <si>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</si>
  <si>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</si>
  <si>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</si>
  <si>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</si>
  <si>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</si>
  <si>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</si>
  <si>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</si>
  <si>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</si>
  <si>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</si>
  <si>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</si>
  <si>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</si>
  <si>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</si>
  <si>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</si>
  <si>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</si>
  <si>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</si>
  <si>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</si>
  <si>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</si>
  <si>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</si>
  <si>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</si>
  <si>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</si>
  <si>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</si>
  <si>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</si>
  <si>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</si>
  <si>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</si>
  <si>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</si>
  <si>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</si>
  <si>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</si>
  <si>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</si>
  <si>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</si>
  <si>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</si>
  <si>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</si>
  <si>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</si>
  <si>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</si>
  <si>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</si>
  <si>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</si>
  <si>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</si>
  <si>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</si>
  <si>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</si>
  <si>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</si>
  <si>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</si>
  <si>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</si>
  <si>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</si>
  <si>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</si>
  <si>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</si>
  <si>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</si>
  <si>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</si>
  <si>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</si>
  <si>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</si>
  <si>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</si>
  <si>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</si>
  <si>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</si>
  <si>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</si>
  <si>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</si>
  <si>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</si>
  <si>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</si>
  <si>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</si>
  <si>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</si>
  <si>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</si>
  <si>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</si>
  <si>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</si>
  <si>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</si>
  <si>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</si>
  <si>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</si>
  <si>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</si>
  <si>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</si>
  <si>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</si>
  <si>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</si>
  <si>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</si>
  <si>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</si>
  <si>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</si>
  <si>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</si>
  <si>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</si>
  <si>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</si>
  <si>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</si>
  <si>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</si>
  <si>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</si>
  <si>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</si>
  <si>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</si>
  <si>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</si>
  <si>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</si>
  <si>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</si>
  <si>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</si>
  <si>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</si>
  <si>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</si>
  <si>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</si>
  <si>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</si>
  <si>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</si>
  <si>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</si>
  <si>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</si>
  <si>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</si>
  <si>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</si>
  <si>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</si>
  <si>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</si>
  <si>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</si>
  <si>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</si>
  <si>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</si>
  <si>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</si>
  <si>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</si>
  <si>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</si>
  <si>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</si>
  <si>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</si>
  <si>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</si>
  <si>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</si>
  <si>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</si>
  <si>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</si>
  <si>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</si>
  <si>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</si>
  <si>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</si>
  <si>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</si>
  <si>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</si>
  <si>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</si>
  <si>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</si>
  <si>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</si>
  <si>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</si>
  <si>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</si>
  <si>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</si>
  <si>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</si>
  <si>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</si>
  <si>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</si>
  <si>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</si>
  <si>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</si>
  <si>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</si>
  <si>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</si>
  <si>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</si>
  <si>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</si>
  <si>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</si>
  <si>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</si>
  <si>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</si>
  <si>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</si>
  <si>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</si>
  <si>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</si>
  <si>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</si>
  <si>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</si>
  <si>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</si>
  <si>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</si>
  <si>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</si>
  <si>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</si>
  <si>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</si>
  <si>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</si>
  <si>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</si>
  <si>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</si>
  <si>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</si>
  <si>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</si>
  <si>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</si>
  <si>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</si>
  <si>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</si>
  <si>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</si>
  <si>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</si>
  <si>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</si>
  <si>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</si>
  <si>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</si>
  <si>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</si>
  <si>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</si>
  <si>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</si>
  <si>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</si>
  <si>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</si>
  <si>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</si>
  <si>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</si>
  <si>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</si>
  <si>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</si>
  <si>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</si>
  <si>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</si>
  <si>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</si>
  <si>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</si>
  <si>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</si>
  <si>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</si>
  <si>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</si>
  <si>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</si>
  <si>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</si>
  <si>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</si>
  <si>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</si>
  <si>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</si>
  <si>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</si>
  <si>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</si>
  <si>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</si>
  <si>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</si>
  <si>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</si>
  <si>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</si>
  <si>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</si>
  <si>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</si>
  <si>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</si>
  <si>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</si>
  <si>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</si>
  <si>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</si>
  <si>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</si>
  <si>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</si>
  <si>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</si>
  <si>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</si>
  <si>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</si>
  <si>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</si>
  <si>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</si>
  <si>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</si>
  <si>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</si>
  <si>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</si>
  <si>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</si>
  <si>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</si>
  <si>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</si>
  <si>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</si>
  <si>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</si>
  <si>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</si>
  <si>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</si>
  <si>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</si>
  <si>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</si>
  <si>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</si>
  <si>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</si>
  <si>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</si>
  <si>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</si>
  <si>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</si>
  <si>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</si>
  <si>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</si>
  <si>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</si>
  <si>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</si>
  <si>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</si>
  <si>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</si>
  <si>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</si>
  <si>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</si>
  <si>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</si>
  <si>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</si>
  <si>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</si>
  <si>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</si>
  <si>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</si>
  <si>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</si>
  <si>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</si>
  <si>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</si>
  <si>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</si>
  <si>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</si>
  <si>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</si>
  <si>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</si>
  <si>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</si>
  <si>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</si>
  <si>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</si>
  <si>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</si>
  <si>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</si>
  <si>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</si>
  <si>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</si>
  <si>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</si>
  <si>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</si>
  <si>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</si>
  <si>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</si>
  <si>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</si>
  <si>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</si>
  <si>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</si>
  <si>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</si>
  <si>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</si>
  <si>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</si>
  <si>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</si>
  <si>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</si>
  <si>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</si>
  <si>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</si>
  <si>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</si>
  <si>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</si>
  <si>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</si>
  <si>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</si>
  <si>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</si>
  <si>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</si>
  <si>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</si>
  <si>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</si>
  <si>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</si>
  <si>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</si>
  <si>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</si>
  <si>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</si>
  <si>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</si>
  <si>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</si>
  <si>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</si>
  <si>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</si>
  <si>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</si>
  <si>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</si>
  <si>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</si>
  <si>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</si>
  <si>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</si>
  <si>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</si>
  <si>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</si>
  <si>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</si>
  <si>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</si>
  <si>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</si>
  <si>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</si>
  <si>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</si>
  <si>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</si>
  <si>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</si>
  <si>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</si>
  <si>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</si>
  <si>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</si>
  <si>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</si>
  <si>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</si>
  <si>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</si>
  <si>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</si>
  <si>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</si>
  <si>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</si>
  <si>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</si>
  <si>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</si>
  <si>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</si>
  <si>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</si>
  <si>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</si>
  <si>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</si>
  <si>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</si>
  <si>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</si>
  <si>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</si>
  <si>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</si>
  <si>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</si>
  <si>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</si>
  <si>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</si>
  <si>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</si>
  <si>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</si>
  <si>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</si>
  <si>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</si>
  <si>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</si>
  <si>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</si>
  <si>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</si>
  <si>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</si>
  <si>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</si>
  <si>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</si>
  <si>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</si>
  <si>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</si>
  <si>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</si>
  <si>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</si>
  <si>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</si>
  <si>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</si>
  <si>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</si>
  <si>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</si>
  <si>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</si>
  <si>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</si>
  <si>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</si>
  <si>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</si>
  <si>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</si>
  <si>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</si>
  <si>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</si>
  <si>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</si>
  <si>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</si>
  <si>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</si>
  <si>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</si>
  <si>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</si>
  <si>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</si>
  <si>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</si>
  <si>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</si>
  <si>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</si>
  <si>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</si>
  <si>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</si>
  <si>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</si>
  <si>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</si>
  <si>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</si>
  <si>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</si>
  <si>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</si>
  <si>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</si>
  <si>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</si>
  <si>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</si>
  <si>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</si>
  <si>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</si>
  <si>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</si>
  <si>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</si>
  <si>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</si>
  <si>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</si>
  <si>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</si>
  <si>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</si>
  <si>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</si>
  <si>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</si>
  <si>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</si>
  <si>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</si>
  <si>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</si>
  <si>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</si>
  <si>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</si>
  <si>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</si>
  <si>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</si>
  <si>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</si>
  <si>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</si>
  <si>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</si>
  <si>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</si>
  <si>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</si>
  <si>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</si>
  <si>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</si>
  <si>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</si>
  <si>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</si>
  <si>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</si>
  <si>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</si>
  <si>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</si>
  <si>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</si>
  <si>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</si>
  <si>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</si>
  <si>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</si>
  <si>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</si>
  <si>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</si>
  <si>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</si>
  <si>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</si>
  <si>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</si>
  <si>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</si>
  <si>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</si>
  <si>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</si>
  <si>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</si>
  <si>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</si>
  <si>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</si>
  <si>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</si>
  <si>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</si>
  <si>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</si>
  <si>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</si>
  <si>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</si>
  <si>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</si>
  <si>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</si>
  <si>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</si>
  <si>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</si>
  <si>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</si>
  <si>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</si>
  <si>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</si>
  <si>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</si>
  <si>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</si>
  <si>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</si>
  <si>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</si>
  <si>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</si>
  <si>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</si>
  <si>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</si>
  <si>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</si>
  <si>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</si>
  <si>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</si>
  <si>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</si>
  <si>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</si>
  <si>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</si>
  <si>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</si>
  <si>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</si>
  <si>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</si>
  <si>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</si>
  <si>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</si>
  <si>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</si>
  <si>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</si>
  <si>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</si>
  <si>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</si>
  <si>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</si>
  <si>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</si>
  <si>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</si>
  <si>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</si>
  <si>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</si>
  <si>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</si>
  <si>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</si>
  <si>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</si>
  <si>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</si>
  <si>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</si>
  <si>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</si>
  <si>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</si>
  <si>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</si>
  <si>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</si>
  <si>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</si>
  <si>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</si>
  <si>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</si>
  <si>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</si>
  <si>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</si>
  <si>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</si>
  <si>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</si>
  <si>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</si>
  <si>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</si>
  <si>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</si>
  <si>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</si>
  <si>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</si>
  <si>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</si>
  <si>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</si>
  <si>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</si>
  <si>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</si>
  <si>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</si>
  <si>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</si>
  <si>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</si>
  <si>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</si>
  <si>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</si>
  <si>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</si>
  <si>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</si>
  <si>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</si>
  <si>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</si>
  <si>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</si>
  <si>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</si>
  <si>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</si>
  <si>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</si>
  <si>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</si>
  <si>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</si>
  <si>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</si>
  <si>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</si>
  <si>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</si>
  <si>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</si>
  <si>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</si>
  <si>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</si>
  <si>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</si>
  <si>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</si>
  <si>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</si>
  <si>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</si>
  <si>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</si>
  <si>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</si>
  <si>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</si>
  <si>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</si>
  <si>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</si>
  <si>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</si>
  <si>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</si>
  <si>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</si>
  <si>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</si>
  <si>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</si>
  <si>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</si>
  <si>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</si>
  <si>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</si>
  <si>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</si>
  <si>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</si>
  <si>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</si>
  <si>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</si>
  <si>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</si>
  <si>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</si>
  <si>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</si>
  <si>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</si>
  <si>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</si>
  <si>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</si>
  <si>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</si>
  <si>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</si>
  <si>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</si>
  <si>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</si>
  <si>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</si>
  <si>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</si>
  <si>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</si>
  <si>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</si>
  <si>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</si>
  <si>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</si>
  <si>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</si>
  <si>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</si>
  <si>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</si>
  <si>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</si>
  <si>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</si>
  <si>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</si>
  <si>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</si>
  <si>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</si>
  <si>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</si>
  <si>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</si>
  <si>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</si>
  <si>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</si>
  <si>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</si>
  <si>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</si>
  <si>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</si>
  <si>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</si>
  <si>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</si>
  <si>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</si>
  <si>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</si>
  <si>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</si>
  <si>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</si>
  <si>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</si>
  <si>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</si>
  <si>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</si>
  <si>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</si>
  <si>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</si>
  <si>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</si>
  <si>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</si>
  <si>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</si>
  <si>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</si>
  <si>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</si>
  <si>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</si>
  <si>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</si>
  <si>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</si>
  <si>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</si>
  <si>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</si>
  <si>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</si>
  <si>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</si>
  <si>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</si>
  <si>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</si>
  <si>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</si>
  <si>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</si>
  <si>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</si>
  <si>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</si>
  <si>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</si>
  <si>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</si>
  <si>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</si>
  <si>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</si>
  <si>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</si>
  <si>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</si>
  <si>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</si>
  <si>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</si>
  <si>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</si>
  <si>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</si>
  <si>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</si>
  <si>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</si>
  <si>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</si>
  <si>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</si>
  <si>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</si>
  <si>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</si>
  <si>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</si>
  <si>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</si>
  <si>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</si>
  <si>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</si>
  <si>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</si>
  <si>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</si>
  <si>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</si>
  <si>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</si>
  <si>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</si>
  <si>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</si>
  <si>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</si>
  <si>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</si>
  <si>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</si>
  <si>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</si>
  <si>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</si>
  <si>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</si>
  <si>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</si>
  <si>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</si>
  <si>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</si>
  <si>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</si>
  <si>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</si>
  <si>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</si>
  <si>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</si>
  <si>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</si>
  <si>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</si>
  <si>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</si>
  <si>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</si>
  <si>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</si>
  <si>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</si>
  <si>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</si>
  <si>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</si>
  <si>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</si>
  <si>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</si>
  <si>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</si>
  <si>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</si>
  <si>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</si>
  <si>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</si>
  <si>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</si>
  <si>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</si>
  <si>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</si>
  <si>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</si>
  <si>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</si>
  <si>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</si>
  <si>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</si>
  <si>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</si>
  <si>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</si>
  <si>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</si>
  <si>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</si>
  <si>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</si>
  <si>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</si>
  <si>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</si>
  <si>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</si>
  <si>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</si>
  <si>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</si>
  <si>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</si>
  <si>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</si>
  <si>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</si>
  <si>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</si>
  <si>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</si>
  <si>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</si>
  <si>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</si>
  <si>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</si>
  <si>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</si>
  <si>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</si>
  <si>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</si>
  <si>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</si>
  <si>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</si>
  <si>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</si>
  <si>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</si>
  <si>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</si>
  <si>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</si>
  <si>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</si>
  <si>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</si>
  <si>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</si>
  <si>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</si>
  <si>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</si>
  <si>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</si>
  <si>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</si>
  <si>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</si>
  <si>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</si>
  <si>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</si>
  <si>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</si>
  <si>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</si>
  <si>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</si>
  <si>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</si>
  <si>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</si>
  <si>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</si>
  <si>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</si>
  <si>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</si>
  <si>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</si>
  <si>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</si>
  <si>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</si>
  <si>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</si>
  <si>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</si>
  <si>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</si>
  <si>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</si>
  <si>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</si>
  <si>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</si>
  <si>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</si>
  <si>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</si>
  <si>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</si>
  <si>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</si>
  <si>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</si>
  <si>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</si>
  <si>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</si>
  <si>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</si>
  <si>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</si>
  <si>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</si>
  <si>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</si>
  <si>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</si>
  <si>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</si>
  <si>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</si>
  <si>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</si>
  <si>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</si>
  <si>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</si>
  <si>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</si>
  <si>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</si>
  <si>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</si>
  <si>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</si>
  <si>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</si>
  <si>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</si>
  <si>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</si>
  <si>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</si>
  <si>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</si>
  <si>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</si>
  <si>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</si>
  <si>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</si>
  <si>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</si>
  <si>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</si>
  <si>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</si>
  <si>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</si>
  <si>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</si>
  <si>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</si>
  <si>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</si>
  <si>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</si>
  <si>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</si>
  <si>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</si>
  <si>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</si>
  <si>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</si>
  <si>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</si>
  <si>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</si>
  <si>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</si>
  <si>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</si>
  <si>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</si>
  <si>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</si>
  <si>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</si>
  <si>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</si>
  <si>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</si>
  <si>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</si>
  <si>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</si>
  <si>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</si>
  <si>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</si>
  <si>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</si>
  <si>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</si>
  <si>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</si>
  <si>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</si>
  <si>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</si>
  <si>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</si>
  <si>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</si>
  <si>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</si>
  <si>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</si>
  <si>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</si>
  <si>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</si>
  <si>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</si>
  <si>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</si>
  <si>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</si>
  <si>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</si>
  <si>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</si>
  <si>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</si>
  <si>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</si>
  <si>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</si>
  <si>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</si>
  <si>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</si>
  <si>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</si>
  <si>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</si>
  <si>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</si>
  <si>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</si>
  <si>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</si>
  <si>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</si>
  <si>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</si>
  <si>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</si>
  <si>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</si>
  <si>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</si>
  <si>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</si>
  <si>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</si>
  <si>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</si>
  <si>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</si>
  <si>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</si>
  <si>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</si>
  <si>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</si>
  <si>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</si>
  <si>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</si>
  <si>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</si>
  <si>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</si>
  <si>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</si>
  <si>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</si>
  <si>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</si>
  <si>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</si>
  <si>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</si>
  <si>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</si>
  <si>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</si>
  <si>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</si>
  <si>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</si>
  <si>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</si>
  <si>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</si>
  <si>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</si>
  <si>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</si>
  <si>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</si>
  <si>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</si>
  <si>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</si>
  <si>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</si>
  <si>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</si>
  <si>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</si>
  <si>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</si>
  <si>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</si>
  <si>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</si>
  <si>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</si>
  <si>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</si>
  <si>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</si>
  <si>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</si>
  <si>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</si>
  <si>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</si>
  <si>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</si>
  <si>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</si>
  <si>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</si>
  <si>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</si>
  <si>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</si>
  <si>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</si>
  <si>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</si>
  <si>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</si>
  <si>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</si>
  <si>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</si>
  <si>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</si>
  <si>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</si>
  <si>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</si>
  <si>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</si>
  <si>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</si>
  <si>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</si>
  <si>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</si>
  <si>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</si>
  <si>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</si>
  <si>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</si>
  <si>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</si>
  <si>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</si>
  <si>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</si>
  <si>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</si>
  <si>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</si>
  <si>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</si>
  <si>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</si>
  <si>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</si>
  <si>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</si>
  <si>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</si>
  <si>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</si>
  <si>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</si>
  <si>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</si>
  <si>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</si>
  <si>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</si>
  <si>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</si>
  <si>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</si>
  <si>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</si>
  <si>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</si>
  <si>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</si>
  <si>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</si>
  <si>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868</t>
  </si>
  <si>
    <t>1:31.73</t>
  </si>
  <si>
    <t>2:36.90</t>
  </si>
  <si>
    <t>1:28.63</t>
  </si>
  <si>
    <t>1:29.63</t>
  </si>
  <si>
    <t>3:36.58</t>
  </si>
  <si>
    <t>1:32.70</t>
  </si>
  <si>
    <t>17.09</t>
  </si>
  <si>
    <t>23.28</t>
  </si>
  <si>
    <t>2:03.18</t>
  </si>
  <si>
    <t>10.54</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</si>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</sst>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dUpNotUKvY"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455</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2216</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5726</v>
      </c>
      <c r="AN138" s="170" t="s">
        <v>5727</v>
      </c>
      <c r="AO138" s="170" t="s">
        <v>100</v>
      </c>
      <c r="AP138" s="170"/>
      <c r="AQ138" s="170" t="s">
        <v>1281</v>
      </c>
      <c r="AR138" s="170" t="s">
        <v>5728</v>
      </c>
      <c r="AS138" s="273"/>
      <c r="AT138" s="446" t="s">
        <v>4235</v>
      </c>
      <c r="AU138" s="446" t="s">
        <v>3219</v>
      </c>
      <c r="AV138" s="446" t="s">
        <v>2280</v>
      </c>
      <c r="AW138" s="273"/>
      <c r="AX138" s="273"/>
      <c r="AY138" s="273"/>
      <c r="AZ138" s="274"/>
      <c r="BA138" s="203" t="s">
        <v>5729</v>
      </c>
      <c r="BB138" s="203" t="s">
        <v>1919</v>
      </c>
      <c r="BC138" s="203" t="s">
        <v>1148</v>
      </c>
      <c r="BD138" s="203" t="s">
        <v>5730</v>
      </c>
      <c r="BE138" s="451"/>
      <c r="BF138" s="203" t="s">
        <v>5731</v>
      </c>
      <c r="BG138" s="175"/>
      <c r="BH138" s="203" t="s">
        <v>2807</v>
      </c>
      <c r="BI138" s="175"/>
      <c r="BJ138" s="451"/>
      <c r="BK138" s="203" t="s">
        <v>5732</v>
      </c>
      <c r="BL138" s="175"/>
      <c r="BM138" s="175"/>
      <c r="BN138" s="451"/>
      <c r="BO138" s="175"/>
      <c r="BP138" s="285"/>
      <c r="BQ138" s="384" t="s">
        <v>5733</v>
      </c>
      <c r="BR138" s="384" t="s">
        <v>5734</v>
      </c>
      <c r="BS138" s="384" t="s">
        <v>3694</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2127</v>
      </c>
      <c r="CK138" s="137"/>
      <c r="CL138" s="137"/>
      <c r="CM138" s="137"/>
      <c r="CN138" s="453"/>
      <c r="CO138" s="277"/>
      <c r="CP138" s="277"/>
      <c r="CQ138" s="277"/>
      <c r="CR138" s="277"/>
      <c r="CS138" s="101"/>
      <c r="CT138" s="318" t="s">
        <v>3908</v>
      </c>
      <c r="CU138" s="318" t="s">
        <v>5740</v>
      </c>
      <c r="CV138" s="670" t="s">
        <v>3969</v>
      </c>
      <c r="CW138" s="141" t="s">
        <v>4288</v>
      </c>
      <c r="CX138" s="318" t="s">
        <v>3425</v>
      </c>
      <c r="CY138" s="318" t="s">
        <v>3810</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1417</v>
      </c>
      <c r="D139" s="84" t="s">
        <v>1417</v>
      </c>
      <c r="E139" s="85" t="s">
        <v>1417</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4041</v>
      </c>
      <c r="CN139" s="98"/>
      <c r="CO139" s="98"/>
      <c r="CP139" s="98"/>
      <c r="CQ139" s="98"/>
      <c r="CR139" s="98"/>
      <c r="CS139" s="101"/>
      <c r="CT139" s="88" t="s">
        <v>5752</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5753</v>
      </c>
      <c r="B140" s="103" t="s">
        <v>5754</v>
      </c>
      <c r="C140" s="104" t="s">
        <v>1417</v>
      </c>
      <c r="D140" s="105" t="s">
        <v>739</v>
      </c>
      <c r="E140" s="106" t="s">
        <v>1417</v>
      </c>
      <c r="F140" s="107" t="s">
        <v>3428</v>
      </c>
      <c r="G140" s="103" t="s">
        <v>4866</v>
      </c>
      <c r="H140" s="224"/>
      <c r="I140" s="168" t="s">
        <v>5755</v>
      </c>
      <c r="J140" s="168" t="s">
        <v>4154</v>
      </c>
      <c r="K140" s="112" t="s">
        <v>660</v>
      </c>
      <c r="L140" s="112" t="s">
        <v>5756</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5757</v>
      </c>
      <c r="CH140" s="277"/>
      <c r="CI140" s="314" t="s">
        <v>3738</v>
      </c>
      <c r="CJ140" s="314"/>
      <c r="CK140" s="277"/>
      <c r="CL140" s="277"/>
      <c r="CM140" s="179" t="s">
        <v>933</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2" t="s">
        <v>5762</v>
      </c>
      <c r="B141" s="82" t="s">
        <v>5763</v>
      </c>
      <c r="C141" s="83" t="s">
        <v>1417</v>
      </c>
      <c r="D141" s="84" t="s">
        <v>1417</v>
      </c>
      <c r="E141" s="85" t="s">
        <v>1417</v>
      </c>
      <c r="F141" s="86" t="s">
        <v>1417</v>
      </c>
      <c r="G141" s="82" t="s">
        <v>3602</v>
      </c>
      <c r="H141" s="93" t="s">
        <v>3900</v>
      </c>
      <c r="I141" s="93" t="s">
        <v>3840</v>
      </c>
      <c r="J141" s="93" t="s">
        <v>676</v>
      </c>
      <c r="K141" s="93" t="s">
        <v>5764</v>
      </c>
      <c r="L141" s="93" t="s">
        <v>5765</v>
      </c>
      <c r="M141" s="93" t="s">
        <v>5766</v>
      </c>
      <c r="N141" s="93" t="s">
        <v>5767</v>
      </c>
      <c r="O141" s="93" t="s">
        <v>3001</v>
      </c>
      <c r="P141" s="93" t="s">
        <v>4034</v>
      </c>
      <c r="Q141" s="93" t="s">
        <v>5768</v>
      </c>
      <c r="R141" s="98"/>
      <c r="S141" s="93" t="s">
        <v>903</v>
      </c>
      <c r="T141" s="98"/>
      <c r="U141" s="93" t="s">
        <v>5769</v>
      </c>
      <c r="V141" s="93" t="s">
        <v>5770</v>
      </c>
      <c r="W141" s="92"/>
      <c r="X141" s="93" t="s">
        <v>5771</v>
      </c>
      <c r="Y141" s="93" t="s">
        <v>1944</v>
      </c>
      <c r="Z141" s="93" t="s">
        <v>3361</v>
      </c>
      <c r="AA141" s="93" t="s">
        <v>3279</v>
      </c>
      <c r="AB141" s="93" t="s">
        <v>3269</v>
      </c>
      <c r="AC141" s="93" t="s">
        <v>5772</v>
      </c>
      <c r="AD141" s="93"/>
      <c r="AE141" s="93" t="s">
        <v>5773</v>
      </c>
      <c r="AF141" s="93" t="s">
        <v>5774</v>
      </c>
      <c r="AG141" s="93" t="s">
        <v>5775</v>
      </c>
      <c r="AH141" s="98"/>
      <c r="AI141" s="93" t="s">
        <v>5089</v>
      </c>
      <c r="AJ141" s="93" t="s">
        <v>5776</v>
      </c>
      <c r="AK141" s="92"/>
      <c r="AL141" s="93" t="s">
        <v>5777</v>
      </c>
      <c r="AM141" s="93" t="s">
        <v>5431</v>
      </c>
      <c r="AN141" s="93" t="s">
        <v>5778</v>
      </c>
      <c r="AO141" s="93" t="s">
        <v>1914</v>
      </c>
      <c r="AP141" s="93" t="s">
        <v>5779</v>
      </c>
      <c r="AQ141" s="93" t="s">
        <v>5780</v>
      </c>
      <c r="AR141" s="93" t="s">
        <v>5781</v>
      </c>
      <c r="AS141" s="93" t="s">
        <v>5782</v>
      </c>
      <c r="AT141" s="93" t="s">
        <v>599</v>
      </c>
      <c r="AU141" s="93" t="s">
        <v>3310</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454</v>
      </c>
      <c r="BL141" s="93" t="s">
        <v>5792</v>
      </c>
      <c r="BM141" s="93" t="s">
        <v>4142</v>
      </c>
      <c r="BN141" s="93" t="s">
        <v>557</v>
      </c>
      <c r="BO141" s="93" t="s">
        <v>5793</v>
      </c>
      <c r="BP141" s="266"/>
      <c r="BQ141" s="93" t="s">
        <v>5794</v>
      </c>
      <c r="BR141" s="93" t="s">
        <v>1090</v>
      </c>
      <c r="BS141" s="93" t="s">
        <v>878</v>
      </c>
      <c r="BT141" s="93" t="s">
        <v>2579</v>
      </c>
      <c r="BU141" s="93" t="s">
        <v>5795</v>
      </c>
      <c r="BV141" s="93" t="s">
        <v>5796</v>
      </c>
      <c r="BW141" s="93" t="s">
        <v>5797</v>
      </c>
      <c r="BX141" s="93" t="s">
        <v>1248</v>
      </c>
      <c r="BY141" s="98"/>
      <c r="BZ141" s="93" t="s">
        <v>5798</v>
      </c>
      <c r="CA141" s="93" t="s">
        <v>5799</v>
      </c>
      <c r="CB141" s="93" t="s">
        <v>450</v>
      </c>
      <c r="CC141" s="93" t="s">
        <v>179</v>
      </c>
      <c r="CD141" s="93" t="s">
        <v>5800</v>
      </c>
      <c r="CE141" s="266"/>
      <c r="CF141" s="93" t="s">
        <v>5801</v>
      </c>
      <c r="CG141" s="93" t="s">
        <v>1449</v>
      </c>
      <c r="CH141" s="93" t="s">
        <v>487</v>
      </c>
      <c r="CI141" s="93" t="s">
        <v>5802</v>
      </c>
      <c r="CJ141" s="93" t="s">
        <v>4908</v>
      </c>
      <c r="CK141" s="93" t="s">
        <v>5803</v>
      </c>
      <c r="CL141" s="93" t="s">
        <v>3666</v>
      </c>
      <c r="CM141" s="93" t="s">
        <v>2107</v>
      </c>
      <c r="CN141" s="93" t="s">
        <v>5804</v>
      </c>
      <c r="CO141" s="93" t="s">
        <v>5805</v>
      </c>
      <c r="CP141" s="98"/>
      <c r="CQ141" s="93" t="s">
        <v>5806</v>
      </c>
      <c r="CR141" s="93" t="s">
        <v>5807</v>
      </c>
      <c r="CS141" s="101"/>
      <c r="CT141" s="93" t="s">
        <v>2712</v>
      </c>
      <c r="CU141" s="93" t="s">
        <v>5808</v>
      </c>
      <c r="CV141" s="93" t="s">
        <v>2425</v>
      </c>
      <c r="CW141" s="93" t="s">
        <v>5809</v>
      </c>
      <c r="CX141" s="93" t="s">
        <v>1432</v>
      </c>
      <c r="CY141" s="93" t="s">
        <v>4090</v>
      </c>
      <c r="CZ141" s="93" t="s">
        <v>5810</v>
      </c>
      <c r="DA141" s="93" t="s">
        <v>5811</v>
      </c>
      <c r="DB141" s="93" t="s">
        <v>5812</v>
      </c>
      <c r="DC141" s="93" t="s">
        <v>4054</v>
      </c>
      <c r="DD141" s="93" t="s">
        <v>2170</v>
      </c>
      <c r="DE141" s="93" t="s">
        <v>5813</v>
      </c>
      <c r="DF141" s="266"/>
      <c r="DG141" s="93" t="s">
        <v>3709</v>
      </c>
      <c r="DH141" s="98"/>
      <c r="DI141" s="93" t="s">
        <v>2655</v>
      </c>
      <c r="DJ141" s="93" t="s">
        <v>2098</v>
      </c>
      <c r="DK141" s="93" t="s">
        <v>3294</v>
      </c>
      <c r="DL141" s="93" t="s">
        <v>2402</v>
      </c>
      <c r="DM141" s="93" t="s">
        <v>3955</v>
      </c>
      <c r="DN141" s="93" t="s">
        <v>5814</v>
      </c>
      <c r="DO141" s="93" t="s">
        <v>199</v>
      </c>
      <c r="DP141" s="93" t="s">
        <v>5815</v>
      </c>
      <c r="DQ141" s="93" t="s">
        <v>3002</v>
      </c>
      <c r="DR141" s="93" t="s">
        <v>4683</v>
      </c>
      <c r="DS141" s="93" t="s">
        <v>5816</v>
      </c>
      <c r="DT141" s="93" t="s">
        <v>5817</v>
      </c>
      <c r="DU141" s="93" t="s">
        <v>1193</v>
      </c>
      <c r="DV141" s="93" t="s">
        <v>3728</v>
      </c>
      <c r="DW141" s="93" t="s">
        <v>5818</v>
      </c>
      <c r="DX141" s="93" t="s">
        <v>4378</v>
      </c>
      <c r="DY141" s="93" t="s">
        <v>2529</v>
      </c>
      <c r="DZ141" s="93" t="s">
        <v>5152</v>
      </c>
      <c r="EA141" s="93" t="s">
        <v>2301</v>
      </c>
      <c r="EB141" s="673" t="s">
        <v>4332</v>
      </c>
    </row>
    <row r="142">
      <c r="A142" s="674" t="s">
        <v>5819</v>
      </c>
      <c r="B142" s="103" t="s">
        <v>5820</v>
      </c>
      <c r="C142" s="104" t="s">
        <v>1417</v>
      </c>
      <c r="D142" s="105" t="s">
        <v>1417</v>
      </c>
      <c r="E142" s="106" t="s">
        <v>1417</v>
      </c>
      <c r="F142" s="107" t="s">
        <v>5644</v>
      </c>
      <c r="G142" s="103" t="s">
        <v>4177</v>
      </c>
      <c r="H142" s="305"/>
      <c r="I142" s="110" t="s">
        <v>5821</v>
      </c>
      <c r="J142" s="112" t="s">
        <v>4585</v>
      </c>
      <c r="K142" s="112" t="s">
        <v>5822</v>
      </c>
      <c r="L142" s="112" t="s">
        <v>2020</v>
      </c>
      <c r="M142" s="450"/>
      <c r="N142" s="112" t="s">
        <v>712</v>
      </c>
      <c r="O142" s="293" t="s">
        <v>5823</v>
      </c>
      <c r="P142" s="112" t="s">
        <v>1996</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9" t="s">
        <v>5830</v>
      </c>
      <c r="BC142" s="451"/>
      <c r="BD142" s="127" t="s">
        <v>1541</v>
      </c>
      <c r="BE142" s="127" t="s">
        <v>4439</v>
      </c>
      <c r="BF142" s="451"/>
      <c r="BG142" s="175"/>
      <c r="BH142" s="127" t="s">
        <v>2957</v>
      </c>
      <c r="BI142" s="339" t="s">
        <v>5831</v>
      </c>
      <c r="BJ142" s="451"/>
      <c r="BK142" s="451"/>
      <c r="BL142" s="175"/>
      <c r="BM142" s="175"/>
      <c r="BN142" s="451"/>
      <c r="BO142" s="175"/>
      <c r="BP142" s="285"/>
      <c r="BQ142" s="133" t="s">
        <v>2490</v>
      </c>
      <c r="BR142" s="133" t="s">
        <v>5832</v>
      </c>
      <c r="BS142" s="133"/>
      <c r="BT142" s="133" t="s">
        <v>2868</v>
      </c>
      <c r="BU142" s="133" t="s">
        <v>5833</v>
      </c>
      <c r="BV142" s="133"/>
      <c r="BW142" s="287"/>
      <c r="BX142" s="133"/>
      <c r="BY142" s="133"/>
      <c r="BZ142" s="133"/>
      <c r="CA142" s="287"/>
      <c r="CB142" s="287"/>
      <c r="CC142" s="287"/>
      <c r="CD142" s="287"/>
      <c r="CE142" s="288"/>
      <c r="CF142" s="137" t="s">
        <v>5834</v>
      </c>
      <c r="CG142" s="137" t="s">
        <v>3974</v>
      </c>
      <c r="CH142" s="137" t="s">
        <v>3174</v>
      </c>
      <c r="CI142" s="137" t="s">
        <v>5835</v>
      </c>
      <c r="CJ142" s="137"/>
      <c r="CK142" s="137" t="s">
        <v>5836</v>
      </c>
      <c r="CL142" s="136" t="s">
        <v>3064</v>
      </c>
      <c r="CM142" s="137"/>
      <c r="CN142" s="453"/>
      <c r="CO142" s="277"/>
      <c r="CP142" s="277"/>
      <c r="CQ142" s="277"/>
      <c r="CR142" s="277"/>
      <c r="CS142" s="101"/>
      <c r="CT142" s="141" t="s">
        <v>5263</v>
      </c>
      <c r="CU142" s="319"/>
      <c r="CV142" s="362"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1417</v>
      </c>
      <c r="D143" s="84" t="s">
        <v>1417</v>
      </c>
      <c r="E143" s="85" t="s">
        <v>1417</v>
      </c>
      <c r="F143" s="86" t="s">
        <v>739</v>
      </c>
      <c r="G143" s="82" t="s">
        <v>914</v>
      </c>
      <c r="H143" s="98"/>
      <c r="I143" s="98"/>
      <c r="J143" s="93" t="s">
        <v>5843</v>
      </c>
      <c r="K143" s="93" t="s">
        <v>660</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1417</v>
      </c>
      <c r="D145" s="84" t="s">
        <v>1417</v>
      </c>
      <c r="E145" s="85" t="s">
        <v>1417</v>
      </c>
      <c r="F145" s="86" t="s">
        <v>1131</v>
      </c>
      <c r="G145" s="82" t="s">
        <v>4177</v>
      </c>
      <c r="H145" s="93"/>
      <c r="I145" s="88" t="s">
        <v>5852</v>
      </c>
      <c r="J145" s="88" t="s">
        <v>1580</v>
      </c>
      <c r="K145" s="88" t="s">
        <v>1959</v>
      </c>
      <c r="L145" s="88" t="s">
        <v>5853</v>
      </c>
      <c r="M145" s="93" t="s">
        <v>5854</v>
      </c>
      <c r="N145" s="93" t="s">
        <v>3341</v>
      </c>
      <c r="O145" s="93" t="s">
        <v>5636</v>
      </c>
      <c r="P145" s="93" t="s">
        <v>3924</v>
      </c>
      <c r="Q145" s="98"/>
      <c r="R145" s="98"/>
      <c r="S145" s="98"/>
      <c r="T145" s="98"/>
      <c r="U145" s="98"/>
      <c r="V145" s="98"/>
      <c r="W145" s="92"/>
      <c r="X145" s="93" t="s">
        <v>5855</v>
      </c>
      <c r="Y145" s="98"/>
      <c r="Z145" s="93" t="s">
        <v>674</v>
      </c>
      <c r="AA145" s="93" t="s">
        <v>5856</v>
      </c>
      <c r="AB145" s="88" t="s">
        <v>5014</v>
      </c>
      <c r="AC145" s="98"/>
      <c r="AD145" s="98"/>
      <c r="AE145" s="93" t="s">
        <v>5857</v>
      </c>
      <c r="AF145" s="93" t="s">
        <v>304</v>
      </c>
      <c r="AG145" s="98"/>
      <c r="AH145" s="98"/>
      <c r="AI145" s="98"/>
      <c r="AJ145" s="98"/>
      <c r="AK145" s="92"/>
      <c r="AL145" s="93"/>
      <c r="AM145" s="93" t="s">
        <v>5399</v>
      </c>
      <c r="AN145" s="98"/>
      <c r="AO145" s="98"/>
      <c r="AP145" s="98"/>
      <c r="AQ145" s="98"/>
      <c r="AR145" s="98"/>
      <c r="AS145" s="98"/>
      <c r="AT145" s="93" t="s">
        <v>5858</v>
      </c>
      <c r="AU145" s="98"/>
      <c r="AV145" s="93" t="s">
        <v>383</v>
      </c>
      <c r="AW145" s="98"/>
      <c r="AX145" s="98"/>
      <c r="AY145" s="98"/>
      <c r="AZ145" s="266"/>
      <c r="BA145" s="98"/>
      <c r="BB145" s="93" t="s">
        <v>5620</v>
      </c>
      <c r="BC145" s="98"/>
      <c r="BD145" s="93" t="s">
        <v>5859</v>
      </c>
      <c r="BE145" s="93" t="s">
        <v>1458</v>
      </c>
      <c r="BF145" s="93" t="s">
        <v>180</v>
      </c>
      <c r="BG145" s="98"/>
      <c r="BH145" s="88" t="s">
        <v>5860</v>
      </c>
      <c r="BI145" s="98"/>
      <c r="BJ145" s="98"/>
      <c r="BK145" s="93" t="s">
        <v>1261</v>
      </c>
      <c r="BL145" s="98"/>
      <c r="BM145" s="98"/>
      <c r="BN145" s="98"/>
      <c r="BO145" s="98"/>
      <c r="BP145" s="266"/>
      <c r="BQ145" s="93"/>
      <c r="BR145" s="98"/>
      <c r="BS145" s="98"/>
      <c r="BT145" s="93" t="s">
        <v>5861</v>
      </c>
      <c r="BU145" s="98"/>
      <c r="BV145" s="93" t="s">
        <v>2048</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5480</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1417</v>
      </c>
      <c r="D146" s="105" t="s">
        <v>1417</v>
      </c>
      <c r="E146" s="106" t="s">
        <v>1417</v>
      </c>
      <c r="F146" s="107" t="s">
        <v>1417</v>
      </c>
      <c r="G146" s="103" t="s">
        <v>2754</v>
      </c>
      <c r="H146" s="168" t="s">
        <v>2653</v>
      </c>
      <c r="I146" s="168" t="s">
        <v>5870</v>
      </c>
      <c r="J146" s="168" t="s">
        <v>4695</v>
      </c>
      <c r="K146" s="168" t="s">
        <v>548</v>
      </c>
      <c r="L146" s="168" t="s">
        <v>5871</v>
      </c>
      <c r="M146" s="224"/>
      <c r="N146" s="224"/>
      <c r="O146" s="168" t="s">
        <v>1969</v>
      </c>
      <c r="P146" s="168" t="s">
        <v>350</v>
      </c>
      <c r="Q146" s="168"/>
      <c r="R146" s="224"/>
      <c r="S146" s="168" t="s">
        <v>5872</v>
      </c>
      <c r="T146" s="224"/>
      <c r="U146" s="168" t="s">
        <v>2775</v>
      </c>
      <c r="V146" s="224"/>
      <c r="W146" s="92"/>
      <c r="X146" s="200" t="s">
        <v>5873</v>
      </c>
      <c r="Y146" s="282"/>
      <c r="Z146" s="200" t="s">
        <v>553</v>
      </c>
      <c r="AA146" s="282"/>
      <c r="AB146" s="282"/>
      <c r="AC146" s="282"/>
      <c r="AD146" s="282"/>
      <c r="AE146" s="282"/>
      <c r="AF146" s="200" t="s">
        <v>5874</v>
      </c>
      <c r="AG146" s="200" t="s">
        <v>5875</v>
      </c>
      <c r="AH146" s="200"/>
      <c r="AI146" s="200" t="s">
        <v>5876</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5877</v>
      </c>
      <c r="BD146" s="175"/>
      <c r="BE146" s="175"/>
      <c r="BF146" s="176" t="s">
        <v>119</v>
      </c>
      <c r="BG146" s="175"/>
      <c r="BH146" s="176" t="s">
        <v>5878</v>
      </c>
      <c r="BI146" s="175"/>
      <c r="BJ146" s="175"/>
      <c r="BK146" s="175"/>
      <c r="BL146" s="175"/>
      <c r="BM146" s="175"/>
      <c r="BN146" s="175"/>
      <c r="BO146" s="175"/>
      <c r="BP146" s="285"/>
      <c r="BQ146" s="177"/>
      <c r="BR146" s="287"/>
      <c r="BS146" s="287"/>
      <c r="BT146" s="177" t="s">
        <v>5879</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5880</v>
      </c>
      <c r="B147" s="82" t="s">
        <v>5881</v>
      </c>
      <c r="C147" s="83" t="s">
        <v>1417</v>
      </c>
      <c r="D147" s="84" t="s">
        <v>1417</v>
      </c>
      <c r="E147" s="85" t="s">
        <v>1417</v>
      </c>
      <c r="F147" s="86" t="s">
        <v>333</v>
      </c>
      <c r="G147" s="82" t="s">
        <v>332</v>
      </c>
      <c r="H147" s="98"/>
      <c r="I147" s="98"/>
      <c r="J147" s="93" t="s">
        <v>5882</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1260</v>
      </c>
      <c r="BT147" s="88" t="s">
        <v>4144</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5888</v>
      </c>
      <c r="B149" s="82" t="s">
        <v>5889</v>
      </c>
      <c r="C149" s="83" t="s">
        <v>1417</v>
      </c>
      <c r="D149" s="84" t="s">
        <v>1417</v>
      </c>
      <c r="E149" s="85" t="s">
        <v>1417</v>
      </c>
      <c r="F149" s="86" t="s">
        <v>739</v>
      </c>
      <c r="G149" s="82" t="s">
        <v>3124</v>
      </c>
      <c r="H149" s="297"/>
      <c r="I149" s="297" t="s">
        <v>2675</v>
      </c>
      <c r="J149" s="297" t="s">
        <v>3297</v>
      </c>
      <c r="K149" s="297" t="s">
        <v>5221</v>
      </c>
      <c r="L149" s="100" t="s">
        <v>4021</v>
      </c>
      <c r="M149" s="100" t="s">
        <v>5890</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5891</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5714</v>
      </c>
      <c r="BW149" s="98"/>
      <c r="BX149" s="100"/>
      <c r="BY149" s="100" t="s">
        <v>5894</v>
      </c>
      <c r="BZ149" s="100"/>
      <c r="CA149" s="98"/>
      <c r="CB149" s="98"/>
      <c r="CC149" s="98"/>
      <c r="CD149" s="98"/>
      <c r="CE149" s="266"/>
      <c r="CF149" s="100"/>
      <c r="CG149" s="100" t="s">
        <v>5895</v>
      </c>
      <c r="CH149" s="100"/>
      <c r="CI149" s="100"/>
      <c r="CJ149" s="100"/>
      <c r="CK149" s="100"/>
      <c r="CL149" s="100"/>
      <c r="CM149" s="100" t="s">
        <v>453</v>
      </c>
      <c r="CN149" s="265"/>
      <c r="CO149" s="98"/>
      <c r="CP149" s="98"/>
      <c r="CQ149" s="98"/>
      <c r="CR149" s="98"/>
      <c r="CS149" s="101"/>
      <c r="CT149" s="100"/>
      <c r="CU149" s="100"/>
      <c r="CV149" s="682" t="s">
        <v>5245</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1417</v>
      </c>
      <c r="D150" s="105" t="s">
        <v>1417</v>
      </c>
      <c r="E150" s="106" t="s">
        <v>1417</v>
      </c>
      <c r="F150" s="107" t="s">
        <v>1417</v>
      </c>
      <c r="G150" s="103" t="s">
        <v>1199</v>
      </c>
      <c r="H150" s="305" t="s">
        <v>3178</v>
      </c>
      <c r="I150" s="305" t="s">
        <v>5901</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1417</v>
      </c>
      <c r="D151" s="84" t="s">
        <v>1417</v>
      </c>
      <c r="E151" s="85" t="s">
        <v>1417</v>
      </c>
      <c r="F151" s="86" t="s">
        <v>437</v>
      </c>
      <c r="G151" s="82" t="s">
        <v>5517</v>
      </c>
      <c r="H151" s="98"/>
      <c r="I151" s="93" t="s">
        <v>1838</v>
      </c>
      <c r="J151" s="93" t="s">
        <v>2541</v>
      </c>
      <c r="K151" s="93" t="s">
        <v>2222</v>
      </c>
      <c r="L151" s="93" t="s">
        <v>2612</v>
      </c>
      <c r="M151" s="93" t="s">
        <v>5904</v>
      </c>
      <c r="N151" s="93" t="s">
        <v>5905</v>
      </c>
      <c r="O151" s="93" t="s">
        <v>5906</v>
      </c>
      <c r="P151" s="93" t="s">
        <v>4034</v>
      </c>
      <c r="Q151" s="98"/>
      <c r="R151" s="98"/>
      <c r="S151" s="98"/>
      <c r="T151" s="98"/>
      <c r="U151" s="98"/>
      <c r="V151" s="98"/>
      <c r="W151" s="92"/>
      <c r="X151" s="93" t="s">
        <v>5202</v>
      </c>
      <c r="Y151" s="93" t="s">
        <v>2119</v>
      </c>
      <c r="Z151" s="93" t="s">
        <v>2200</v>
      </c>
      <c r="AA151" s="93" t="s">
        <v>3315</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5910</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5911</v>
      </c>
      <c r="DH151" s="98"/>
      <c r="DI151" s="98"/>
      <c r="DJ151" s="93"/>
      <c r="DK151" s="98"/>
      <c r="DL151" s="93" t="s">
        <v>3321</v>
      </c>
      <c r="DM151" s="93" t="s">
        <v>5912</v>
      </c>
      <c r="DN151" s="98"/>
      <c r="DO151" s="98"/>
      <c r="DP151" s="98"/>
      <c r="DQ151" s="98"/>
      <c r="DR151" s="98"/>
      <c r="DS151" s="98"/>
      <c r="DT151" s="98"/>
      <c r="DU151" s="98"/>
      <c r="DV151" s="98"/>
      <c r="DW151" s="98"/>
      <c r="DX151" s="93" t="s">
        <v>5913</v>
      </c>
      <c r="DY151" s="98"/>
      <c r="DZ151" s="98"/>
      <c r="EA151" s="93" t="s">
        <v>4112</v>
      </c>
      <c r="EB151" s="297"/>
    </row>
    <row r="152">
      <c r="A152" s="167" t="s">
        <v>5914</v>
      </c>
      <c r="B152" s="103" t="s">
        <v>5915</v>
      </c>
      <c r="C152" s="104" t="s">
        <v>1417</v>
      </c>
      <c r="D152" s="105" t="s">
        <v>1417</v>
      </c>
      <c r="E152" s="106" t="s">
        <v>1417</v>
      </c>
      <c r="F152" s="107" t="s">
        <v>331</v>
      </c>
      <c r="G152" s="103" t="s">
        <v>3509</v>
      </c>
      <c r="H152" s="168" t="s">
        <v>5916</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5917</v>
      </c>
      <c r="AA152" s="200" t="s">
        <v>2626</v>
      </c>
      <c r="AB152" s="200" t="s">
        <v>5918</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5924</v>
      </c>
      <c r="Y153" s="93" t="s">
        <v>3439</v>
      </c>
      <c r="Z153" s="93" t="s">
        <v>5925</v>
      </c>
      <c r="AA153" s="98"/>
      <c r="AB153" s="93" t="s">
        <v>1284</v>
      </c>
      <c r="AC153" s="93" t="s">
        <v>5926</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5928</v>
      </c>
      <c r="B154" s="103" t="s">
        <v>5929</v>
      </c>
      <c r="C154" s="104" t="s">
        <v>1417</v>
      </c>
      <c r="D154" s="105" t="s">
        <v>1417</v>
      </c>
      <c r="E154" s="106" t="s">
        <v>1417</v>
      </c>
      <c r="F154" s="107" t="s">
        <v>1417</v>
      </c>
      <c r="G154" s="103" t="s">
        <v>4126</v>
      </c>
      <c r="H154" s="168" t="s">
        <v>1835</v>
      </c>
      <c r="I154" s="168" t="s">
        <v>2235</v>
      </c>
      <c r="J154" s="224"/>
      <c r="K154" s="168" t="s">
        <v>3067</v>
      </c>
      <c r="L154" s="224"/>
      <c r="M154" s="224"/>
      <c r="N154" s="224"/>
      <c r="O154" s="168" t="s">
        <v>5930</v>
      </c>
      <c r="P154" s="168" t="s">
        <v>2044</v>
      </c>
      <c r="Q154" s="224"/>
      <c r="R154" s="224"/>
      <c r="S154" s="224"/>
      <c r="T154" s="224"/>
      <c r="U154" s="224"/>
      <c r="V154" s="224"/>
      <c r="W154" s="92"/>
      <c r="X154" s="200" t="s">
        <v>3221</v>
      </c>
      <c r="Y154" s="282"/>
      <c r="Z154" s="200" t="s">
        <v>4578</v>
      </c>
      <c r="AA154" s="282"/>
      <c r="AB154" s="200" t="s">
        <v>2469</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5934</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5935</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412</v>
      </c>
      <c r="EB154" s="321"/>
    </row>
    <row r="155">
      <c r="A155" s="614" t="s">
        <v>5937</v>
      </c>
      <c r="B155" s="82" t="s">
        <v>5938</v>
      </c>
      <c r="C155" s="83" t="s">
        <v>1417</v>
      </c>
      <c r="D155" s="84" t="s">
        <v>1417</v>
      </c>
      <c r="E155" s="85" t="s">
        <v>1417</v>
      </c>
      <c r="F155" s="86" t="s">
        <v>437</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5942</v>
      </c>
      <c r="AV155" s="98"/>
      <c r="AW155" s="98"/>
      <c r="AX155" s="98"/>
      <c r="AY155" s="98"/>
      <c r="AZ155" s="266"/>
      <c r="BA155" s="93" t="s">
        <v>5943</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5944</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1417</v>
      </c>
      <c r="D156" s="105" t="s">
        <v>1417</v>
      </c>
      <c r="E156" s="106" t="s">
        <v>1417</v>
      </c>
      <c r="F156" s="107" t="s">
        <v>739</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5949</v>
      </c>
      <c r="CJ156" s="179"/>
      <c r="CK156" s="277"/>
      <c r="CL156" s="277"/>
      <c r="CM156" s="277"/>
      <c r="CN156" s="277"/>
      <c r="CO156" s="277"/>
      <c r="CP156" s="277"/>
      <c r="CQ156" s="277"/>
      <c r="CR156" s="277"/>
      <c r="CS156" s="101"/>
      <c r="CT156" s="207" t="s">
        <v>5950</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5951</v>
      </c>
      <c r="B157" s="82" t="s">
        <v>5952</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5953</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5954</v>
      </c>
      <c r="B158" s="103" t="s">
        <v>5952</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5882</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5942</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5906</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5926</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5856</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5937</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6290</v>
      </c>
      <c r="F2" s="748" t="s">
        <v>6291</v>
      </c>
      <c r="G2" s="748" t="s">
        <v>6292</v>
      </c>
      <c r="H2" s="748" t="s">
        <v>6293</v>
      </c>
      <c r="I2" s="748" t="s">
        <v>6294</v>
      </c>
      <c r="J2" s="748" t="s">
        <v>5991</v>
      </c>
      <c r="K2" s="749" t="s">
        <v>6295</v>
      </c>
      <c r="L2" s="748" t="s">
        <v>6296</v>
      </c>
      <c r="M2" s="748" t="s">
        <v>6297</v>
      </c>
      <c r="N2" s="748" t="s">
        <v>6298</v>
      </c>
      <c r="O2" s="748" t="s">
        <v>6299</v>
      </c>
      <c r="P2" s="748" t="s">
        <v>6300</v>
      </c>
      <c r="Q2" s="748" t="s">
        <v>6301</v>
      </c>
      <c r="R2" s="748" t="s">
        <v>6302</v>
      </c>
      <c r="S2" s="748" t="s">
        <v>2028</v>
      </c>
      <c r="T2" s="748" t="s">
        <v>1061</v>
      </c>
      <c r="U2" s="748" t="s">
        <v>3459</v>
      </c>
      <c r="V2" s="748" t="s">
        <v>2813</v>
      </c>
      <c r="W2" s="748" t="s">
        <v>2010</v>
      </c>
      <c r="X2" s="748" t="s">
        <v>6303</v>
      </c>
      <c r="Y2" s="748" t="s">
        <v>6226</v>
      </c>
      <c r="Z2" s="748" t="s">
        <v>2361</v>
      </c>
      <c r="AA2" s="748" t="s">
        <v>5655</v>
      </c>
      <c r="AB2" s="748" t="s">
        <v>4177</v>
      </c>
      <c r="AC2" s="748" t="s">
        <v>1947</v>
      </c>
      <c r="AD2" s="748" t="s">
        <v>6304</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6305</v>
      </c>
      <c r="C3" s="747"/>
      <c r="D3" s="750" t="s">
        <v>6306</v>
      </c>
      <c r="E3" s="750" t="s">
        <v>3349</v>
      </c>
      <c r="F3" s="750" t="s">
        <v>2812</v>
      </c>
      <c r="G3" s="750" t="s">
        <v>3350</v>
      </c>
      <c r="H3" s="750" t="s">
        <v>5294</v>
      </c>
      <c r="I3" s="750" t="s">
        <v>6307</v>
      </c>
      <c r="J3" s="750" t="s">
        <v>6308</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6309</v>
      </c>
      <c r="C4" s="747"/>
      <c r="D4" s="752" t="s">
        <v>6310</v>
      </c>
      <c r="E4" s="752" t="s">
        <v>4476</v>
      </c>
      <c r="F4" s="752" t="s">
        <v>6311</v>
      </c>
      <c r="G4" s="752" t="s">
        <v>3671</v>
      </c>
      <c r="H4" s="752" t="s">
        <v>4724</v>
      </c>
      <c r="I4" s="752" t="s">
        <v>6312</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6313</v>
      </c>
      <c r="B6" s="759" t="s">
        <v>6314</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6315</v>
      </c>
      <c r="B7" s="759" t="s">
        <v>6316</v>
      </c>
      <c r="C7" s="760" t="s">
        <v>6317</v>
      </c>
      <c r="D7" s="767" t="s">
        <v>6318</v>
      </c>
      <c r="E7" s="767"/>
      <c r="F7" s="767" t="str">
        <f>HYPERLINK("https://youtu.be/y9FQ4EcrohI", "1:21.52")</f>
        <v>1:21.52</v>
      </c>
      <c r="G7" s="767"/>
      <c r="H7" s="767"/>
      <c r="I7" s="763" t="s">
        <v>6319</v>
      </c>
      <c r="J7" s="767" t="s">
        <v>6320</v>
      </c>
      <c r="K7" s="764" t="s">
        <v>6321</v>
      </c>
      <c r="L7" s="767"/>
      <c r="M7" s="767"/>
      <c r="N7" s="767" t="s">
        <v>6322</v>
      </c>
      <c r="O7" s="767" t="s">
        <v>4824</v>
      </c>
      <c r="P7" s="767"/>
      <c r="Q7" s="767" t="s">
        <v>2529</v>
      </c>
      <c r="R7" s="767"/>
      <c r="S7" s="767"/>
      <c r="T7" s="767"/>
      <c r="U7" s="767"/>
      <c r="V7" s="767"/>
      <c r="W7" s="767"/>
      <c r="X7" s="767"/>
      <c r="Y7" s="767"/>
      <c r="Z7" s="767" t="s">
        <v>6323</v>
      </c>
      <c r="AA7" s="767"/>
      <c r="AB7" s="767"/>
      <c r="AC7" s="767"/>
      <c r="AD7" s="767"/>
      <c r="AE7" s="767"/>
      <c r="AF7" s="767"/>
      <c r="AG7" s="767"/>
      <c r="AH7" s="767"/>
      <c r="AI7" s="767" t="s">
        <v>6324</v>
      </c>
      <c r="AJ7" s="767"/>
      <c r="AK7" s="767" t="s">
        <v>5939</v>
      </c>
      <c r="AL7" s="767"/>
      <c r="AM7" s="767"/>
      <c r="AN7" s="767"/>
      <c r="AO7" s="767"/>
      <c r="AP7" s="767"/>
      <c r="AQ7" s="767"/>
      <c r="AR7" s="767" t="s">
        <v>6325</v>
      </c>
      <c r="AS7" s="767" t="s">
        <v>6317</v>
      </c>
      <c r="AT7" s="767"/>
      <c r="AU7" s="767"/>
      <c r="AV7" s="767"/>
      <c r="AW7" s="767"/>
      <c r="AX7" s="767"/>
      <c r="AY7" s="767"/>
      <c r="AZ7" s="767"/>
      <c r="BA7" s="767"/>
      <c r="BB7" s="768"/>
      <c r="BC7" s="768"/>
      <c r="BD7" s="764"/>
      <c r="BE7" s="764"/>
      <c r="BF7" s="764"/>
      <c r="BG7" s="764"/>
      <c r="BH7" s="768"/>
      <c r="BI7" s="768"/>
      <c r="BJ7" s="768"/>
    </row>
    <row r="8" ht="15.75" customHeight="1">
      <c r="A8" s="769"/>
      <c r="B8" s="770" t="s">
        <v>6326</v>
      </c>
      <c r="C8" s="760" t="s">
        <v>335</v>
      </c>
      <c r="D8" s="761" t="s">
        <v>335</v>
      </c>
      <c r="E8" s="762" t="s">
        <v>743</v>
      </c>
      <c r="F8" s="761" t="s">
        <v>990</v>
      </c>
      <c r="G8" s="762" t="s">
        <v>100</v>
      </c>
      <c r="H8" s="761" t="s">
        <v>149</v>
      </c>
      <c r="I8" s="763" t="s">
        <v>1326</v>
      </c>
      <c r="J8" s="761" t="str">
        <f>HYPERLINK("https://youtu.be/ZP_d48CVxG0","1:19.30")</f>
        <v>1:19.30</v>
      </c>
      <c r="K8" s="764" t="s">
        <v>6327</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6328</v>
      </c>
      <c r="AU8" s="762"/>
      <c r="AV8" s="762"/>
      <c r="AW8" s="762"/>
      <c r="AX8" s="762"/>
      <c r="AY8" s="762"/>
      <c r="AZ8" s="762"/>
      <c r="BA8" s="762"/>
      <c r="BB8" s="766"/>
      <c r="BC8" s="766"/>
      <c r="BD8" s="764"/>
      <c r="BE8" s="764"/>
      <c r="BF8" s="764"/>
      <c r="BG8" s="764"/>
      <c r="BH8" s="766"/>
      <c r="BI8" s="766"/>
      <c r="BJ8" s="766"/>
    </row>
    <row r="9" ht="15.75" customHeight="1">
      <c r="A9" s="771" t="s">
        <v>6329</v>
      </c>
      <c r="B9" s="772" t="s">
        <v>6314</v>
      </c>
      <c r="C9" s="760" t="s">
        <v>6330</v>
      </c>
      <c r="D9" s="767" t="s">
        <v>6330</v>
      </c>
      <c r="E9" s="767" t="s">
        <v>1071</v>
      </c>
      <c r="F9" s="767"/>
      <c r="G9" s="767" t="s">
        <v>1071</v>
      </c>
      <c r="H9" s="767"/>
      <c r="I9" s="773"/>
      <c r="J9" s="767" t="s">
        <v>1282</v>
      </c>
      <c r="K9" s="764"/>
      <c r="L9" s="767"/>
      <c r="M9" s="767" t="s">
        <v>6331</v>
      </c>
      <c r="N9" s="767" t="s">
        <v>6332</v>
      </c>
      <c r="O9" s="767"/>
      <c r="P9" s="767" t="s">
        <v>925</v>
      </c>
      <c r="Q9" s="767" t="s">
        <v>6333</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6334</v>
      </c>
      <c r="B10" s="772" t="s">
        <v>6316</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6335</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6326</v>
      </c>
      <c r="C11" s="760" t="s">
        <v>6336</v>
      </c>
      <c r="D11" s="761" t="s">
        <v>1241</v>
      </c>
      <c r="E11" s="762"/>
      <c r="F11" s="761" t="s">
        <v>6336</v>
      </c>
      <c r="G11" s="762"/>
      <c r="H11" s="762"/>
      <c r="I11" s="763" t="s">
        <v>2070</v>
      </c>
      <c r="J11" s="762"/>
      <c r="K11" s="764"/>
      <c r="L11" s="762"/>
      <c r="M11" s="762"/>
      <c r="N11" s="762"/>
      <c r="O11" s="762"/>
      <c r="P11" s="762"/>
      <c r="Q11" s="762"/>
      <c r="R11" s="762"/>
      <c r="S11" s="762"/>
      <c r="T11" s="762"/>
      <c r="U11" s="762"/>
      <c r="V11" s="761" t="s">
        <v>6337</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6338</v>
      </c>
      <c r="B12" s="759" t="s">
        <v>6339</v>
      </c>
      <c r="C12" s="760" t="s">
        <v>2815</v>
      </c>
      <c r="D12" s="767" t="s">
        <v>2815</v>
      </c>
      <c r="E12" s="767" t="s">
        <v>4415</v>
      </c>
      <c r="F12" s="767"/>
      <c r="G12" s="767"/>
      <c r="H12" s="767"/>
      <c r="I12" s="763" t="s">
        <v>6340</v>
      </c>
      <c r="J12" s="767" t="s">
        <v>6341</v>
      </c>
      <c r="K12" s="764" t="s">
        <v>3126</v>
      </c>
      <c r="L12" s="767"/>
      <c r="M12" s="767"/>
      <c r="N12" s="767" t="s">
        <v>6342</v>
      </c>
      <c r="O12" s="767" t="s">
        <v>3974</v>
      </c>
      <c r="P12" s="767" t="s">
        <v>4415</v>
      </c>
      <c r="Q12" s="767" t="s">
        <v>4186</v>
      </c>
      <c r="R12" s="767"/>
      <c r="S12" s="767"/>
      <c r="T12" s="767" t="s">
        <v>2708</v>
      </c>
      <c r="U12" s="767"/>
      <c r="V12" s="767"/>
      <c r="W12" s="767"/>
      <c r="X12" s="767"/>
      <c r="Y12" s="767"/>
      <c r="Z12" s="767" t="s">
        <v>6343</v>
      </c>
      <c r="AA12" s="767"/>
      <c r="AB12" s="767"/>
      <c r="AC12" s="767"/>
      <c r="AD12" s="767"/>
      <c r="AE12" s="767"/>
      <c r="AF12" s="767" t="s">
        <v>1891</v>
      </c>
      <c r="AG12" s="767"/>
      <c r="AH12" s="767"/>
      <c r="AI12" s="767"/>
      <c r="AJ12" s="767"/>
      <c r="AK12" s="767" t="s">
        <v>5882</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6344</v>
      </c>
      <c r="C13" s="760" t="s">
        <v>336</v>
      </c>
      <c r="D13" s="761" t="s">
        <v>336</v>
      </c>
      <c r="E13" s="761" t="s">
        <v>2095</v>
      </c>
      <c r="F13" s="761" t="s">
        <v>6345</v>
      </c>
      <c r="G13" s="762" t="s">
        <v>2330</v>
      </c>
      <c r="H13" s="761" t="s">
        <v>991</v>
      </c>
      <c r="I13" s="763" t="s">
        <v>1327</v>
      </c>
      <c r="J13" s="762" t="s">
        <v>6346</v>
      </c>
      <c r="K13" s="764" t="s">
        <v>2815</v>
      </c>
      <c r="L13" s="761" t="s">
        <v>723</v>
      </c>
      <c r="M13" s="762" t="s">
        <v>1503</v>
      </c>
      <c r="N13" s="762" t="s">
        <v>6347</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6329</v>
      </c>
      <c r="B14" s="776" t="s">
        <v>6339</v>
      </c>
      <c r="C14" s="760" t="s">
        <v>5947</v>
      </c>
      <c r="D14" s="767" t="s">
        <v>5947</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6348</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6344</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6334</v>
      </c>
      <c r="B16" s="778" t="s">
        <v>6349</v>
      </c>
      <c r="C16" s="760" t="s">
        <v>6350</v>
      </c>
      <c r="D16" s="767"/>
      <c r="E16" s="767" t="s">
        <v>6350</v>
      </c>
      <c r="F16" s="767"/>
      <c r="G16" s="767"/>
      <c r="H16" s="767"/>
      <c r="I16" s="773"/>
      <c r="J16" s="767"/>
      <c r="K16" s="764"/>
      <c r="L16" s="767"/>
      <c r="M16" s="767"/>
      <c r="N16" s="767"/>
      <c r="O16" s="767"/>
      <c r="P16" s="767"/>
      <c r="Q16" s="767" t="s">
        <v>6351</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6352</v>
      </c>
      <c r="C17" s="760" t="s">
        <v>6353</v>
      </c>
      <c r="D17" s="761" t="s">
        <v>1166</v>
      </c>
      <c r="E17" s="762"/>
      <c r="F17" s="761" t="s">
        <v>1846</v>
      </c>
      <c r="G17" s="762" t="s">
        <v>6354</v>
      </c>
      <c r="H17" s="762" t="s">
        <v>6355</v>
      </c>
      <c r="I17" s="763" t="s">
        <v>2207</v>
      </c>
      <c r="J17" s="762"/>
      <c r="K17" s="764" t="s">
        <v>6356</v>
      </c>
      <c r="L17" s="761" t="s">
        <v>6354</v>
      </c>
      <c r="M17" s="762" t="s">
        <v>6350</v>
      </c>
      <c r="N17" s="762"/>
      <c r="O17" s="762"/>
      <c r="P17" s="762" t="s">
        <v>6357</v>
      </c>
      <c r="Q17" s="762"/>
      <c r="R17" s="762" t="s">
        <v>6354</v>
      </c>
      <c r="S17" s="762"/>
      <c r="T17" s="762"/>
      <c r="U17" s="762"/>
      <c r="V17" s="761" t="s">
        <v>1846</v>
      </c>
      <c r="W17" s="762"/>
      <c r="X17" s="762"/>
      <c r="Y17" s="761" t="s">
        <v>6353</v>
      </c>
      <c r="Z17" s="762"/>
      <c r="AA17" s="762"/>
      <c r="AB17" s="762"/>
      <c r="AC17" s="762"/>
      <c r="AD17" s="762"/>
      <c r="AE17" s="762"/>
      <c r="AF17" s="762"/>
      <c r="AG17" s="762"/>
      <c r="AH17" s="762"/>
      <c r="AI17" s="762"/>
      <c r="AJ17" s="762"/>
      <c r="AK17" s="762"/>
      <c r="AL17" s="762"/>
      <c r="AM17" s="762"/>
      <c r="AN17" s="762"/>
      <c r="AO17" s="762"/>
      <c r="AP17" s="762"/>
      <c r="AQ17" s="762"/>
      <c r="AR17" s="762" t="s">
        <v>6358</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6359</v>
      </c>
      <c r="B18" s="772" t="s">
        <v>6360</v>
      </c>
      <c r="C18" s="760" t="s">
        <v>2389</v>
      </c>
      <c r="D18" s="767" t="s">
        <v>2389</v>
      </c>
      <c r="E18" s="767" t="s">
        <v>3006</v>
      </c>
      <c r="F18" s="767"/>
      <c r="G18" s="767" t="s">
        <v>923</v>
      </c>
      <c r="H18" s="767"/>
      <c r="I18" s="773"/>
      <c r="J18" s="767" t="str">
        <f>HYPERLINK("https://youtu.be/t-1yqXLdZMA","38.05")</f>
        <v>38.05</v>
      </c>
      <c r="K18" s="764"/>
      <c r="L18" s="767" t="s">
        <v>6361</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6362</v>
      </c>
      <c r="B19" s="759" t="s">
        <v>6363</v>
      </c>
      <c r="C19" s="760" t="s">
        <v>1784</v>
      </c>
      <c r="D19" s="767" t="s">
        <v>1103</v>
      </c>
      <c r="E19" s="767" t="s">
        <v>6364</v>
      </c>
      <c r="F19" s="767"/>
      <c r="G19" s="767"/>
      <c r="H19" s="767"/>
      <c r="I19" s="763" t="s">
        <v>4361</v>
      </c>
      <c r="J19" s="767" t="s">
        <v>4087</v>
      </c>
      <c r="K19" s="764"/>
      <c r="L19" s="767"/>
      <c r="M19" s="767"/>
      <c r="N19" s="767" t="str">
        <f>HYPERLINK("https://www.youtube.com/watch?v=2TATjRbAkgw","46.87")</f>
        <v>46.87</v>
      </c>
      <c r="O19" s="767" t="s">
        <v>6365</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6366</v>
      </c>
      <c r="C20" s="760" t="s">
        <v>2851</v>
      </c>
      <c r="D20" s="767" t="s">
        <v>969</v>
      </c>
      <c r="E20" s="767"/>
      <c r="F20" s="767"/>
      <c r="G20" s="767"/>
      <c r="H20" s="767"/>
      <c r="I20" s="773"/>
      <c r="J20" s="767"/>
      <c r="K20" s="764"/>
      <c r="L20" s="767"/>
      <c r="M20" s="767"/>
      <c r="N20" s="767"/>
      <c r="O20" s="767" t="s">
        <v>6367</v>
      </c>
      <c r="P20" s="767" t="s">
        <v>6368</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6369</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6370</v>
      </c>
      <c r="C21" s="760" t="s">
        <v>6371</v>
      </c>
      <c r="D21" s="767" t="s">
        <v>6371</v>
      </c>
      <c r="E21" s="767" t="s">
        <v>588</v>
      </c>
      <c r="F21" s="767" t="s">
        <v>993</v>
      </c>
      <c r="G21" s="767" t="s">
        <v>624</v>
      </c>
      <c r="H21" s="767" t="s">
        <v>4193</v>
      </c>
      <c r="I21" s="763" t="s">
        <v>1329</v>
      </c>
      <c r="J21" s="767" t="str">
        <f>HYPERLINK("https://clips.twitch.tv/EnergeticBeautifulMallardRalpherZ","42.96")</f>
        <v>42.96</v>
      </c>
      <c r="K21" s="764" t="s">
        <v>6372</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6373</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6374</v>
      </c>
      <c r="B22" s="759" t="s">
        <v>6375</v>
      </c>
      <c r="C22" s="760" t="s">
        <v>6350</v>
      </c>
      <c r="D22" s="780" t="s">
        <v>159</v>
      </c>
      <c r="E22" s="780"/>
      <c r="F22" s="780"/>
      <c r="G22" s="780"/>
      <c r="H22" s="780"/>
      <c r="I22" s="773" t="s">
        <v>4040</v>
      </c>
      <c r="J22" s="780"/>
      <c r="K22" s="781"/>
      <c r="L22" s="780"/>
      <c r="M22" s="780"/>
      <c r="N22" s="780"/>
      <c r="O22" s="780"/>
      <c r="P22" s="780" t="s">
        <v>6376</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6377</v>
      </c>
      <c r="C23" s="760" t="s">
        <v>6378</v>
      </c>
      <c r="D23" s="767" t="s">
        <v>3733</v>
      </c>
      <c r="E23" s="767"/>
      <c r="F23" s="767"/>
      <c r="G23" s="767" t="s">
        <v>784</v>
      </c>
      <c r="H23" s="767" t="s">
        <v>6379</v>
      </c>
      <c r="I23" s="773"/>
      <c r="J23" s="767"/>
      <c r="K23" s="764"/>
      <c r="L23" s="767"/>
      <c r="M23" s="767"/>
      <c r="N23" s="767"/>
      <c r="O23" s="767"/>
      <c r="P23" s="767" t="s">
        <v>3267</v>
      </c>
      <c r="Q23" s="767"/>
      <c r="R23" s="767"/>
      <c r="S23" s="767"/>
      <c r="T23" s="767"/>
      <c r="U23" s="767"/>
      <c r="V23" s="767" t="s">
        <v>6380</v>
      </c>
      <c r="W23" s="767"/>
      <c r="X23" s="767"/>
      <c r="Y23" s="767" t="s">
        <v>6378</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6381</v>
      </c>
      <c r="B24" s="759" t="s">
        <v>6382</v>
      </c>
      <c r="C24" s="760" t="s">
        <v>251</v>
      </c>
      <c r="D24" s="767" t="s">
        <v>251</v>
      </c>
      <c r="E24" s="767"/>
      <c r="F24" s="767"/>
      <c r="G24" s="767"/>
      <c r="H24" s="767"/>
      <c r="I24" s="773"/>
      <c r="J24" s="767"/>
      <c r="K24" s="764"/>
      <c r="L24" s="767"/>
      <c r="M24" s="767"/>
      <c r="N24" s="767" t="s">
        <v>6383</v>
      </c>
      <c r="O24" s="767"/>
      <c r="P24" s="767" t="s">
        <v>6384</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6385</v>
      </c>
      <c r="C25" s="760" t="s">
        <v>6386</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6387</v>
      </c>
      <c r="C26" s="760" t="s">
        <v>2818</v>
      </c>
      <c r="D26" s="767" t="s">
        <v>6388</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6389</v>
      </c>
      <c r="C27" s="760" t="s">
        <v>6390</v>
      </c>
      <c r="D27" s="767" t="s">
        <v>6390</v>
      </c>
      <c r="E27" s="767"/>
      <c r="F27" s="767" t="s">
        <v>6391</v>
      </c>
      <c r="G27" s="767"/>
      <c r="H27" s="767"/>
      <c r="I27" s="763" t="s">
        <v>1331</v>
      </c>
      <c r="J27" s="767"/>
      <c r="K27" s="764" t="s">
        <v>6392</v>
      </c>
      <c r="L27" s="767" t="s">
        <v>6393</v>
      </c>
      <c r="M27" s="767" t="s">
        <v>4348</v>
      </c>
      <c r="N27" s="767"/>
      <c r="O27" s="767" t="s">
        <v>6394</v>
      </c>
      <c r="P27" s="767" t="s">
        <v>6395</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6329</v>
      </c>
      <c r="B28" s="772" t="s">
        <v>6396</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6397</v>
      </c>
      <c r="AV28" s="767"/>
      <c r="AW28" s="767"/>
      <c r="AX28" s="767"/>
      <c r="AY28" s="767"/>
      <c r="AZ28" s="767"/>
      <c r="BA28" s="767"/>
      <c r="BB28" s="766"/>
      <c r="BC28" s="766"/>
      <c r="BD28" s="764"/>
      <c r="BE28" s="764"/>
      <c r="BF28" s="764"/>
      <c r="BG28" s="764"/>
      <c r="BH28" s="766"/>
      <c r="BI28" s="766"/>
      <c r="BJ28" s="766"/>
    </row>
    <row r="29" ht="15.75" customHeight="1">
      <c r="A29" s="782"/>
      <c r="B29" s="775" t="s">
        <v>6398</v>
      </c>
      <c r="C29" s="760" t="s">
        <v>2776</v>
      </c>
      <c r="D29" s="767" t="s">
        <v>2776</v>
      </c>
      <c r="E29" s="767"/>
      <c r="F29" s="767"/>
      <c r="G29" s="767"/>
      <c r="H29" s="767"/>
      <c r="I29" s="773"/>
      <c r="J29" s="767"/>
      <c r="K29" s="764"/>
      <c r="L29" s="767"/>
      <c r="M29" s="767"/>
      <c r="N29" s="767"/>
      <c r="O29" s="767" t="s">
        <v>6399</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6400</v>
      </c>
      <c r="C30" s="760" t="s">
        <v>4127</v>
      </c>
      <c r="D30" s="767" t="s">
        <v>1824</v>
      </c>
      <c r="E30" s="767" t="s">
        <v>1447</v>
      </c>
      <c r="F30" s="767"/>
      <c r="G30" s="767"/>
      <c r="H30" s="767"/>
      <c r="I30" s="773"/>
      <c r="J30" s="767" t="s">
        <v>4801</v>
      </c>
      <c r="K30" s="764"/>
      <c r="L30" s="767" t="s">
        <v>770</v>
      </c>
      <c r="M30" s="767"/>
      <c r="N30" s="767" t="s">
        <v>6399</v>
      </c>
      <c r="O30" s="767" t="s">
        <v>6401</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6402</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6403</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6404</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6405</v>
      </c>
      <c r="C34" s="760" t="s">
        <v>2819</v>
      </c>
      <c r="D34" s="767" t="s">
        <v>6401</v>
      </c>
      <c r="E34" s="767" t="s">
        <v>4753</v>
      </c>
      <c r="F34" s="767"/>
      <c r="G34" s="767"/>
      <c r="H34" s="767"/>
      <c r="I34" s="773"/>
      <c r="J34" s="767"/>
      <c r="K34" s="764"/>
      <c r="L34" s="767" t="s">
        <v>2819</v>
      </c>
      <c r="M34" s="767"/>
      <c r="N34" s="767"/>
      <c r="O34" s="767" t="s">
        <v>3721</v>
      </c>
      <c r="P34" s="767" t="s">
        <v>6406</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6407</v>
      </c>
      <c r="C35" s="760" t="s">
        <v>4020</v>
      </c>
      <c r="D35" s="767" t="s">
        <v>3674</v>
      </c>
      <c r="E35" s="767" t="s">
        <v>2692</v>
      </c>
      <c r="F35" s="767"/>
      <c r="G35" s="767" t="s">
        <v>2253</v>
      </c>
      <c r="H35" s="767"/>
      <c r="I35" s="773"/>
      <c r="J35" s="767"/>
      <c r="K35" s="764"/>
      <c r="L35" s="767" t="s">
        <v>4020</v>
      </c>
      <c r="M35" s="767"/>
      <c r="N35" s="767"/>
      <c r="O35" s="767" t="s">
        <v>6408</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6409</v>
      </c>
      <c r="C36" s="760" t="s">
        <v>2298</v>
      </c>
      <c r="D36" s="767" t="s">
        <v>2819</v>
      </c>
      <c r="E36" s="767" t="s">
        <v>6408</v>
      </c>
      <c r="F36" s="767"/>
      <c r="G36" s="767"/>
      <c r="H36" s="767"/>
      <c r="I36" s="773"/>
      <c r="J36" s="767" t="s">
        <v>6410</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6411</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6334</v>
      </c>
      <c r="B38" s="772" t="s">
        <v>6412</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6413</v>
      </c>
      <c r="AC38" s="767"/>
      <c r="AD38" s="767"/>
      <c r="AE38" s="767"/>
      <c r="AF38" s="767"/>
      <c r="AG38" s="767"/>
      <c r="AH38" s="767"/>
      <c r="AI38" s="767"/>
      <c r="AJ38" s="767"/>
      <c r="AK38" s="767"/>
      <c r="AL38" s="767"/>
      <c r="AM38" s="767"/>
      <c r="AN38" s="767"/>
      <c r="AO38" s="767"/>
      <c r="AP38" s="767"/>
      <c r="AQ38" s="767"/>
      <c r="AR38" s="767" t="s">
        <v>6414</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6415</v>
      </c>
      <c r="C39" s="760" t="s">
        <v>2522</v>
      </c>
      <c r="D39" s="767" t="s">
        <v>3388</v>
      </c>
      <c r="E39" s="767"/>
      <c r="F39" s="767"/>
      <c r="G39" s="767"/>
      <c r="H39" s="767" t="s">
        <v>6416</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6417</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6359</v>
      </c>
      <c r="B40" s="772" t="s">
        <v>6360</v>
      </c>
      <c r="C40" s="760" t="s">
        <v>4749</v>
      </c>
      <c r="D40" s="767" t="s">
        <v>2831</v>
      </c>
      <c r="E40" s="767" t="s">
        <v>783</v>
      </c>
      <c r="F40" s="767"/>
      <c r="G40" s="767" t="s">
        <v>275</v>
      </c>
      <c r="H40" s="767"/>
      <c r="I40" s="773"/>
      <c r="J40" s="767" t="s">
        <v>1728</v>
      </c>
      <c r="K40" s="764"/>
      <c r="L40" s="767"/>
      <c r="M40" s="767"/>
      <c r="N40" s="767" t="str">
        <f>HYPERLINK("https://youtu.be/Z3lDpXDeu-A","48.50")</f>
        <v>48.50</v>
      </c>
      <c r="O40" s="767" t="s">
        <v>6418</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6419</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6420</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6421</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6422</v>
      </c>
      <c r="B44" s="759" t="s">
        <v>6423</v>
      </c>
      <c r="C44" s="760" t="s">
        <v>1000</v>
      </c>
      <c r="D44" s="767" t="s">
        <v>6424</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6425</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6426</v>
      </c>
      <c r="B46" s="759" t="s">
        <v>6427</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6428</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6314</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6429</v>
      </c>
      <c r="B49" s="794" t="s">
        <v>6430</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6431</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6432</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6433</v>
      </c>
      <c r="C51" s="795">
        <v>52.89</v>
      </c>
      <c r="D51" s="800"/>
      <c r="E51" s="800"/>
      <c r="F51" s="800"/>
      <c r="G51" s="800"/>
      <c r="H51" s="800"/>
      <c r="I51" s="773"/>
      <c r="J51" s="800"/>
      <c r="K51" s="764"/>
      <c r="L51" s="800"/>
      <c r="M51" s="800"/>
      <c r="N51" s="801" t="s">
        <v>6434</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6435</v>
      </c>
      <c r="C52" s="795" t="s">
        <v>238</v>
      </c>
      <c r="D52" s="802" t="s">
        <v>349</v>
      </c>
      <c r="E52" s="802"/>
      <c r="F52" s="802" t="s">
        <v>6436</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6334</v>
      </c>
      <c r="B53" s="804" t="s">
        <v>6430</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6432</v>
      </c>
      <c r="C54" s="795" t="s">
        <v>465</v>
      </c>
      <c r="D54" s="802" t="s">
        <v>6437</v>
      </c>
      <c r="E54" s="802"/>
      <c r="F54" s="802"/>
      <c r="G54" s="802"/>
      <c r="H54" s="802" t="s">
        <v>465</v>
      </c>
      <c r="I54" s="773"/>
      <c r="J54" s="802"/>
      <c r="K54" s="764" t="s">
        <v>6438</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6433</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6435</v>
      </c>
      <c r="C56" s="795" t="s">
        <v>414</v>
      </c>
      <c r="D56" s="802" t="s">
        <v>3070</v>
      </c>
      <c r="E56" s="802"/>
      <c r="F56" s="802" t="s">
        <v>3759</v>
      </c>
      <c r="G56" s="802"/>
      <c r="H56" s="802" t="s">
        <v>619</v>
      </c>
      <c r="I56" s="763" t="s">
        <v>6439</v>
      </c>
      <c r="J56" s="802"/>
      <c r="K56" s="764" t="s">
        <v>6440</v>
      </c>
      <c r="L56" s="802"/>
      <c r="M56" s="802"/>
      <c r="N56" s="802"/>
      <c r="O56" s="802"/>
      <c r="P56" s="802" t="s">
        <v>6368</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6329</v>
      </c>
      <c r="B57" s="806" t="s">
        <v>6314</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6315</v>
      </c>
      <c r="B58" s="794" t="s">
        <v>6314</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6441</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6329</v>
      </c>
      <c r="B59" s="804" t="s">
        <v>6442</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6443</v>
      </c>
      <c r="AU59" s="786"/>
      <c r="AV59" s="786"/>
      <c r="AW59" s="786"/>
      <c r="AX59" s="786"/>
      <c r="AY59" s="786"/>
      <c r="AZ59" s="786"/>
      <c r="BA59" s="786"/>
      <c r="BB59" s="768"/>
      <c r="BC59" s="768"/>
      <c r="BD59" s="810"/>
      <c r="BE59" s="797"/>
      <c r="BF59" s="797"/>
      <c r="BG59" s="797"/>
      <c r="BH59" s="768"/>
      <c r="BI59" s="768"/>
      <c r="BJ59" s="768"/>
    </row>
    <row r="60" ht="15.75" customHeight="1">
      <c r="A60" s="811"/>
      <c r="B60" s="799" t="s">
        <v>6444</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6368</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6334</v>
      </c>
      <c r="B61" s="804" t="s">
        <v>6442</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6444</v>
      </c>
      <c r="C62" s="795" t="s">
        <v>2310</v>
      </c>
      <c r="D62" s="767" t="s">
        <v>4326</v>
      </c>
      <c r="E62" s="767" t="s">
        <v>4326</v>
      </c>
      <c r="F62" s="767"/>
      <c r="G62" s="767"/>
      <c r="H62" s="767" t="s">
        <v>571</v>
      </c>
      <c r="I62" s="773"/>
      <c r="J62" s="767"/>
      <c r="K62" s="764"/>
      <c r="L62" s="767" t="s">
        <v>6445</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6446</v>
      </c>
      <c r="B63" s="794" t="s">
        <v>6447</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6448</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6449</v>
      </c>
      <c r="C65" s="795" t="s">
        <v>660</v>
      </c>
      <c r="D65" s="786" t="s">
        <v>838</v>
      </c>
      <c r="E65" s="786" t="s">
        <v>5683</v>
      </c>
      <c r="F65" s="786" t="s">
        <v>6450</v>
      </c>
      <c r="G65" s="786" t="s">
        <v>6451</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6452</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6453</v>
      </c>
      <c r="B66" s="794" t="s">
        <v>6454</v>
      </c>
      <c r="C66" s="795" t="s">
        <v>2148</v>
      </c>
      <c r="D66" s="767" t="s">
        <v>2148</v>
      </c>
      <c r="E66" s="767"/>
      <c r="F66" s="767"/>
      <c r="G66" s="767"/>
      <c r="H66" s="767"/>
      <c r="I66" s="763" t="s">
        <v>6218</v>
      </c>
      <c r="J66" s="767" t="s">
        <v>6455</v>
      </c>
      <c r="K66" s="764"/>
      <c r="L66" s="767"/>
      <c r="M66" s="767"/>
      <c r="N66" s="767" t="s">
        <v>6456</v>
      </c>
      <c r="O66" s="767" t="s">
        <v>6457</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6458</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6459</v>
      </c>
      <c r="P67" s="767" t="s">
        <v>6460</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6329</v>
      </c>
      <c r="B68" s="804" t="s">
        <v>6461</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6462</v>
      </c>
      <c r="C69" s="795" t="s">
        <v>5877</v>
      </c>
      <c r="D69" s="767" t="s">
        <v>755</v>
      </c>
      <c r="E69" s="767" t="s">
        <v>755</v>
      </c>
      <c r="F69" s="767" t="s">
        <v>1003</v>
      </c>
      <c r="G69" s="767" t="s">
        <v>118</v>
      </c>
      <c r="H69" s="767" t="s">
        <v>5877</v>
      </c>
      <c r="I69" s="763" t="s">
        <v>1341</v>
      </c>
      <c r="J69" s="767" t="str">
        <f>HYPERLINK("https://www.youtube.com/watch?v=Imyo7x5mfG4&amp;feature=youtu.be","30.15")</f>
        <v>30.15</v>
      </c>
      <c r="K69" s="764" t="s">
        <v>4284</v>
      </c>
      <c r="L69" s="767" t="s">
        <v>1573</v>
      </c>
      <c r="M69" s="767"/>
      <c r="N69" s="767" t="s">
        <v>118</v>
      </c>
      <c r="O69" s="767" t="s">
        <v>1821</v>
      </c>
      <c r="P69" s="767" t="s">
        <v>6463</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6464</v>
      </c>
      <c r="AV69" s="767"/>
      <c r="AW69" s="767"/>
      <c r="AX69" s="767"/>
      <c r="AY69" s="767"/>
      <c r="AZ69" s="767"/>
      <c r="BA69" s="767"/>
      <c r="BB69" s="796"/>
      <c r="BC69" s="796"/>
      <c r="BD69" s="797"/>
      <c r="BE69" s="797"/>
      <c r="BF69" s="797"/>
      <c r="BG69" s="797"/>
      <c r="BH69" s="796"/>
      <c r="BI69" s="796"/>
      <c r="BJ69" s="796"/>
    </row>
    <row r="70" ht="15.75" customHeight="1">
      <c r="A70" s="803" t="s">
        <v>6334</v>
      </c>
      <c r="B70" s="804" t="s">
        <v>6454</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6465</v>
      </c>
      <c r="C71" s="795" t="s">
        <v>2715</v>
      </c>
      <c r="D71" s="767" t="s">
        <v>2387</v>
      </c>
      <c r="E71" s="767" t="s">
        <v>6466</v>
      </c>
      <c r="F71" s="767"/>
      <c r="G71" s="767"/>
      <c r="H71" s="767"/>
      <c r="I71" s="763" t="s">
        <v>6467</v>
      </c>
      <c r="J71" s="767"/>
      <c r="K71" s="764" t="s">
        <v>6468</v>
      </c>
      <c r="L71" s="767"/>
      <c r="M71" s="767"/>
      <c r="N71" s="767"/>
      <c r="O71" s="767"/>
      <c r="P71" s="767"/>
      <c r="Q71" s="767" t="s">
        <v>3711</v>
      </c>
      <c r="R71" s="767" t="s">
        <v>6468</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6469</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6359</v>
      </c>
      <c r="B73" s="804" t="s">
        <v>6360</v>
      </c>
      <c r="C73" s="795" t="s">
        <v>6470</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6374</v>
      </c>
      <c r="B74" s="794" t="s">
        <v>6471</v>
      </c>
      <c r="C74" s="795" t="s">
        <v>2206</v>
      </c>
      <c r="D74" s="767" t="s">
        <v>2206</v>
      </c>
      <c r="E74" s="767"/>
      <c r="F74" s="767"/>
      <c r="G74" s="767"/>
      <c r="H74" s="767"/>
      <c r="I74" s="763" t="s">
        <v>6472</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6473</v>
      </c>
      <c r="C75" s="795" t="s">
        <v>2605</v>
      </c>
      <c r="D75" s="767" t="s">
        <v>2605</v>
      </c>
      <c r="E75" s="767"/>
      <c r="F75" s="767"/>
      <c r="G75" s="767" t="s">
        <v>5067</v>
      </c>
      <c r="H75" s="767"/>
      <c r="I75" s="773"/>
      <c r="J75" s="767"/>
      <c r="K75" s="764" t="s">
        <v>3436</v>
      </c>
      <c r="L75" s="767"/>
      <c r="M75" s="767"/>
      <c r="N75" s="767" t="str">
        <f>HYPERLINK("https://youtu.be/HUwmtKe7cOY","56.54")</f>
        <v>56.54</v>
      </c>
      <c r="O75" s="767" t="s">
        <v>6474</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6475</v>
      </c>
      <c r="AU75" s="767"/>
      <c r="AV75" s="767"/>
      <c r="AW75" s="767"/>
      <c r="AX75" s="767"/>
      <c r="AY75" s="767"/>
      <c r="AZ75" s="767"/>
      <c r="BA75" s="767"/>
      <c r="BB75" s="796"/>
      <c r="BC75" s="796"/>
      <c r="BD75" s="797"/>
      <c r="BE75" s="797"/>
      <c r="BF75" s="797"/>
      <c r="BG75" s="797"/>
      <c r="BH75" s="796"/>
      <c r="BI75" s="796"/>
      <c r="BJ75" s="796"/>
    </row>
    <row r="76" ht="15.75" customHeight="1">
      <c r="A76" s="798"/>
      <c r="B76" s="799" t="s">
        <v>6476</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6477</v>
      </c>
      <c r="B77" s="794" t="s">
        <v>6478</v>
      </c>
      <c r="C77" s="795" t="s">
        <v>3184</v>
      </c>
      <c r="D77" s="767" t="s">
        <v>6479</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6480</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6481</v>
      </c>
      <c r="AY78" s="800"/>
      <c r="AZ78" s="800"/>
      <c r="BA78" s="800"/>
      <c r="BB78" s="768"/>
      <c r="BC78" s="768"/>
      <c r="BD78" s="797"/>
      <c r="BE78" s="797"/>
      <c r="BF78" s="797"/>
      <c r="BG78" s="797"/>
      <c r="BH78" s="768"/>
      <c r="BI78" s="768"/>
      <c r="BJ78" s="768"/>
    </row>
    <row r="79" ht="15.75" customHeight="1">
      <c r="A79" s="798"/>
      <c r="B79" s="799" t="s">
        <v>6482</v>
      </c>
      <c r="C79" s="795" t="s">
        <v>6188</v>
      </c>
      <c r="D79" s="802" t="s">
        <v>6483</v>
      </c>
      <c r="E79" s="802" t="s">
        <v>121</v>
      </c>
      <c r="F79" s="802" t="s">
        <v>664</v>
      </c>
      <c r="G79" s="802" t="s">
        <v>121</v>
      </c>
      <c r="H79" s="802" t="s">
        <v>1146</v>
      </c>
      <c r="I79" s="763" t="s">
        <v>1344</v>
      </c>
      <c r="J79" s="802" t="s">
        <v>2870</v>
      </c>
      <c r="K79" s="764" t="s">
        <v>6484</v>
      </c>
      <c r="L79" s="802"/>
      <c r="M79" s="802"/>
      <c r="N79" s="802" t="s">
        <v>6188</v>
      </c>
      <c r="O79" s="802" t="s">
        <v>6485</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6486</v>
      </c>
      <c r="AV79" s="802"/>
      <c r="AW79" s="802"/>
      <c r="AX79" s="802"/>
      <c r="AY79" s="802"/>
      <c r="AZ79" s="802"/>
      <c r="BA79" s="802"/>
      <c r="BB79" s="796"/>
      <c r="BC79" s="796"/>
      <c r="BD79" s="797"/>
      <c r="BE79" s="797"/>
      <c r="BF79" s="797"/>
      <c r="BG79" s="797"/>
      <c r="BH79" s="796"/>
      <c r="BI79" s="796"/>
      <c r="BJ79" s="796"/>
    </row>
    <row r="80" ht="15.75" customHeight="1">
      <c r="A80" s="816" t="s">
        <v>6487</v>
      </c>
      <c r="B80" s="806" t="s">
        <v>6314</v>
      </c>
      <c r="C80" s="817" t="s">
        <v>6488</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6488</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6489</v>
      </c>
      <c r="B81" s="806" t="s">
        <v>6314</v>
      </c>
      <c r="C81" s="817" t="s">
        <v>6490</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6490</v>
      </c>
      <c r="AS81" s="802"/>
      <c r="AT81" s="761" t="s">
        <v>6491</v>
      </c>
      <c r="AU81" s="802"/>
      <c r="AV81" s="802"/>
      <c r="AW81" s="802"/>
      <c r="AX81" s="802"/>
      <c r="AY81" s="802"/>
      <c r="AZ81" s="802"/>
      <c r="BA81" s="802"/>
      <c r="BB81" s="796"/>
      <c r="BC81" s="796"/>
      <c r="BD81" s="797"/>
      <c r="BE81" s="797"/>
      <c r="BF81" s="797"/>
      <c r="BG81" s="797"/>
      <c r="BH81" s="796"/>
      <c r="BI81" s="796"/>
      <c r="BJ81" s="796"/>
    </row>
    <row r="82" ht="15.75" customHeight="1">
      <c r="A82" s="793" t="s">
        <v>6422</v>
      </c>
      <c r="B82" s="794" t="s">
        <v>6423</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6492</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6493</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6494</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6495</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6496</v>
      </c>
      <c r="C85" s="795" t="s">
        <v>1147</v>
      </c>
      <c r="D85" s="761" t="s">
        <v>357</v>
      </c>
      <c r="E85" s="761" t="s">
        <v>5814</v>
      </c>
      <c r="F85" s="761" t="s">
        <v>122</v>
      </c>
      <c r="G85" s="762" t="s">
        <v>122</v>
      </c>
      <c r="H85" s="761" t="s">
        <v>1147</v>
      </c>
      <c r="I85" s="763" t="s">
        <v>1345</v>
      </c>
      <c r="J85" s="762"/>
      <c r="K85" s="764" t="s">
        <v>122</v>
      </c>
      <c r="L85" s="761" t="s">
        <v>6497</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6498</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6499</v>
      </c>
      <c r="C86" s="795" t="s">
        <v>2461</v>
      </c>
      <c r="D86" s="767"/>
      <c r="E86" s="767"/>
      <c r="F86" s="767"/>
      <c r="G86" s="767"/>
      <c r="H86" s="762" t="s">
        <v>6500</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6426</v>
      </c>
      <c r="B87" s="794" t="s">
        <v>6501</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6314</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6502</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6313</v>
      </c>
      <c r="B90" s="824"/>
      <c r="C90" s="825" t="s">
        <v>4083</v>
      </c>
      <c r="D90" s="826" t="s">
        <v>2425</v>
      </c>
      <c r="E90" s="826"/>
      <c r="F90" s="826"/>
      <c r="G90" s="826" t="s">
        <v>845</v>
      </c>
      <c r="H90" s="826"/>
      <c r="I90" s="763" t="s">
        <v>5783</v>
      </c>
      <c r="J90" s="826" t="str">
        <f>HYPERLINK("https://youtu.be/ycBfir2aflI","41.70")</f>
        <v>41.70</v>
      </c>
      <c r="K90" s="827" t="s">
        <v>2034</v>
      </c>
      <c r="L90" s="826" t="s">
        <v>6346</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6329</v>
      </c>
      <c r="B91" s="831"/>
      <c r="C91" s="825" t="s">
        <v>1708</v>
      </c>
      <c r="D91" s="832"/>
      <c r="E91" s="832" t="s">
        <v>761</v>
      </c>
      <c r="F91" s="832" t="s">
        <v>1708</v>
      </c>
      <c r="G91" s="832" t="s">
        <v>846</v>
      </c>
      <c r="H91" s="832"/>
      <c r="I91" s="763" t="s">
        <v>6437</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6334</v>
      </c>
      <c r="B92" s="834"/>
      <c r="C92" s="825" t="s">
        <v>3424</v>
      </c>
      <c r="D92" s="832"/>
      <c r="E92" s="832"/>
      <c r="F92" s="832"/>
      <c r="G92" s="832" t="s">
        <v>4326</v>
      </c>
      <c r="H92" s="832"/>
      <c r="I92" s="763" t="s">
        <v>5826</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6359</v>
      </c>
      <c r="B93" s="831" t="s">
        <v>6360</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6503</v>
      </c>
      <c r="B94" s="835" t="s">
        <v>6504</v>
      </c>
      <c r="C94" s="825" t="s">
        <v>1515</v>
      </c>
      <c r="D94" s="832"/>
      <c r="E94" s="832"/>
      <c r="F94" s="832"/>
      <c r="G94" s="832" t="s">
        <v>129</v>
      </c>
      <c r="H94" s="832"/>
      <c r="I94" s="763" t="s">
        <v>1351</v>
      </c>
      <c r="J94" s="832" t="s">
        <v>6505</v>
      </c>
      <c r="K94" s="833"/>
      <c r="L94" s="832" t="s">
        <v>6506</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6508</v>
      </c>
      <c r="C95" s="825" t="s">
        <v>6509</v>
      </c>
      <c r="D95" s="832"/>
      <c r="E95" s="832"/>
      <c r="F95" s="832"/>
      <c r="G95" s="832"/>
      <c r="H95" s="832"/>
      <c r="I95" s="773"/>
      <c r="J95" s="832"/>
      <c r="K95" s="833"/>
      <c r="L95" s="832" t="s">
        <v>6509</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6446</v>
      </c>
      <c r="B96" s="835" t="s">
        <v>6510</v>
      </c>
      <c r="C96" s="825" t="s">
        <v>5542</v>
      </c>
      <c r="D96" s="832"/>
      <c r="E96" s="832"/>
      <c r="F96" s="832"/>
      <c r="G96" s="832"/>
      <c r="H96" s="832"/>
      <c r="I96" s="763" t="s">
        <v>609</v>
      </c>
      <c r="J96" s="832"/>
      <c r="K96" s="833"/>
      <c r="L96" s="832" t="s">
        <v>6511</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6512</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6453</v>
      </c>
      <c r="B97" s="835" t="s">
        <v>6513</v>
      </c>
      <c r="C97" s="825" t="s">
        <v>6514</v>
      </c>
      <c r="D97" s="832"/>
      <c r="E97" s="832"/>
      <c r="F97" s="832"/>
      <c r="G97" s="832" t="s">
        <v>848</v>
      </c>
      <c r="H97" s="832"/>
      <c r="I97" s="763" t="s">
        <v>4598</v>
      </c>
      <c r="J97" s="832" t="s">
        <v>6515</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6329</v>
      </c>
      <c r="B98" s="831" t="s">
        <v>6513</v>
      </c>
      <c r="C98" s="825" t="s">
        <v>6516</v>
      </c>
      <c r="D98" s="826" t="s">
        <v>365</v>
      </c>
      <c r="E98" s="826"/>
      <c r="F98" s="826"/>
      <c r="G98" s="826"/>
      <c r="H98" s="826"/>
      <c r="I98" s="763" t="s">
        <v>6517</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6334</v>
      </c>
      <c r="B99" s="838" t="s">
        <v>6504</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6518</v>
      </c>
      <c r="B100" s="839" t="s">
        <v>6314</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6477</v>
      </c>
      <c r="B101" s="835" t="s">
        <v>6360</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6519</v>
      </c>
      <c r="C102" s="825" t="s">
        <v>1325</v>
      </c>
      <c r="D102" s="832"/>
      <c r="E102" s="832"/>
      <c r="F102" s="832"/>
      <c r="G102" s="832" t="s">
        <v>849</v>
      </c>
      <c r="H102" s="832"/>
      <c r="I102" s="763" t="s">
        <v>1354</v>
      </c>
      <c r="J102" s="832" t="s">
        <v>6520</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6422</v>
      </c>
      <c r="B103" s="835" t="s">
        <v>6423</v>
      </c>
      <c r="C103" s="825" t="s">
        <v>1058</v>
      </c>
      <c r="D103" s="826" t="s">
        <v>5826</v>
      </c>
      <c r="E103" s="826" t="s">
        <v>1587</v>
      </c>
      <c r="F103" s="826"/>
      <c r="G103" s="826"/>
      <c r="H103" s="826" t="s">
        <v>5826</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6425</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6426</v>
      </c>
      <c r="B105" s="835" t="s">
        <v>6522</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5942</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6523</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6524</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6525</v>
      </c>
      <c r="C107" s="825" t="s">
        <v>6526</v>
      </c>
      <c r="D107" s="826" t="s">
        <v>6526</v>
      </c>
      <c r="E107" s="826" t="s">
        <v>768</v>
      </c>
      <c r="F107" s="826" t="s">
        <v>2240</v>
      </c>
      <c r="G107" s="826"/>
      <c r="H107" s="826"/>
      <c r="I107" s="773"/>
      <c r="J107" s="826" t="s">
        <v>257</v>
      </c>
      <c r="K107" s="827" t="s">
        <v>5861</v>
      </c>
      <c r="L107" s="826" t="s">
        <v>4898</v>
      </c>
      <c r="M107" s="826" t="s">
        <v>6527</v>
      </c>
      <c r="N107" s="826"/>
      <c r="O107" s="826" t="s">
        <v>934</v>
      </c>
      <c r="P107" s="826" t="s">
        <v>6528</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6529</v>
      </c>
      <c r="C108" s="825" t="s">
        <v>6530</v>
      </c>
      <c r="D108" s="832"/>
      <c r="E108" s="832"/>
      <c r="F108" s="832"/>
      <c r="G108" s="832"/>
      <c r="H108" s="832"/>
      <c r="I108" s="773"/>
      <c r="J108" s="832"/>
      <c r="K108" s="833"/>
      <c r="L108" s="832"/>
      <c r="M108" s="832"/>
      <c r="N108" s="832"/>
      <c r="O108" s="832"/>
      <c r="P108" s="832"/>
      <c r="Q108" s="832" t="s">
        <v>6531</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6532</v>
      </c>
      <c r="B109" s="839" t="s">
        <v>6314</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6504</v>
      </c>
      <c r="C110" s="825" t="s">
        <v>2777</v>
      </c>
      <c r="D110" s="832"/>
      <c r="E110" s="832"/>
      <c r="F110" s="832"/>
      <c r="G110" s="832" t="s">
        <v>852</v>
      </c>
      <c r="H110" s="832"/>
      <c r="I110" s="773"/>
      <c r="J110" s="832" t="s">
        <v>6533</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6534</v>
      </c>
      <c r="B112" s="849"/>
      <c r="C112" s="825" t="s">
        <v>3869</v>
      </c>
      <c r="D112" s="826" t="s">
        <v>6535</v>
      </c>
      <c r="E112" s="826"/>
      <c r="F112" s="826"/>
      <c r="G112" s="826" t="s">
        <v>6535</v>
      </c>
      <c r="H112" s="826" t="s">
        <v>3869</v>
      </c>
      <c r="I112" s="773"/>
      <c r="J112" s="826"/>
      <c r="K112" s="827" t="s">
        <v>6536</v>
      </c>
      <c r="L112" s="826"/>
      <c r="M112" s="826"/>
      <c r="N112" s="826"/>
      <c r="O112" s="826"/>
      <c r="P112" s="826"/>
      <c r="Q112" s="826" t="s">
        <v>6537</v>
      </c>
      <c r="R112" s="826" t="s">
        <v>6536</v>
      </c>
      <c r="S112" s="826" t="s">
        <v>6538</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6539</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6313</v>
      </c>
      <c r="B113" s="851" t="s">
        <v>6540</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6541</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6542</v>
      </c>
      <c r="C115" s="825" t="s">
        <v>2170</v>
      </c>
      <c r="D115" s="832"/>
      <c r="E115" s="832"/>
      <c r="F115" s="832"/>
      <c r="G115" s="832"/>
      <c r="H115" s="832"/>
      <c r="I115" s="763" t="s">
        <v>1258</v>
      </c>
      <c r="J115" s="832"/>
      <c r="K115" s="833" t="s">
        <v>6543</v>
      </c>
      <c r="L115" s="832" t="s">
        <v>2643</v>
      </c>
      <c r="M115" s="832"/>
      <c r="N115" s="832"/>
      <c r="O115" s="832" t="s">
        <v>6544</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6545</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6329</v>
      </c>
      <c r="B117" s="855" t="s">
        <v>6314</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6334</v>
      </c>
      <c r="B118" s="858" t="s">
        <v>6314</v>
      </c>
      <c r="C118" s="825" t="s">
        <v>6546</v>
      </c>
      <c r="D118" s="832"/>
      <c r="E118" s="832"/>
      <c r="F118" s="832"/>
      <c r="G118" s="832"/>
      <c r="H118" s="832" t="s">
        <v>6546</v>
      </c>
      <c r="I118" s="763" t="s">
        <v>6547</v>
      </c>
      <c r="J118" s="832"/>
      <c r="K118" s="833"/>
      <c r="L118" s="832"/>
      <c r="M118" s="832"/>
      <c r="N118" s="832"/>
      <c r="O118" s="832"/>
      <c r="P118" s="832"/>
      <c r="Q118" s="832" t="s">
        <v>6546</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6315</v>
      </c>
      <c r="B119" s="849"/>
      <c r="C119" s="825" t="s">
        <v>773</v>
      </c>
      <c r="D119" s="832"/>
      <c r="E119" s="832" t="s">
        <v>773</v>
      </c>
      <c r="F119" s="832"/>
      <c r="G119" s="832" t="s">
        <v>854</v>
      </c>
      <c r="H119" s="832"/>
      <c r="I119" s="763" t="s">
        <v>1360</v>
      </c>
      <c r="J119" s="832" t="str">
        <f>HYPERLINK("https://youtu.be/6f5dBhAmU1g","42.10")</f>
        <v>42.10</v>
      </c>
      <c r="K119" s="833" t="s">
        <v>1218</v>
      </c>
      <c r="L119" s="832" t="s">
        <v>6548</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6329</v>
      </c>
      <c r="B120" s="858" t="s">
        <v>6314</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6334</v>
      </c>
      <c r="B121" s="858" t="s">
        <v>6314</v>
      </c>
      <c r="C121" s="825" t="s">
        <v>6549</v>
      </c>
      <c r="D121" s="826" t="s">
        <v>6549</v>
      </c>
      <c r="E121" s="826" t="s">
        <v>6550</v>
      </c>
      <c r="F121" s="826"/>
      <c r="G121" s="826" t="s">
        <v>2920</v>
      </c>
      <c r="H121" s="826"/>
      <c r="I121" s="763" t="s">
        <v>6550</v>
      </c>
      <c r="J121" s="826"/>
      <c r="K121" s="827" t="s">
        <v>6549</v>
      </c>
      <c r="L121" s="826"/>
      <c r="M121" s="826"/>
      <c r="N121" s="826"/>
      <c r="O121" s="826"/>
      <c r="P121" s="826" t="s">
        <v>485</v>
      </c>
      <c r="Q121" s="826"/>
      <c r="R121" s="826"/>
      <c r="S121" s="826"/>
      <c r="T121" s="826"/>
      <c r="U121" s="826"/>
      <c r="V121" s="826" t="s">
        <v>6551</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6359</v>
      </c>
      <c r="B122" s="855" t="s">
        <v>6552</v>
      </c>
      <c r="C122" s="825" t="s">
        <v>6553</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6554</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6446</v>
      </c>
      <c r="B124" s="851" t="s">
        <v>6555</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6556</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6557</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6558</v>
      </c>
      <c r="C127" s="825" t="s">
        <v>375</v>
      </c>
      <c r="D127" s="763" t="s">
        <v>375</v>
      </c>
      <c r="E127" s="763" t="s">
        <v>4761</v>
      </c>
      <c r="F127" s="763" t="s">
        <v>6559</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6560</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6362</v>
      </c>
      <c r="B128" s="851" t="s">
        <v>6561</v>
      </c>
      <c r="C128" s="825" t="s">
        <v>563</v>
      </c>
      <c r="D128" s="832"/>
      <c r="E128" s="832"/>
      <c r="F128" s="763" t="s">
        <v>6562</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6563</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6564</v>
      </c>
      <c r="C129" s="825" t="s">
        <v>4431</v>
      </c>
      <c r="D129" s="860"/>
      <c r="E129" s="860"/>
      <c r="F129" s="860"/>
      <c r="G129" s="860"/>
      <c r="H129" s="860"/>
      <c r="I129" s="773"/>
      <c r="J129" s="860"/>
      <c r="K129" s="827"/>
      <c r="L129" s="763" t="s">
        <v>6565</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6566</v>
      </c>
      <c r="C130" s="825" t="s">
        <v>6567</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6374</v>
      </c>
      <c r="B131" s="851" t="s">
        <v>6568</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6569</v>
      </c>
      <c r="C132" s="825" t="s">
        <v>6570</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6381</v>
      </c>
      <c r="B133" s="851" t="s">
        <v>6571</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6572</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6329</v>
      </c>
      <c r="B135" s="855" t="s">
        <v>6571</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6573</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6572</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6528</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6334</v>
      </c>
      <c r="B137" s="855" t="s">
        <v>6314</v>
      </c>
      <c r="C137" s="825" t="s">
        <v>6574</v>
      </c>
      <c r="D137" s="860"/>
      <c r="E137" s="860"/>
      <c r="F137" s="860" t="s">
        <v>6574</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6575</v>
      </c>
      <c r="B138" s="858" t="s">
        <v>6576</v>
      </c>
      <c r="C138" s="825" t="s">
        <v>6577</v>
      </c>
      <c r="D138" s="826" t="s">
        <v>6577</v>
      </c>
      <c r="E138" s="826"/>
      <c r="F138" s="826"/>
      <c r="G138" s="826" t="s">
        <v>860</v>
      </c>
      <c r="H138" s="826"/>
      <c r="I138" s="773"/>
      <c r="J138" s="826" t="s">
        <v>6578</v>
      </c>
      <c r="K138" s="827"/>
      <c r="L138" s="826" t="s">
        <v>6579</v>
      </c>
      <c r="M138" s="826" t="s">
        <v>6580</v>
      </c>
      <c r="N138" s="826" t="s">
        <v>6581</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6582</v>
      </c>
      <c r="AI138" s="826"/>
      <c r="AJ138" s="826"/>
      <c r="AK138" s="826"/>
      <c r="AL138" s="826"/>
      <c r="AM138" s="826"/>
      <c r="AN138" s="826" t="s">
        <v>6583</v>
      </c>
      <c r="AO138" s="826"/>
      <c r="AP138" s="826"/>
      <c r="AQ138" s="826"/>
      <c r="AR138" s="826" t="s">
        <v>6584</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6585</v>
      </c>
      <c r="C139" s="825" t="s">
        <v>6586</v>
      </c>
      <c r="D139" s="832"/>
      <c r="E139" s="832"/>
      <c r="F139" s="832" t="s">
        <v>6586</v>
      </c>
      <c r="G139" s="832"/>
      <c r="H139" s="832"/>
      <c r="I139" s="773"/>
      <c r="J139" s="832"/>
      <c r="K139" s="833"/>
      <c r="L139" s="832"/>
      <c r="M139" s="832"/>
      <c r="N139" s="832"/>
      <c r="O139" s="832" t="s">
        <v>6587</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6588</v>
      </c>
      <c r="C140" s="825" t="s">
        <v>6589</v>
      </c>
      <c r="D140" s="763" t="s">
        <v>380</v>
      </c>
      <c r="E140" s="773"/>
      <c r="F140" s="773"/>
      <c r="G140" s="773"/>
      <c r="H140" s="773" t="s">
        <v>6590</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6591</v>
      </c>
      <c r="C141" s="760" t="s">
        <v>3218</v>
      </c>
      <c r="D141" s="832"/>
      <c r="E141" s="832" t="s">
        <v>6592</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6593</v>
      </c>
      <c r="B142" s="858" t="s">
        <v>6576</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6585</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6588</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6594</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6591</v>
      </c>
      <c r="C145" s="760" t="s">
        <v>1431</v>
      </c>
      <c r="D145" s="861"/>
      <c r="E145" s="826" t="s">
        <v>4895</v>
      </c>
      <c r="F145" s="861"/>
      <c r="G145" s="861"/>
      <c r="H145" s="861" t="s">
        <v>6595</v>
      </c>
      <c r="I145" s="763" t="s">
        <v>6596</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6597</v>
      </c>
      <c r="B146" s="858" t="s">
        <v>6598</v>
      </c>
      <c r="C146" s="825" t="s">
        <v>6599</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6600</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6601</v>
      </c>
      <c r="B148" s="858" t="s">
        <v>6602</v>
      </c>
      <c r="C148" s="760" t="s">
        <v>6603</v>
      </c>
      <c r="D148" s="861"/>
      <c r="E148" s="826" t="s">
        <v>1391</v>
      </c>
      <c r="F148" s="861"/>
      <c r="G148" s="861"/>
      <c r="H148" s="826" t="s">
        <v>6604</v>
      </c>
      <c r="I148" s="763" t="s">
        <v>6605</v>
      </c>
      <c r="J148" s="861" t="s">
        <v>6606</v>
      </c>
      <c r="K148" s="827"/>
      <c r="L148" s="861"/>
      <c r="M148" s="861"/>
      <c r="N148" s="861"/>
      <c r="O148" s="861"/>
      <c r="P148" s="861"/>
      <c r="Q148" s="763" t="s">
        <v>6603</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6607</v>
      </c>
      <c r="C149" s="825" t="s">
        <v>6608</v>
      </c>
      <c r="D149" s="861"/>
      <c r="E149" s="861"/>
      <c r="F149" s="861"/>
      <c r="G149" s="861"/>
      <c r="H149" s="826" t="s">
        <v>6609</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6610</v>
      </c>
      <c r="C150" s="825" t="s">
        <v>6611</v>
      </c>
      <c r="D150" s="861"/>
      <c r="E150" s="861"/>
      <c r="F150" s="861"/>
      <c r="G150" s="861"/>
      <c r="H150" s="826" t="s">
        <v>6611</v>
      </c>
      <c r="I150" s="773"/>
      <c r="J150" s="861" t="s">
        <v>6612</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6613</v>
      </c>
      <c r="C151" s="825" t="s">
        <v>744</v>
      </c>
      <c r="D151" s="861"/>
      <c r="E151" s="826" t="s">
        <v>3493</v>
      </c>
      <c r="F151" s="861"/>
      <c r="G151" s="861"/>
      <c r="H151" s="826" t="s">
        <v>744</v>
      </c>
      <c r="I151" s="773"/>
      <c r="J151" s="861"/>
      <c r="K151" s="827"/>
      <c r="L151" s="861"/>
      <c r="M151" s="861"/>
      <c r="N151" s="861"/>
      <c r="O151" s="861"/>
      <c r="P151" s="861"/>
      <c r="Q151" s="861"/>
      <c r="R151" s="861" t="s">
        <v>6146</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6359</v>
      </c>
      <c r="B152" s="855" t="s">
        <v>6314</v>
      </c>
      <c r="C152" s="825" t="s">
        <v>1523</v>
      </c>
      <c r="D152" s="826" t="s">
        <v>6614</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6422</v>
      </c>
      <c r="B153" s="863" t="s">
        <v>6615</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6616</v>
      </c>
      <c r="C154" s="825" t="s">
        <v>2428</v>
      </c>
      <c r="D154" s="826" t="s">
        <v>6617</v>
      </c>
      <c r="E154" s="826"/>
      <c r="F154" s="826" t="s">
        <v>967</v>
      </c>
      <c r="G154" s="826"/>
      <c r="H154" s="826" t="s">
        <v>6618</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6426</v>
      </c>
      <c r="B155" s="863" t="s">
        <v>6619</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6334</v>
      </c>
      <c r="B156" s="858" t="s">
        <v>6314</v>
      </c>
      <c r="C156" s="825" t="s">
        <v>6620</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6314</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6621</v>
      </c>
      <c r="B159" s="870" t="s">
        <v>6622</v>
      </c>
      <c r="C159" s="825" t="s">
        <v>6623</v>
      </c>
      <c r="D159" s="767" t="s">
        <v>6624</v>
      </c>
      <c r="E159" s="767" t="s">
        <v>6625</v>
      </c>
      <c r="F159" s="767"/>
      <c r="G159" s="767" t="s">
        <v>6625</v>
      </c>
      <c r="H159" s="767" t="s">
        <v>6624</v>
      </c>
      <c r="I159" s="763" t="s">
        <v>6626</v>
      </c>
      <c r="J159" s="767"/>
      <c r="K159" s="764" t="s">
        <v>6624</v>
      </c>
      <c r="L159" s="767" t="s">
        <v>6627</v>
      </c>
      <c r="M159" s="767"/>
      <c r="N159" s="767"/>
      <c r="O159" s="767" t="s">
        <v>6628</v>
      </c>
      <c r="P159" s="767"/>
      <c r="Q159" s="767" t="s">
        <v>6629</v>
      </c>
      <c r="R159" s="767"/>
      <c r="S159" s="767"/>
      <c r="T159" s="767"/>
      <c r="U159" s="767"/>
      <c r="V159" s="767"/>
      <c r="W159" s="767" t="s">
        <v>6604</v>
      </c>
      <c r="X159" s="767"/>
      <c r="Y159" s="767" t="s">
        <v>6623</v>
      </c>
      <c r="Z159" s="767"/>
      <c r="AA159" s="767"/>
      <c r="AB159" s="767"/>
      <c r="AC159" s="767"/>
      <c r="AD159" s="767" t="s">
        <v>6626</v>
      </c>
      <c r="AE159" s="767" t="s">
        <v>6628</v>
      </c>
      <c r="AF159" s="767"/>
      <c r="AG159" s="767"/>
      <c r="AH159" s="767"/>
      <c r="AI159" s="767"/>
      <c r="AJ159" s="767"/>
      <c r="AK159" s="767"/>
      <c r="AL159" s="767"/>
      <c r="AM159" s="767"/>
      <c r="AN159" s="767"/>
      <c r="AO159" s="767"/>
      <c r="AP159" s="767"/>
      <c r="AQ159" s="767"/>
      <c r="AR159" s="767" t="s">
        <v>6630</v>
      </c>
      <c r="AS159" s="767" t="s">
        <v>2227</v>
      </c>
      <c r="AT159" s="767"/>
      <c r="AU159" s="767"/>
      <c r="AV159" s="767"/>
      <c r="AW159" s="767"/>
      <c r="AX159" s="767"/>
      <c r="AY159" s="767"/>
      <c r="AZ159" s="767"/>
      <c r="BA159" s="767"/>
      <c r="BB159" s="871"/>
      <c r="BC159" s="871"/>
      <c r="BD159" s="809" t="s">
        <v>6628</v>
      </c>
      <c r="BE159" s="797"/>
      <c r="BF159" s="797"/>
      <c r="BG159" s="797"/>
      <c r="BH159" s="871"/>
      <c r="BI159" s="871"/>
      <c r="BJ159" s="871"/>
    </row>
    <row r="160" ht="15.75" customHeight="1">
      <c r="A160" s="872"/>
      <c r="B160" s="873" t="s">
        <v>6631</v>
      </c>
      <c r="C160" s="825" t="s">
        <v>6632</v>
      </c>
      <c r="D160" s="767" t="s">
        <v>6627</v>
      </c>
      <c r="E160" s="767"/>
      <c r="F160" s="767"/>
      <c r="G160" s="767"/>
      <c r="H160" s="767" t="s">
        <v>6632</v>
      </c>
      <c r="I160" s="773"/>
      <c r="J160" s="767"/>
      <c r="K160" s="764" t="s">
        <v>6633</v>
      </c>
      <c r="L160" s="767"/>
      <c r="M160" s="767" t="s">
        <v>6627</v>
      </c>
      <c r="N160" s="767"/>
      <c r="O160" s="767"/>
      <c r="P160" s="767"/>
      <c r="Q160" s="767"/>
      <c r="R160" s="767"/>
      <c r="S160" s="767" t="s">
        <v>6624</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6634</v>
      </c>
      <c r="B161" s="870" t="s">
        <v>6314</v>
      </c>
      <c r="C161" s="825" t="s">
        <v>1988</v>
      </c>
      <c r="D161" s="767" t="s">
        <v>6635</v>
      </c>
      <c r="E161" s="767"/>
      <c r="F161" s="767"/>
      <c r="G161" s="767" t="s">
        <v>4410</v>
      </c>
      <c r="H161" s="767" t="s">
        <v>2903</v>
      </c>
      <c r="I161" s="763" t="s">
        <v>6636</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6329</v>
      </c>
      <c r="B162" s="875" t="s">
        <v>6314</v>
      </c>
      <c r="C162" s="825" t="s">
        <v>6637</v>
      </c>
      <c r="D162" s="813" t="s">
        <v>6638</v>
      </c>
      <c r="E162" s="813"/>
      <c r="F162" s="813"/>
      <c r="G162" s="813"/>
      <c r="H162" s="813" t="s">
        <v>6637</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6315</v>
      </c>
      <c r="B163" s="876" t="s">
        <v>6639</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6640</v>
      </c>
      <c r="C164" s="825" t="s">
        <v>6641</v>
      </c>
      <c r="D164" s="767" t="s">
        <v>6641</v>
      </c>
      <c r="E164" s="767"/>
      <c r="F164" s="767" t="s">
        <v>6642</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6643</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6329</v>
      </c>
      <c r="B165" s="878" t="s">
        <v>6644</v>
      </c>
      <c r="C165" s="825" t="s">
        <v>6645</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6646</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6647</v>
      </c>
      <c r="C166" s="825" t="s">
        <v>6648</v>
      </c>
      <c r="D166" s="767" t="s">
        <v>6648</v>
      </c>
      <c r="E166" s="767" t="s">
        <v>2807</v>
      </c>
      <c r="F166" s="767" t="s">
        <v>6649</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6650</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6651</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6652</v>
      </c>
      <c r="B168" s="878" t="s">
        <v>6447</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6653</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6654</v>
      </c>
      <c r="B170" s="878" t="s">
        <v>6447</v>
      </c>
      <c r="C170" s="825" t="s">
        <v>6655</v>
      </c>
      <c r="D170" s="877"/>
      <c r="E170" s="877"/>
      <c r="F170" s="877"/>
      <c r="G170" s="877"/>
      <c r="H170" s="877" t="s">
        <v>6655</v>
      </c>
      <c r="I170" s="773"/>
      <c r="J170" s="877"/>
      <c r="K170" s="777"/>
      <c r="L170" s="877" t="s">
        <v>6656</v>
      </c>
      <c r="M170" s="877"/>
      <c r="N170" s="877"/>
      <c r="O170" s="877"/>
      <c r="P170" s="877"/>
      <c r="Q170" s="877"/>
      <c r="R170" s="877"/>
      <c r="S170" s="877"/>
      <c r="T170" s="877"/>
      <c r="U170" s="877"/>
      <c r="V170" s="877"/>
      <c r="W170" s="877"/>
      <c r="X170" s="877"/>
      <c r="Y170" s="877"/>
      <c r="Z170" s="877"/>
      <c r="AA170" s="877"/>
      <c r="AB170" s="877" t="s">
        <v>6657</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6653</v>
      </c>
      <c r="C171" s="825" t="s">
        <v>6658</v>
      </c>
      <c r="D171" s="761" t="s">
        <v>6658</v>
      </c>
      <c r="E171" s="762"/>
      <c r="F171" s="762"/>
      <c r="G171" s="762"/>
      <c r="H171" s="762" t="s">
        <v>6658</v>
      </c>
      <c r="I171" s="773"/>
      <c r="J171" s="762"/>
      <c r="K171" s="764"/>
      <c r="L171" s="762"/>
      <c r="M171" s="762"/>
      <c r="N171" s="762"/>
      <c r="O171" s="762"/>
      <c r="P171" s="762"/>
      <c r="Q171" s="762"/>
      <c r="R171" s="762"/>
      <c r="S171" s="762"/>
      <c r="T171" s="762"/>
      <c r="U171" s="762"/>
      <c r="V171" s="761" t="s">
        <v>6658</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6659</v>
      </c>
      <c r="AS171" s="762"/>
      <c r="AT171" s="762"/>
      <c r="AU171" s="762"/>
      <c r="AV171" s="762"/>
      <c r="AW171" s="762"/>
      <c r="AX171" s="762"/>
      <c r="AY171" s="762" t="s">
        <v>6660</v>
      </c>
      <c r="AZ171" s="762"/>
      <c r="BA171" s="762"/>
      <c r="BB171" s="871"/>
      <c r="BC171" s="871"/>
      <c r="BD171" s="812"/>
      <c r="BE171" s="812"/>
      <c r="BF171" s="812"/>
      <c r="BG171" s="812"/>
      <c r="BH171" s="871"/>
      <c r="BI171" s="871"/>
      <c r="BJ171" s="871"/>
    </row>
    <row r="172" ht="15.75" customHeight="1">
      <c r="A172" s="874" t="s">
        <v>6661</v>
      </c>
      <c r="B172" s="878" t="s">
        <v>6314</v>
      </c>
      <c r="C172" s="825" t="str">
        <f>HYPERLINK("https://www.youtube.com/watch?v=_HQgQjbTLjM","1:11.32")</f>
        <v>1:11.32</v>
      </c>
      <c r="D172" s="877"/>
      <c r="E172" s="877" t="s">
        <v>885</v>
      </c>
      <c r="F172" s="877"/>
      <c r="G172" s="877" t="s">
        <v>875</v>
      </c>
      <c r="H172" s="877"/>
      <c r="I172" s="763" t="s">
        <v>1378</v>
      </c>
      <c r="J172" s="877" t="s">
        <v>1477</v>
      </c>
      <c r="K172" s="777"/>
      <c r="L172" s="877" t="s">
        <v>6662</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6663</v>
      </c>
      <c r="B173" s="878" t="s">
        <v>6314</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6664</v>
      </c>
      <c r="B174" s="878" t="s">
        <v>6665</v>
      </c>
      <c r="C174" s="825" t="s">
        <v>6666</v>
      </c>
      <c r="D174" s="877"/>
      <c r="E174" s="877"/>
      <c r="F174" s="877"/>
      <c r="G174" s="877"/>
      <c r="H174" s="877"/>
      <c r="I174" s="773"/>
      <c r="J174" s="877"/>
      <c r="K174" s="777"/>
      <c r="L174" s="877" t="s">
        <v>6666</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6667</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6338</v>
      </c>
      <c r="B176" s="876" t="s">
        <v>6668</v>
      </c>
      <c r="C176" s="825" t="s">
        <v>2562</v>
      </c>
      <c r="D176" s="877"/>
      <c r="E176" s="877"/>
      <c r="F176" s="877"/>
      <c r="G176" s="877"/>
      <c r="H176" s="877"/>
      <c r="I176" s="763" t="s">
        <v>6669</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6670</v>
      </c>
      <c r="C177" s="825" t="s">
        <v>820</v>
      </c>
      <c r="D177" s="877"/>
      <c r="E177" s="877"/>
      <c r="F177" s="877"/>
      <c r="G177" s="877"/>
      <c r="H177" s="877"/>
      <c r="I177" s="773"/>
      <c r="J177" s="877" t="s">
        <v>6671</v>
      </c>
      <c r="K177" s="777"/>
      <c r="L177" s="877"/>
      <c r="M177" s="877"/>
      <c r="N177" s="877" t="s">
        <v>6672</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6673</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6674</v>
      </c>
      <c r="C178" s="825" t="s">
        <v>493</v>
      </c>
      <c r="D178" s="877"/>
      <c r="E178" s="877"/>
      <c r="F178" s="877" t="s">
        <v>1029</v>
      </c>
      <c r="G178" s="877" t="s">
        <v>867</v>
      </c>
      <c r="H178" s="877" t="s">
        <v>784</v>
      </c>
      <c r="I178" s="763" t="s">
        <v>628</v>
      </c>
      <c r="J178" s="877"/>
      <c r="K178" s="777"/>
      <c r="L178" s="877" t="s">
        <v>5447</v>
      </c>
      <c r="M178" s="877" t="s">
        <v>493</v>
      </c>
      <c r="N178" s="877"/>
      <c r="O178" s="877"/>
      <c r="P178" s="877" t="s">
        <v>6221</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6329</v>
      </c>
      <c r="B179" s="878" t="s">
        <v>6675</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6676</v>
      </c>
      <c r="C180" s="825" t="s">
        <v>6677</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6678</v>
      </c>
      <c r="C181" s="825" t="s">
        <v>6679</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6680</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6681</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6453</v>
      </c>
      <c r="B183" s="882" t="s">
        <v>6682</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6683</v>
      </c>
      <c r="C184" s="825" t="s">
        <v>5263</v>
      </c>
      <c r="D184" s="877"/>
      <c r="E184" s="877"/>
      <c r="F184" s="877"/>
      <c r="G184" s="877" t="s">
        <v>1601</v>
      </c>
      <c r="H184" s="877"/>
      <c r="I184" s="763" t="s">
        <v>6237</v>
      </c>
      <c r="J184" s="877"/>
      <c r="K184" s="777"/>
      <c r="L184" s="877"/>
      <c r="M184" s="877" t="s">
        <v>3178</v>
      </c>
      <c r="N184" s="877" t="s">
        <v>4568</v>
      </c>
      <c r="O184" s="877" t="s">
        <v>5500</v>
      </c>
      <c r="P184" s="877"/>
      <c r="Q184" s="877"/>
      <c r="R184" s="877"/>
      <c r="S184" s="877"/>
      <c r="T184" s="877" t="s">
        <v>6684</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6019</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6685</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6686</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6687</v>
      </c>
      <c r="BE186" s="797"/>
      <c r="BF186" s="797"/>
      <c r="BG186" s="797"/>
      <c r="BH186" s="871"/>
      <c r="BI186" s="871"/>
      <c r="BJ186" s="871"/>
    </row>
    <row r="187" ht="15.75" customHeight="1">
      <c r="A187" s="872"/>
      <c r="B187" s="873" t="s">
        <v>6688</v>
      </c>
      <c r="C187" s="825" t="s">
        <v>868</v>
      </c>
      <c r="D187" s="786"/>
      <c r="E187" s="786" t="s">
        <v>785</v>
      </c>
      <c r="F187" s="786"/>
      <c r="G187" s="826" t="s">
        <v>868</v>
      </c>
      <c r="H187" s="826" t="s">
        <v>6689</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6329</v>
      </c>
      <c r="B188" s="878" t="s">
        <v>6682</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6690</v>
      </c>
      <c r="AE188" s="786"/>
      <c r="AF188" s="786"/>
      <c r="AG188" s="786"/>
      <c r="AH188" s="786"/>
      <c r="AI188" s="786"/>
      <c r="AJ188" s="786"/>
      <c r="AK188" s="786"/>
      <c r="AL188" s="786"/>
      <c r="AM188" s="786"/>
      <c r="AN188" s="786"/>
      <c r="AO188" s="786"/>
      <c r="AP188" s="786"/>
      <c r="AQ188" s="786"/>
      <c r="AR188" s="786"/>
      <c r="AS188" s="786"/>
      <c r="AT188" s="786"/>
      <c r="AU188" s="786"/>
      <c r="AV188" s="786"/>
      <c r="AW188" s="786" t="s">
        <v>6691</v>
      </c>
      <c r="AX188" s="786"/>
      <c r="AY188" s="786"/>
      <c r="AZ188" s="786"/>
      <c r="BA188" s="786"/>
      <c r="BB188" s="871"/>
      <c r="BC188" s="871"/>
      <c r="BD188" s="797"/>
      <c r="BE188" s="797"/>
      <c r="BF188" s="797"/>
      <c r="BG188" s="797"/>
      <c r="BH188" s="871"/>
      <c r="BI188" s="871"/>
      <c r="BJ188" s="871"/>
    </row>
    <row r="189" ht="15.75" customHeight="1">
      <c r="A189" s="872"/>
      <c r="B189" s="873" t="s">
        <v>6683</v>
      </c>
      <c r="C189" s="825" t="s">
        <v>6692</v>
      </c>
      <c r="D189" s="786" t="s">
        <v>3445</v>
      </c>
      <c r="E189" s="786"/>
      <c r="F189" s="786"/>
      <c r="G189" s="786" t="s">
        <v>3445</v>
      </c>
      <c r="H189" s="786"/>
      <c r="I189" s="763" t="s">
        <v>6693</v>
      </c>
      <c r="J189" s="786" t="s">
        <v>6694</v>
      </c>
      <c r="K189" s="787" t="s">
        <v>3684</v>
      </c>
      <c r="L189" s="786"/>
      <c r="M189" s="786"/>
      <c r="N189" s="786" t="s">
        <v>6695</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6696</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6685</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6686</v>
      </c>
      <c r="C191" s="825" t="s">
        <v>2747</v>
      </c>
      <c r="D191" s="767" t="s">
        <v>2747</v>
      </c>
      <c r="E191" s="767" t="s">
        <v>6697</v>
      </c>
      <c r="F191" s="767" t="s">
        <v>4690</v>
      </c>
      <c r="G191" s="767"/>
      <c r="H191" s="767"/>
      <c r="I191" s="773"/>
      <c r="J191" s="767" t="s">
        <v>1462</v>
      </c>
      <c r="K191" s="761" t="s">
        <v>6698</v>
      </c>
      <c r="L191" s="767" t="s">
        <v>6699</v>
      </c>
      <c r="M191" s="767"/>
      <c r="N191" s="767" t="s">
        <v>4416</v>
      </c>
      <c r="O191" s="767" t="s">
        <v>4115</v>
      </c>
      <c r="P191" s="767"/>
      <c r="Q191" s="767"/>
      <c r="R191" s="767" t="s">
        <v>2514</v>
      </c>
      <c r="S191" s="767"/>
      <c r="T191" s="767"/>
      <c r="U191" s="767"/>
      <c r="V191" s="767"/>
      <c r="W191" s="767"/>
      <c r="X191" s="767"/>
      <c r="Y191" s="767"/>
      <c r="Z191" s="767"/>
      <c r="AA191" s="767" t="s">
        <v>4690</v>
      </c>
      <c r="AB191" s="767" t="s">
        <v>6700</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6688</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6334</v>
      </c>
      <c r="B193" s="878" t="s">
        <v>6314</v>
      </c>
      <c r="C193" s="825" t="s">
        <v>981</v>
      </c>
      <c r="D193" s="761" t="s">
        <v>378</v>
      </c>
      <c r="E193" s="762"/>
      <c r="F193" s="762"/>
      <c r="G193" s="762" t="s">
        <v>6701</v>
      </c>
      <c r="H193" s="762" t="s">
        <v>6702</v>
      </c>
      <c r="I193" s="763" t="s">
        <v>6703</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6704</v>
      </c>
      <c r="B194" s="878" t="s">
        <v>6314</v>
      </c>
      <c r="C194" s="825" t="s">
        <v>6705</v>
      </c>
      <c r="D194" s="761" t="s">
        <v>6705</v>
      </c>
      <c r="E194" s="762"/>
      <c r="F194" s="761" t="s">
        <v>6705</v>
      </c>
      <c r="G194" s="762"/>
      <c r="H194" s="762" t="s">
        <v>6706</v>
      </c>
      <c r="I194" s="773"/>
      <c r="J194" s="762"/>
      <c r="K194" s="764"/>
      <c r="L194" s="762" t="s">
        <v>6707</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6359</v>
      </c>
      <c r="B195" s="878" t="s">
        <v>6314</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6518</v>
      </c>
      <c r="B196" s="876" t="s">
        <v>6708</v>
      </c>
      <c r="C196" s="825" t="s">
        <v>6709</v>
      </c>
      <c r="D196" s="767" t="s">
        <v>6709</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6334</v>
      </c>
      <c r="B197" s="878" t="s">
        <v>6314</v>
      </c>
      <c r="C197" s="825" t="s">
        <v>4371</v>
      </c>
      <c r="D197" s="767" t="s">
        <v>4371</v>
      </c>
      <c r="E197" s="767"/>
      <c r="F197" s="767"/>
      <c r="G197" s="767" t="s">
        <v>312</v>
      </c>
      <c r="H197" s="767" t="s">
        <v>1052</v>
      </c>
      <c r="I197" s="763" t="s">
        <v>896</v>
      </c>
      <c r="J197" s="767"/>
      <c r="K197" s="764"/>
      <c r="L197" s="767"/>
      <c r="M197" s="767"/>
      <c r="N197" s="767"/>
      <c r="O197" s="767"/>
      <c r="P197" s="767"/>
      <c r="Q197" s="767" t="s">
        <v>6710</v>
      </c>
      <c r="R197" s="767" t="s">
        <v>6711</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6381</v>
      </c>
      <c r="B198" s="876" t="s">
        <v>6712</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6713</v>
      </c>
      <c r="C199" s="825"/>
      <c r="D199" s="877"/>
      <c r="E199" s="877"/>
      <c r="F199" s="877"/>
      <c r="G199" s="877"/>
      <c r="H199" s="877" t="s">
        <v>6548</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6422</v>
      </c>
      <c r="B200" s="876" t="s">
        <v>6714</v>
      </c>
      <c r="C200" s="825" t="s">
        <v>2002</v>
      </c>
      <c r="D200" s="877"/>
      <c r="E200" s="877"/>
      <c r="F200" s="826" t="s">
        <v>6715</v>
      </c>
      <c r="G200" s="877"/>
      <c r="H200" s="877"/>
      <c r="I200" s="763" t="s">
        <v>2883</v>
      </c>
      <c r="J200" s="877"/>
      <c r="K200" s="777" t="s">
        <v>6716</v>
      </c>
      <c r="L200" s="877"/>
      <c r="M200" s="877"/>
      <c r="N200" s="877" t="s">
        <v>6717</v>
      </c>
      <c r="O200" s="877" t="s">
        <v>1195</v>
      </c>
      <c r="P200" s="877"/>
      <c r="Q200" s="877" t="s">
        <v>6716</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6718</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6426</v>
      </c>
      <c r="B202" s="876" t="s">
        <v>6719</v>
      </c>
      <c r="C202" s="825" t="s">
        <v>1467</v>
      </c>
      <c r="D202" s="877"/>
      <c r="E202" s="877"/>
      <c r="F202" s="877"/>
      <c r="G202" s="877"/>
      <c r="H202" s="877"/>
      <c r="I202" s="773"/>
      <c r="J202" s="877" t="s">
        <v>1467</v>
      </c>
      <c r="K202" s="777"/>
      <c r="L202" s="877" t="s">
        <v>6720</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6721</v>
      </c>
      <c r="AS202" s="877"/>
      <c r="AT202" s="877"/>
      <c r="AU202" s="877"/>
      <c r="AV202" s="877"/>
      <c r="AW202" s="877"/>
      <c r="AX202" s="877"/>
      <c r="AY202" s="877"/>
      <c r="AZ202" s="786" t="s">
        <v>6722</v>
      </c>
      <c r="BA202" s="877"/>
      <c r="BB202" s="871"/>
      <c r="BC202" s="871"/>
      <c r="BD202" s="797"/>
      <c r="BE202" s="797"/>
      <c r="BF202" s="797"/>
      <c r="BG202" s="797"/>
      <c r="BH202" s="871"/>
      <c r="BI202" s="871"/>
      <c r="BJ202" s="871"/>
    </row>
    <row r="203" ht="15.75" customHeight="1">
      <c r="A203" s="869" t="s">
        <v>57</v>
      </c>
      <c r="B203" s="876" t="s">
        <v>6723</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6724</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6313</v>
      </c>
      <c r="B205" s="893" t="s">
        <v>6314</v>
      </c>
      <c r="C205" s="825" t="s">
        <v>958</v>
      </c>
      <c r="D205" s="832"/>
      <c r="E205" s="826" t="s">
        <v>255</v>
      </c>
      <c r="F205" s="826" t="s">
        <v>1105</v>
      </c>
      <c r="G205" s="826" t="s">
        <v>878</v>
      </c>
      <c r="H205" s="826" t="s">
        <v>1172</v>
      </c>
      <c r="I205" s="763" t="s">
        <v>1380</v>
      </c>
      <c r="J205" s="832" t="s">
        <v>6725</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6503</v>
      </c>
      <c r="B206" s="893" t="s">
        <v>6726</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6338</v>
      </c>
      <c r="B207" s="893" t="s">
        <v>6314</v>
      </c>
      <c r="C207" s="825" t="str">
        <f>HYPERLINK("https://www.youtube.com/watch?v=aWzlUqH0LaM","41.87")</f>
        <v>41.87</v>
      </c>
      <c r="D207" s="832"/>
      <c r="E207" s="826" t="str">
        <f>HYPERLINK("https://www.youtube.com/watch?v=aWzlUqH0LaM","41.87")</f>
        <v>41.87</v>
      </c>
      <c r="F207" s="826" t="s">
        <v>1537</v>
      </c>
      <c r="G207" s="826" t="s">
        <v>4280</v>
      </c>
      <c r="H207" s="826" t="s">
        <v>308</v>
      </c>
      <c r="I207" s="763" t="s">
        <v>6727</v>
      </c>
      <c r="J207" s="826" t="s">
        <v>1563</v>
      </c>
      <c r="K207" s="833" t="s">
        <v>6372</v>
      </c>
      <c r="L207" s="832"/>
      <c r="M207" s="832"/>
      <c r="N207" s="832" t="s">
        <v>2145</v>
      </c>
      <c r="O207" s="826" t="s">
        <v>6207</v>
      </c>
      <c r="P207" s="832"/>
      <c r="Q207" s="832"/>
      <c r="R207" s="832"/>
      <c r="S207" s="832"/>
      <c r="T207" s="832" t="s">
        <v>6728</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6453</v>
      </c>
      <c r="B208" s="893" t="s">
        <v>6729</v>
      </c>
      <c r="C208" s="825" t="str">
        <f>HYPERLINK("https://youtu.be/F-20O1FDNbI","1:45.11")</f>
        <v>1:45.11</v>
      </c>
      <c r="D208" s="832"/>
      <c r="E208" s="832"/>
      <c r="F208" s="832"/>
      <c r="G208" s="832"/>
      <c r="H208" s="832"/>
      <c r="I208" s="763" t="s">
        <v>6730</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6731</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6732</v>
      </c>
      <c r="C209" s="825" t="s">
        <v>505</v>
      </c>
      <c r="D209" s="832"/>
      <c r="E209" s="826" t="s">
        <v>792</v>
      </c>
      <c r="F209" s="832"/>
      <c r="G209" s="832" t="s">
        <v>881</v>
      </c>
      <c r="H209" s="832" t="s">
        <v>6733</v>
      </c>
      <c r="I209" s="763" t="s">
        <v>1383</v>
      </c>
      <c r="J209" s="832"/>
      <c r="K209" s="833" t="s">
        <v>4074</v>
      </c>
      <c r="L209" s="826" t="s">
        <v>6734</v>
      </c>
      <c r="M209" s="826" t="s">
        <v>505</v>
      </c>
      <c r="N209" s="832"/>
      <c r="O209" s="832"/>
      <c r="P209" s="832"/>
      <c r="Q209" s="832"/>
      <c r="R209" s="832"/>
      <c r="S209" s="832"/>
      <c r="T209" s="832" t="s">
        <v>6007</v>
      </c>
      <c r="U209" s="832"/>
      <c r="V209" s="832"/>
      <c r="W209" s="832" t="s">
        <v>6735</v>
      </c>
      <c r="X209" s="832"/>
      <c r="Y209" s="832"/>
      <c r="Z209" s="832"/>
      <c r="AA209" s="832"/>
      <c r="AB209" s="832"/>
      <c r="AC209" s="832"/>
      <c r="AD209" s="832" t="s">
        <v>6736</v>
      </c>
      <c r="AE209" s="832"/>
      <c r="AF209" s="832"/>
      <c r="AG209" s="832"/>
      <c r="AH209" s="832"/>
      <c r="AI209" s="832"/>
      <c r="AJ209" s="832"/>
      <c r="AK209" s="832"/>
      <c r="AL209" s="832"/>
      <c r="AM209" s="832"/>
      <c r="AN209" s="832"/>
      <c r="AO209" s="832"/>
      <c r="AP209" s="832"/>
      <c r="AQ209" s="832"/>
      <c r="AR209" s="767" t="s">
        <v>6737</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6738</v>
      </c>
      <c r="C210" s="825" t="s">
        <v>6739</v>
      </c>
      <c r="D210" s="832"/>
      <c r="E210" s="832"/>
      <c r="F210" s="832"/>
      <c r="G210" s="832"/>
      <c r="H210" s="832"/>
      <c r="I210" s="773"/>
      <c r="J210" s="832"/>
      <c r="K210" s="833"/>
      <c r="L210" s="832"/>
      <c r="M210" s="832"/>
      <c r="N210" s="832"/>
      <c r="O210" s="832"/>
      <c r="P210" s="832"/>
      <c r="Q210" s="832"/>
      <c r="R210" s="832"/>
      <c r="S210" s="832"/>
      <c r="T210" s="832"/>
      <c r="U210" s="832"/>
      <c r="V210" s="832"/>
      <c r="W210" s="826" t="s">
        <v>6739</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6740</v>
      </c>
      <c r="C211" s="825" t="s">
        <v>2885</v>
      </c>
      <c r="D211" s="832"/>
      <c r="E211" s="832"/>
      <c r="F211" s="832"/>
      <c r="G211" s="832"/>
      <c r="H211" s="826" t="s">
        <v>6741</v>
      </c>
      <c r="I211" s="773"/>
      <c r="J211" s="832"/>
      <c r="K211" s="833"/>
      <c r="L211" s="832"/>
      <c r="M211" s="832"/>
      <c r="N211" s="832"/>
      <c r="O211" s="832"/>
      <c r="P211" s="832"/>
      <c r="Q211" s="832"/>
      <c r="R211" s="832"/>
      <c r="S211" s="832"/>
      <c r="T211" s="832"/>
      <c r="U211" s="832"/>
      <c r="V211" s="832"/>
      <c r="W211" s="826" t="s">
        <v>6742</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6329</v>
      </c>
      <c r="B212" s="899" t="s">
        <v>6729</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6732</v>
      </c>
      <c r="C213" s="903" t="s">
        <v>6743</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6743</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6738</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6740</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6334</v>
      </c>
      <c r="B216" s="899" t="s">
        <v>6744</v>
      </c>
      <c r="C216" s="825" t="s">
        <v>6745</v>
      </c>
      <c r="D216" s="900"/>
      <c r="E216" s="900"/>
      <c r="F216" s="900"/>
      <c r="G216" s="900"/>
      <c r="H216" s="900"/>
      <c r="I216" s="763" t="s">
        <v>6746</v>
      </c>
      <c r="J216" s="900"/>
      <c r="K216" s="901"/>
      <c r="L216" s="905" t="s">
        <v>3977</v>
      </c>
      <c r="M216" s="900"/>
      <c r="N216" s="900"/>
      <c r="O216" s="900"/>
      <c r="P216" s="900"/>
      <c r="Q216" s="900"/>
      <c r="R216" s="905" t="s">
        <v>2555</v>
      </c>
      <c r="S216" s="900"/>
      <c r="T216" s="900"/>
      <c r="U216" s="900"/>
      <c r="V216" s="900"/>
      <c r="W216" s="905" t="s">
        <v>6745</v>
      </c>
      <c r="X216" s="900"/>
      <c r="Y216" s="900"/>
      <c r="Z216" s="900"/>
      <c r="AA216" s="900"/>
      <c r="AB216" s="900"/>
      <c r="AC216" s="900"/>
      <c r="AD216" s="900"/>
      <c r="AE216" s="900" t="s">
        <v>6747</v>
      </c>
      <c r="AF216" s="900"/>
      <c r="AG216" s="900"/>
      <c r="AH216" s="900"/>
      <c r="AI216" s="900"/>
      <c r="AJ216" s="900"/>
      <c r="AK216" s="900"/>
      <c r="AL216" s="900"/>
      <c r="AM216" s="900"/>
      <c r="AN216" s="900"/>
      <c r="AO216" s="900"/>
      <c r="AP216" s="900"/>
      <c r="AQ216" s="900"/>
      <c r="AR216" s="906">
        <v>13.23</v>
      </c>
      <c r="AS216" s="905" t="s">
        <v>6605</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6748</v>
      </c>
      <c r="C217" s="825" t="s">
        <v>485</v>
      </c>
      <c r="D217" s="826" t="s">
        <v>799</v>
      </c>
      <c r="E217" s="826"/>
      <c r="F217" s="826"/>
      <c r="G217" s="826" t="s">
        <v>6745</v>
      </c>
      <c r="H217" s="826" t="s">
        <v>485</v>
      </c>
      <c r="I217" s="763" t="s">
        <v>6749</v>
      </c>
      <c r="J217" s="826"/>
      <c r="K217" s="827"/>
      <c r="L217" s="826"/>
      <c r="M217" s="826"/>
      <c r="N217" s="826"/>
      <c r="O217" s="826"/>
      <c r="P217" s="826"/>
      <c r="Q217" s="826" t="s">
        <v>6750</v>
      </c>
      <c r="R217" s="826"/>
      <c r="S217" s="826"/>
      <c r="T217" s="826"/>
      <c r="U217" s="826"/>
      <c r="V217" s="826" t="s">
        <v>6605</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6518</v>
      </c>
      <c r="B218" s="893" t="s">
        <v>6314</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6751</v>
      </c>
      <c r="B219" s="908" t="s">
        <v>6314</v>
      </c>
      <c r="C219" s="760" t="s">
        <v>6752</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6753</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6381</v>
      </c>
      <c r="B220" s="893" t="s">
        <v>6754</v>
      </c>
      <c r="C220" s="825" t="s">
        <v>6755</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6756</v>
      </c>
      <c r="C221" s="825" t="s">
        <v>1615</v>
      </c>
      <c r="D221" s="832"/>
      <c r="E221" s="832"/>
      <c r="F221" s="826" t="s">
        <v>1384</v>
      </c>
      <c r="G221" s="832"/>
      <c r="H221" s="832"/>
      <c r="I221" s="763" t="s">
        <v>1384</v>
      </c>
      <c r="J221" s="832" t="s">
        <v>4196</v>
      </c>
      <c r="K221" s="833" t="s">
        <v>2130</v>
      </c>
      <c r="L221" s="826" t="s">
        <v>6757</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6758</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6329</v>
      </c>
      <c r="B223" s="910" t="s">
        <v>6759</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6760</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6761</v>
      </c>
      <c r="C225" s="825" t="s">
        <v>3496</v>
      </c>
      <c r="D225" s="832"/>
      <c r="E225" s="832"/>
      <c r="F225" s="832"/>
      <c r="G225" s="832"/>
      <c r="H225" s="832"/>
      <c r="I225" s="763" t="s">
        <v>1619</v>
      </c>
      <c r="J225" s="832" t="s">
        <v>2400</v>
      </c>
      <c r="K225" s="833" t="s">
        <v>6762</v>
      </c>
      <c r="L225" s="832"/>
      <c r="M225" s="832"/>
      <c r="N225" s="832" t="s">
        <v>6763</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6764</v>
      </c>
      <c r="C226" s="825" t="s">
        <v>6765</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6765</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6334</v>
      </c>
      <c r="B227" s="910" t="s">
        <v>6766</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6767</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6768</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6769</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6359</v>
      </c>
      <c r="B230" s="913" t="s">
        <v>6360</v>
      </c>
      <c r="C230" s="825" t="s">
        <v>6770</v>
      </c>
      <c r="D230" s="832"/>
      <c r="E230" s="832"/>
      <c r="F230" s="832"/>
      <c r="G230" s="832" t="s">
        <v>5775</v>
      </c>
      <c r="H230" s="832"/>
      <c r="I230" s="773"/>
      <c r="J230" s="832" t="s">
        <v>1989</v>
      </c>
      <c r="K230" s="833"/>
      <c r="L230" s="826" t="s">
        <v>1468</v>
      </c>
      <c r="M230" s="832"/>
      <c r="N230" s="832"/>
      <c r="O230" s="832" t="s">
        <v>6771</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6422</v>
      </c>
      <c r="B231" s="893" t="s">
        <v>6714</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6493</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6772</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6773</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6774</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6775</v>
      </c>
      <c r="B236" s="893" t="s">
        <v>6314</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6776</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6777</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6314</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6778</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6313</v>
      </c>
      <c r="B241" s="920" t="s">
        <v>6779</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6780</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6781</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6782</v>
      </c>
      <c r="C243" s="825" t="s">
        <v>429</v>
      </c>
      <c r="D243" s="832"/>
      <c r="E243" s="832"/>
      <c r="F243" s="832"/>
      <c r="G243" s="832"/>
      <c r="H243" s="832"/>
      <c r="I243" s="773"/>
      <c r="J243" s="832" t="s">
        <v>6783</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6784</v>
      </c>
      <c r="C244" s="825" t="s">
        <v>3725</v>
      </c>
      <c r="D244" s="832"/>
      <c r="E244" s="832"/>
      <c r="F244" s="832"/>
      <c r="G244" s="832"/>
      <c r="H244" s="832"/>
      <c r="I244" s="763" t="s">
        <v>6142</v>
      </c>
      <c r="J244" s="826" t="s">
        <v>6785</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6786</v>
      </c>
      <c r="C245" s="825" t="s">
        <v>1927</v>
      </c>
      <c r="D245" s="826" t="s">
        <v>1537</v>
      </c>
      <c r="E245" s="826"/>
      <c r="F245" s="826" t="s">
        <v>1305</v>
      </c>
      <c r="G245" s="827" t="s">
        <v>6787</v>
      </c>
      <c r="H245" s="826" t="s">
        <v>1927</v>
      </c>
      <c r="I245" s="773"/>
      <c r="J245" s="826"/>
      <c r="K245" s="827" t="s">
        <v>6788</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6789</v>
      </c>
      <c r="C246" s="825" t="s">
        <v>2152</v>
      </c>
      <c r="D246" s="826" t="s">
        <v>2152</v>
      </c>
      <c r="E246" s="826"/>
      <c r="F246" s="826"/>
      <c r="G246" s="826"/>
      <c r="H246" s="827" t="s">
        <v>2888</v>
      </c>
      <c r="I246" s="773"/>
      <c r="J246" s="826"/>
      <c r="K246" s="827"/>
      <c r="L246" s="826"/>
      <c r="M246" s="826"/>
      <c r="N246" s="826"/>
      <c r="O246" s="826"/>
      <c r="P246" s="763" t="s">
        <v>6372</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6790</v>
      </c>
      <c r="C247" s="825" t="s">
        <v>358</v>
      </c>
      <c r="D247" s="826" t="s">
        <v>800</v>
      </c>
      <c r="E247" s="826"/>
      <c r="F247" s="826" t="s">
        <v>6791</v>
      </c>
      <c r="G247" s="826"/>
      <c r="H247" s="827" t="s">
        <v>5432</v>
      </c>
      <c r="I247" s="773"/>
      <c r="J247" s="826"/>
      <c r="K247" s="827"/>
      <c r="L247" s="826"/>
      <c r="M247" s="826"/>
      <c r="N247" s="826"/>
      <c r="O247" s="826"/>
      <c r="P247" s="826"/>
      <c r="Q247" s="826"/>
      <c r="R247" s="827" t="s">
        <v>6792</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6793</v>
      </c>
      <c r="C248" s="825" t="s">
        <v>6794</v>
      </c>
      <c r="D248" s="826" t="s">
        <v>6794</v>
      </c>
      <c r="E248" s="826"/>
      <c r="F248" s="826" t="s">
        <v>6795</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6315</v>
      </c>
      <c r="B249" s="920" t="s">
        <v>6314</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6446</v>
      </c>
      <c r="B250" s="920" t="s">
        <v>6796</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6797</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6798</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6799</v>
      </c>
      <c r="C252" s="825" t="s">
        <v>6463</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6800</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6801</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6362</v>
      </c>
      <c r="B254" s="920" t="s">
        <v>6802</v>
      </c>
      <c r="C254" s="825" t="s">
        <v>6803</v>
      </c>
      <c r="D254" s="826" t="s">
        <v>4036</v>
      </c>
      <c r="E254" s="826" t="s">
        <v>6804</v>
      </c>
      <c r="F254" s="826"/>
      <c r="G254" s="826" t="s">
        <v>6805</v>
      </c>
      <c r="H254" s="826"/>
      <c r="I254" s="763" t="s">
        <v>6806</v>
      </c>
      <c r="J254" s="826" t="str">
        <f>HYPERLINK("https://youtu.be/fNmQmNF7N9I","46.93")</f>
        <v>46.93</v>
      </c>
      <c r="K254" s="827"/>
      <c r="L254" s="826" t="s">
        <v>6803</v>
      </c>
      <c r="M254" s="826" t="s">
        <v>6783</v>
      </c>
      <c r="N254" s="826"/>
      <c r="O254" s="826" t="s">
        <v>533</v>
      </c>
      <c r="P254" s="826"/>
      <c r="Q254" s="826" t="s">
        <v>3771</v>
      </c>
      <c r="R254" s="826" t="s">
        <v>4210</v>
      </c>
      <c r="S254" s="826"/>
      <c r="T254" s="826" t="s">
        <v>6807</v>
      </c>
      <c r="U254" s="826"/>
      <c r="V254" s="826"/>
      <c r="W254" s="826" t="s">
        <v>6808</v>
      </c>
      <c r="X254" s="826"/>
      <c r="Y254" s="826"/>
      <c r="Z254" s="826" t="s">
        <v>6809</v>
      </c>
      <c r="AA254" s="826"/>
      <c r="AB254" s="826" t="s">
        <v>6810</v>
      </c>
      <c r="AC254" s="826" t="s">
        <v>6811</v>
      </c>
      <c r="AD254" s="826"/>
      <c r="AE254" s="826"/>
      <c r="AF254" s="826"/>
      <c r="AG254" s="826"/>
      <c r="AH254" s="826"/>
      <c r="AI254" s="826"/>
      <c r="AJ254" s="826"/>
      <c r="AK254" s="826"/>
      <c r="AL254" s="826"/>
      <c r="AM254" s="826"/>
      <c r="AN254" s="826"/>
      <c r="AO254" s="826"/>
      <c r="AP254" s="826"/>
      <c r="AQ254" s="826"/>
      <c r="AR254" s="826" t="s">
        <v>6460</v>
      </c>
      <c r="AS254" s="826"/>
      <c r="AT254" s="826"/>
      <c r="AU254" s="826"/>
      <c r="AV254" s="826"/>
      <c r="AW254" s="826"/>
      <c r="AX254" s="826"/>
      <c r="AY254" s="826"/>
      <c r="AZ254" s="826"/>
      <c r="BA254" s="826"/>
      <c r="BB254" s="921"/>
      <c r="BC254" s="921"/>
      <c r="BD254" s="862" t="s">
        <v>6812</v>
      </c>
      <c r="BE254" s="829"/>
      <c r="BF254" s="829"/>
      <c r="BG254" s="829"/>
      <c r="BH254" s="921"/>
      <c r="BI254" s="921"/>
      <c r="BJ254" s="921"/>
    </row>
    <row r="255" ht="15.75" customHeight="1">
      <c r="A255" s="922"/>
      <c r="B255" s="923" t="s">
        <v>6813</v>
      </c>
      <c r="C255" s="825" t="s">
        <v>3757</v>
      </c>
      <c r="D255" s="826" t="s">
        <v>3157</v>
      </c>
      <c r="E255" s="826" t="s">
        <v>1625</v>
      </c>
      <c r="F255" s="826" t="s">
        <v>3709</v>
      </c>
      <c r="G255" s="826" t="s">
        <v>3875</v>
      </c>
      <c r="H255" s="826"/>
      <c r="I255" s="763" t="s">
        <v>6814</v>
      </c>
      <c r="J255" s="826" t="str">
        <f>HYPERLINK(" https://youtu.be/dsDcBzsPA5s","45.74")</f>
        <v>45.74</v>
      </c>
      <c r="K255" s="827" t="s">
        <v>3199</v>
      </c>
      <c r="L255" s="826" t="s">
        <v>3757</v>
      </c>
      <c r="M255" s="826" t="s">
        <v>283</v>
      </c>
      <c r="N255" s="826" t="s">
        <v>1928</v>
      </c>
      <c r="O255" s="826" t="s">
        <v>6815</v>
      </c>
      <c r="P255" s="826" t="s">
        <v>6816</v>
      </c>
      <c r="Q255" s="826" t="s">
        <v>6817</v>
      </c>
      <c r="R255" s="826" t="s">
        <v>704</v>
      </c>
      <c r="S255" s="826"/>
      <c r="T255" s="826" t="s">
        <v>6792</v>
      </c>
      <c r="U255" s="826"/>
      <c r="V255" s="826"/>
      <c r="W255" s="826" t="s">
        <v>6514</v>
      </c>
      <c r="X255" s="826"/>
      <c r="Y255" s="826"/>
      <c r="Z255" s="826"/>
      <c r="AA255" s="826"/>
      <c r="AB255" s="826" t="s">
        <v>6818</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6819</v>
      </c>
      <c r="BE255" s="829"/>
      <c r="BF255" s="829"/>
      <c r="BG255" s="829"/>
      <c r="BH255" s="768"/>
      <c r="BI255" s="768"/>
      <c r="BJ255" s="768"/>
    </row>
    <row r="256" ht="15.75" customHeight="1">
      <c r="A256" s="922"/>
      <c r="B256" s="923" t="s">
        <v>6820</v>
      </c>
      <c r="C256" s="825" t="s">
        <v>1046</v>
      </c>
      <c r="D256" s="826" t="s">
        <v>410</v>
      </c>
      <c r="E256" s="826" t="s">
        <v>1307</v>
      </c>
      <c r="F256" s="826" t="s">
        <v>1046</v>
      </c>
      <c r="G256" s="826" t="s">
        <v>320</v>
      </c>
      <c r="H256" s="826" t="s">
        <v>2053</v>
      </c>
      <c r="I256" s="763" t="s">
        <v>1393</v>
      </c>
      <c r="J256" s="826" t="str">
        <f>HYPERLINK("https://youtu.be/9O9oqhlyCxY","45.20")</f>
        <v>45.20</v>
      </c>
      <c r="K256" s="827"/>
      <c r="L256" s="826" t="s">
        <v>6821</v>
      </c>
      <c r="M256" s="826" t="s">
        <v>516</v>
      </c>
      <c r="N256" s="826" t="s">
        <v>6785</v>
      </c>
      <c r="O256" s="826" t="s">
        <v>6783</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6518</v>
      </c>
      <c r="B257" s="925" t="s">
        <v>6822</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6329</v>
      </c>
      <c r="B258" s="929" t="s">
        <v>6822</v>
      </c>
      <c r="C258" s="825" t="s">
        <v>6823</v>
      </c>
      <c r="D258" s="926" t="s">
        <v>412</v>
      </c>
      <c r="E258" s="926" t="s">
        <v>188</v>
      </c>
      <c r="F258" s="926" t="s">
        <v>1048</v>
      </c>
      <c r="G258" s="926" t="s">
        <v>888</v>
      </c>
      <c r="H258" s="926" t="s">
        <v>6823</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6334</v>
      </c>
      <c r="B259" s="931" t="s">
        <v>6314</v>
      </c>
      <c r="C259" s="825" t="s">
        <v>5617</v>
      </c>
      <c r="D259" s="826" t="s">
        <v>2770</v>
      </c>
      <c r="E259" s="826"/>
      <c r="F259" s="826" t="s">
        <v>5617</v>
      </c>
      <c r="G259" s="826" t="s">
        <v>6824</v>
      </c>
      <c r="H259" s="826" t="s">
        <v>5617</v>
      </c>
      <c r="I259" s="763" t="s">
        <v>5558</v>
      </c>
      <c r="J259" s="826"/>
      <c r="K259" s="827"/>
      <c r="L259" s="826" t="s">
        <v>5129</v>
      </c>
      <c r="M259" s="826" t="s">
        <v>5617</v>
      </c>
      <c r="N259" s="826"/>
      <c r="O259" s="826"/>
      <c r="P259" s="826"/>
      <c r="Q259" s="826"/>
      <c r="R259" s="826" t="s">
        <v>3994</v>
      </c>
      <c r="S259" s="826" t="s">
        <v>5998</v>
      </c>
      <c r="T259" s="826"/>
      <c r="U259" s="826"/>
      <c r="V259" s="826" t="s">
        <v>6825</v>
      </c>
      <c r="W259" s="826"/>
      <c r="X259" s="826" t="s">
        <v>4062</v>
      </c>
      <c r="Y259" s="826"/>
      <c r="Z259" s="826"/>
      <c r="AA259" s="826"/>
      <c r="AB259" s="826" t="s">
        <v>6671</v>
      </c>
      <c r="AC259" s="826"/>
      <c r="AD259" s="826"/>
      <c r="AE259" s="826"/>
      <c r="AF259" s="826"/>
      <c r="AG259" s="826"/>
      <c r="AH259" s="826"/>
      <c r="AI259" s="826"/>
      <c r="AJ259" s="826"/>
      <c r="AK259" s="826"/>
      <c r="AL259" s="826"/>
      <c r="AM259" s="826"/>
      <c r="AN259" s="826"/>
      <c r="AO259" s="826"/>
      <c r="AP259" s="826"/>
      <c r="AQ259" s="826"/>
      <c r="AR259" s="826" t="s">
        <v>5598</v>
      </c>
      <c r="AS259" s="763" t="s">
        <v>6826</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6477</v>
      </c>
      <c r="B260" s="932" t="s">
        <v>6827</v>
      </c>
      <c r="C260" s="825" t="s">
        <v>6828</v>
      </c>
      <c r="D260" s="826" t="s">
        <v>4318</v>
      </c>
      <c r="E260" s="826"/>
      <c r="F260" s="826" t="s">
        <v>6829</v>
      </c>
      <c r="G260" s="826" t="s">
        <v>889</v>
      </c>
      <c r="H260" s="826" t="s">
        <v>6828</v>
      </c>
      <c r="I260" s="763" t="s">
        <v>1395</v>
      </c>
      <c r="J260" s="826" t="s">
        <v>1482</v>
      </c>
      <c r="K260" s="827"/>
      <c r="L260" s="826" t="s">
        <v>3453</v>
      </c>
      <c r="M260" s="826" t="s">
        <v>519</v>
      </c>
      <c r="N260" s="826"/>
      <c r="O260" s="826"/>
      <c r="P260" s="826" t="s">
        <v>189</v>
      </c>
      <c r="Q260" s="826"/>
      <c r="R260" s="826" t="s">
        <v>6830</v>
      </c>
      <c r="S260" s="826"/>
      <c r="T260" s="826"/>
      <c r="U260" s="826"/>
      <c r="V260" s="826"/>
      <c r="W260" s="826"/>
      <c r="X260" s="826"/>
      <c r="Y260" s="826" t="s">
        <v>6831</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6487</v>
      </c>
      <c r="B261" s="931" t="s">
        <v>6827</v>
      </c>
      <c r="C261" s="825"/>
      <c r="D261" s="826"/>
      <c r="E261" s="826"/>
      <c r="F261" s="826"/>
      <c r="G261" s="826"/>
      <c r="H261" s="827" t="s">
        <v>6832</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6833</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6422</v>
      </c>
      <c r="B262" s="920" t="s">
        <v>6834</v>
      </c>
      <c r="C262" s="825" t="s">
        <v>4093</v>
      </c>
      <c r="D262" s="763" t="s">
        <v>4158</v>
      </c>
      <c r="E262" s="773"/>
      <c r="F262" s="773"/>
      <c r="G262" s="773"/>
      <c r="H262" s="763" t="s">
        <v>4093</v>
      </c>
      <c r="I262" s="763" t="s">
        <v>3594</v>
      </c>
      <c r="J262" s="773"/>
      <c r="K262" s="827" t="s">
        <v>6835</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6836</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6837</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6838</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6426</v>
      </c>
      <c r="B265" s="920" t="s">
        <v>6314</v>
      </c>
      <c r="C265" s="825" t="s">
        <v>6839</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6840</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6532</v>
      </c>
      <c r="B266" s="920" t="s">
        <v>6504</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6508</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6314</v>
      </c>
      <c r="C268" s="825" t="s">
        <v>6841</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6842</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6843</v>
      </c>
      <c r="C270" s="825" t="s">
        <v>6844</v>
      </c>
      <c r="D270" s="826" t="s">
        <v>6844</v>
      </c>
      <c r="E270" s="826"/>
      <c r="F270" s="826"/>
      <c r="G270" s="826"/>
      <c r="H270" s="826"/>
      <c r="I270" s="763" t="s">
        <v>4705</v>
      </c>
      <c r="J270" s="826"/>
      <c r="K270" s="827" t="s">
        <v>6845</v>
      </c>
      <c r="L270" s="826"/>
      <c r="M270" s="826"/>
      <c r="N270" s="826"/>
      <c r="O270" s="827" t="s">
        <v>6846</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6847</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6848</v>
      </c>
      <c r="C271" s="825" t="s">
        <v>425</v>
      </c>
      <c r="D271" s="763" t="s">
        <v>425</v>
      </c>
      <c r="E271" s="773" t="s">
        <v>5836</v>
      </c>
      <c r="F271" s="763" t="s">
        <v>6849</v>
      </c>
      <c r="G271" s="773" t="s">
        <v>898</v>
      </c>
      <c r="H271" s="763" t="s">
        <v>6850</v>
      </c>
      <c r="I271" s="763" t="s">
        <v>1407</v>
      </c>
      <c r="J271" s="763" t="str">
        <f>HYPERLINK("https://youtu.be/ZpzmhXUsVhA","1:19.38")</f>
        <v>1:19.38</v>
      </c>
      <c r="K271" s="827" t="s">
        <v>6851</v>
      </c>
      <c r="L271" s="773"/>
      <c r="M271" s="773"/>
      <c r="N271" s="773" t="s">
        <v>6852</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6853</v>
      </c>
      <c r="B272" s="946" t="s">
        <v>6843</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6848</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6854</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6855</v>
      </c>
      <c r="B274" s="948" t="s">
        <v>6856</v>
      </c>
      <c r="C274" s="825" t="s">
        <v>4137</v>
      </c>
      <c r="D274" s="826" t="s">
        <v>4137</v>
      </c>
      <c r="E274" s="826"/>
      <c r="F274" s="826"/>
      <c r="G274" s="826"/>
      <c r="H274" s="826"/>
      <c r="I274" s="773"/>
      <c r="J274" s="826"/>
      <c r="K274" s="827" t="s">
        <v>6857</v>
      </c>
      <c r="L274" s="826"/>
      <c r="M274" s="826"/>
      <c r="N274" s="826"/>
      <c r="O274" s="826" t="s">
        <v>2322</v>
      </c>
      <c r="P274" s="826"/>
      <c r="Q274" s="826" t="s">
        <v>6858</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6859</v>
      </c>
      <c r="C275" s="825" t="s">
        <v>6801</v>
      </c>
      <c r="D275" s="763" t="s">
        <v>426</v>
      </c>
      <c r="E275" s="773" t="s">
        <v>816</v>
      </c>
      <c r="F275" s="763" t="s">
        <v>6801</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6860</v>
      </c>
      <c r="B276" s="949" t="s">
        <v>6861</v>
      </c>
      <c r="C276" s="825" t="s">
        <v>5953</v>
      </c>
      <c r="D276" s="826" t="s">
        <v>5953</v>
      </c>
      <c r="E276" s="826"/>
      <c r="F276" s="826"/>
      <c r="G276" s="826"/>
      <c r="H276" s="826"/>
      <c r="I276" s="773"/>
      <c r="J276" s="826" t="s">
        <v>6745</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6862</v>
      </c>
      <c r="C277" s="825" t="s">
        <v>6679</v>
      </c>
      <c r="D277" s="826" t="s">
        <v>1316</v>
      </c>
      <c r="E277" s="826"/>
      <c r="F277" s="826"/>
      <c r="G277" s="826"/>
      <c r="H277" s="826"/>
      <c r="I277" s="773"/>
      <c r="J277" s="826" t="s">
        <v>6679</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6863</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6864</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6865</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6866</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6329</v>
      </c>
      <c r="B282" s="948" t="s">
        <v>6360</v>
      </c>
      <c r="C282" s="825" t="s">
        <v>3069</v>
      </c>
      <c r="D282" s="826" t="s">
        <v>3621</v>
      </c>
      <c r="E282" s="826"/>
      <c r="F282" s="826"/>
      <c r="G282" s="826"/>
      <c r="H282" s="826" t="s">
        <v>3069</v>
      </c>
      <c r="I282" s="773"/>
      <c r="J282" s="826" t="s">
        <v>6867</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6868</v>
      </c>
      <c r="B283" s="952"/>
      <c r="C283" s="760" t="s">
        <v>6869</v>
      </c>
      <c r="D283" s="832"/>
      <c r="E283" s="832"/>
      <c r="F283" s="832"/>
      <c r="G283" s="832"/>
      <c r="H283" s="763" t="s">
        <v>6869</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6870</v>
      </c>
      <c r="B284" s="948" t="s">
        <v>6871</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6872</v>
      </c>
      <c r="C285" s="825" t="s">
        <v>3553</v>
      </c>
      <c r="D285" s="953" t="s">
        <v>4060</v>
      </c>
      <c r="E285" s="953" t="s">
        <v>6368</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6873</v>
      </c>
      <c r="B286" s="941" t="s">
        <v>6874</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6875</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6876</v>
      </c>
      <c r="B288" s="941" t="s">
        <v>6877</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6878</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6879</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6880</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6880</v>
      </c>
      <c r="C292" s="825" t="s">
        <v>6881</v>
      </c>
      <c r="D292" s="832"/>
      <c r="E292" s="832"/>
      <c r="F292" s="832"/>
      <c r="G292" s="832"/>
      <c r="H292" s="832"/>
      <c r="I292" s="773"/>
      <c r="J292" s="763" t="s">
        <v>6881</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6882</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6883</v>
      </c>
      <c r="B294" s="949" t="s">
        <v>6316</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6884</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6885</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6886</v>
      </c>
      <c r="B297" s="949" t="s">
        <v>6423</v>
      </c>
      <c r="C297" s="825" t="s">
        <v>6887</v>
      </c>
      <c r="D297" s="763" t="s">
        <v>6887</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6425</v>
      </c>
      <c r="C298" s="825" t="s">
        <v>6130</v>
      </c>
      <c r="D298" s="763" t="s">
        <v>4396</v>
      </c>
      <c r="E298" s="773"/>
      <c r="F298" s="773"/>
      <c r="G298" s="773"/>
      <c r="H298" s="763" t="s">
        <v>6130</v>
      </c>
      <c r="I298" s="773"/>
      <c r="J298" s="773"/>
      <c r="K298" s="827"/>
      <c r="L298" s="773"/>
      <c r="M298" s="773"/>
      <c r="N298" s="773"/>
      <c r="O298" s="773"/>
      <c r="P298" s="773"/>
      <c r="Q298" s="773"/>
      <c r="R298" s="763" t="s">
        <v>5828</v>
      </c>
      <c r="S298" s="773"/>
      <c r="T298" s="773"/>
      <c r="U298" s="773"/>
      <c r="V298" s="763" t="s">
        <v>492</v>
      </c>
      <c r="W298" s="773"/>
      <c r="X298" s="773"/>
      <c r="Y298" s="773"/>
      <c r="Z298" s="773"/>
      <c r="AA298" s="773"/>
      <c r="AB298" s="773"/>
      <c r="AC298" s="763" t="s">
        <v>6559</v>
      </c>
      <c r="AD298" s="773"/>
      <c r="AE298" s="773"/>
      <c r="AF298" s="773"/>
      <c r="AG298" s="773"/>
      <c r="AH298" s="773"/>
      <c r="AI298" s="773"/>
      <c r="AJ298" s="773"/>
      <c r="AK298" s="773"/>
      <c r="AL298" s="773"/>
      <c r="AM298" s="773"/>
      <c r="AN298" s="773"/>
      <c r="AO298" s="773"/>
      <c r="AP298" s="773"/>
      <c r="AQ298" s="773"/>
      <c r="AR298" s="773" t="s">
        <v>5033</v>
      </c>
      <c r="AS298" s="763" t="s">
        <v>6559</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6888</v>
      </c>
      <c r="B299" s="949" t="s">
        <v>6314</v>
      </c>
      <c r="C299" s="825" t="s">
        <v>2373</v>
      </c>
      <c r="D299" s="956" t="s">
        <v>1784</v>
      </c>
      <c r="E299" s="956" t="s">
        <v>4748</v>
      </c>
      <c r="F299" s="957"/>
      <c r="G299" s="956" t="s">
        <v>6889</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6890</v>
      </c>
      <c r="B300" s="949" t="s">
        <v>6891</v>
      </c>
      <c r="C300" s="825" t="s">
        <v>6892</v>
      </c>
      <c r="D300" s="763" t="s">
        <v>6892</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6893</v>
      </c>
      <c r="C301" s="825" t="s">
        <v>6894</v>
      </c>
      <c r="D301" s="763" t="s">
        <v>6895</v>
      </c>
      <c r="E301" s="773"/>
      <c r="F301" s="773"/>
      <c r="G301" s="773"/>
      <c r="H301" s="773" t="s">
        <v>1425</v>
      </c>
      <c r="I301" s="773"/>
      <c r="J301" s="773"/>
      <c r="K301" s="827"/>
      <c r="L301" s="773"/>
      <c r="M301" s="773"/>
      <c r="N301" s="773"/>
      <c r="O301" s="773"/>
      <c r="P301" s="773"/>
      <c r="Q301" s="773"/>
      <c r="R301" s="773"/>
      <c r="S301" s="773"/>
      <c r="T301" s="773"/>
      <c r="U301" s="773"/>
      <c r="V301" s="763" t="s">
        <v>6894</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6896</v>
      </c>
      <c r="B302" s="949" t="s">
        <v>6897</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6898</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6899</v>
      </c>
      <c r="C304" s="825" t="s">
        <v>6900</v>
      </c>
      <c r="D304" s="763" t="s">
        <v>6900</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6901</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6902</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6903</v>
      </c>
      <c r="C307" s="825" t="s">
        <v>6904</v>
      </c>
      <c r="D307" s="763" t="s">
        <v>3892</v>
      </c>
      <c r="E307" s="773"/>
      <c r="F307" s="773"/>
      <c r="G307" s="773"/>
      <c r="H307" s="763" t="s">
        <v>6904</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6905</v>
      </c>
      <c r="C308" s="825" t="s">
        <v>6906</v>
      </c>
      <c r="D308" s="832"/>
      <c r="E308" s="832"/>
      <c r="F308" s="832"/>
      <c r="G308" s="832"/>
      <c r="H308" s="763" t="s">
        <v>6907</v>
      </c>
      <c r="I308" s="773"/>
      <c r="J308" s="832"/>
      <c r="K308" s="833"/>
      <c r="L308" s="832"/>
      <c r="M308" s="763" t="s">
        <v>6908</v>
      </c>
      <c r="N308" s="832"/>
      <c r="O308" s="832"/>
      <c r="P308" s="832"/>
      <c r="Q308" s="832"/>
      <c r="R308" s="832"/>
      <c r="S308" s="832"/>
      <c r="T308" s="832"/>
      <c r="U308" s="832"/>
      <c r="V308" s="763" t="s">
        <v>6906</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6909</v>
      </c>
      <c r="AS308" s="763" t="s">
        <v>6910</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6911</v>
      </c>
      <c r="B309" s="949" t="s">
        <v>6314</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6912</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6913</v>
      </c>
      <c r="B310" s="949" t="s">
        <v>6914</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6915</v>
      </c>
      <c r="C311" s="825" t="s">
        <v>6916</v>
      </c>
      <c r="D311" s="763" t="s">
        <v>6917</v>
      </c>
      <c r="E311" s="773"/>
      <c r="F311" s="773"/>
      <c r="G311" s="773"/>
      <c r="H311" s="773"/>
      <c r="I311" s="773"/>
      <c r="J311" s="773"/>
      <c r="K311" s="827"/>
      <c r="L311" s="763" t="s">
        <v>6916</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6918</v>
      </c>
      <c r="BE311" s="829"/>
      <c r="BF311" s="829"/>
      <c r="BG311" s="829"/>
      <c r="BH311" s="942"/>
      <c r="BI311" s="942"/>
      <c r="BJ311" s="942"/>
    </row>
    <row r="312" ht="15.75" customHeight="1">
      <c r="A312" s="943"/>
      <c r="B312" s="951" t="s">
        <v>6919</v>
      </c>
      <c r="C312" s="959"/>
      <c r="D312" s="773"/>
      <c r="E312" s="773"/>
      <c r="F312" s="773"/>
      <c r="G312" s="773"/>
      <c r="H312" s="773" t="s">
        <v>6920</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6921</v>
      </c>
      <c r="B313" s="941" t="s">
        <v>6922</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6923</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6924</v>
      </c>
      <c r="B315" s="949" t="s">
        <v>6314</v>
      </c>
      <c r="C315" s="825" t="s">
        <v>6925</v>
      </c>
      <c r="D315" s="860"/>
      <c r="E315" s="763" t="s">
        <v>6926</v>
      </c>
      <c r="F315" s="860"/>
      <c r="G315" s="860"/>
      <c r="H315" s="763" t="s">
        <v>6925</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6927</v>
      </c>
      <c r="B316" s="949" t="s">
        <v>6928</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6929</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6930</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6931</v>
      </c>
      <c r="BE317" s="856"/>
      <c r="BF317" s="856"/>
      <c r="BG317" s="856"/>
      <c r="BH317" s="768"/>
      <c r="BI317" s="768"/>
      <c r="BJ317" s="768"/>
    </row>
    <row r="318" ht="15.75" customHeight="1">
      <c r="A318" s="950"/>
      <c r="B318" s="951" t="s">
        <v>6932</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6934</v>
      </c>
      <c r="H2" s="968" t="s">
        <v>47</v>
      </c>
      <c r="I2" s="968" t="s">
        <v>48</v>
      </c>
      <c r="J2" s="968" t="s">
        <v>6935</v>
      </c>
      <c r="K2" s="968" t="s">
        <v>54</v>
      </c>
      <c r="N2" s="968" t="s">
        <v>6936</v>
      </c>
      <c r="P2" s="969"/>
      <c r="Q2" s="970" t="s">
        <v>47</v>
      </c>
      <c r="R2" s="970" t="s">
        <v>6937</v>
      </c>
      <c r="S2" s="970" t="s">
        <v>52</v>
      </c>
      <c r="T2" s="970" t="s">
        <v>53</v>
      </c>
      <c r="U2" s="970" t="s">
        <v>54</v>
      </c>
      <c r="V2" s="970" t="s">
        <v>6938</v>
      </c>
      <c r="W2" s="969"/>
      <c r="X2" s="971" t="s">
        <v>47</v>
      </c>
      <c r="Y2" s="971" t="s">
        <v>48</v>
      </c>
      <c r="Z2" s="971" t="s">
        <v>49</v>
      </c>
      <c r="AA2" s="971" t="s">
        <v>50</v>
      </c>
      <c r="AC2" s="971" t="s">
        <v>52</v>
      </c>
      <c r="AD2" s="971" t="s">
        <v>53</v>
      </c>
      <c r="AE2" s="971" t="s">
        <v>54</v>
      </c>
      <c r="AF2" s="971" t="s">
        <v>6532</v>
      </c>
      <c r="AG2" s="971" t="s">
        <v>6936</v>
      </c>
      <c r="AI2" s="969"/>
      <c r="AJ2" s="972" t="s">
        <v>47</v>
      </c>
      <c r="AK2" s="972" t="s">
        <v>48</v>
      </c>
      <c r="AM2" s="972" t="s">
        <v>49</v>
      </c>
      <c r="AP2" s="972" t="s">
        <v>51</v>
      </c>
      <c r="AR2" s="972" t="s">
        <v>52</v>
      </c>
      <c r="AV2" s="972" t="s">
        <v>52</v>
      </c>
      <c r="AW2" s="972" t="s">
        <v>53</v>
      </c>
      <c r="AX2" s="972" t="s">
        <v>6938</v>
      </c>
      <c r="AZ2" s="973"/>
      <c r="BA2" s="974" t="s">
        <v>47</v>
      </c>
      <c r="BB2" s="974" t="s">
        <v>52</v>
      </c>
      <c r="BC2" s="974" t="s">
        <v>53</v>
      </c>
      <c r="BD2" s="974" t="s">
        <v>54</v>
      </c>
      <c r="BE2" s="974" t="s">
        <v>6936</v>
      </c>
      <c r="BF2" s="973"/>
      <c r="BG2" s="975" t="s">
        <v>47</v>
      </c>
      <c r="BH2" s="975" t="s">
        <v>48</v>
      </c>
      <c r="BI2" s="975" t="s">
        <v>50</v>
      </c>
      <c r="BK2" s="975" t="s">
        <v>52</v>
      </c>
      <c r="BL2" s="975" t="s">
        <v>6936</v>
      </c>
      <c r="BN2" s="969"/>
      <c r="BO2" s="976" t="s">
        <v>49</v>
      </c>
      <c r="BP2" s="976" t="s">
        <v>50</v>
      </c>
      <c r="BQ2" s="976" t="s">
        <v>51</v>
      </c>
      <c r="BR2" s="976" t="s">
        <v>52</v>
      </c>
      <c r="BT2" s="976" t="s">
        <v>53</v>
      </c>
      <c r="BU2" s="976" t="s">
        <v>54</v>
      </c>
      <c r="BW2" s="976" t="s">
        <v>6938</v>
      </c>
      <c r="BX2" s="973"/>
      <c r="BY2" s="977" t="s">
        <v>6939</v>
      </c>
      <c r="BZ2" s="978" t="s">
        <v>75</v>
      </c>
      <c r="CA2" s="977" t="s">
        <v>80</v>
      </c>
      <c r="CD2" s="977" t="s">
        <v>77</v>
      </c>
      <c r="CE2" s="977" t="s">
        <v>6940</v>
      </c>
      <c r="CF2" s="977" t="s">
        <v>6941</v>
      </c>
      <c r="CG2" s="979" t="s">
        <v>68</v>
      </c>
      <c r="CH2" s="977" t="s">
        <v>76</v>
      </c>
      <c r="CI2" s="977" t="s">
        <v>66</v>
      </c>
      <c r="CJ2" s="978" t="s">
        <v>78</v>
      </c>
    </row>
    <row r="3" ht="23.25" customHeight="1">
      <c r="J3" s="980" t="s">
        <v>6942</v>
      </c>
      <c r="K3" s="980" t="s">
        <v>6943</v>
      </c>
      <c r="L3" s="981" t="s">
        <v>6944</v>
      </c>
      <c r="M3" s="981" t="s">
        <v>6945</v>
      </c>
      <c r="N3" s="981" t="s">
        <v>6946</v>
      </c>
      <c r="O3" s="980" t="s">
        <v>6947</v>
      </c>
      <c r="P3" s="969"/>
      <c r="W3" s="969"/>
      <c r="AA3" s="982" t="s">
        <v>6948</v>
      </c>
      <c r="AB3" s="983" t="s">
        <v>91</v>
      </c>
      <c r="AF3" s="983" t="s">
        <v>6949</v>
      </c>
      <c r="AG3" s="982" t="s">
        <v>52</v>
      </c>
      <c r="AH3" s="984" t="s">
        <v>49</v>
      </c>
      <c r="AI3" s="969"/>
      <c r="AK3" s="985" t="s">
        <v>6950</v>
      </c>
      <c r="AL3" s="985" t="s">
        <v>6951</v>
      </c>
      <c r="AM3" s="986" t="s">
        <v>6946</v>
      </c>
      <c r="AN3" s="986" t="s">
        <v>6952</v>
      </c>
      <c r="AO3" s="986" t="s">
        <v>6953</v>
      </c>
      <c r="AP3" s="986" t="s">
        <v>6946</v>
      </c>
      <c r="AQ3" s="987" t="s">
        <v>6954</v>
      </c>
      <c r="AR3" s="986" t="s">
        <v>6955</v>
      </c>
      <c r="AS3" s="986" t="s">
        <v>6956</v>
      </c>
      <c r="AT3" s="986" t="s">
        <v>6957</v>
      </c>
      <c r="AU3" s="986" t="s">
        <v>6958</v>
      </c>
      <c r="AX3" s="986" t="s">
        <v>6959</v>
      </c>
      <c r="AY3" s="986" t="s">
        <v>6960</v>
      </c>
      <c r="AZ3" s="973"/>
      <c r="BF3" s="988"/>
      <c r="BI3" s="975" t="s">
        <v>6961</v>
      </c>
      <c r="BJ3" s="975" t="s">
        <v>6962</v>
      </c>
      <c r="BL3" s="989" t="s">
        <v>88</v>
      </c>
      <c r="BM3" s="989" t="s">
        <v>6963</v>
      </c>
      <c r="BN3" s="969"/>
      <c r="BR3" s="990" t="s">
        <v>6953</v>
      </c>
      <c r="BS3" s="990" t="s">
        <v>6964</v>
      </c>
      <c r="BU3" s="990" t="s">
        <v>6946</v>
      </c>
      <c r="BV3" s="990" t="s">
        <v>6953</v>
      </c>
      <c r="BX3" s="973"/>
      <c r="CA3" s="991" t="s">
        <v>6965</v>
      </c>
      <c r="CB3" s="991" t="s">
        <v>6966</v>
      </c>
      <c r="CC3" s="991" t="s">
        <v>6967</v>
      </c>
      <c r="CJ3" s="991" t="s">
        <v>6968</v>
      </c>
      <c r="CK3" s="991" t="s">
        <v>6969</v>
      </c>
    </row>
    <row r="4">
      <c r="A4" s="992" t="s">
        <v>6269</v>
      </c>
      <c r="B4" s="993" t="s">
        <v>6970</v>
      </c>
      <c r="C4" s="994" t="s">
        <v>828</v>
      </c>
      <c r="D4" s="995" t="s">
        <v>1131</v>
      </c>
      <c r="E4" s="996" t="s">
        <v>828</v>
      </c>
      <c r="F4" s="997" t="s">
        <v>4126</v>
      </c>
      <c r="G4" s="993" t="s">
        <v>4967</v>
      </c>
      <c r="H4" s="998"/>
      <c r="I4" s="999" t="s">
        <v>1326</v>
      </c>
      <c r="J4" s="999"/>
      <c r="K4" s="1000" t="s">
        <v>6971</v>
      </c>
      <c r="L4" s="999" t="s">
        <v>6972</v>
      </c>
      <c r="M4" s="998"/>
      <c r="N4" s="998"/>
      <c r="O4" s="1001" t="s">
        <v>6973</v>
      </c>
      <c r="P4" s="1002"/>
      <c r="Q4" s="1003" t="s">
        <v>6974</v>
      </c>
      <c r="R4" s="1004"/>
      <c r="S4" s="1004"/>
      <c r="T4" s="1005" t="s">
        <v>6494</v>
      </c>
      <c r="U4" s="1006"/>
      <c r="V4" s="1007" t="s">
        <v>6975</v>
      </c>
      <c r="W4" s="1002"/>
      <c r="X4" s="1008" t="s">
        <v>138</v>
      </c>
      <c r="Y4" s="1008" t="s">
        <v>6976</v>
      </c>
      <c r="Z4" s="1009" t="s">
        <v>4363</v>
      </c>
      <c r="AA4" s="1010" t="s">
        <v>2243</v>
      </c>
      <c r="AB4" s="1010" t="s">
        <v>791</v>
      </c>
      <c r="AC4" s="1011" t="s">
        <v>2799</v>
      </c>
      <c r="AD4" s="1011" t="s">
        <v>1214</v>
      </c>
      <c r="AE4" s="1010" t="s">
        <v>5492</v>
      </c>
      <c r="AF4" s="1012"/>
      <c r="AG4" s="1011" t="s">
        <v>6977</v>
      </c>
      <c r="AH4" s="1013"/>
      <c r="AI4" s="1002"/>
      <c r="AJ4" s="1014"/>
      <c r="AK4" s="1014" t="s">
        <v>3835</v>
      </c>
      <c r="AL4" s="1015"/>
      <c r="AM4" s="1014" t="s">
        <v>2069</v>
      </c>
      <c r="AN4" s="1014"/>
      <c r="AO4" s="1016" t="s">
        <v>2373</v>
      </c>
      <c r="AP4" s="1015"/>
      <c r="AQ4" s="1017" t="s">
        <v>6978</v>
      </c>
      <c r="AR4" s="1014" t="s">
        <v>6979</v>
      </c>
      <c r="AS4" s="1014" t="s">
        <v>6980</v>
      </c>
      <c r="AT4" s="1015"/>
      <c r="AU4" s="1015"/>
      <c r="AV4" s="1015"/>
      <c r="AW4" s="1018" t="s">
        <v>5944</v>
      </c>
      <c r="AX4" s="1019" t="s">
        <v>3614</v>
      </c>
      <c r="AY4" s="1014" t="s">
        <v>6981</v>
      </c>
      <c r="AZ4" s="1002"/>
      <c r="BA4" s="1020"/>
      <c r="BB4" s="1021" t="s">
        <v>6982</v>
      </c>
      <c r="BC4" s="1022" t="s">
        <v>6983</v>
      </c>
      <c r="BD4" s="1020"/>
      <c r="BE4" s="1023" t="s">
        <v>6984</v>
      </c>
      <c r="BF4" s="1002"/>
      <c r="BG4" s="1024" t="s">
        <v>6985</v>
      </c>
      <c r="BH4" s="1025" t="s">
        <v>3177</v>
      </c>
      <c r="BI4" s="1025"/>
      <c r="BJ4" s="1025"/>
      <c r="BK4" s="1026" t="s">
        <v>1906</v>
      </c>
      <c r="BL4" s="1027"/>
      <c r="BM4" s="1025" t="s">
        <v>6986</v>
      </c>
      <c r="BN4" s="1002"/>
      <c r="BO4" s="1028" t="s">
        <v>6987</v>
      </c>
      <c r="BP4" s="1029"/>
      <c r="BQ4" s="1029"/>
      <c r="BR4" s="1030" t="s">
        <v>6988</v>
      </c>
      <c r="BS4" s="1029"/>
      <c r="BT4" s="1031" t="s">
        <v>148</v>
      </c>
      <c r="BU4" s="1029"/>
      <c r="BV4" s="1032" t="s">
        <v>3687</v>
      </c>
      <c r="BW4" s="1031" t="s">
        <v>5898</v>
      </c>
      <c r="BX4" s="1002"/>
      <c r="BY4" s="1033" t="s">
        <v>2669</v>
      </c>
      <c r="BZ4" s="1034" t="s">
        <v>4086</v>
      </c>
      <c r="CA4" s="1035"/>
      <c r="CB4" s="1035"/>
      <c r="CC4" s="1035"/>
      <c r="CD4" s="1034" t="s">
        <v>1307</v>
      </c>
      <c r="CE4" s="1036" t="s">
        <v>4589</v>
      </c>
      <c r="CF4" s="1034" t="s">
        <v>6989</v>
      </c>
      <c r="CG4" s="1035"/>
      <c r="CH4" s="1035"/>
      <c r="CI4" s="1035"/>
      <c r="CJ4" s="1035"/>
      <c r="CK4" s="1035"/>
    </row>
    <row r="5">
      <c r="A5" s="1037" t="s">
        <v>435</v>
      </c>
      <c r="B5" s="993" t="s">
        <v>6990</v>
      </c>
      <c r="C5" s="994" t="s">
        <v>437</v>
      </c>
      <c r="D5" s="995" t="s">
        <v>333</v>
      </c>
      <c r="E5" s="996" t="s">
        <v>1199</v>
      </c>
      <c r="F5" s="997" t="s">
        <v>3814</v>
      </c>
      <c r="G5" s="993" t="s">
        <v>1501</v>
      </c>
      <c r="H5" s="1038" t="s">
        <v>1698</v>
      </c>
      <c r="I5" s="1039" t="s">
        <v>2878</v>
      </c>
      <c r="J5" s="1001" t="s">
        <v>6991</v>
      </c>
      <c r="K5" s="1040" t="s">
        <v>5703</v>
      </c>
      <c r="L5" s="1038" t="s">
        <v>5379</v>
      </c>
      <c r="M5" s="998"/>
      <c r="N5" s="998"/>
      <c r="O5" s="1000" t="s">
        <v>6992</v>
      </c>
      <c r="P5" s="1041"/>
      <c r="Q5" s="1042" t="s">
        <v>6993</v>
      </c>
      <c r="R5" s="1042" t="s">
        <v>2670</v>
      </c>
      <c r="S5" s="1004"/>
      <c r="T5" s="1043" t="s">
        <v>231</v>
      </c>
      <c r="U5" s="1044"/>
      <c r="V5" s="1005" t="s">
        <v>6994</v>
      </c>
      <c r="W5" s="1041"/>
      <c r="X5" s="1045" t="s">
        <v>3527</v>
      </c>
      <c r="Y5" s="1045" t="s">
        <v>6995</v>
      </c>
      <c r="Z5" s="1045" t="s">
        <v>2543</v>
      </c>
      <c r="AA5" s="1046" t="s">
        <v>6996</v>
      </c>
      <c r="AB5" s="1008" t="s">
        <v>1342</v>
      </c>
      <c r="AC5" s="1046" t="s">
        <v>1386</v>
      </c>
      <c r="AD5" s="1011" t="s">
        <v>1214</v>
      </c>
      <c r="AE5" s="1011" t="s">
        <v>4635</v>
      </c>
      <c r="AF5" s="1047"/>
      <c r="AG5" s="1048" t="s">
        <v>6997</v>
      </c>
      <c r="AH5" s="1013"/>
      <c r="AI5" s="1049"/>
      <c r="AJ5" s="1014"/>
      <c r="AK5" s="1014" t="s">
        <v>6998</v>
      </c>
      <c r="AL5" s="1015"/>
      <c r="AM5" s="1050" t="s">
        <v>3532</v>
      </c>
      <c r="AN5" s="1051" t="s">
        <v>3185</v>
      </c>
      <c r="AO5" s="1014" t="s">
        <v>6999</v>
      </c>
      <c r="AP5" s="1050" t="s">
        <v>2452</v>
      </c>
      <c r="AQ5" s="1052" t="s">
        <v>7000</v>
      </c>
      <c r="AR5" s="1014" t="s">
        <v>7001</v>
      </c>
      <c r="AS5" s="1015"/>
      <c r="AT5" s="1016" t="s">
        <v>4784</v>
      </c>
      <c r="AU5" s="1015"/>
      <c r="AV5" s="1015"/>
      <c r="AW5" s="1019" t="s">
        <v>4908</v>
      </c>
      <c r="AX5" s="1051" t="s">
        <v>1370</v>
      </c>
      <c r="AY5" s="1015"/>
      <c r="AZ5" s="1002"/>
      <c r="BA5" s="1053"/>
      <c r="BB5" s="1023" t="s">
        <v>7002</v>
      </c>
      <c r="BC5" s="1023" t="s">
        <v>6450</v>
      </c>
      <c r="BD5" s="1053"/>
      <c r="BE5" s="1054" t="s">
        <v>7003</v>
      </c>
      <c r="BF5" s="1002"/>
      <c r="BG5" s="1055" t="s">
        <v>7004</v>
      </c>
      <c r="BH5" s="1024" t="s">
        <v>1372</v>
      </c>
      <c r="BI5" s="1056" t="s">
        <v>5675</v>
      </c>
      <c r="BJ5" s="1057"/>
      <c r="BK5" s="1024" t="s">
        <v>7005</v>
      </c>
      <c r="BL5" s="1027"/>
      <c r="BM5" s="1025" t="s">
        <v>7006</v>
      </c>
      <c r="BN5" s="1041"/>
      <c r="BO5" s="1058" t="s">
        <v>3988</v>
      </c>
      <c r="BP5" s="1030"/>
      <c r="BQ5" s="1059" t="s">
        <v>1768</v>
      </c>
      <c r="BR5" s="1030" t="s">
        <v>7007</v>
      </c>
      <c r="BS5" s="1029"/>
      <c r="BT5" s="1059" t="s">
        <v>7008</v>
      </c>
      <c r="BU5" s="1029"/>
      <c r="BV5" s="1030" t="s">
        <v>7009</v>
      </c>
      <c r="BW5" s="1030" t="s">
        <v>2120</v>
      </c>
      <c r="BX5" s="1041"/>
      <c r="BY5" s="1060" t="s">
        <v>300</v>
      </c>
      <c r="BZ5" s="1034" t="s">
        <v>3180</v>
      </c>
      <c r="CA5" s="1061"/>
      <c r="CB5" s="1061"/>
      <c r="CC5" s="1061"/>
      <c r="CD5" s="1035"/>
      <c r="CE5" s="1035"/>
      <c r="CF5" s="1035"/>
      <c r="CG5" s="1035"/>
      <c r="CH5" s="1035"/>
      <c r="CI5" s="1035"/>
      <c r="CJ5" s="1061"/>
      <c r="CK5" s="1061"/>
    </row>
    <row r="6">
      <c r="A6" s="992" t="s">
        <v>7010</v>
      </c>
      <c r="B6" s="993" t="s">
        <v>7011</v>
      </c>
      <c r="C6" s="994" t="s">
        <v>220</v>
      </c>
      <c r="D6" s="995" t="s">
        <v>1199</v>
      </c>
      <c r="E6" s="996" t="s">
        <v>739</v>
      </c>
      <c r="F6" s="997" t="s">
        <v>2860</v>
      </c>
      <c r="G6" s="993" t="s">
        <v>2009</v>
      </c>
      <c r="H6" s="1000" t="s">
        <v>2897</v>
      </c>
      <c r="I6" s="998"/>
      <c r="J6" s="1039" t="s">
        <v>1886</v>
      </c>
      <c r="K6" s="1062" t="s">
        <v>7012</v>
      </c>
      <c r="L6" s="1039" t="s">
        <v>7013</v>
      </c>
      <c r="M6" s="1063" t="s">
        <v>4780</v>
      </c>
      <c r="N6" s="998"/>
      <c r="O6" s="1064" t="s">
        <v>7014</v>
      </c>
      <c r="P6" s="1041"/>
      <c r="Q6" s="1043" t="s">
        <v>7015</v>
      </c>
      <c r="R6" s="1007" t="s">
        <v>1573</v>
      </c>
      <c r="S6" s="1003" t="s">
        <v>4995</v>
      </c>
      <c r="T6" s="1003" t="s">
        <v>5505</v>
      </c>
      <c r="U6" s="1003"/>
      <c r="V6" s="1011" t="s">
        <v>7016</v>
      </c>
      <c r="W6" s="1041"/>
      <c r="X6" s="1007" t="s">
        <v>2366</v>
      </c>
      <c r="Y6" s="1011" t="s">
        <v>7017</v>
      </c>
      <c r="Z6" s="1011" t="s">
        <v>7018</v>
      </c>
      <c r="AA6" s="1009" t="s">
        <v>4905</v>
      </c>
      <c r="AB6" s="1009" t="s">
        <v>7019</v>
      </c>
      <c r="AC6" s="1008" t="s">
        <v>2678</v>
      </c>
      <c r="AD6" s="1045" t="s">
        <v>4132</v>
      </c>
      <c r="AE6" s="1045" t="s">
        <v>2511</v>
      </c>
      <c r="AF6" s="1012"/>
      <c r="AG6" s="1009" t="s">
        <v>7020</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7021</v>
      </c>
      <c r="BB6" s="1022" t="s">
        <v>7022</v>
      </c>
      <c r="BC6" s="1065" t="s">
        <v>292</v>
      </c>
      <c r="BD6" s="1021" t="s">
        <v>1691</v>
      </c>
      <c r="BE6" s="1066" t="s">
        <v>7023</v>
      </c>
      <c r="BF6" s="1002"/>
      <c r="BG6" s="1024" t="s">
        <v>7024</v>
      </c>
      <c r="BH6" s="1024" t="s">
        <v>694</v>
      </c>
      <c r="BI6" s="1067" t="s">
        <v>7025</v>
      </c>
      <c r="BJ6" s="1067" t="s">
        <v>7026</v>
      </c>
      <c r="BK6" s="1068" t="s">
        <v>7027</v>
      </c>
      <c r="BL6" s="1027"/>
      <c r="BM6" s="1069" t="s">
        <v>7028</v>
      </c>
      <c r="BN6" s="1049"/>
      <c r="BO6" s="1030"/>
      <c r="BP6" s="1070"/>
      <c r="BQ6" s="1029"/>
      <c r="BR6" s="1030" t="s">
        <v>2674</v>
      </c>
      <c r="BS6" s="1029"/>
      <c r="BT6" s="1031" t="s">
        <v>5308</v>
      </c>
      <c r="BU6" s="1032" t="s">
        <v>2783</v>
      </c>
      <c r="BV6" s="1030"/>
      <c r="BW6" s="1031" t="s">
        <v>7029</v>
      </c>
      <c r="BX6" s="1041"/>
      <c r="BY6" s="1071" t="s">
        <v>3415</v>
      </c>
      <c r="BZ6" s="1072" t="s">
        <v>7030</v>
      </c>
      <c r="CA6" s="1073" t="s">
        <v>7031</v>
      </c>
      <c r="CB6" s="1061"/>
      <c r="CC6" s="1074"/>
      <c r="CD6" s="1073" t="s">
        <v>7032</v>
      </c>
      <c r="CE6" s="1075" t="s">
        <v>7033</v>
      </c>
      <c r="CF6" s="1073" t="s">
        <v>7034</v>
      </c>
      <c r="CG6" s="1060" t="s">
        <v>5032</v>
      </c>
      <c r="CH6" s="1033" t="s">
        <v>7035</v>
      </c>
      <c r="CI6" s="1035"/>
      <c r="CJ6" s="1073" t="s">
        <v>2165</v>
      </c>
      <c r="CK6" s="1073" t="s">
        <v>3719</v>
      </c>
    </row>
    <row r="7">
      <c r="A7" s="1076" t="s">
        <v>1648</v>
      </c>
      <c r="B7" s="993" t="s">
        <v>7036</v>
      </c>
      <c r="C7" s="994" t="s">
        <v>828</v>
      </c>
      <c r="D7" s="995" t="s">
        <v>333</v>
      </c>
      <c r="E7" s="996" t="s">
        <v>1131</v>
      </c>
      <c r="F7" s="997" t="s">
        <v>2754</v>
      </c>
      <c r="G7" s="993" t="s">
        <v>7037</v>
      </c>
      <c r="H7" s="1038" t="s">
        <v>1362</v>
      </c>
      <c r="I7" s="1063" t="s">
        <v>7038</v>
      </c>
      <c r="J7" s="998"/>
      <c r="K7" s="999" t="s">
        <v>7039</v>
      </c>
      <c r="L7" s="1063" t="s">
        <v>7040</v>
      </c>
      <c r="M7" s="998"/>
      <c r="N7" s="1000" t="s">
        <v>7041</v>
      </c>
      <c r="O7" s="998"/>
      <c r="P7" s="1041"/>
      <c r="Q7" s="1003" t="s">
        <v>4042</v>
      </c>
      <c r="R7" s="1043" t="s">
        <v>3045</v>
      </c>
      <c r="S7" s="1044" t="s">
        <v>5687</v>
      </c>
      <c r="T7" s="1077" t="s">
        <v>5238</v>
      </c>
      <c r="U7" s="1077" t="s">
        <v>7042</v>
      </c>
      <c r="V7" s="1042" t="s">
        <v>7043</v>
      </c>
      <c r="W7" s="1041"/>
      <c r="X7" s="1046" t="s">
        <v>839</v>
      </c>
      <c r="Y7" s="1046" t="s">
        <v>7044</v>
      </c>
      <c r="Z7" s="1045" t="s">
        <v>1671</v>
      </c>
      <c r="AA7" s="1078" t="s">
        <v>4763</v>
      </c>
      <c r="AB7" s="1008" t="s">
        <v>4832</v>
      </c>
      <c r="AC7" s="1008" t="s">
        <v>4972</v>
      </c>
      <c r="AD7" s="1046" t="s">
        <v>4837</v>
      </c>
      <c r="AE7" s="1008" t="s">
        <v>6367</v>
      </c>
      <c r="AF7" s="1008"/>
      <c r="AG7" s="1079"/>
      <c r="AH7" s="1080" t="s">
        <v>1678</v>
      </c>
      <c r="AI7" s="1041"/>
      <c r="AJ7" s="1014"/>
      <c r="AK7" s="1014" t="s">
        <v>7045</v>
      </c>
      <c r="AL7" s="1014" t="s">
        <v>5421</v>
      </c>
      <c r="AM7" s="1014" t="s">
        <v>558</v>
      </c>
      <c r="AN7" s="1019" t="s">
        <v>7046</v>
      </c>
      <c r="AO7" s="1015"/>
      <c r="AP7" s="1019" t="s">
        <v>7047</v>
      </c>
      <c r="AQ7" s="1081" t="s">
        <v>4990</v>
      </c>
      <c r="AR7" s="1014" t="s">
        <v>7048</v>
      </c>
      <c r="AS7" s="1051" t="s">
        <v>7049</v>
      </c>
      <c r="AT7" s="1050"/>
      <c r="AU7" s="1014" t="s">
        <v>7050</v>
      </c>
      <c r="AV7" s="1015"/>
      <c r="AW7" s="1014" t="s">
        <v>471</v>
      </c>
      <c r="AX7" s="1019" t="s">
        <v>7051</v>
      </c>
      <c r="AY7" s="1051" t="s">
        <v>1990</v>
      </c>
      <c r="AZ7" s="1002"/>
      <c r="BA7" s="1066" t="s">
        <v>7052</v>
      </c>
      <c r="BB7" s="1022" t="s">
        <v>7053</v>
      </c>
      <c r="BC7" s="1082" t="s">
        <v>3196</v>
      </c>
      <c r="BD7" s="1053"/>
      <c r="BE7" s="1054" t="s">
        <v>7054</v>
      </c>
      <c r="BF7" s="1002"/>
      <c r="BG7" s="1055" t="s">
        <v>7004</v>
      </c>
      <c r="BH7" s="1024" t="s">
        <v>7055</v>
      </c>
      <c r="BI7" s="1025" t="s">
        <v>769</v>
      </c>
      <c r="BJ7" s="1083"/>
      <c r="BK7" s="1024" t="s">
        <v>7056</v>
      </c>
      <c r="BL7" s="1026" t="s">
        <v>7057</v>
      </c>
      <c r="BM7" s="1084" t="s">
        <v>7058</v>
      </c>
      <c r="BN7" s="1041"/>
      <c r="BO7" s="1030" t="s">
        <v>7059</v>
      </c>
      <c r="BP7" s="1070"/>
      <c r="BQ7" s="1030" t="s">
        <v>6715</v>
      </c>
      <c r="BR7" s="1085" t="s">
        <v>7060</v>
      </c>
      <c r="BS7" s="1032" t="s">
        <v>7061</v>
      </c>
      <c r="BT7" s="1030" t="s">
        <v>6527</v>
      </c>
      <c r="BU7" s="1085" t="s">
        <v>7052</v>
      </c>
      <c r="BV7" s="1031" t="s">
        <v>7062</v>
      </c>
      <c r="BW7" s="1059" t="s">
        <v>7063</v>
      </c>
      <c r="BX7" s="1041"/>
      <c r="BY7" s="1034" t="s">
        <v>7064</v>
      </c>
      <c r="BZ7" s="1034" t="s">
        <v>2598</v>
      </c>
      <c r="CA7" s="1061"/>
      <c r="CB7" s="1086" t="s">
        <v>2390</v>
      </c>
      <c r="CC7" s="1086"/>
      <c r="CD7" s="1034" t="s">
        <v>2772</v>
      </c>
      <c r="CE7" s="1087" t="s">
        <v>7065</v>
      </c>
      <c r="CF7" s="1087" t="s">
        <v>7066</v>
      </c>
      <c r="CG7" s="1071" t="s">
        <v>7067</v>
      </c>
      <c r="CH7" s="1073" t="s">
        <v>7068</v>
      </c>
      <c r="CI7" s="1073" t="s">
        <v>3371</v>
      </c>
      <c r="CJ7" s="1071" t="s">
        <v>4915</v>
      </c>
      <c r="CK7" s="1061"/>
    </row>
    <row r="8">
      <c r="A8" s="1088" t="s">
        <v>7069</v>
      </c>
      <c r="B8" s="1089" t="s">
        <v>7070</v>
      </c>
      <c r="C8" s="994" t="s">
        <v>828</v>
      </c>
      <c r="D8" s="995" t="s">
        <v>1199</v>
      </c>
      <c r="E8" s="996" t="s">
        <v>914</v>
      </c>
      <c r="F8" s="997" t="s">
        <v>6226</v>
      </c>
      <c r="G8" s="993" t="s">
        <v>2812</v>
      </c>
      <c r="H8" s="1090" t="s">
        <v>6780</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6671</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6741</v>
      </c>
      <c r="CG8" s="1060" t="s">
        <v>7108</v>
      </c>
      <c r="CH8" s="1060" t="s">
        <v>2195</v>
      </c>
      <c r="CI8" s="1087" t="s">
        <v>7109</v>
      </c>
      <c r="CJ8" s="1087" t="s">
        <v>3475</v>
      </c>
      <c r="CK8" s="1071"/>
    </row>
    <row r="9">
      <c r="A9" s="1037" t="s">
        <v>1415</v>
      </c>
      <c r="B9" s="993" t="s">
        <v>7110</v>
      </c>
      <c r="C9" s="994" t="s">
        <v>437</v>
      </c>
      <c r="D9" s="995" t="s">
        <v>543</v>
      </c>
      <c r="E9" s="996" t="s">
        <v>1131</v>
      </c>
      <c r="F9" s="997" t="s">
        <v>6304</v>
      </c>
      <c r="G9" s="993" t="s">
        <v>1727</v>
      </c>
      <c r="H9" s="998"/>
      <c r="I9" s="1038" t="s">
        <v>7111</v>
      </c>
      <c r="J9" s="1040"/>
      <c r="K9" s="1039" t="s">
        <v>7112</v>
      </c>
      <c r="L9" s="1090" t="s">
        <v>2891</v>
      </c>
      <c r="M9" s="998"/>
      <c r="N9" s="998"/>
      <c r="O9" s="1063" t="s">
        <v>7113</v>
      </c>
      <c r="P9" s="1041"/>
      <c r="Q9" s="1007" t="s">
        <v>6582</v>
      </c>
      <c r="R9" s="1004"/>
      <c r="S9" s="1004"/>
      <c r="T9" s="1098" t="s">
        <v>5725</v>
      </c>
      <c r="U9" s="1003"/>
      <c r="V9" s="1077" t="s">
        <v>7114</v>
      </c>
      <c r="W9" s="1041"/>
      <c r="X9" s="1045" t="s">
        <v>588</v>
      </c>
      <c r="Y9" s="1099" t="s">
        <v>6505</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5773</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6348</v>
      </c>
      <c r="BD10" s="1053"/>
      <c r="BE10" s="1054" t="s">
        <v>7147</v>
      </c>
      <c r="BF10" s="1002"/>
      <c r="BG10" s="1068" t="s">
        <v>7148</v>
      </c>
      <c r="BH10" s="1068" t="s">
        <v>6867</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6980</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5883</v>
      </c>
      <c r="BX12" s="1041"/>
      <c r="BY12" s="1060" t="s">
        <v>6999</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5871</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6317</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6596</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5917</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5816</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6492</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6417</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6350</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5871</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6297</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6912</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6844</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6328</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5767</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6662</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5821</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6341</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5827</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6581</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6887</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6304</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5894</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7002</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6332</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6563</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5930</v>
      </c>
      <c r="Y6" s="1202" t="s">
        <v>2524</v>
      </c>
      <c r="Z6" s="1162"/>
      <c r="AA6" s="1162"/>
      <c r="AB6" s="1162"/>
      <c r="AC6" s="1162"/>
      <c r="AD6" s="779" t="s">
        <v>7877</v>
      </c>
      <c r="AE6" s="1209"/>
      <c r="AF6" s="765" t="s">
        <v>462</v>
      </c>
      <c r="AG6" s="1209"/>
      <c r="AH6" s="1162"/>
      <c r="AI6" s="1162"/>
      <c r="AJ6" s="1203" t="s">
        <v>2205</v>
      </c>
      <c r="AK6" s="1202" t="s">
        <v>5921</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7069</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6296</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5731</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5760</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5906</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5856</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7043</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5827</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6304</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6475</v>
      </c>
      <c r="Y27" s="765" t="s">
        <v>6559</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6368</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6368</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5816</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6502</v>
      </c>
      <c r="Q1" s="29" t="s">
        <v>38</v>
      </c>
      <c r="T1" s="30" t="s">
        <v>39</v>
      </c>
      <c r="W1" s="32" t="s">
        <v>6724</v>
      </c>
      <c r="Z1" s="33" t="s">
        <v>6778</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5947</v>
      </c>
      <c r="R3" s="1209"/>
      <c r="S3" s="1209"/>
      <c r="T3" s="1271" t="s">
        <v>6666</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5822</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6612</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6638</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6424</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0.04944120370370371</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4027</v>
      </c>
      <c r="X3" s="1374" t="s">
        <v>2556</v>
      </c>
      <c r="Y3" s="1374" t="s">
        <v>5752</v>
      </c>
      <c r="Z3" s="1374" t="s">
        <v>441</v>
      </c>
      <c r="AA3" s="1374" t="s">
        <v>8352</v>
      </c>
      <c r="AB3" s="1373" t="s">
        <v>2804</v>
      </c>
      <c r="AC3" s="1374" t="s">
        <v>4986</v>
      </c>
      <c r="AD3" s="1368" t="s">
        <v>8353</v>
      </c>
      <c r="AE3" s="1368" t="s">
        <v>8354</v>
      </c>
      <c r="AF3" s="1375" t="s">
        <v>8355</v>
      </c>
      <c r="AG3" s="1376" t="s">
        <v>8356</v>
      </c>
      <c r="AH3" s="1376" t="s">
        <v>2780</v>
      </c>
      <c r="AI3" s="1376" t="s">
        <v>4042</v>
      </c>
      <c r="AJ3" s="1375" t="s">
        <v>8357</v>
      </c>
      <c r="AK3" s="1376" t="s">
        <v>8358</v>
      </c>
      <c r="AL3" s="1376" t="s">
        <v>5924</v>
      </c>
      <c r="AM3" s="1377" t="s">
        <v>2386</v>
      </c>
      <c r="AN3" s="1377" t="s">
        <v>3571</v>
      </c>
      <c r="AO3" s="1378" t="s">
        <v>8359</v>
      </c>
      <c r="AP3" s="1378" t="s">
        <v>8360</v>
      </c>
      <c r="AQ3" s="1378" t="s">
        <v>8361</v>
      </c>
      <c r="AR3" s="1378" t="s">
        <v>7295</v>
      </c>
      <c r="AS3" s="1377" t="s">
        <v>5123</v>
      </c>
      <c r="AT3" s="1379" t="s">
        <v>8362</v>
      </c>
      <c r="AU3" s="1380" t="s">
        <v>8363</v>
      </c>
      <c r="AV3" s="1380" t="str">
        <f t="shared" si="1"/>
        <v>3:55</v>
      </c>
    </row>
    <row r="4" ht="15.75" customHeight="1">
      <c r="A4" s="1381" t="s">
        <v>8364</v>
      </c>
      <c r="B4" s="1382" t="s">
        <v>8365</v>
      </c>
      <c r="C4" s="1383">
        <v>0.050637731481481485</v>
      </c>
      <c r="D4" s="1384" t="s">
        <v>8366</v>
      </c>
      <c r="E4" s="1384" t="s">
        <v>8367</v>
      </c>
      <c r="F4" s="1384" t="s">
        <v>8368</v>
      </c>
      <c r="G4" s="1384" t="s">
        <v>8369</v>
      </c>
      <c r="H4" s="1385" t="s">
        <v>8370</v>
      </c>
      <c r="I4" s="1385" t="s">
        <v>349</v>
      </c>
      <c r="J4" s="1386" t="s">
        <v>8371</v>
      </c>
      <c r="K4" s="1386" t="s">
        <v>6003</v>
      </c>
      <c r="L4" s="1386" t="s">
        <v>3664</v>
      </c>
      <c r="M4" s="1386" t="s">
        <v>8372</v>
      </c>
      <c r="N4" s="1386" t="s">
        <v>8373</v>
      </c>
      <c r="O4" s="1386" t="s">
        <v>8374</v>
      </c>
      <c r="P4" s="1386" t="s">
        <v>8375</v>
      </c>
      <c r="Q4" s="1387" t="s">
        <v>8376</v>
      </c>
      <c r="R4" s="1387" t="s">
        <v>8377</v>
      </c>
      <c r="S4" s="1387" t="s">
        <v>2249</v>
      </c>
      <c r="T4" s="1387" t="s">
        <v>8378</v>
      </c>
      <c r="U4" s="1387" t="s">
        <v>8379</v>
      </c>
      <c r="V4" s="1387" t="s">
        <v>8380</v>
      </c>
      <c r="W4" s="1388" t="s">
        <v>8381</v>
      </c>
      <c r="X4" s="1388" t="s">
        <v>8382</v>
      </c>
      <c r="Y4" s="1388">
        <v>47.93</v>
      </c>
      <c r="Z4" s="1388" t="s">
        <v>8383</v>
      </c>
      <c r="AA4" s="1388" t="s">
        <v>8384</v>
      </c>
      <c r="AB4" s="1388" t="s">
        <v>8385</v>
      </c>
      <c r="AC4" s="1388">
        <v>49.24</v>
      </c>
      <c r="AD4" s="1389" t="s">
        <v>8386</v>
      </c>
      <c r="AE4" s="1384" t="s">
        <v>8387</v>
      </c>
      <c r="AF4" s="1390" t="s">
        <v>2662</v>
      </c>
      <c r="AG4" s="1390" t="s">
        <v>4528</v>
      </c>
      <c r="AH4" s="1390" t="s">
        <v>5126</v>
      </c>
      <c r="AI4" s="1390" t="s">
        <v>8388</v>
      </c>
      <c r="AJ4" s="1390" t="s">
        <v>8389</v>
      </c>
      <c r="AK4" s="1390" t="s">
        <v>8390</v>
      </c>
      <c r="AL4" s="1390" t="s">
        <v>8391</v>
      </c>
      <c r="AM4" s="1391" t="s">
        <v>8392</v>
      </c>
      <c r="AN4" s="1392" t="s">
        <v>8393</v>
      </c>
      <c r="AO4" s="1391" t="s">
        <v>8394</v>
      </c>
      <c r="AP4" s="1392" t="s">
        <v>8395</v>
      </c>
      <c r="AQ4" s="1391" t="s">
        <v>8396</v>
      </c>
      <c r="AR4" s="1391" t="s">
        <v>6319</v>
      </c>
      <c r="AS4" s="1391" t="s">
        <v>754</v>
      </c>
      <c r="AT4" s="1393" t="s">
        <v>8397</v>
      </c>
      <c r="AU4" s="1394" t="s">
        <v>8398</v>
      </c>
      <c r="AV4" s="1395" t="str">
        <f t="shared" si="1"/>
        <v>2:38</v>
      </c>
    </row>
    <row r="5" ht="15.75" customHeight="1">
      <c r="A5" s="1396" t="s">
        <v>1128</v>
      </c>
      <c r="B5" s="1397" t="s">
        <v>8311</v>
      </c>
      <c r="C5" s="1398">
        <v>0.049212962962962965</v>
      </c>
      <c r="D5" s="1399" t="s">
        <v>8313</v>
      </c>
      <c r="E5" s="1399" t="s">
        <v>8314</v>
      </c>
      <c r="F5" s="1400" t="s">
        <v>8399</v>
      </c>
      <c r="G5" s="1400" t="s">
        <v>8400</v>
      </c>
      <c r="H5" s="1399" t="s">
        <v>5982</v>
      </c>
      <c r="I5" s="1399" t="s">
        <v>3650</v>
      </c>
      <c r="J5" s="1400" t="s">
        <v>5473</v>
      </c>
      <c r="K5" s="1401" t="s">
        <v>2077</v>
      </c>
      <c r="L5" s="1402" t="s">
        <v>8401</v>
      </c>
      <c r="M5" s="1403" t="s">
        <v>8318</v>
      </c>
      <c r="N5" s="1403" t="s">
        <v>8319</v>
      </c>
      <c r="O5" s="1404" t="s">
        <v>8402</v>
      </c>
      <c r="P5" s="1401" t="s">
        <v>4068</v>
      </c>
      <c r="Q5" s="1403" t="s">
        <v>8321</v>
      </c>
      <c r="R5" s="1405" t="s">
        <v>7349</v>
      </c>
      <c r="S5" s="1403" t="s">
        <v>815</v>
      </c>
      <c r="T5" s="1400" t="s">
        <v>8403</v>
      </c>
      <c r="U5" s="1403" t="s">
        <v>8323</v>
      </c>
      <c r="V5" s="1401" t="s">
        <v>8404</v>
      </c>
      <c r="W5" s="1399" t="s">
        <v>8324</v>
      </c>
      <c r="X5" s="1400" t="s">
        <v>8405</v>
      </c>
      <c r="Y5" s="1400" t="s">
        <v>7298</v>
      </c>
      <c r="Z5" s="1400" t="s">
        <v>4988</v>
      </c>
      <c r="AA5" s="1400" t="s">
        <v>8406</v>
      </c>
      <c r="AB5" s="1402" t="s">
        <v>520</v>
      </c>
      <c r="AC5" s="1403" t="s">
        <v>3853</v>
      </c>
      <c r="AD5" s="1402" t="s">
        <v>8407</v>
      </c>
      <c r="AE5" s="1406" t="s">
        <v>8408</v>
      </c>
      <c r="AF5" s="1406" t="s">
        <v>8409</v>
      </c>
      <c r="AG5" s="1407" t="s">
        <v>2314</v>
      </c>
      <c r="AH5" s="1400" t="s">
        <v>8410</v>
      </c>
      <c r="AI5" s="1403" t="s">
        <v>8330</v>
      </c>
      <c r="AJ5" s="1402" t="s">
        <v>8411</v>
      </c>
      <c r="AK5" s="1403" t="s">
        <v>8332</v>
      </c>
      <c r="AL5" s="1400" t="s">
        <v>4448</v>
      </c>
      <c r="AM5" s="1400" t="s">
        <v>8069</v>
      </c>
      <c r="AN5" s="1400" t="s">
        <v>5202</v>
      </c>
      <c r="AO5" s="1405" t="s">
        <v>8412</v>
      </c>
      <c r="AP5" s="1400" t="s">
        <v>8413</v>
      </c>
      <c r="AQ5" s="1400" t="s">
        <v>8414</v>
      </c>
      <c r="AR5" s="1407" t="s">
        <v>1092</v>
      </c>
      <c r="AS5" s="1400" t="s">
        <v>4280</v>
      </c>
      <c r="AT5" s="1408" t="s">
        <v>8415</v>
      </c>
      <c r="AU5" s="1409" t="s">
        <v>8337</v>
      </c>
      <c r="AV5" s="1406" t="str">
        <f t="shared" si="1"/>
        <v>1:59</v>
      </c>
      <c r="AW5" s="1410" t="s">
        <v>8416</v>
      </c>
    </row>
    <row r="6" ht="15.75" customHeight="1">
      <c r="A6" s="1411" t="s">
        <v>435</v>
      </c>
      <c r="B6" s="1397" t="s">
        <v>8311</v>
      </c>
      <c r="C6" s="1398">
        <v>0.0493287037037037</v>
      </c>
      <c r="D6" s="1412" t="s">
        <v>8417</v>
      </c>
      <c r="E6" s="1413" t="s">
        <v>8418</v>
      </c>
      <c r="F6" s="1413" t="s">
        <v>8419</v>
      </c>
      <c r="G6" s="1413" t="s">
        <v>8420</v>
      </c>
      <c r="H6" s="1413" t="s">
        <v>8421</v>
      </c>
      <c r="I6" s="1405" t="s">
        <v>8422</v>
      </c>
      <c r="J6" s="1414" t="s">
        <v>8317</v>
      </c>
      <c r="K6" s="1413" t="s">
        <v>781</v>
      </c>
      <c r="L6" s="1413" t="s">
        <v>8423</v>
      </c>
      <c r="M6" s="1413" t="s">
        <v>8424</v>
      </c>
      <c r="N6" s="1413" t="s">
        <v>8425</v>
      </c>
      <c r="O6" s="1413" t="s">
        <v>8426</v>
      </c>
      <c r="P6" s="1414" t="s">
        <v>1352</v>
      </c>
      <c r="Q6" s="1401" t="s">
        <v>8427</v>
      </c>
      <c r="R6" s="1414" t="s">
        <v>4373</v>
      </c>
      <c r="S6" s="1413" t="s">
        <v>8317</v>
      </c>
      <c r="T6" s="1414" t="s">
        <v>8322</v>
      </c>
      <c r="U6" s="1401" t="s">
        <v>8334</v>
      </c>
      <c r="V6" s="1415" t="s">
        <v>8138</v>
      </c>
      <c r="W6" s="1413" t="s">
        <v>8428</v>
      </c>
      <c r="X6" s="1414" t="s">
        <v>8325</v>
      </c>
      <c r="Y6" s="1416">
        <v>46.72</v>
      </c>
      <c r="Z6" s="1416" t="s">
        <v>3299</v>
      </c>
      <c r="AA6" s="1414" t="s">
        <v>3312</v>
      </c>
      <c r="AB6" s="1414" t="s">
        <v>8327</v>
      </c>
      <c r="AC6" s="1413" t="s">
        <v>5402</v>
      </c>
      <c r="AD6" s="1413" t="s">
        <v>7219</v>
      </c>
      <c r="AE6" s="1417" t="s">
        <v>4654</v>
      </c>
      <c r="AF6" s="1416" t="s">
        <v>8429</v>
      </c>
      <c r="AG6" s="1415" t="s">
        <v>8430</v>
      </c>
      <c r="AH6" s="1414" t="s">
        <v>3677</v>
      </c>
      <c r="AI6" s="1413" t="s">
        <v>5804</v>
      </c>
      <c r="AJ6" s="1416" t="s">
        <v>8431</v>
      </c>
      <c r="AK6" s="1416" t="s">
        <v>5657</v>
      </c>
      <c r="AL6" s="1417" t="s">
        <v>5968</v>
      </c>
      <c r="AM6" s="1414" t="s">
        <v>3540</v>
      </c>
      <c r="AN6" s="1415" t="s">
        <v>4118</v>
      </c>
      <c r="AO6" s="1415" t="s">
        <v>155</v>
      </c>
      <c r="AP6" s="1415" t="s">
        <v>8432</v>
      </c>
      <c r="AQ6" s="1406" t="s">
        <v>8433</v>
      </c>
      <c r="AR6" s="1415" t="s">
        <v>8434</v>
      </c>
      <c r="AS6" s="1415" t="s">
        <v>8435</v>
      </c>
      <c r="AT6" s="1415" t="s">
        <v>8436</v>
      </c>
      <c r="AU6" s="1418" t="s">
        <v>8437</v>
      </c>
      <c r="AV6" s="1406" t="str">
        <f t="shared" si="1"/>
        <v>2:15</v>
      </c>
      <c r="AW6" s="1410"/>
    </row>
    <row r="7" ht="15.75" customHeight="1">
      <c r="A7" s="1396" t="s">
        <v>6269</v>
      </c>
      <c r="B7" s="1397" t="s">
        <v>8311</v>
      </c>
      <c r="C7" s="1398">
        <v>0.049444444444444444</v>
      </c>
      <c r="D7" s="1400" t="s">
        <v>8438</v>
      </c>
      <c r="E7" s="1400" t="s">
        <v>8439</v>
      </c>
      <c r="F7" s="1405" t="s">
        <v>8440</v>
      </c>
      <c r="G7" s="1403" t="s">
        <v>8316</v>
      </c>
      <c r="H7" s="1405" t="s">
        <v>8441</v>
      </c>
      <c r="I7" s="1405" t="s">
        <v>2772</v>
      </c>
      <c r="J7" s="1400" t="s">
        <v>8442</v>
      </c>
      <c r="K7" s="1405" t="s">
        <v>3207</v>
      </c>
      <c r="L7" s="1405" t="s">
        <v>4070</v>
      </c>
      <c r="M7" s="1405" t="s">
        <v>6215</v>
      </c>
      <c r="N7" s="1404" t="s">
        <v>8443</v>
      </c>
      <c r="O7" s="1405" t="s">
        <v>8444</v>
      </c>
      <c r="P7" s="1406" t="s">
        <v>6807</v>
      </c>
      <c r="Q7" s="1400" t="s">
        <v>8445</v>
      </c>
      <c r="R7" s="1405" t="s">
        <v>7109</v>
      </c>
      <c r="S7" s="1405" t="s">
        <v>3160</v>
      </c>
      <c r="T7" s="1406" t="s">
        <v>3569</v>
      </c>
      <c r="U7" s="1405" t="s">
        <v>8446</v>
      </c>
      <c r="V7" s="1405" t="s">
        <v>5116</v>
      </c>
      <c r="W7" s="1419" t="s">
        <v>8447</v>
      </c>
      <c r="X7" s="1406" t="s">
        <v>8448</v>
      </c>
      <c r="Y7" s="1420" t="s">
        <v>8449</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8450</v>
      </c>
      <c r="AG7" s="1421" t="str">
        <f>HYPERLINK("https://www.twitch.tv/videos/566334947","1:28.73")</f>
        <v>1:28.73</v>
      </c>
      <c r="AH7" s="1405" t="s">
        <v>8451</v>
      </c>
      <c r="AI7" s="1423" t="str">
        <f>HYPERLINK("https://www.twitch.tv/videos/584107631","1:27.68")</f>
        <v>1:27.68</v>
      </c>
      <c r="AJ7" s="1406" t="s">
        <v>8452</v>
      </c>
      <c r="AK7" s="1405" t="s">
        <v>7038</v>
      </c>
      <c r="AL7" s="1405" t="s">
        <v>8453</v>
      </c>
      <c r="AM7" s="1400" t="s">
        <v>4419</v>
      </c>
      <c r="AN7" s="1400" t="s">
        <v>2641</v>
      </c>
      <c r="AO7" s="1424" t="s">
        <v>5710</v>
      </c>
      <c r="AP7" s="1405" t="s">
        <v>8454</v>
      </c>
      <c r="AQ7" s="1406" t="s">
        <v>8455</v>
      </c>
      <c r="AR7" s="1402" t="s">
        <v>8456</v>
      </c>
      <c r="AS7" s="1422" t="str">
        <f>HYPERLINK("https://www.twitch.tv/videos/571767101","42.91")</f>
        <v>42.91</v>
      </c>
      <c r="AT7" s="1425" t="s">
        <v>8457</v>
      </c>
      <c r="AU7" s="1418" t="s">
        <v>8458</v>
      </c>
      <c r="AV7" s="1406" t="str">
        <f t="shared" si="1"/>
        <v>2:32</v>
      </c>
      <c r="AW7" s="1426" t="s">
        <v>8459</v>
      </c>
    </row>
    <row r="8" ht="15.75" customHeight="1">
      <c r="A8" s="1396" t="s">
        <v>1945</v>
      </c>
      <c r="B8" s="1397" t="s">
        <v>8311</v>
      </c>
      <c r="C8" s="1398">
        <v>0.04949074074074074</v>
      </c>
      <c r="D8" s="1420" t="s">
        <v>8460</v>
      </c>
      <c r="E8" s="1420" t="s">
        <v>8461</v>
      </c>
      <c r="F8" s="1420" t="s">
        <v>2120</v>
      </c>
      <c r="G8" s="1420" t="s">
        <v>8462</v>
      </c>
      <c r="H8" s="1402" t="s">
        <v>8463</v>
      </c>
      <c r="I8" s="1413">
        <v>47.34</v>
      </c>
      <c r="J8" s="1420" t="s">
        <v>646</v>
      </c>
      <c r="K8" s="1420" t="s">
        <v>8464</v>
      </c>
      <c r="L8" s="1420">
        <v>55.97</v>
      </c>
      <c r="M8" s="1420" t="s">
        <v>1906</v>
      </c>
      <c r="N8" s="1420" t="s">
        <v>8465</v>
      </c>
      <c r="O8" s="1427" t="s">
        <v>8320</v>
      </c>
      <c r="P8" s="1420">
        <v>47.49</v>
      </c>
      <c r="Q8" s="1420" t="s">
        <v>8466</v>
      </c>
      <c r="R8" s="1420" t="s">
        <v>1226</v>
      </c>
      <c r="S8" s="1428" t="s">
        <v>1964</v>
      </c>
      <c r="T8" s="1420" t="s">
        <v>8467</v>
      </c>
      <c r="U8" s="1400" t="s">
        <v>8468</v>
      </c>
      <c r="V8" s="1420">
        <v>59.32</v>
      </c>
      <c r="W8" s="1429" t="s">
        <v>8469</v>
      </c>
      <c r="X8" s="1420" t="s">
        <v>6742</v>
      </c>
      <c r="Y8" s="1420">
        <v>46.65</v>
      </c>
      <c r="Z8" s="1420" t="s">
        <v>8470</v>
      </c>
      <c r="AA8" s="1420" t="s">
        <v>2480</v>
      </c>
      <c r="AB8" s="1420" t="s">
        <v>8471</v>
      </c>
      <c r="AC8" s="1420">
        <v>47.89</v>
      </c>
      <c r="AD8" s="1420" t="s">
        <v>1963</v>
      </c>
      <c r="AE8" s="1420">
        <v>47.98</v>
      </c>
      <c r="AF8" s="1420" t="s">
        <v>8472</v>
      </c>
      <c r="AG8" s="1420" t="s">
        <v>8473</v>
      </c>
      <c r="AH8" s="1420">
        <v>57.45</v>
      </c>
      <c r="AI8" s="1416" t="s">
        <v>6974</v>
      </c>
      <c r="AJ8" s="1430" t="s">
        <v>8474</v>
      </c>
      <c r="AK8" s="1420" t="s">
        <v>5371</v>
      </c>
      <c r="AL8" s="1420">
        <v>56.23</v>
      </c>
      <c r="AM8" s="1429" t="s">
        <v>3802</v>
      </c>
      <c r="AN8" s="1429" t="s">
        <v>8475</v>
      </c>
      <c r="AO8" s="1420" t="s">
        <v>3503</v>
      </c>
      <c r="AP8" s="1420" t="s">
        <v>8476</v>
      </c>
      <c r="AQ8" s="1420" t="s">
        <v>8477</v>
      </c>
      <c r="AR8" s="1420" t="s">
        <v>4295</v>
      </c>
      <c r="AS8" s="1420">
        <v>46.19</v>
      </c>
      <c r="AT8" s="1420" t="s">
        <v>8478</v>
      </c>
      <c r="AU8" s="1420" t="s">
        <v>8479</v>
      </c>
      <c r="AV8" s="1406" t="str">
        <f t="shared" si="1"/>
        <v>1:52</v>
      </c>
      <c r="AW8" s="1426" t="s">
        <v>8480</v>
      </c>
    </row>
    <row r="9" ht="15.75" customHeight="1">
      <c r="A9" s="1411" t="s">
        <v>329</v>
      </c>
      <c r="B9" s="1397" t="s">
        <v>8311</v>
      </c>
      <c r="C9" s="1398">
        <v>0.04957175925925926</v>
      </c>
      <c r="D9" s="1431" t="s">
        <v>8481</v>
      </c>
      <c r="E9" s="1413" t="s">
        <v>8482</v>
      </c>
      <c r="F9" s="1432" t="s">
        <v>8315</v>
      </c>
      <c r="G9" s="1415" t="s">
        <v>8483</v>
      </c>
      <c r="H9" s="1433" t="s">
        <v>5312</v>
      </c>
      <c r="I9" s="1415" t="s">
        <v>1295</v>
      </c>
      <c r="J9" s="1434" t="s">
        <v>8484</v>
      </c>
      <c r="K9" s="1415" t="s">
        <v>6583</v>
      </c>
      <c r="L9" s="1414" t="s">
        <v>232</v>
      </c>
      <c r="M9" s="1434" t="s">
        <v>8485</v>
      </c>
      <c r="N9" s="1413" t="s">
        <v>8486</v>
      </c>
      <c r="O9" s="1434" t="s">
        <v>8487</v>
      </c>
      <c r="P9" s="1415" t="s">
        <v>6207</v>
      </c>
      <c r="Q9" s="1415" t="s">
        <v>8466</v>
      </c>
      <c r="R9" s="1415" t="s">
        <v>5537</v>
      </c>
      <c r="S9" s="1415" t="s">
        <v>2082</v>
      </c>
      <c r="T9" s="1415" t="s">
        <v>3839</v>
      </c>
      <c r="U9" s="1415" t="s">
        <v>8488</v>
      </c>
      <c r="V9" s="1316" t="s">
        <v>8489</v>
      </c>
      <c r="W9" s="1435" t="s">
        <v>8490</v>
      </c>
      <c r="X9" s="1415" t="s">
        <v>8491</v>
      </c>
      <c r="Y9" s="1414">
        <v>46.63</v>
      </c>
      <c r="Z9" s="1436" t="s">
        <v>305</v>
      </c>
      <c r="AA9" s="1413" t="s">
        <v>8492</v>
      </c>
      <c r="AB9" s="1414" t="s">
        <v>8327</v>
      </c>
      <c r="AC9" s="1415" t="s">
        <v>5400</v>
      </c>
      <c r="AD9" s="1415" t="s">
        <v>8493</v>
      </c>
      <c r="AE9" s="1416" t="s">
        <v>8494</v>
      </c>
      <c r="AF9" s="1413" t="s">
        <v>8495</v>
      </c>
      <c r="AG9" s="1420" t="s">
        <v>8496</v>
      </c>
      <c r="AH9" s="1415" t="s">
        <v>8410</v>
      </c>
      <c r="AI9" s="1316" t="s">
        <v>8497</v>
      </c>
      <c r="AJ9" s="1416" t="s">
        <v>8498</v>
      </c>
      <c r="AK9" s="1415" t="s">
        <v>1365</v>
      </c>
      <c r="AL9" s="1415" t="s">
        <v>5067</v>
      </c>
      <c r="AM9" s="1415" t="s">
        <v>3839</v>
      </c>
      <c r="AN9" s="1434" t="s">
        <v>8499</v>
      </c>
      <c r="AO9" s="1415" t="s">
        <v>8434</v>
      </c>
      <c r="AP9" s="1415" t="s">
        <v>8500</v>
      </c>
      <c r="AQ9" s="1415" t="s">
        <v>8501</v>
      </c>
      <c r="AR9" s="1415" t="s">
        <v>4505</v>
      </c>
      <c r="AS9" s="1415" t="s">
        <v>8502</v>
      </c>
      <c r="AT9" s="1437" t="s">
        <v>8336</v>
      </c>
      <c r="AU9" s="1438" t="s">
        <v>8503</v>
      </c>
      <c r="AV9" s="1406" t="str">
        <f t="shared" si="1"/>
        <v>2:59</v>
      </c>
      <c r="AW9" s="1439"/>
    </row>
    <row r="10">
      <c r="A10" s="1411" t="s">
        <v>6191</v>
      </c>
      <c r="B10" s="1440" t="s">
        <v>8311</v>
      </c>
      <c r="C10" s="1398">
        <v>0.04958333333333333</v>
      </c>
      <c r="D10" s="1316" t="s">
        <v>8504</v>
      </c>
      <c r="E10" s="1420" t="s">
        <v>6164</v>
      </c>
      <c r="F10" s="1420" t="s">
        <v>8505</v>
      </c>
      <c r="G10" s="1420" t="s">
        <v>8506</v>
      </c>
      <c r="H10" s="1429" t="s">
        <v>8507</v>
      </c>
      <c r="I10" s="1429" t="s">
        <v>5574</v>
      </c>
      <c r="J10" s="1429" t="s">
        <v>2613</v>
      </c>
      <c r="K10" s="1429" t="s">
        <v>7209</v>
      </c>
      <c r="L10" s="1420">
        <v>56.42</v>
      </c>
      <c r="M10" s="1420" t="s">
        <v>5142</v>
      </c>
      <c r="N10" s="1420" t="s">
        <v>8508</v>
      </c>
      <c r="O10" s="1429" t="s">
        <v>8509</v>
      </c>
      <c r="P10" s="1429" t="s">
        <v>131</v>
      </c>
      <c r="Q10" s="1429" t="s">
        <v>8510</v>
      </c>
      <c r="R10" s="1420" t="s">
        <v>8511</v>
      </c>
      <c r="S10" s="1429" t="s">
        <v>8512</v>
      </c>
      <c r="T10" s="1429" t="s">
        <v>4901</v>
      </c>
      <c r="U10" s="1429" t="s">
        <v>8513</v>
      </c>
      <c r="V10" s="1420">
        <v>59.45</v>
      </c>
      <c r="W10" s="1429" t="s">
        <v>8514</v>
      </c>
      <c r="X10" s="1429" t="s">
        <v>8515</v>
      </c>
      <c r="Y10" s="1429" t="s">
        <v>4978</v>
      </c>
      <c r="Z10" s="1420" t="s">
        <v>4064</v>
      </c>
      <c r="AA10" s="1420" t="s">
        <v>8516</v>
      </c>
      <c r="AB10" s="1420" t="s">
        <v>4521</v>
      </c>
      <c r="AC10" s="1429" t="s">
        <v>4795</v>
      </c>
      <c r="AD10" s="1429" t="s">
        <v>8517</v>
      </c>
      <c r="AE10" s="1420">
        <v>47.89</v>
      </c>
      <c r="AF10" s="1420" t="s">
        <v>8518</v>
      </c>
      <c r="AG10" s="1417" t="s">
        <v>8329</v>
      </c>
      <c r="AH10" s="1420">
        <v>57.71</v>
      </c>
      <c r="AI10" s="1429" t="s">
        <v>8519</v>
      </c>
      <c r="AJ10" s="1420" t="s">
        <v>8474</v>
      </c>
      <c r="AK10" s="1429" t="s">
        <v>7045</v>
      </c>
      <c r="AL10" s="1420">
        <v>56.69</v>
      </c>
      <c r="AM10" s="1429" t="s">
        <v>8520</v>
      </c>
      <c r="AN10" s="1429" t="s">
        <v>4022</v>
      </c>
      <c r="AO10" s="1429" t="s">
        <v>2755</v>
      </c>
      <c r="AP10" s="1420" t="s">
        <v>8521</v>
      </c>
      <c r="AQ10" s="1441" t="s">
        <v>8335</v>
      </c>
      <c r="AR10" s="1429" t="s">
        <v>8522</v>
      </c>
      <c r="AS10" s="1420">
        <v>43.65</v>
      </c>
      <c r="AT10" s="1429" t="s">
        <v>8523</v>
      </c>
      <c r="AU10" s="1418" t="s">
        <v>8524</v>
      </c>
      <c r="AV10" s="1406" t="str">
        <f t="shared" si="1"/>
        <v>1:34</v>
      </c>
      <c r="AW10" s="1442" t="s">
        <v>8525</v>
      </c>
    </row>
    <row r="11">
      <c r="A11" s="1443" t="s">
        <v>911</v>
      </c>
      <c r="B11" s="1444" t="s">
        <v>8311</v>
      </c>
      <c r="C11" s="1398">
        <v>0.049652777777777775</v>
      </c>
      <c r="D11" s="1415" t="s">
        <v>8526</v>
      </c>
      <c r="E11" s="1415" t="s">
        <v>8527</v>
      </c>
      <c r="F11" s="1415" t="s">
        <v>8528</v>
      </c>
      <c r="G11" s="1416" t="s">
        <v>8529</v>
      </c>
      <c r="H11" s="1415" t="s">
        <v>7434</v>
      </c>
      <c r="I11" s="1415" t="s">
        <v>8243</v>
      </c>
      <c r="J11" s="1413" t="s">
        <v>8530</v>
      </c>
      <c r="K11" s="1415" t="s">
        <v>8531</v>
      </c>
      <c r="L11" s="1415" t="s">
        <v>3412</v>
      </c>
      <c r="M11" s="1415" t="s">
        <v>8532</v>
      </c>
      <c r="N11" s="1415" t="s">
        <v>8533</v>
      </c>
      <c r="O11" s="1415" t="s">
        <v>8324</v>
      </c>
      <c r="P11" s="1415" t="s">
        <v>5906</v>
      </c>
      <c r="Q11" s="1415" t="s">
        <v>4896</v>
      </c>
      <c r="R11" s="1415" t="s">
        <v>8534</v>
      </c>
      <c r="S11" s="1400" t="s">
        <v>2717</v>
      </c>
      <c r="T11" s="1415" t="s">
        <v>8535</v>
      </c>
      <c r="U11" s="1415" t="s">
        <v>8536</v>
      </c>
      <c r="V11" s="1415" t="s">
        <v>5309</v>
      </c>
      <c r="W11" s="1415" t="s">
        <v>1990</v>
      </c>
      <c r="X11" s="1408" t="s">
        <v>8537</v>
      </c>
      <c r="Y11" s="1415" t="s">
        <v>8538</v>
      </c>
      <c r="Z11" s="1427" t="s">
        <v>8326</v>
      </c>
      <c r="AA11" s="1408" t="s">
        <v>8539</v>
      </c>
      <c r="AB11" s="1415" t="s">
        <v>8540</v>
      </c>
      <c r="AC11" s="1415" t="s">
        <v>4894</v>
      </c>
      <c r="AD11" s="1415" t="s">
        <v>5577</v>
      </c>
      <c r="AE11" s="1416">
        <v>47.81</v>
      </c>
      <c r="AF11" s="1415" t="s">
        <v>8541</v>
      </c>
      <c r="AG11" s="1415" t="s">
        <v>8542</v>
      </c>
      <c r="AH11" s="1415" t="s">
        <v>748</v>
      </c>
      <c r="AI11" s="1415" t="s">
        <v>863</v>
      </c>
      <c r="AJ11" s="1415" t="s">
        <v>8543</v>
      </c>
      <c r="AK11" s="1415" t="s">
        <v>8544</v>
      </c>
      <c r="AL11" s="1415" t="s">
        <v>8545</v>
      </c>
      <c r="AM11" s="1415" t="s">
        <v>4419</v>
      </c>
      <c r="AN11" s="1427" t="s">
        <v>8333</v>
      </c>
      <c r="AO11" s="1427" t="s">
        <v>6166</v>
      </c>
      <c r="AP11" s="1415" t="s">
        <v>8546</v>
      </c>
      <c r="AQ11" s="1415" t="s">
        <v>3528</v>
      </c>
      <c r="AR11" s="1427" t="s">
        <v>415</v>
      </c>
      <c r="AS11" s="1415" t="s">
        <v>4354</v>
      </c>
      <c r="AT11" s="1415" t="s">
        <v>3399</v>
      </c>
      <c r="AU11" s="1438" t="s">
        <v>8547</v>
      </c>
      <c r="AV11" s="1406" t="str">
        <f t="shared" si="1"/>
        <v>2:27</v>
      </c>
      <c r="AW11" s="1445" t="s">
        <v>8416</v>
      </c>
    </row>
    <row r="12" ht="15.75" customHeight="1">
      <c r="A12" s="1446" t="s">
        <v>6268</v>
      </c>
      <c r="B12" s="1397" t="s">
        <v>8311</v>
      </c>
      <c r="C12" s="1398">
        <v>0.04967592592592593</v>
      </c>
      <c r="D12" s="1316" t="s">
        <v>8548</v>
      </c>
      <c r="E12" s="1405" t="s">
        <v>884</v>
      </c>
      <c r="F12" s="1405" t="s">
        <v>8549</v>
      </c>
      <c r="G12" s="1405" t="s">
        <v>8550</v>
      </c>
      <c r="H12" s="1316" t="s">
        <v>8551</v>
      </c>
      <c r="I12" s="1405" t="s">
        <v>8552</v>
      </c>
      <c r="J12" s="1405" t="s">
        <v>8553</v>
      </c>
      <c r="K12" s="1405" t="s">
        <v>8554</v>
      </c>
      <c r="L12" s="1405" t="s">
        <v>4288</v>
      </c>
      <c r="M12" s="1405" t="s">
        <v>8101</v>
      </c>
      <c r="N12" s="1405" t="s">
        <v>2173</v>
      </c>
      <c r="O12" s="1405" t="s">
        <v>8555</v>
      </c>
      <c r="P12" s="1405" t="s">
        <v>8552</v>
      </c>
      <c r="Q12" s="1405" t="s">
        <v>8556</v>
      </c>
      <c r="R12" s="1405" t="s">
        <v>1226</v>
      </c>
      <c r="S12" s="1447" t="s">
        <v>8557</v>
      </c>
      <c r="T12" s="1405" t="s">
        <v>4817</v>
      </c>
      <c r="U12" s="1405" t="s">
        <v>8558</v>
      </c>
      <c r="V12" s="1405" t="s">
        <v>8404</v>
      </c>
      <c r="W12" s="1405" t="s">
        <v>8559</v>
      </c>
      <c r="X12" s="1405" t="s">
        <v>961</v>
      </c>
      <c r="Y12" s="1405" t="s">
        <v>4207</v>
      </c>
      <c r="Z12" s="1405" t="s">
        <v>8560</v>
      </c>
      <c r="AA12" s="1405" t="s">
        <v>8561</v>
      </c>
      <c r="AB12" s="1405" t="s">
        <v>1972</v>
      </c>
      <c r="AC12" s="1405" t="s">
        <v>758</v>
      </c>
      <c r="AD12" s="1405" t="s">
        <v>8562</v>
      </c>
      <c r="AE12" s="1405" t="s">
        <v>6219</v>
      </c>
      <c r="AF12" s="1400" t="s">
        <v>8563</v>
      </c>
      <c r="AG12" s="1405" t="s">
        <v>8564</v>
      </c>
      <c r="AH12" s="1405" t="s">
        <v>4674</v>
      </c>
      <c r="AI12" s="1405" t="s">
        <v>2921</v>
      </c>
      <c r="AJ12" s="1405" t="s">
        <v>8565</v>
      </c>
      <c r="AK12" s="1405" t="s">
        <v>4071</v>
      </c>
      <c r="AL12" s="1405" t="s">
        <v>8566</v>
      </c>
      <c r="AM12" s="1405" t="s">
        <v>8567</v>
      </c>
      <c r="AN12" s="1316" t="s">
        <v>8423</v>
      </c>
      <c r="AO12" s="1405" t="s">
        <v>8568</v>
      </c>
      <c r="AP12" s="1405" t="s">
        <v>8569</v>
      </c>
      <c r="AQ12" s="1400" t="s">
        <v>8570</v>
      </c>
      <c r="AR12" s="1405" t="s">
        <v>8571</v>
      </c>
      <c r="AS12" s="1405" t="s">
        <v>6804</v>
      </c>
      <c r="AT12" s="1405" t="s">
        <v>8572</v>
      </c>
      <c r="AU12" s="1405" t="s">
        <v>8573</v>
      </c>
      <c r="AV12" s="1406" t="str">
        <f t="shared" si="1"/>
        <v>2:47</v>
      </c>
      <c r="AW12" s="1410" t="s">
        <v>8574</v>
      </c>
    </row>
    <row r="13" ht="15.75" customHeight="1">
      <c r="A13" s="1448" t="s">
        <v>2631</v>
      </c>
      <c r="B13" s="1397" t="s">
        <v>8311</v>
      </c>
      <c r="C13" s="1449">
        <v>0.04971064814814815</v>
      </c>
      <c r="D13" s="1407" t="s">
        <v>8575</v>
      </c>
      <c r="E13" s="1450" t="s">
        <v>509</v>
      </c>
      <c r="F13" s="1450" t="s">
        <v>8576</v>
      </c>
      <c r="G13" s="1450" t="s">
        <v>8577</v>
      </c>
      <c r="H13" s="1400" t="s">
        <v>8578</v>
      </c>
      <c r="I13" s="1451" t="s">
        <v>5593</v>
      </c>
      <c r="J13" s="1452" t="s">
        <v>8579</v>
      </c>
      <c r="K13" s="1452" t="s">
        <v>4147</v>
      </c>
      <c r="L13" s="1452" t="s">
        <v>4583</v>
      </c>
      <c r="M13" s="1452" t="s">
        <v>8532</v>
      </c>
      <c r="N13" s="1452" t="s">
        <v>2614</v>
      </c>
      <c r="O13" s="1452" t="s">
        <v>8580</v>
      </c>
      <c r="P13" s="1452" t="s">
        <v>8581</v>
      </c>
      <c r="Q13" s="1400" t="s">
        <v>8582</v>
      </c>
      <c r="R13" s="1453" t="s">
        <v>8583</v>
      </c>
      <c r="S13" s="1400" t="s">
        <v>1964</v>
      </c>
      <c r="T13" s="1453" t="s">
        <v>8584</v>
      </c>
      <c r="U13" s="1400" t="s">
        <v>7097</v>
      </c>
      <c r="V13" s="1453" t="s">
        <v>7785</v>
      </c>
      <c r="W13" s="1454" t="s">
        <v>8585</v>
      </c>
      <c r="X13" s="1454" t="s">
        <v>3865</v>
      </c>
      <c r="Y13" s="1454" t="s">
        <v>6818</v>
      </c>
      <c r="Z13" s="1454" t="s">
        <v>8586</v>
      </c>
      <c r="AA13" s="1454" t="s">
        <v>8430</v>
      </c>
      <c r="AB13" s="1454" t="s">
        <v>4328</v>
      </c>
      <c r="AC13" s="1454" t="s">
        <v>1078</v>
      </c>
      <c r="AD13" s="1450" t="s">
        <v>8587</v>
      </c>
      <c r="AE13" s="1450" t="s">
        <v>5234</v>
      </c>
      <c r="AF13" s="1455" t="s">
        <v>8588</v>
      </c>
      <c r="AG13" s="1455" t="s">
        <v>7596</v>
      </c>
      <c r="AH13" s="1455" t="s">
        <v>5244</v>
      </c>
      <c r="AI13" s="1455" t="s">
        <v>8589</v>
      </c>
      <c r="AJ13" s="1455" t="s">
        <v>8590</v>
      </c>
      <c r="AK13" s="1455" t="s">
        <v>8591</v>
      </c>
      <c r="AL13" s="1455" t="s">
        <v>3966</v>
      </c>
      <c r="AM13" s="1456" t="s">
        <v>8592</v>
      </c>
      <c r="AN13" s="1457" t="s">
        <v>4583</v>
      </c>
      <c r="AO13" s="1457" t="s">
        <v>8593</v>
      </c>
      <c r="AP13" s="1456" t="s">
        <v>8594</v>
      </c>
      <c r="AQ13" s="1456" t="s">
        <v>8595</v>
      </c>
      <c r="AR13" s="1457" t="s">
        <v>8596</v>
      </c>
      <c r="AS13" s="1456" t="s">
        <v>271</v>
      </c>
      <c r="AT13" s="1418" t="s">
        <v>8597</v>
      </c>
      <c r="AU13" s="1438" t="s">
        <v>8598</v>
      </c>
      <c r="AV13" s="1406" t="str">
        <f t="shared" si="1"/>
        <v>2:35</v>
      </c>
      <c r="AW13" s="1458" t="s">
        <v>8599</v>
      </c>
    </row>
    <row r="14" ht="15.75" customHeight="1">
      <c r="A14" s="1396" t="s">
        <v>6031</v>
      </c>
      <c r="B14" s="1459" t="s">
        <v>8311</v>
      </c>
      <c r="C14" s="1398">
        <v>0.04982638888888889</v>
      </c>
      <c r="D14" s="1407" t="s">
        <v>8600</v>
      </c>
      <c r="E14" s="1407" t="s">
        <v>4698</v>
      </c>
      <c r="F14" s="1407" t="s">
        <v>8601</v>
      </c>
      <c r="G14" s="1407" t="s">
        <v>8602</v>
      </c>
      <c r="H14" s="1407" t="s">
        <v>8603</v>
      </c>
      <c r="I14" s="1407" t="s">
        <v>5607</v>
      </c>
      <c r="J14" s="1407" t="s">
        <v>8604</v>
      </c>
      <c r="K14" s="1316" t="s">
        <v>8605</v>
      </c>
      <c r="L14" s="1407" t="s">
        <v>8606</v>
      </c>
      <c r="M14" s="1407" t="s">
        <v>8607</v>
      </c>
      <c r="N14" s="1407" t="s">
        <v>2019</v>
      </c>
      <c r="O14" s="1407" t="s">
        <v>8608</v>
      </c>
      <c r="P14" s="1316" t="s">
        <v>4400</v>
      </c>
      <c r="Q14" s="1407" t="s">
        <v>8609</v>
      </c>
      <c r="R14" s="1407" t="s">
        <v>2001</v>
      </c>
      <c r="S14" s="1407" t="s">
        <v>3160</v>
      </c>
      <c r="T14" s="1407" t="s">
        <v>8610</v>
      </c>
      <c r="U14" s="1407" t="s">
        <v>8611</v>
      </c>
      <c r="V14" s="1407" t="s">
        <v>6474</v>
      </c>
      <c r="W14" s="1407" t="s">
        <v>5388</v>
      </c>
      <c r="X14" s="1407" t="s">
        <v>8329</v>
      </c>
      <c r="Y14" s="1407" t="s">
        <v>8422</v>
      </c>
      <c r="Z14" s="1407" t="s">
        <v>6592</v>
      </c>
      <c r="AA14" s="1460" t="s">
        <v>8612</v>
      </c>
      <c r="AB14" s="1407" t="s">
        <v>5685</v>
      </c>
      <c r="AC14" s="1407" t="s">
        <v>1030</v>
      </c>
      <c r="AD14" s="1407" t="s">
        <v>7250</v>
      </c>
      <c r="AE14" s="1407" t="s">
        <v>4842</v>
      </c>
      <c r="AF14" s="1407" t="s">
        <v>8613</v>
      </c>
      <c r="AG14" s="1407" t="s">
        <v>1532</v>
      </c>
      <c r="AH14" s="1316" t="s">
        <v>8614</v>
      </c>
      <c r="AI14" s="1407" t="s">
        <v>7979</v>
      </c>
      <c r="AJ14" s="1407" t="s">
        <v>8615</v>
      </c>
      <c r="AK14" s="1407" t="s">
        <v>8616</v>
      </c>
      <c r="AL14" s="1407" t="s">
        <v>4320</v>
      </c>
      <c r="AM14" s="1407" t="s">
        <v>7107</v>
      </c>
      <c r="AN14" s="1407" t="s">
        <v>8617</v>
      </c>
      <c r="AO14" s="1407" t="s">
        <v>8456</v>
      </c>
      <c r="AP14" s="1461" t="s">
        <v>8334</v>
      </c>
      <c r="AQ14" s="1407" t="s">
        <v>8618</v>
      </c>
      <c r="AR14" s="1407" t="s">
        <v>8619</v>
      </c>
      <c r="AS14" s="1407" t="s">
        <v>8620</v>
      </c>
      <c r="AT14" s="1407" t="s">
        <v>8621</v>
      </c>
      <c r="AU14" s="1462" t="s">
        <v>8622</v>
      </c>
      <c r="AV14" s="1406" t="str">
        <f t="shared" si="1"/>
        <v>2:18</v>
      </c>
      <c r="AW14" s="1463" t="s">
        <v>8623</v>
      </c>
    </row>
    <row r="15" ht="15.75" customHeight="1">
      <c r="A15" s="1396" t="s">
        <v>2007</v>
      </c>
      <c r="B15" s="1397" t="s">
        <v>8311</v>
      </c>
      <c r="C15" s="1398">
        <v>0.049895833333333334</v>
      </c>
      <c r="D15" s="1316" t="s">
        <v>8624</v>
      </c>
      <c r="E15" s="1464" t="s">
        <v>884</v>
      </c>
      <c r="F15" s="1450" t="s">
        <v>8625</v>
      </c>
      <c r="G15" s="1464" t="s">
        <v>8626</v>
      </c>
      <c r="H15" s="1451" t="s">
        <v>8627</v>
      </c>
      <c r="I15" s="1451" t="s">
        <v>5472</v>
      </c>
      <c r="J15" s="1452" t="s">
        <v>8628</v>
      </c>
      <c r="K15" s="1465" t="s">
        <v>8629</v>
      </c>
      <c r="L15" s="1452" t="s">
        <v>8630</v>
      </c>
      <c r="M15" s="1452" t="s">
        <v>4990</v>
      </c>
      <c r="N15" s="1452" t="s">
        <v>8631</v>
      </c>
      <c r="O15" s="1465" t="s">
        <v>8632</v>
      </c>
      <c r="P15" s="1452" t="s">
        <v>8633</v>
      </c>
      <c r="Q15" s="1453" t="s">
        <v>3189</v>
      </c>
      <c r="R15" s="1466" t="s">
        <v>8634</v>
      </c>
      <c r="S15" s="1466" t="s">
        <v>8635</v>
      </c>
      <c r="T15" s="1466" t="s">
        <v>8636</v>
      </c>
      <c r="U15" s="1466" t="s">
        <v>8637</v>
      </c>
      <c r="V15" s="1453" t="s">
        <v>4381</v>
      </c>
      <c r="W15" s="1454" t="s">
        <v>8638</v>
      </c>
      <c r="X15" s="1467" t="s">
        <v>8639</v>
      </c>
      <c r="Y15" s="1454" t="s">
        <v>8640</v>
      </c>
      <c r="Z15" s="1454" t="s">
        <v>8641</v>
      </c>
      <c r="AA15" s="1454" t="s">
        <v>8642</v>
      </c>
      <c r="AB15" s="1467" t="s">
        <v>7565</v>
      </c>
      <c r="AC15" s="1467" t="s">
        <v>1219</v>
      </c>
      <c r="AD15" s="1464" t="s">
        <v>8643</v>
      </c>
      <c r="AE15" s="1464" t="s">
        <v>8644</v>
      </c>
      <c r="AF15" s="1468" t="s">
        <v>8645</v>
      </c>
      <c r="AG15" s="1455" t="s">
        <v>8646</v>
      </c>
      <c r="AH15" s="1455" t="s">
        <v>8647</v>
      </c>
      <c r="AI15" s="1455" t="s">
        <v>8542</v>
      </c>
      <c r="AJ15" s="1468" t="s">
        <v>8648</v>
      </c>
      <c r="AK15" s="1468" t="s">
        <v>891</v>
      </c>
      <c r="AL15" s="1455" t="s">
        <v>8649</v>
      </c>
      <c r="AM15" s="1457" t="s">
        <v>8650</v>
      </c>
      <c r="AN15" s="1456" t="s">
        <v>3028</v>
      </c>
      <c r="AO15" s="1457" t="s">
        <v>8651</v>
      </c>
      <c r="AP15" s="1456" t="s">
        <v>5544</v>
      </c>
      <c r="AQ15" s="1457" t="s">
        <v>8652</v>
      </c>
      <c r="AR15" s="1456" t="s">
        <v>1092</v>
      </c>
      <c r="AS15" s="1456" t="s">
        <v>3920</v>
      </c>
      <c r="AT15" s="1465" t="s">
        <v>6184</v>
      </c>
      <c r="AU15" s="1469" t="s">
        <v>8653</v>
      </c>
      <c r="AV15" s="1406" t="str">
        <f t="shared" si="1"/>
        <v>2:22</v>
      </c>
      <c r="AW15" s="1439" t="s">
        <v>8654</v>
      </c>
    </row>
    <row r="16">
      <c r="A16" s="1446" t="s">
        <v>1648</v>
      </c>
      <c r="B16" s="1444" t="s">
        <v>8311</v>
      </c>
      <c r="C16" s="1398">
        <v>0.04991898148148148</v>
      </c>
      <c r="D16" s="1470" t="s">
        <v>8655</v>
      </c>
      <c r="E16" s="1471" t="s">
        <v>8656</v>
      </c>
      <c r="F16" s="1471" t="s">
        <v>8657</v>
      </c>
      <c r="G16" s="1471" t="s">
        <v>8658</v>
      </c>
      <c r="H16" s="1471" t="s">
        <v>8659</v>
      </c>
      <c r="I16" s="1471">
        <v>48.07</v>
      </c>
      <c r="J16" s="1471" t="s">
        <v>8660</v>
      </c>
      <c r="K16" s="1471" t="s">
        <v>1628</v>
      </c>
      <c r="L16" s="1471">
        <v>56.32</v>
      </c>
      <c r="M16" s="1471" t="s">
        <v>861</v>
      </c>
      <c r="N16" s="1472" t="s">
        <v>8661</v>
      </c>
      <c r="O16" s="1471" t="s">
        <v>8662</v>
      </c>
      <c r="P16" s="1471">
        <v>47.77</v>
      </c>
      <c r="Q16" s="1471" t="s">
        <v>8663</v>
      </c>
      <c r="R16" s="1471" t="s">
        <v>7135</v>
      </c>
      <c r="S16" s="1471" t="s">
        <v>8664</v>
      </c>
      <c r="T16" s="1471" t="s">
        <v>4467</v>
      </c>
      <c r="U16" s="1471" t="s">
        <v>8665</v>
      </c>
      <c r="V16" s="1471">
        <v>59.79</v>
      </c>
      <c r="W16" s="1471" t="s">
        <v>8666</v>
      </c>
      <c r="X16" s="1471" t="s">
        <v>2068</v>
      </c>
      <c r="Y16" s="1471">
        <v>47.0</v>
      </c>
      <c r="Z16" s="1471" t="s">
        <v>8667</v>
      </c>
      <c r="AA16" s="1471" t="s">
        <v>8668</v>
      </c>
      <c r="AB16" s="1471" t="s">
        <v>7101</v>
      </c>
      <c r="AC16" s="1471">
        <v>47.56</v>
      </c>
      <c r="AD16" s="1471" t="s">
        <v>8353</v>
      </c>
      <c r="AE16" s="1471">
        <v>47.95</v>
      </c>
      <c r="AF16" s="1471" t="s">
        <v>8669</v>
      </c>
      <c r="AG16" s="1471" t="s">
        <v>8670</v>
      </c>
      <c r="AH16" s="1471">
        <v>57.67</v>
      </c>
      <c r="AI16" s="1471" t="s">
        <v>961</v>
      </c>
      <c r="AJ16" s="1471" t="s">
        <v>8671</v>
      </c>
      <c r="AK16" s="1471" t="s">
        <v>7591</v>
      </c>
      <c r="AL16" s="1471">
        <v>56.37</v>
      </c>
      <c r="AM16" s="1471" t="s">
        <v>8672</v>
      </c>
      <c r="AN16" s="1471">
        <v>55.92</v>
      </c>
      <c r="AO16" s="1471" t="s">
        <v>4295</v>
      </c>
      <c r="AP16" s="1471" t="s">
        <v>8207</v>
      </c>
      <c r="AQ16" s="1471" t="s">
        <v>8673</v>
      </c>
      <c r="AR16" s="1471" t="s">
        <v>6318</v>
      </c>
      <c r="AS16" s="1471">
        <v>46.83</v>
      </c>
      <c r="AT16" s="1471" t="s">
        <v>3237</v>
      </c>
      <c r="AU16" s="1429" t="s">
        <v>8674</v>
      </c>
      <c r="AV16" s="1406" t="str">
        <f t="shared" si="1"/>
        <v>1:53</v>
      </c>
      <c r="AW16" s="1445" t="s">
        <v>8675</v>
      </c>
    </row>
    <row r="17">
      <c r="A17" s="1446" t="s">
        <v>2090</v>
      </c>
      <c r="B17" s="1444" t="s">
        <v>8311</v>
      </c>
      <c r="C17" s="1473">
        <v>0.049930555555555554</v>
      </c>
      <c r="D17" s="1474" t="s">
        <v>8676</v>
      </c>
      <c r="E17" s="1429" t="s">
        <v>8318</v>
      </c>
      <c r="F17" s="1429" t="s">
        <v>4179</v>
      </c>
      <c r="G17" s="1429" t="s">
        <v>8677</v>
      </c>
      <c r="H17" s="1429" t="s">
        <v>8678</v>
      </c>
      <c r="I17" s="1429" t="s">
        <v>5574</v>
      </c>
      <c r="J17" s="1429" t="s">
        <v>6104</v>
      </c>
      <c r="K17" s="1429" t="s">
        <v>8679</v>
      </c>
      <c r="L17" s="1429" t="s">
        <v>3966</v>
      </c>
      <c r="M17" s="1429" t="s">
        <v>8680</v>
      </c>
      <c r="N17" s="1429" t="s">
        <v>8681</v>
      </c>
      <c r="O17" s="1429" t="s">
        <v>798</v>
      </c>
      <c r="P17" s="1420">
        <v>47.54</v>
      </c>
      <c r="Q17" s="1475" t="s">
        <v>8682</v>
      </c>
      <c r="R17" s="1420" t="s">
        <v>8683</v>
      </c>
      <c r="S17" s="1475" t="s">
        <v>8557</v>
      </c>
      <c r="T17" s="1420" t="s">
        <v>8684</v>
      </c>
      <c r="U17" s="1475" t="s">
        <v>8685</v>
      </c>
      <c r="V17" s="1476">
        <v>58.55</v>
      </c>
      <c r="W17" s="1475" t="s">
        <v>8686</v>
      </c>
      <c r="X17" s="1475" t="s">
        <v>8687</v>
      </c>
      <c r="Y17" s="1477" t="s">
        <v>8449</v>
      </c>
      <c r="Z17" s="1475" t="s">
        <v>8688</v>
      </c>
      <c r="AA17" s="1429" t="s">
        <v>8689</v>
      </c>
      <c r="AB17" s="1475" t="s">
        <v>8690</v>
      </c>
      <c r="AC17" s="1406">
        <v>47.2</v>
      </c>
      <c r="AD17" s="1475" t="s">
        <v>8691</v>
      </c>
      <c r="AE17" s="1420">
        <v>47.88</v>
      </c>
      <c r="AF17" s="1475" t="s">
        <v>8692</v>
      </c>
      <c r="AG17" s="1475" t="s">
        <v>8693</v>
      </c>
      <c r="AH17" s="1475">
        <v>57.68</v>
      </c>
      <c r="AI17" s="1475" t="s">
        <v>2742</v>
      </c>
      <c r="AJ17" s="1420" t="s">
        <v>8694</v>
      </c>
      <c r="AK17" s="1478" t="s">
        <v>8695</v>
      </c>
      <c r="AL17" s="1475">
        <v>55.92</v>
      </c>
      <c r="AM17" s="1475" t="s">
        <v>2784</v>
      </c>
      <c r="AN17" s="1400" t="s">
        <v>5597</v>
      </c>
      <c r="AO17" s="1475" t="s">
        <v>6577</v>
      </c>
      <c r="AP17" s="1475" t="s">
        <v>8696</v>
      </c>
      <c r="AQ17" s="1475" t="s">
        <v>7218</v>
      </c>
      <c r="AR17" s="1475" t="s">
        <v>8697</v>
      </c>
      <c r="AS17" s="1479">
        <v>42.83</v>
      </c>
      <c r="AT17" s="1420" t="s">
        <v>7781</v>
      </c>
      <c r="AU17" s="1438" t="s">
        <v>8698</v>
      </c>
      <c r="AV17" s="1406" t="str">
        <f t="shared" si="1"/>
        <v>4:29</v>
      </c>
      <c r="AW17" s="1445" t="s">
        <v>8699</v>
      </c>
    </row>
    <row r="18" ht="15.75" customHeight="1">
      <c r="A18" s="1446" t="s">
        <v>2245</v>
      </c>
      <c r="B18" s="1397" t="s">
        <v>8311</v>
      </c>
      <c r="C18" s="1398">
        <v>0.0499537037037037</v>
      </c>
      <c r="D18" s="1405" t="s">
        <v>8700</v>
      </c>
      <c r="E18" s="1405" t="s">
        <v>2691</v>
      </c>
      <c r="F18" s="1405" t="s">
        <v>8701</v>
      </c>
      <c r="G18" s="1402" t="s">
        <v>8702</v>
      </c>
      <c r="H18" s="1405" t="s">
        <v>8703</v>
      </c>
      <c r="I18" s="1480" t="s">
        <v>8644</v>
      </c>
      <c r="J18" s="1405" t="s">
        <v>1420</v>
      </c>
      <c r="K18" s="1405" t="s">
        <v>5107</v>
      </c>
      <c r="L18" s="1405" t="s">
        <v>8704</v>
      </c>
      <c r="M18" s="1405" t="s">
        <v>8705</v>
      </c>
      <c r="N18" s="1405" t="s">
        <v>8706</v>
      </c>
      <c r="O18" s="1405" t="s">
        <v>8707</v>
      </c>
      <c r="P18" s="1405" t="s">
        <v>8708</v>
      </c>
      <c r="Q18" s="1405" t="s">
        <v>4548</v>
      </c>
      <c r="R18" s="1453" t="s">
        <v>8709</v>
      </c>
      <c r="S18" s="1405" t="s">
        <v>3830</v>
      </c>
      <c r="T18" s="1405" t="s">
        <v>8537</v>
      </c>
      <c r="U18" s="1405" t="s">
        <v>8710</v>
      </c>
      <c r="V18" s="1405" t="s">
        <v>8711</v>
      </c>
      <c r="W18" s="1405" t="s">
        <v>8712</v>
      </c>
      <c r="X18" s="1405" t="s">
        <v>7566</v>
      </c>
      <c r="Y18" s="1405" t="s">
        <v>4154</v>
      </c>
      <c r="Z18" s="1405" t="s">
        <v>8713</v>
      </c>
      <c r="AA18" s="1405" t="s">
        <v>7566</v>
      </c>
      <c r="AB18" s="1405" t="s">
        <v>8533</v>
      </c>
      <c r="AC18" s="1405" t="s">
        <v>5506</v>
      </c>
      <c r="AD18" s="1405" t="s">
        <v>7617</v>
      </c>
      <c r="AE18" s="1405" t="s">
        <v>8714</v>
      </c>
      <c r="AF18" s="1405" t="s">
        <v>8715</v>
      </c>
      <c r="AG18" s="1405" t="s">
        <v>4995</v>
      </c>
      <c r="AH18" s="1405" t="s">
        <v>5145</v>
      </c>
      <c r="AI18" s="1405" t="s">
        <v>8716</v>
      </c>
      <c r="AJ18" s="1403" t="s">
        <v>8331</v>
      </c>
      <c r="AK18" s="1405" t="s">
        <v>2512</v>
      </c>
      <c r="AL18" s="1405" t="s">
        <v>8717</v>
      </c>
      <c r="AM18" s="1405" t="s">
        <v>8718</v>
      </c>
      <c r="AN18" s="1405" t="s">
        <v>554</v>
      </c>
      <c r="AO18" s="1405" t="s">
        <v>8719</v>
      </c>
      <c r="AP18" s="1405" t="s">
        <v>8720</v>
      </c>
      <c r="AQ18" s="1405" t="s">
        <v>4684</v>
      </c>
      <c r="AR18" s="1405" t="s">
        <v>6319</v>
      </c>
      <c r="AS18" s="1405" t="s">
        <v>8721</v>
      </c>
      <c r="AT18" s="1405" t="s">
        <v>2881</v>
      </c>
      <c r="AU18" s="1405" t="s">
        <v>8722</v>
      </c>
      <c r="AV18" s="1406" t="str">
        <f t="shared" si="1"/>
        <v>3:21</v>
      </c>
      <c r="AW18" s="1463" t="s">
        <v>8723</v>
      </c>
    </row>
    <row r="19" ht="15.75" customHeight="1">
      <c r="A19" s="1396" t="s">
        <v>8724</v>
      </c>
      <c r="B19" s="1397" t="s">
        <v>8311</v>
      </c>
      <c r="C19" s="1398">
        <v>0.049965277777777775</v>
      </c>
      <c r="D19" s="1316" t="s">
        <v>8725</v>
      </c>
      <c r="E19" s="1405" t="s">
        <v>4188</v>
      </c>
      <c r="F19" s="1405" t="s">
        <v>8726</v>
      </c>
      <c r="G19" s="1405" t="s">
        <v>8727</v>
      </c>
      <c r="H19" s="1406" t="s">
        <v>2270</v>
      </c>
      <c r="I19" s="1405" t="s">
        <v>1295</v>
      </c>
      <c r="J19" s="1405" t="s">
        <v>380</v>
      </c>
      <c r="K19" s="1405" t="s">
        <v>8728</v>
      </c>
      <c r="L19" s="1405" t="s">
        <v>5318</v>
      </c>
      <c r="M19" s="1405" t="s">
        <v>6215</v>
      </c>
      <c r="N19" s="1405" t="s">
        <v>8729</v>
      </c>
      <c r="O19" s="1405" t="s">
        <v>2559</v>
      </c>
      <c r="P19" s="1406" t="s">
        <v>5347</v>
      </c>
      <c r="Q19" s="1405" t="s">
        <v>8730</v>
      </c>
      <c r="R19" s="1405" t="s">
        <v>4337</v>
      </c>
      <c r="S19" s="1405" t="s">
        <v>7481</v>
      </c>
      <c r="T19" s="1405" t="s">
        <v>8069</v>
      </c>
      <c r="U19" s="1405" t="s">
        <v>8731</v>
      </c>
      <c r="V19" s="1405" t="s">
        <v>4914</v>
      </c>
      <c r="W19" s="1405" t="s">
        <v>8732</v>
      </c>
      <c r="X19" s="1406" t="s">
        <v>6582</v>
      </c>
      <c r="Y19" s="1406" t="s">
        <v>5432</v>
      </c>
      <c r="Z19" s="1405" t="s">
        <v>8733</v>
      </c>
      <c r="AA19" s="1405" t="s">
        <v>2314</v>
      </c>
      <c r="AB19" s="1405" t="s">
        <v>8734</v>
      </c>
      <c r="AC19" s="1405" t="s">
        <v>785</v>
      </c>
      <c r="AD19" s="1405" t="s">
        <v>5358</v>
      </c>
      <c r="AE19" s="1405" t="s">
        <v>8735</v>
      </c>
      <c r="AF19" s="1405" t="s">
        <v>871</v>
      </c>
      <c r="AG19" s="1405" t="s">
        <v>8736</v>
      </c>
      <c r="AH19" s="1405" t="s">
        <v>8737</v>
      </c>
      <c r="AI19" s="1405" t="s">
        <v>690</v>
      </c>
      <c r="AJ19" s="1406" t="s">
        <v>8738</v>
      </c>
      <c r="AK19" s="1455" t="s">
        <v>7392</v>
      </c>
      <c r="AL19" s="1405" t="s">
        <v>4540</v>
      </c>
      <c r="AM19" s="1405" t="s">
        <v>3312</v>
      </c>
      <c r="AN19" s="1406" t="s">
        <v>5968</v>
      </c>
      <c r="AO19" s="1406" t="s">
        <v>6319</v>
      </c>
      <c r="AP19" s="1406" t="s">
        <v>8739</v>
      </c>
      <c r="AQ19" s="1406" t="s">
        <v>8433</v>
      </c>
      <c r="AR19" s="1406" t="s">
        <v>489</v>
      </c>
      <c r="AS19" s="1406" t="s">
        <v>5584</v>
      </c>
      <c r="AT19" s="1406" t="s">
        <v>8613</v>
      </c>
      <c r="AU19" s="1405" t="s">
        <v>8740</v>
      </c>
      <c r="AV19" s="1406" t="str">
        <f t="shared" si="1"/>
        <v>3:46</v>
      </c>
      <c r="AW19" s="1481" t="s">
        <v>7861</v>
      </c>
    </row>
    <row r="20">
      <c r="A20" s="1446" t="s">
        <v>2026</v>
      </c>
      <c r="B20" s="1440" t="s">
        <v>8311</v>
      </c>
      <c r="C20" s="1482">
        <v>0.049965277777777775</v>
      </c>
      <c r="D20" s="1429" t="s">
        <v>8741</v>
      </c>
      <c r="E20" s="1429" t="s">
        <v>8424</v>
      </c>
      <c r="F20" s="1429" t="s">
        <v>8505</v>
      </c>
      <c r="G20" s="1429" t="s">
        <v>8742</v>
      </c>
      <c r="H20" s="1429" t="s">
        <v>8743</v>
      </c>
      <c r="I20" s="1429" t="s">
        <v>3608</v>
      </c>
      <c r="J20" s="1429" t="s">
        <v>8744</v>
      </c>
      <c r="K20" s="1483" t="s">
        <v>4085</v>
      </c>
      <c r="L20" s="1429" t="s">
        <v>8717</v>
      </c>
      <c r="M20" s="1429" t="s">
        <v>1053</v>
      </c>
      <c r="N20" s="1429" t="s">
        <v>8745</v>
      </c>
      <c r="O20" s="1429" t="s">
        <v>8746</v>
      </c>
      <c r="P20" s="1429" t="s">
        <v>6207</v>
      </c>
      <c r="Q20" s="1429" t="s">
        <v>8747</v>
      </c>
      <c r="R20" s="1429" t="s">
        <v>7109</v>
      </c>
      <c r="S20" s="1429" t="s">
        <v>8748</v>
      </c>
      <c r="T20" s="1429" t="s">
        <v>5721</v>
      </c>
      <c r="U20" s="1429" t="s">
        <v>8749</v>
      </c>
      <c r="V20" s="1429" t="s">
        <v>8750</v>
      </c>
      <c r="W20" s="1429" t="s">
        <v>5374</v>
      </c>
      <c r="X20" s="1429" t="s">
        <v>8751</v>
      </c>
      <c r="Y20" s="1429" t="s">
        <v>4598</v>
      </c>
      <c r="Z20" s="1429" t="s">
        <v>8752</v>
      </c>
      <c r="AA20" s="1429" t="s">
        <v>8753</v>
      </c>
      <c r="AB20" s="1429" t="s">
        <v>8690</v>
      </c>
      <c r="AC20" s="1429" t="s">
        <v>595</v>
      </c>
      <c r="AD20" s="1429" t="s">
        <v>8754</v>
      </c>
      <c r="AE20" s="1429" t="s">
        <v>5470</v>
      </c>
      <c r="AF20" s="1429" t="s">
        <v>8755</v>
      </c>
      <c r="AG20" s="1429" t="s">
        <v>1402</v>
      </c>
      <c r="AH20" s="1429" t="s">
        <v>8013</v>
      </c>
      <c r="AI20" s="1429" t="s">
        <v>8756</v>
      </c>
      <c r="AJ20" s="1429" t="s">
        <v>8757</v>
      </c>
      <c r="AK20" s="1429" t="s">
        <v>8758</v>
      </c>
      <c r="AL20" s="1429" t="s">
        <v>343</v>
      </c>
      <c r="AM20" s="1429" t="s">
        <v>8759</v>
      </c>
      <c r="AN20" s="1429" t="s">
        <v>232</v>
      </c>
      <c r="AO20" s="1429" t="s">
        <v>8760</v>
      </c>
      <c r="AP20" s="1429" t="s">
        <v>8761</v>
      </c>
      <c r="AQ20" s="1424" t="s">
        <v>7478</v>
      </c>
      <c r="AR20" s="1429" t="s">
        <v>2588</v>
      </c>
      <c r="AS20" s="1429" t="s">
        <v>926</v>
      </c>
      <c r="AT20" s="1429" t="s">
        <v>8762</v>
      </c>
      <c r="AU20" s="1405" t="s">
        <v>8763</v>
      </c>
      <c r="AV20" s="1406" t="str">
        <f t="shared" si="1"/>
        <v>2:19</v>
      </c>
      <c r="AW20" s="1481"/>
    </row>
    <row r="21" ht="15.75" customHeight="1">
      <c r="A21" s="1484" t="s">
        <v>5969</v>
      </c>
      <c r="B21" s="1397" t="s">
        <v>8311</v>
      </c>
      <c r="C21" s="1398">
        <v>0.05</v>
      </c>
      <c r="D21" s="1316" t="s">
        <v>8764</v>
      </c>
      <c r="E21" s="1405" t="s">
        <v>8101</v>
      </c>
      <c r="F21" s="1405" t="s">
        <v>8701</v>
      </c>
      <c r="G21" s="1406" t="s">
        <v>8765</v>
      </c>
      <c r="H21" s="1405" t="s">
        <v>8766</v>
      </c>
      <c r="I21" s="1406" t="s">
        <v>1981</v>
      </c>
      <c r="J21" s="1405" t="s">
        <v>2856</v>
      </c>
      <c r="K21" s="1405" t="s">
        <v>8767</v>
      </c>
      <c r="L21" s="1405" t="s">
        <v>4211</v>
      </c>
      <c r="M21" s="1405" t="s">
        <v>8768</v>
      </c>
      <c r="N21" s="1405" t="s">
        <v>8769</v>
      </c>
      <c r="O21" s="1405" t="s">
        <v>8686</v>
      </c>
      <c r="P21" s="1406" t="s">
        <v>3795</v>
      </c>
      <c r="Q21" s="1405" t="s">
        <v>8770</v>
      </c>
      <c r="R21" s="1405" t="s">
        <v>1671</v>
      </c>
      <c r="S21" s="1405" t="s">
        <v>6743</v>
      </c>
      <c r="T21" s="1405" t="s">
        <v>7137</v>
      </c>
      <c r="U21" s="1405" t="s">
        <v>8771</v>
      </c>
      <c r="V21" s="1405" t="s">
        <v>8772</v>
      </c>
      <c r="W21" s="1405" t="s">
        <v>8773</v>
      </c>
      <c r="X21" s="1405" t="s">
        <v>8774</v>
      </c>
      <c r="Y21" s="1405" t="s">
        <v>8775</v>
      </c>
      <c r="Z21" s="1405" t="s">
        <v>8776</v>
      </c>
      <c r="AA21" s="1405" t="s">
        <v>8777</v>
      </c>
      <c r="AB21" s="1405" t="s">
        <v>8778</v>
      </c>
      <c r="AC21" s="1406" t="s">
        <v>4861</v>
      </c>
      <c r="AD21" s="1405" t="s">
        <v>8779</v>
      </c>
      <c r="AE21" s="1406" t="s">
        <v>5420</v>
      </c>
      <c r="AF21" s="1485" t="s">
        <v>8328</v>
      </c>
      <c r="AG21" s="1405" t="s">
        <v>605</v>
      </c>
      <c r="AH21" s="1405" t="s">
        <v>6728</v>
      </c>
      <c r="AI21" s="1405" t="s">
        <v>194</v>
      </c>
      <c r="AJ21" s="1406" t="s">
        <v>8780</v>
      </c>
      <c r="AK21" s="1405" t="s">
        <v>8781</v>
      </c>
      <c r="AL21" s="1406" t="s">
        <v>3521</v>
      </c>
      <c r="AM21" s="1405" t="s">
        <v>1914</v>
      </c>
      <c r="AN21" s="1406" t="s">
        <v>2578</v>
      </c>
      <c r="AO21" s="1405" t="s">
        <v>4649</v>
      </c>
      <c r="AP21" s="1405" t="s">
        <v>8782</v>
      </c>
      <c r="AQ21" s="1406" t="s">
        <v>8783</v>
      </c>
      <c r="AR21" s="1405" t="s">
        <v>1595</v>
      </c>
      <c r="AS21" s="1406" t="s">
        <v>8620</v>
      </c>
      <c r="AT21" s="1405" t="s">
        <v>8784</v>
      </c>
      <c r="AU21" s="1405" t="s">
        <v>8785</v>
      </c>
      <c r="AV21" s="1406" t="str">
        <f t="shared" si="1"/>
        <v>1:53</v>
      </c>
      <c r="AW21" s="1481"/>
    </row>
    <row r="22">
      <c r="A22" s="1446" t="s">
        <v>6275</v>
      </c>
      <c r="B22" s="1440" t="s">
        <v>8339</v>
      </c>
      <c r="C22" s="1398">
        <v>0.05016203703703704</v>
      </c>
      <c r="D22" s="1420" t="s">
        <v>8786</v>
      </c>
      <c r="E22" s="1486" t="s">
        <v>8341</v>
      </c>
      <c r="F22" s="1420" t="s">
        <v>8787</v>
      </c>
      <c r="G22" s="1420" t="s">
        <v>8788</v>
      </c>
      <c r="H22" s="1420" t="s">
        <v>8789</v>
      </c>
      <c r="I22" s="1420" t="s">
        <v>4882</v>
      </c>
      <c r="J22" s="1420" t="s">
        <v>3978</v>
      </c>
      <c r="K22" s="1420" t="s">
        <v>8790</v>
      </c>
      <c r="L22" s="1316" t="s">
        <v>4974</v>
      </c>
      <c r="M22" s="1487" t="s">
        <v>8348</v>
      </c>
      <c r="N22" s="1420" t="s">
        <v>8791</v>
      </c>
      <c r="O22" s="1420" t="s">
        <v>8792</v>
      </c>
      <c r="P22" s="1420" t="s">
        <v>5699</v>
      </c>
      <c r="Q22" s="1420" t="s">
        <v>2664</v>
      </c>
      <c r="R22" s="1420" t="s">
        <v>898</v>
      </c>
      <c r="S22" s="1420" t="s">
        <v>8793</v>
      </c>
      <c r="T22" s="1420" t="s">
        <v>1300</v>
      </c>
      <c r="U22" s="1420" t="s">
        <v>8794</v>
      </c>
      <c r="V22" s="1420" t="s">
        <v>8795</v>
      </c>
      <c r="W22" s="1420" t="s">
        <v>8796</v>
      </c>
      <c r="X22" s="1420" t="s">
        <v>1368</v>
      </c>
      <c r="Y22" s="1420" t="s">
        <v>1164</v>
      </c>
      <c r="Z22" s="1420" t="s">
        <v>8688</v>
      </c>
      <c r="AA22" s="1488" t="s">
        <v>8352</v>
      </c>
      <c r="AB22" s="1420" t="s">
        <v>8797</v>
      </c>
      <c r="AC22" s="1420" t="s">
        <v>4654</v>
      </c>
      <c r="AD22" s="1420" t="s">
        <v>8798</v>
      </c>
      <c r="AE22" s="1420" t="s">
        <v>4750</v>
      </c>
      <c r="AF22" s="1420" t="s">
        <v>5608</v>
      </c>
      <c r="AG22" s="1420" t="s">
        <v>8799</v>
      </c>
      <c r="AH22" s="1420" t="s">
        <v>4229</v>
      </c>
      <c r="AI22" s="1486" t="s">
        <v>4042</v>
      </c>
      <c r="AJ22" s="1420" t="s">
        <v>8800</v>
      </c>
      <c r="AK22" s="1420" t="s">
        <v>8801</v>
      </c>
      <c r="AL22" s="1420" t="s">
        <v>2495</v>
      </c>
      <c r="AM22" s="1420" t="s">
        <v>3835</v>
      </c>
      <c r="AN22" s="1420" t="s">
        <v>5809</v>
      </c>
      <c r="AO22" s="1420" t="s">
        <v>8802</v>
      </c>
      <c r="AP22" s="1420" t="s">
        <v>8803</v>
      </c>
      <c r="AQ22" s="1420" t="s">
        <v>3820</v>
      </c>
      <c r="AR22" s="1488" t="s">
        <v>7295</v>
      </c>
      <c r="AS22" s="1420" t="s">
        <v>754</v>
      </c>
      <c r="AT22" s="1488" t="s">
        <v>8362</v>
      </c>
      <c r="AU22" s="1405" t="s">
        <v>8804</v>
      </c>
      <c r="AV22" s="1406" t="str">
        <f t="shared" si="1"/>
        <v>3:20</v>
      </c>
      <c r="AW22" s="1489"/>
    </row>
    <row r="23" ht="15.75" customHeight="1">
      <c r="A23" s="1411" t="s">
        <v>1415</v>
      </c>
      <c r="B23" s="1397" t="s">
        <v>8311</v>
      </c>
      <c r="C23" s="1398">
        <v>0.05025462962962963</v>
      </c>
      <c r="D23" s="1316" t="s">
        <v>8805</v>
      </c>
      <c r="E23" s="1450" t="s">
        <v>8806</v>
      </c>
      <c r="F23" s="1464" t="s">
        <v>8807</v>
      </c>
      <c r="G23" s="1400" t="s">
        <v>8808</v>
      </c>
      <c r="H23" s="1451" t="s">
        <v>8809</v>
      </c>
      <c r="I23" s="1451" t="s">
        <v>1047</v>
      </c>
      <c r="J23" s="1452" t="s">
        <v>8464</v>
      </c>
      <c r="K23" s="1465" t="s">
        <v>8810</v>
      </c>
      <c r="L23" s="1465" t="s">
        <v>5063</v>
      </c>
      <c r="M23" s="1490" t="str">
        <f>HYPERLINK("https://youtu.be/teAIifUZjFw","1:14.18")</f>
        <v>1:14.18</v>
      </c>
      <c r="N23" s="1465" t="s">
        <v>3630</v>
      </c>
      <c r="O23" s="1465" t="s">
        <v>3581</v>
      </c>
      <c r="P23" s="1465" t="s">
        <v>2018</v>
      </c>
      <c r="Q23" s="1466" t="s">
        <v>8811</v>
      </c>
      <c r="R23" s="1453" t="s">
        <v>8812</v>
      </c>
      <c r="S23" s="1453" t="s">
        <v>5379</v>
      </c>
      <c r="T23" s="1491" t="str">
        <f>HYPERLINK("https://youtu.be/AiXricVH5ss","1:24.99")</f>
        <v>1:24.99</v>
      </c>
      <c r="U23" s="1492" t="str">
        <f>HYPERLINK("https://www.twitch.tv/videos/450151935","2:00.31")</f>
        <v>2:00.31</v>
      </c>
      <c r="V23" s="1453" t="s">
        <v>8813</v>
      </c>
      <c r="W23" s="1493" t="str">
        <f>HYPERLINK("https://youtu.be/eafNhBoXVWA","1:46.09")</f>
        <v>1:46.09</v>
      </c>
      <c r="X23" s="1467" t="s">
        <v>4398</v>
      </c>
      <c r="Y23" s="1467" t="s">
        <v>8552</v>
      </c>
      <c r="Z23" s="1467" t="s">
        <v>8814</v>
      </c>
      <c r="AA23" s="1454" t="s">
        <v>8496</v>
      </c>
      <c r="AB23" s="1467" t="s">
        <v>6844</v>
      </c>
      <c r="AC23" s="1467" t="s">
        <v>7445</v>
      </c>
      <c r="AD23" s="1494" t="str">
        <f>HYPERLINK("https://youtu.be/8FEcTKESSh0","1:49.80")</f>
        <v>1:49.80</v>
      </c>
      <c r="AE23" s="1450" t="s">
        <v>6219</v>
      </c>
      <c r="AF23" s="1468" t="s">
        <v>8815</v>
      </c>
      <c r="AG23" s="1468" t="s">
        <v>8816</v>
      </c>
      <c r="AH23" s="1468" t="s">
        <v>8817</v>
      </c>
      <c r="AI23" s="1468" t="s">
        <v>3836</v>
      </c>
      <c r="AJ23" s="1468" t="s">
        <v>8818</v>
      </c>
      <c r="AK23" s="1455" t="s">
        <v>8684</v>
      </c>
      <c r="AL23" s="1468" t="s">
        <v>8819</v>
      </c>
      <c r="AM23" s="1457" t="s">
        <v>8650</v>
      </c>
      <c r="AN23" s="1457" t="s">
        <v>8070</v>
      </c>
      <c r="AO23" s="1457" t="s">
        <v>8820</v>
      </c>
      <c r="AP23" s="1456" t="s">
        <v>8821</v>
      </c>
      <c r="AQ23" s="1456" t="s">
        <v>8822</v>
      </c>
      <c r="AR23" s="1457" t="s">
        <v>8823</v>
      </c>
      <c r="AS23" s="1456" t="s">
        <v>5449</v>
      </c>
      <c r="AT23" s="1490" t="str">
        <f>HYPERLINK("https://youtu.be/xDirVtS1AZ4?t=4416","2:27.45")</f>
        <v>2:27.45</v>
      </c>
      <c r="AU23" s="1469" t="s">
        <v>8824</v>
      </c>
      <c r="AV23" s="1406" t="str">
        <f t="shared" si="1"/>
        <v>2:34</v>
      </c>
      <c r="AW23" s="1439" t="s">
        <v>8825</v>
      </c>
    </row>
    <row r="24">
      <c r="A24" s="1446" t="s">
        <v>6263</v>
      </c>
      <c r="B24" s="1440" t="s">
        <v>8311</v>
      </c>
      <c r="C24" s="1398">
        <v>0.0502662037037037</v>
      </c>
      <c r="D24" s="1316" t="s">
        <v>8826</v>
      </c>
      <c r="E24" s="1405" t="s">
        <v>8485</v>
      </c>
      <c r="F24" s="1405" t="s">
        <v>8827</v>
      </c>
      <c r="G24" s="1405" t="s">
        <v>8828</v>
      </c>
      <c r="H24" s="1405" t="s">
        <v>8829</v>
      </c>
      <c r="I24" s="1316" t="s">
        <v>261</v>
      </c>
      <c r="J24" s="1316" t="s">
        <v>8830</v>
      </c>
      <c r="K24" s="1405" t="s">
        <v>8767</v>
      </c>
      <c r="L24" s="1405" t="s">
        <v>3966</v>
      </c>
      <c r="M24" s="1316" t="s">
        <v>2646</v>
      </c>
      <c r="N24" s="1405" t="s">
        <v>8831</v>
      </c>
      <c r="O24" s="1405" t="s">
        <v>8832</v>
      </c>
      <c r="P24" s="1316" t="s">
        <v>8833</v>
      </c>
      <c r="Q24" s="1405" t="s">
        <v>8834</v>
      </c>
      <c r="R24" s="1316" t="s">
        <v>8835</v>
      </c>
      <c r="S24" s="1405" t="s">
        <v>8836</v>
      </c>
      <c r="T24" s="1316" t="s">
        <v>8837</v>
      </c>
      <c r="U24" s="1405" t="s">
        <v>162</v>
      </c>
      <c r="V24" s="1316" t="s">
        <v>4914</v>
      </c>
      <c r="W24" s="1316" t="s">
        <v>6981</v>
      </c>
      <c r="X24" s="1316" t="s">
        <v>6582</v>
      </c>
      <c r="Y24" s="1316" t="s">
        <v>970</v>
      </c>
      <c r="Z24" s="1316" t="s">
        <v>8838</v>
      </c>
      <c r="AA24" s="1405" t="s">
        <v>8839</v>
      </c>
      <c r="AB24" s="1316" t="s">
        <v>7444</v>
      </c>
      <c r="AC24" s="1405" t="s">
        <v>8840</v>
      </c>
      <c r="AD24" s="1316" t="s">
        <v>6009</v>
      </c>
      <c r="AE24" s="1405" t="s">
        <v>8841</v>
      </c>
      <c r="AF24" s="1405" t="s">
        <v>8842</v>
      </c>
      <c r="AG24" s="1316" t="s">
        <v>2055</v>
      </c>
      <c r="AH24" s="1316" t="s">
        <v>2585</v>
      </c>
      <c r="AI24" s="1405" t="s">
        <v>8843</v>
      </c>
      <c r="AJ24" s="1316" t="s">
        <v>8844</v>
      </c>
      <c r="AK24" s="1316" t="s">
        <v>8325</v>
      </c>
      <c r="AL24" s="1316" t="s">
        <v>4540</v>
      </c>
      <c r="AM24" s="1316" t="s">
        <v>8845</v>
      </c>
      <c r="AN24" s="1316" t="s">
        <v>4540</v>
      </c>
      <c r="AO24" s="1316" t="s">
        <v>1977</v>
      </c>
      <c r="AP24" s="1405" t="s">
        <v>8846</v>
      </c>
      <c r="AQ24" s="1316" t="s">
        <v>2176</v>
      </c>
      <c r="AR24" s="1405" t="s">
        <v>8189</v>
      </c>
      <c r="AS24" s="1316" t="s">
        <v>1828</v>
      </c>
      <c r="AT24" s="1405" t="s">
        <v>8847</v>
      </c>
      <c r="AU24" s="1405" t="s">
        <v>8848</v>
      </c>
      <c r="AV24" s="1406" t="str">
        <f t="shared" si="1"/>
        <v>2:28</v>
      </c>
      <c r="AW24" s="1442" t="s">
        <v>8849</v>
      </c>
    </row>
    <row r="25">
      <c r="A25" s="1446" t="s">
        <v>8850</v>
      </c>
      <c r="B25" s="1495" t="s">
        <v>8311</v>
      </c>
      <c r="C25" s="1398">
        <v>0.0503125</v>
      </c>
      <c r="D25" s="1316" t="s">
        <v>8851</v>
      </c>
      <c r="E25" s="1450" t="s">
        <v>8852</v>
      </c>
      <c r="F25" s="1450" t="s">
        <v>8853</v>
      </c>
      <c r="G25" s="1450" t="s">
        <v>7896</v>
      </c>
      <c r="H25" s="1496" t="s">
        <v>8854</v>
      </c>
      <c r="I25" s="1496" t="s">
        <v>6817</v>
      </c>
      <c r="J25" s="1452" t="s">
        <v>1973</v>
      </c>
      <c r="K25" s="1452" t="s">
        <v>5821</v>
      </c>
      <c r="L25" s="1452" t="s">
        <v>3193</v>
      </c>
      <c r="M25" s="1452" t="s">
        <v>8855</v>
      </c>
      <c r="N25" s="1452" t="s">
        <v>8856</v>
      </c>
      <c r="O25" s="1452" t="s">
        <v>4027</v>
      </c>
      <c r="P25" s="1452" t="s">
        <v>5089</v>
      </c>
      <c r="Q25" s="1453" t="s">
        <v>8857</v>
      </c>
      <c r="R25" s="1453" t="s">
        <v>8858</v>
      </c>
      <c r="S25" s="1453" t="s">
        <v>546</v>
      </c>
      <c r="T25" s="1453" t="s">
        <v>8859</v>
      </c>
      <c r="U25" s="1453" t="s">
        <v>8860</v>
      </c>
      <c r="V25" s="1453" t="s">
        <v>8861</v>
      </c>
      <c r="W25" s="1454" t="s">
        <v>8862</v>
      </c>
      <c r="X25" s="1454" t="s">
        <v>4398</v>
      </c>
      <c r="Y25" s="1454" t="s">
        <v>1551</v>
      </c>
      <c r="Z25" s="1454" t="s">
        <v>2388</v>
      </c>
      <c r="AA25" s="1454" t="s">
        <v>8863</v>
      </c>
      <c r="AB25" s="1454" t="s">
        <v>3661</v>
      </c>
      <c r="AC25" s="1454" t="s">
        <v>8864</v>
      </c>
      <c r="AD25" s="1450" t="s">
        <v>8865</v>
      </c>
      <c r="AE25" s="1450" t="s">
        <v>8714</v>
      </c>
      <c r="AF25" s="1455" t="s">
        <v>8866</v>
      </c>
      <c r="AG25" s="1455" t="s">
        <v>7643</v>
      </c>
      <c r="AH25" s="1455" t="s">
        <v>8867</v>
      </c>
      <c r="AI25" s="1455" t="s">
        <v>5046</v>
      </c>
      <c r="AJ25" s="1455" t="s">
        <v>8868</v>
      </c>
      <c r="AK25" s="1455" t="s">
        <v>8356</v>
      </c>
      <c r="AL25" s="1455" t="s">
        <v>8545</v>
      </c>
      <c r="AM25" s="1457" t="s">
        <v>8589</v>
      </c>
      <c r="AN25" s="1457" t="s">
        <v>8869</v>
      </c>
      <c r="AO25" s="1457" t="s">
        <v>3568</v>
      </c>
      <c r="AP25" s="1457" t="s">
        <v>8870</v>
      </c>
      <c r="AQ25" s="1457" t="s">
        <v>8871</v>
      </c>
      <c r="AR25" s="1457" t="s">
        <v>2919</v>
      </c>
      <c r="AS25" s="1457" t="s">
        <v>300</v>
      </c>
      <c r="AT25" s="1452" t="s">
        <v>8872</v>
      </c>
      <c r="AU25" s="1438" t="s">
        <v>8873</v>
      </c>
      <c r="AV25" s="1406" t="str">
        <f t="shared" si="1"/>
        <v>2:59</v>
      </c>
      <c r="AW25" s="1445" t="s">
        <v>8874</v>
      </c>
    </row>
    <row r="26" ht="15.75" customHeight="1">
      <c r="A26" s="1446" t="s">
        <v>2594</v>
      </c>
      <c r="B26" s="1444" t="s">
        <v>8339</v>
      </c>
      <c r="C26" s="1398">
        <v>0.050347222222222224</v>
      </c>
      <c r="D26" s="1316" t="s">
        <v>8875</v>
      </c>
      <c r="E26" s="1316" t="s">
        <v>8876</v>
      </c>
      <c r="F26" s="1316" t="s">
        <v>8877</v>
      </c>
      <c r="G26" s="1316" t="s">
        <v>8878</v>
      </c>
      <c r="H26" s="1316" t="s">
        <v>5810</v>
      </c>
      <c r="I26" s="1316" t="s">
        <v>696</v>
      </c>
      <c r="J26" s="1487" t="s">
        <v>8346</v>
      </c>
      <c r="K26" s="1487" t="s">
        <v>1163</v>
      </c>
      <c r="L26" s="1487" t="s">
        <v>8347</v>
      </c>
      <c r="M26" s="1452" t="s">
        <v>8879</v>
      </c>
      <c r="N26" s="1487" t="s">
        <v>2483</v>
      </c>
      <c r="O26" s="1316" t="s">
        <v>8880</v>
      </c>
      <c r="P26" s="1487" t="s">
        <v>5420</v>
      </c>
      <c r="Q26" s="1487" t="s">
        <v>8350</v>
      </c>
      <c r="R26" s="1487" t="s">
        <v>7073</v>
      </c>
      <c r="S26" s="1487" t="s">
        <v>8319</v>
      </c>
      <c r="T26" s="1316" t="s">
        <v>4500</v>
      </c>
      <c r="U26" s="1316" t="s">
        <v>8881</v>
      </c>
      <c r="V26" s="1487" t="s">
        <v>3997</v>
      </c>
      <c r="W26" s="1316" t="s">
        <v>6979</v>
      </c>
      <c r="X26" s="1316" t="s">
        <v>1523</v>
      </c>
      <c r="Y26" s="1487" t="s">
        <v>5752</v>
      </c>
      <c r="Z26" s="1316" t="s">
        <v>1063</v>
      </c>
      <c r="AA26" s="1316" t="s">
        <v>8882</v>
      </c>
      <c r="AB26" s="1316" t="s">
        <v>5739</v>
      </c>
      <c r="AC26" s="1316" t="s">
        <v>1965</v>
      </c>
      <c r="AD26" s="1316" t="s">
        <v>8883</v>
      </c>
      <c r="AE26" s="1316" t="s">
        <v>4349</v>
      </c>
      <c r="AF26" s="1316" t="s">
        <v>8884</v>
      </c>
      <c r="AG26" s="1316" t="s">
        <v>5504</v>
      </c>
      <c r="AH26" s="1316" t="s">
        <v>4527</v>
      </c>
      <c r="AI26" s="1316" t="s">
        <v>3144</v>
      </c>
      <c r="AJ26" s="1316" t="s">
        <v>8885</v>
      </c>
      <c r="AK26" s="1316" t="s">
        <v>2962</v>
      </c>
      <c r="AL26" s="1316" t="s">
        <v>8886</v>
      </c>
      <c r="AM26" s="1316" t="s">
        <v>8887</v>
      </c>
      <c r="AN26" s="1316" t="s">
        <v>4311</v>
      </c>
      <c r="AO26" s="1316" t="s">
        <v>7161</v>
      </c>
      <c r="AP26" s="1316" t="s">
        <v>8888</v>
      </c>
      <c r="AQ26" s="1316" t="s">
        <v>3522</v>
      </c>
      <c r="AR26" s="1316" t="s">
        <v>2919</v>
      </c>
      <c r="AS26" s="1316" t="s">
        <v>6460</v>
      </c>
      <c r="AT26" s="1316" t="s">
        <v>8889</v>
      </c>
      <c r="AU26" s="1455" t="s">
        <v>8363</v>
      </c>
      <c r="AV26" s="1406" t="str">
        <f t="shared" si="1"/>
        <v>2:37</v>
      </c>
      <c r="AW26" s="1497"/>
    </row>
    <row r="27" ht="15.75" customHeight="1">
      <c r="A27" s="1446" t="s">
        <v>2214</v>
      </c>
      <c r="B27" s="1498" t="s">
        <v>8339</v>
      </c>
      <c r="C27" s="1398">
        <v>0.05037037037037037</v>
      </c>
      <c r="D27" s="1450" t="s">
        <v>8890</v>
      </c>
      <c r="E27" s="1316" t="s">
        <v>8268</v>
      </c>
      <c r="F27" s="1316" t="s">
        <v>8891</v>
      </c>
      <c r="G27" s="1450" t="s">
        <v>8892</v>
      </c>
      <c r="H27" s="1499" t="s">
        <v>8344</v>
      </c>
      <c r="I27" s="1316" t="s">
        <v>1085</v>
      </c>
      <c r="J27" s="1316" t="s">
        <v>8893</v>
      </c>
      <c r="K27" s="1316" t="s">
        <v>8894</v>
      </c>
      <c r="L27" s="1316" t="s">
        <v>4674</v>
      </c>
      <c r="M27" s="1316" t="s">
        <v>8895</v>
      </c>
      <c r="N27" s="1452" t="s">
        <v>8896</v>
      </c>
      <c r="O27" s="1316" t="s">
        <v>8897</v>
      </c>
      <c r="P27" s="1452" t="s">
        <v>5400</v>
      </c>
      <c r="Q27" s="1316" t="s">
        <v>8898</v>
      </c>
      <c r="R27" s="1316" t="s">
        <v>5397</v>
      </c>
      <c r="S27" s="1453" t="s">
        <v>8899</v>
      </c>
      <c r="T27" s="1400" t="s">
        <v>8900</v>
      </c>
      <c r="U27" s="1453" t="s">
        <v>1080</v>
      </c>
      <c r="V27" s="1316" t="s">
        <v>7903</v>
      </c>
      <c r="W27" s="1500" t="s">
        <v>4027</v>
      </c>
      <c r="X27" s="1316" t="s">
        <v>8901</v>
      </c>
      <c r="Y27" s="1316" t="s">
        <v>5073</v>
      </c>
      <c r="Z27" s="1487" t="s">
        <v>441</v>
      </c>
      <c r="AA27" s="1454" t="s">
        <v>4594</v>
      </c>
      <c r="AB27" s="1316" t="s">
        <v>5739</v>
      </c>
      <c r="AC27" s="1316" t="s">
        <v>411</v>
      </c>
      <c r="AD27" s="1316" t="s">
        <v>8902</v>
      </c>
      <c r="AE27" s="1501" t="s">
        <v>8354</v>
      </c>
      <c r="AF27" s="1316" t="s">
        <v>8903</v>
      </c>
      <c r="AG27" s="1316" t="s">
        <v>8388</v>
      </c>
      <c r="AH27" s="1316" t="s">
        <v>5731</v>
      </c>
      <c r="AI27" s="1455" t="s">
        <v>8904</v>
      </c>
      <c r="AJ27" s="1316" t="s">
        <v>8905</v>
      </c>
      <c r="AK27" s="1316" t="s">
        <v>1288</v>
      </c>
      <c r="AL27" s="1500" t="s">
        <v>5924</v>
      </c>
      <c r="AM27" s="1316" t="s">
        <v>4042</v>
      </c>
      <c r="AN27" s="1457" t="s">
        <v>4268</v>
      </c>
      <c r="AO27" s="1316" t="s">
        <v>8906</v>
      </c>
      <c r="AP27" s="1316" t="s">
        <v>8907</v>
      </c>
      <c r="AQ27" s="1502" t="s">
        <v>8361</v>
      </c>
      <c r="AR27" s="1316" t="s">
        <v>860</v>
      </c>
      <c r="AS27" s="1503" t="s">
        <v>5123</v>
      </c>
      <c r="AT27" s="1316" t="s">
        <v>8908</v>
      </c>
      <c r="AU27" s="1438" t="s">
        <v>8909</v>
      </c>
      <c r="AV27" s="1406" t="str">
        <f t="shared" si="1"/>
        <v>4:27</v>
      </c>
      <c r="AW27" s="1445" t="s">
        <v>8910</v>
      </c>
    </row>
    <row r="28" ht="15.75" customHeight="1">
      <c r="A28" s="1396" t="s">
        <v>8911</v>
      </c>
      <c r="B28" s="1459" t="s">
        <v>8339</v>
      </c>
      <c r="C28" s="1398">
        <v>0.05042824074074074</v>
      </c>
      <c r="D28" s="1316" t="s">
        <v>8600</v>
      </c>
      <c r="E28" s="1450" t="s">
        <v>6060</v>
      </c>
      <c r="F28" s="1450" t="s">
        <v>8912</v>
      </c>
      <c r="G28" s="1464" t="s">
        <v>8913</v>
      </c>
      <c r="H28" s="1451" t="s">
        <v>8914</v>
      </c>
      <c r="I28" s="1496" t="s">
        <v>3109</v>
      </c>
      <c r="J28" s="1452" t="s">
        <v>4719</v>
      </c>
      <c r="K28" s="1452" t="s">
        <v>8790</v>
      </c>
      <c r="L28" s="1452" t="s">
        <v>2459</v>
      </c>
      <c r="M28" s="1452" t="s">
        <v>2046</v>
      </c>
      <c r="N28" s="1452" t="s">
        <v>4072</v>
      </c>
      <c r="O28" s="1452" t="s">
        <v>8915</v>
      </c>
      <c r="P28" s="1465" t="s">
        <v>758</v>
      </c>
      <c r="Q28" s="1453" t="s">
        <v>8916</v>
      </c>
      <c r="R28" s="1453" t="s">
        <v>3160</v>
      </c>
      <c r="S28" s="1453" t="s">
        <v>7402</v>
      </c>
      <c r="T28" s="1466" t="s">
        <v>8516</v>
      </c>
      <c r="U28" s="1453" t="s">
        <v>8468</v>
      </c>
      <c r="V28" s="1466" t="s">
        <v>8917</v>
      </c>
      <c r="W28" s="1467" t="s">
        <v>7196</v>
      </c>
      <c r="X28" s="1504" t="s">
        <v>2556</v>
      </c>
      <c r="Y28" s="1467" t="s">
        <v>8918</v>
      </c>
      <c r="Z28" s="1454" t="s">
        <v>8919</v>
      </c>
      <c r="AA28" s="1467" t="s">
        <v>8920</v>
      </c>
      <c r="AB28" s="1316" t="s">
        <v>7264</v>
      </c>
      <c r="AC28" s="1467" t="s">
        <v>3286</v>
      </c>
      <c r="AD28" s="1501" t="s">
        <v>8353</v>
      </c>
      <c r="AE28" s="1450" t="s">
        <v>4349</v>
      </c>
      <c r="AF28" s="1455" t="s">
        <v>8921</v>
      </c>
      <c r="AG28" s="1468" t="s">
        <v>3775</v>
      </c>
      <c r="AH28" s="1468" t="s">
        <v>8922</v>
      </c>
      <c r="AI28" s="1406" t="s">
        <v>8839</v>
      </c>
      <c r="AJ28" s="1468" t="s">
        <v>8923</v>
      </c>
      <c r="AK28" s="1505" t="s">
        <v>8358</v>
      </c>
      <c r="AL28" s="1468" t="s">
        <v>3291</v>
      </c>
      <c r="AM28" s="1457" t="s">
        <v>8924</v>
      </c>
      <c r="AN28" s="1457" t="s">
        <v>4944</v>
      </c>
      <c r="AO28" s="1457" t="s">
        <v>2081</v>
      </c>
      <c r="AP28" s="1457" t="s">
        <v>8925</v>
      </c>
      <c r="AQ28" s="1456" t="s">
        <v>8926</v>
      </c>
      <c r="AR28" s="1456" t="s">
        <v>3341</v>
      </c>
      <c r="AS28" s="1456" t="s">
        <v>5141</v>
      </c>
      <c r="AT28" s="1452" t="s">
        <v>8927</v>
      </c>
      <c r="AU28" s="1438" t="s">
        <v>8928</v>
      </c>
      <c r="AV28" s="1406" t="str">
        <f t="shared" si="1"/>
        <v>2:55</v>
      </c>
      <c r="AW28" s="1506"/>
    </row>
    <row r="29" ht="15.75" customHeight="1">
      <c r="A29" s="1396" t="s">
        <v>4145</v>
      </c>
      <c r="B29" s="1397" t="s">
        <v>8311</v>
      </c>
      <c r="C29" s="1507">
        <v>0.05043981481481481</v>
      </c>
      <c r="D29" s="1316" t="s">
        <v>8929</v>
      </c>
      <c r="E29" s="1406" t="s">
        <v>7166</v>
      </c>
      <c r="F29" s="1406" t="s">
        <v>7333</v>
      </c>
      <c r="G29" s="1406" t="s">
        <v>8930</v>
      </c>
      <c r="H29" s="1406" t="s">
        <v>8507</v>
      </c>
      <c r="I29" s="1406" t="s">
        <v>4605</v>
      </c>
      <c r="J29" s="1406" t="s">
        <v>4408</v>
      </c>
      <c r="K29" s="1406" t="s">
        <v>8728</v>
      </c>
      <c r="L29" s="1406" t="s">
        <v>3723</v>
      </c>
      <c r="M29" s="1406" t="s">
        <v>8931</v>
      </c>
      <c r="N29" s="1406" t="s">
        <v>8932</v>
      </c>
      <c r="O29" s="1406" t="s">
        <v>8933</v>
      </c>
      <c r="P29" s="1406" t="s">
        <v>5234</v>
      </c>
      <c r="Q29" s="1406" t="s">
        <v>8934</v>
      </c>
      <c r="R29" s="1406" t="s">
        <v>8935</v>
      </c>
      <c r="S29" s="1406" t="s">
        <v>8748</v>
      </c>
      <c r="T29" s="1406" t="s">
        <v>8936</v>
      </c>
      <c r="U29" s="1406" t="s">
        <v>8937</v>
      </c>
      <c r="V29" s="1406" t="s">
        <v>2266</v>
      </c>
      <c r="W29" s="1406" t="s">
        <v>8938</v>
      </c>
      <c r="X29" s="1406" t="s">
        <v>8939</v>
      </c>
      <c r="Y29" s="1406" t="s">
        <v>8775</v>
      </c>
      <c r="Z29" s="1406" t="s">
        <v>1063</v>
      </c>
      <c r="AA29" s="1406" t="s">
        <v>3144</v>
      </c>
      <c r="AB29" s="1406" t="s">
        <v>4719</v>
      </c>
      <c r="AC29" s="1406" t="s">
        <v>7445</v>
      </c>
      <c r="AD29" s="1406" t="s">
        <v>5982</v>
      </c>
      <c r="AE29" s="1406" t="s">
        <v>5470</v>
      </c>
      <c r="AF29" s="1406" t="s">
        <v>8940</v>
      </c>
      <c r="AG29" s="1406" t="s">
        <v>8941</v>
      </c>
      <c r="AH29" s="1406" t="s">
        <v>3860</v>
      </c>
      <c r="AI29" s="1406" t="s">
        <v>5046</v>
      </c>
      <c r="AJ29" s="1406" t="s">
        <v>8942</v>
      </c>
      <c r="AK29" s="1406" t="s">
        <v>8943</v>
      </c>
      <c r="AL29" s="1406" t="s">
        <v>5765</v>
      </c>
      <c r="AM29" s="1406" t="s">
        <v>1231</v>
      </c>
      <c r="AN29" s="1406" t="s">
        <v>4075</v>
      </c>
      <c r="AO29" s="1406" t="s">
        <v>8944</v>
      </c>
      <c r="AP29" s="1423" t="str">
        <f>HYPERLINK("https://www.twitch.tv/videos/511415405","2:00.79")</f>
        <v>2:00.79</v>
      </c>
      <c r="AQ29" s="1406" t="s">
        <v>8945</v>
      </c>
      <c r="AR29" s="1406" t="s">
        <v>7161</v>
      </c>
      <c r="AS29" s="1406" t="s">
        <v>8946</v>
      </c>
      <c r="AT29" s="1406" t="s">
        <v>8947</v>
      </c>
      <c r="AU29" s="1406" t="s">
        <v>8948</v>
      </c>
      <c r="AV29" s="1406" t="str">
        <f t="shared" si="1"/>
        <v>2:36</v>
      </c>
      <c r="AW29" s="1426" t="s">
        <v>6368</v>
      </c>
    </row>
    <row r="30">
      <c r="A30" s="1446" t="s">
        <v>1197</v>
      </c>
      <c r="B30" s="1444" t="s">
        <v>8311</v>
      </c>
      <c r="C30" s="1398">
        <v>0.050486111111111114</v>
      </c>
      <c r="D30" s="1450" t="s">
        <v>8949</v>
      </c>
      <c r="E30" s="1450" t="s">
        <v>8950</v>
      </c>
      <c r="F30" s="1450" t="s">
        <v>8951</v>
      </c>
      <c r="G30" s="1450" t="s">
        <v>8952</v>
      </c>
      <c r="H30" s="1316" t="s">
        <v>8953</v>
      </c>
      <c r="I30" s="1496" t="s">
        <v>853</v>
      </c>
      <c r="J30" s="1452" t="s">
        <v>5567</v>
      </c>
      <c r="K30" s="1452" t="s">
        <v>7655</v>
      </c>
      <c r="L30" s="1452" t="s">
        <v>6169</v>
      </c>
      <c r="M30" s="1452" t="s">
        <v>4905</v>
      </c>
      <c r="N30" s="1452" t="s">
        <v>8954</v>
      </c>
      <c r="O30" s="1452" t="s">
        <v>8955</v>
      </c>
      <c r="P30" s="1452" t="s">
        <v>8644</v>
      </c>
      <c r="Q30" s="1453" t="s">
        <v>877</v>
      </c>
      <c r="R30" s="1453" t="s">
        <v>4663</v>
      </c>
      <c r="S30" s="1453" t="s">
        <v>8801</v>
      </c>
      <c r="T30" s="1453" t="s">
        <v>8956</v>
      </c>
      <c r="U30" s="1453" t="s">
        <v>8957</v>
      </c>
      <c r="V30" s="1453" t="s">
        <v>8958</v>
      </c>
      <c r="W30" s="1454" t="s">
        <v>8959</v>
      </c>
      <c r="X30" s="1454" t="s">
        <v>8960</v>
      </c>
      <c r="Y30" s="1454" t="s">
        <v>8961</v>
      </c>
      <c r="Z30" s="1454" t="s">
        <v>8962</v>
      </c>
      <c r="AA30" s="1405" t="s">
        <v>8963</v>
      </c>
      <c r="AB30" s="1454" t="s">
        <v>3125</v>
      </c>
      <c r="AC30" s="1454" t="s">
        <v>1047</v>
      </c>
      <c r="AD30" s="1450" t="s">
        <v>8964</v>
      </c>
      <c r="AE30" s="1450" t="s">
        <v>2172</v>
      </c>
      <c r="AF30" s="1455" t="s">
        <v>8965</v>
      </c>
      <c r="AG30" s="1455" t="s">
        <v>525</v>
      </c>
      <c r="AH30" s="1455" t="s">
        <v>8966</v>
      </c>
      <c r="AI30" s="1455" t="s">
        <v>2625</v>
      </c>
      <c r="AJ30" s="1455" t="s">
        <v>8967</v>
      </c>
      <c r="AK30" s="1455" t="s">
        <v>7238</v>
      </c>
      <c r="AL30" s="1455" t="s">
        <v>2700</v>
      </c>
      <c r="AM30" s="1457" t="s">
        <v>8968</v>
      </c>
      <c r="AN30" s="1457" t="s">
        <v>8347</v>
      </c>
      <c r="AO30" s="1457" t="s">
        <v>8969</v>
      </c>
      <c r="AP30" s="1457" t="s">
        <v>8970</v>
      </c>
      <c r="AQ30" s="1457" t="s">
        <v>8971</v>
      </c>
      <c r="AR30" s="1457" t="s">
        <v>1090</v>
      </c>
      <c r="AS30" s="1457" t="s">
        <v>1551</v>
      </c>
      <c r="AT30" s="1452" t="s">
        <v>8972</v>
      </c>
      <c r="AU30" s="1438" t="s">
        <v>8973</v>
      </c>
      <c r="AV30" s="1406" t="str">
        <f t="shared" si="1"/>
        <v>3:47</v>
      </c>
      <c r="AW30" s="1445"/>
    </row>
    <row r="31" ht="15.75" customHeight="1">
      <c r="A31" s="1446" t="s">
        <v>1555</v>
      </c>
      <c r="B31" s="1397" t="s">
        <v>8311</v>
      </c>
      <c r="C31" s="1398">
        <v>0.05049768518518519</v>
      </c>
      <c r="D31" s="1316" t="s">
        <v>8974</v>
      </c>
      <c r="E31" s="1464" t="s">
        <v>8975</v>
      </c>
      <c r="F31" s="1494" t="str">
        <f>HYPERLINK("https://www.youtube.com/watch?v=rtR6KkKhM6I","1:59.91")</f>
        <v>1:59.91</v>
      </c>
      <c r="G31" s="1464" t="s">
        <v>8976</v>
      </c>
      <c r="H31" s="1508" t="str">
        <f>HYPERLINK("https://www.youtube.com/watch?v=cg-eipYsN1s","1:54.47")</f>
        <v>1:54.47</v>
      </c>
      <c r="I31" s="1451" t="s">
        <v>8918</v>
      </c>
      <c r="J31" s="1465" t="s">
        <v>8697</v>
      </c>
      <c r="K31" s="1452" t="s">
        <v>6325</v>
      </c>
      <c r="L31" s="1490" t="str">
        <f>HYPERLINK("https://www.youtube.com/watch?v=tJdjPKdAbw4","57.01")</f>
        <v>57.01</v>
      </c>
      <c r="M31" s="1465" t="s">
        <v>7109</v>
      </c>
      <c r="N31" s="1452" t="s">
        <v>2285</v>
      </c>
      <c r="O31" s="1465" t="s">
        <v>8977</v>
      </c>
      <c r="P31" s="1465" t="s">
        <v>131</v>
      </c>
      <c r="Q31" s="1466" t="s">
        <v>237</v>
      </c>
      <c r="R31" s="1466" t="s">
        <v>8978</v>
      </c>
      <c r="S31" s="1492" t="str">
        <f>HYPERLINK("https://www.youtube.com/watch?v=_3ms_ZhYFzo","1:18.01")</f>
        <v>1:18.01</v>
      </c>
      <c r="T31" s="1466" t="s">
        <v>8979</v>
      </c>
      <c r="U31" s="1492" t="str">
        <f>HYPERLINK("https://www.youtube.com/watch?v=ZOy_TI3Zw14","2:02.38")</f>
        <v>2:02.38</v>
      </c>
      <c r="V31" s="1466" t="s">
        <v>8958</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8644</v>
      </c>
      <c r="AF31" s="1468" t="s">
        <v>8980</v>
      </c>
      <c r="AG31" s="1510" t="str">
        <f>HYPERLINK("https://www.youtube.com/watch?v=KXwTRrVVluY","1:30.62")</f>
        <v>1:30.62</v>
      </c>
      <c r="AH31" s="1468" t="s">
        <v>2955</v>
      </c>
      <c r="AI31" s="1468" t="s">
        <v>8816</v>
      </c>
      <c r="AJ31" s="1468" t="s">
        <v>8981</v>
      </c>
      <c r="AK31" s="1455" t="s">
        <v>8982</v>
      </c>
      <c r="AL31" s="1468" t="s">
        <v>8983</v>
      </c>
      <c r="AM31" s="1511" t="str">
        <f>HYPERLINK("https://www.youtube.com/watch?v=BAoEwuQ0LoI","1:25.68")</f>
        <v>1:25.68</v>
      </c>
      <c r="AN31" s="1511" t="str">
        <f>HYPERLINK("https://www.youtube.com/watch?v=F-LtZeEZXek","56.36")</f>
        <v>56.36</v>
      </c>
      <c r="AO31" s="1456" t="s">
        <v>8984</v>
      </c>
      <c r="AP31" s="1456" t="s">
        <v>8985</v>
      </c>
      <c r="AQ31" s="1456" t="s">
        <v>8986</v>
      </c>
      <c r="AR31" s="1511" t="str">
        <f>HYPERLINK("https://www.youtube.com/watch?v=WSIIkWWbKgE","1:21.74")</f>
        <v>1:21.74</v>
      </c>
      <c r="AS31" s="1456" t="s">
        <v>5440</v>
      </c>
      <c r="AT31" s="1490" t="str">
        <f>HYPERLINK("https://www.youtube.com/watch?v=H67SXBLcISI","2:29.09")</f>
        <v>2:29.09</v>
      </c>
      <c r="AU31" s="1469" t="s">
        <v>8987</v>
      </c>
      <c r="AV31" s="1406" t="str">
        <f t="shared" si="1"/>
        <v>2:03</v>
      </c>
      <c r="AW31" s="1512" t="s">
        <v>8988</v>
      </c>
    </row>
    <row r="32">
      <c r="A32" s="1446" t="s">
        <v>2858</v>
      </c>
      <c r="B32" s="1444" t="s">
        <v>8339</v>
      </c>
      <c r="C32" s="1398">
        <v>0.050520833333333334</v>
      </c>
      <c r="D32" s="1450" t="s">
        <v>8989</v>
      </c>
      <c r="E32" s="1474" t="s">
        <v>4525</v>
      </c>
      <c r="F32" s="1474" t="s">
        <v>8990</v>
      </c>
      <c r="G32" s="1450" t="s">
        <v>8991</v>
      </c>
      <c r="H32" s="1474" t="s">
        <v>8992</v>
      </c>
      <c r="I32" s="1474" t="s">
        <v>2880</v>
      </c>
      <c r="J32" s="1452" t="s">
        <v>8993</v>
      </c>
      <c r="K32" s="1513" t="s">
        <v>8994</v>
      </c>
      <c r="L32" s="1452" t="s">
        <v>8995</v>
      </c>
      <c r="M32" s="1514" t="s">
        <v>5625</v>
      </c>
      <c r="N32" s="1452" t="s">
        <v>973</v>
      </c>
      <c r="O32" s="1452" t="s">
        <v>3581</v>
      </c>
      <c r="P32" s="1452" t="s">
        <v>411</v>
      </c>
      <c r="Q32" s="1422" t="str">
        <f>HYPERLINK("https://www.twitch.tv/planktonsecretformula/v/1588460220?sr=a", "2:12.43")</f>
        <v>2:12.43</v>
      </c>
      <c r="R32" s="1453" t="s">
        <v>8935</v>
      </c>
      <c r="S32" s="1453" t="s">
        <v>8996</v>
      </c>
      <c r="T32" s="1515" t="s">
        <v>8351</v>
      </c>
      <c r="U32" s="1474" t="s">
        <v>8997</v>
      </c>
      <c r="V32" s="1474" t="s">
        <v>8998</v>
      </c>
      <c r="W32" s="1460" t="s">
        <v>8999</v>
      </c>
      <c r="X32" s="1454" t="s">
        <v>945</v>
      </c>
      <c r="Y32" s="1454" t="s">
        <v>8708</v>
      </c>
      <c r="Z32" s="1454" t="s">
        <v>8465</v>
      </c>
      <c r="AA32" s="1405" t="s">
        <v>9000</v>
      </c>
      <c r="AB32" s="1454" t="s">
        <v>4023</v>
      </c>
      <c r="AC32" s="1454" t="s">
        <v>868</v>
      </c>
      <c r="AD32" s="1450" t="s">
        <v>3927</v>
      </c>
      <c r="AE32" s="1450" t="s">
        <v>5699</v>
      </c>
      <c r="AF32" s="1455" t="s">
        <v>9001</v>
      </c>
      <c r="AG32" s="1474" t="s">
        <v>4512</v>
      </c>
      <c r="AH32" s="1455" t="s">
        <v>9002</v>
      </c>
      <c r="AI32" s="1455" t="s">
        <v>6584</v>
      </c>
      <c r="AJ32" s="1455" t="s">
        <v>9003</v>
      </c>
      <c r="AK32" s="1455" t="s">
        <v>9004</v>
      </c>
      <c r="AL32" s="1455" t="s">
        <v>9005</v>
      </c>
      <c r="AM32" s="1457" t="s">
        <v>8516</v>
      </c>
      <c r="AN32" s="1457" t="s">
        <v>8647</v>
      </c>
      <c r="AO32" s="1457" t="s">
        <v>2919</v>
      </c>
      <c r="AP32" s="1487" t="s">
        <v>8360</v>
      </c>
      <c r="AQ32" s="1422" t="str">
        <f>HYPERLINK("https://www.twitch.tv/planktonsecretformula/v/1678454360?sr=a&amp;t=0s", "1:37.46")</f>
        <v>1:37.46</v>
      </c>
      <c r="AR32" s="1457" t="s">
        <v>9006</v>
      </c>
      <c r="AS32" s="1457" t="s">
        <v>717</v>
      </c>
      <c r="AT32" s="1452" t="s">
        <v>9007</v>
      </c>
      <c r="AU32" s="1438" t="s">
        <v>9008</v>
      </c>
      <c r="AV32" s="1406" t="str">
        <f t="shared" si="1"/>
        <v>4:40</v>
      </c>
      <c r="AW32" s="1445" t="s">
        <v>9009</v>
      </c>
    </row>
    <row r="33" ht="15.75" customHeight="1">
      <c r="A33" s="1484" t="s">
        <v>9010</v>
      </c>
      <c r="B33" s="1397" t="s">
        <v>8311</v>
      </c>
      <c r="C33" s="1398">
        <v>0.050555555555555555</v>
      </c>
      <c r="D33" s="1316" t="s">
        <v>9011</v>
      </c>
      <c r="E33" s="1450" t="s">
        <v>9012</v>
      </c>
      <c r="F33" s="1450" t="s">
        <v>9013</v>
      </c>
      <c r="G33" s="1450" t="s">
        <v>9014</v>
      </c>
      <c r="H33" s="1496" t="s">
        <v>9015</v>
      </c>
      <c r="I33" s="1496" t="s">
        <v>9016</v>
      </c>
      <c r="J33" s="1452" t="s">
        <v>9017</v>
      </c>
      <c r="K33" s="1452" t="s">
        <v>9018</v>
      </c>
      <c r="L33" s="1452" t="s">
        <v>9019</v>
      </c>
      <c r="M33" s="1452" t="s">
        <v>3561</v>
      </c>
      <c r="N33" s="1452" t="s">
        <v>9020</v>
      </c>
      <c r="O33" s="1452" t="s">
        <v>8915</v>
      </c>
      <c r="P33" s="1452" t="s">
        <v>4795</v>
      </c>
      <c r="Q33" s="1453" t="s">
        <v>9021</v>
      </c>
      <c r="R33" s="1453" t="s">
        <v>2630</v>
      </c>
      <c r="S33" s="1453" t="s">
        <v>9022</v>
      </c>
      <c r="T33" s="1453" t="s">
        <v>9023</v>
      </c>
      <c r="U33" s="1453" t="s">
        <v>9024</v>
      </c>
      <c r="V33" s="1453" t="s">
        <v>8813</v>
      </c>
      <c r="W33" s="1454" t="s">
        <v>9025</v>
      </c>
      <c r="X33" s="1454" t="s">
        <v>9026</v>
      </c>
      <c r="Y33" s="1454" t="s">
        <v>9027</v>
      </c>
      <c r="Z33" s="1454" t="s">
        <v>1291</v>
      </c>
      <c r="AA33" s="1454" t="s">
        <v>9028</v>
      </c>
      <c r="AB33" s="1454" t="s">
        <v>6317</v>
      </c>
      <c r="AC33" s="1467" t="s">
        <v>6418</v>
      </c>
      <c r="AD33" s="1450" t="s">
        <v>9029</v>
      </c>
      <c r="AE33" s="1450" t="s">
        <v>8644</v>
      </c>
      <c r="AF33" s="1455" t="s">
        <v>9030</v>
      </c>
      <c r="AG33" s="1455" t="s">
        <v>9031</v>
      </c>
      <c r="AH33" s="1455" t="s">
        <v>5507</v>
      </c>
      <c r="AI33" s="1455" t="s">
        <v>9032</v>
      </c>
      <c r="AJ33" s="1455" t="s">
        <v>9033</v>
      </c>
      <c r="AK33" s="1455" t="s">
        <v>4398</v>
      </c>
      <c r="AL33" s="1455" t="s">
        <v>5559</v>
      </c>
      <c r="AM33" s="1457" t="s">
        <v>2068</v>
      </c>
      <c r="AN33" s="1457" t="s">
        <v>4547</v>
      </c>
      <c r="AO33" s="1457" t="s">
        <v>9034</v>
      </c>
      <c r="AP33" s="1457" t="s">
        <v>9035</v>
      </c>
      <c r="AQ33" s="1457" t="s">
        <v>9036</v>
      </c>
      <c r="AR33" s="1457" t="s">
        <v>8661</v>
      </c>
      <c r="AS33" s="1457" t="s">
        <v>970</v>
      </c>
      <c r="AT33" s="1452" t="s">
        <v>9037</v>
      </c>
      <c r="AU33" s="1438" t="s">
        <v>9038</v>
      </c>
      <c r="AV33" s="1406" t="str">
        <f t="shared" si="1"/>
        <v>2:07</v>
      </c>
      <c r="AW33" s="1506"/>
    </row>
    <row r="34">
      <c r="A34" s="1411" t="s">
        <v>643</v>
      </c>
      <c r="B34" s="1444" t="s">
        <v>8311</v>
      </c>
      <c r="C34" s="1398">
        <v>0.050555555555555555</v>
      </c>
      <c r="D34" s="1316" t="s">
        <v>9039</v>
      </c>
      <c r="E34" s="1316" t="s">
        <v>9040</v>
      </c>
      <c r="F34" s="1316" t="s">
        <v>9041</v>
      </c>
      <c r="G34" s="1316" t="s">
        <v>9042</v>
      </c>
      <c r="H34" s="1316" t="s">
        <v>9043</v>
      </c>
      <c r="I34" s="1316" t="s">
        <v>9044</v>
      </c>
      <c r="J34" s="1316" t="s">
        <v>1369</v>
      </c>
      <c r="K34" s="1316" t="s">
        <v>9045</v>
      </c>
      <c r="L34" s="1316" t="s">
        <v>4128</v>
      </c>
      <c r="M34" s="1316" t="s">
        <v>4053</v>
      </c>
      <c r="N34" s="1316" t="s">
        <v>9046</v>
      </c>
      <c r="O34" s="1316" t="s">
        <v>9047</v>
      </c>
      <c r="P34" s="1316" t="s">
        <v>9048</v>
      </c>
      <c r="Q34" s="1316" t="s">
        <v>9049</v>
      </c>
      <c r="R34" s="1316" t="s">
        <v>9050</v>
      </c>
      <c r="S34" s="1316" t="s">
        <v>9051</v>
      </c>
      <c r="T34" s="1316" t="s">
        <v>8356</v>
      </c>
      <c r="U34" s="1316" t="s">
        <v>9052</v>
      </c>
      <c r="V34" s="1316" t="s">
        <v>9053</v>
      </c>
      <c r="W34" s="1316" t="s">
        <v>4614</v>
      </c>
      <c r="X34" s="1316" t="s">
        <v>9054</v>
      </c>
      <c r="Y34" s="1316" t="s">
        <v>4978</v>
      </c>
      <c r="Z34" s="1316" t="s">
        <v>9055</v>
      </c>
      <c r="AA34" s="1316" t="s">
        <v>9056</v>
      </c>
      <c r="AB34" s="1316" t="s">
        <v>9057</v>
      </c>
      <c r="AC34" s="1316" t="s">
        <v>7445</v>
      </c>
      <c r="AD34" s="1316" t="s">
        <v>9058</v>
      </c>
      <c r="AE34" s="1316" t="s">
        <v>8494</v>
      </c>
      <c r="AF34" s="1316" t="s">
        <v>9059</v>
      </c>
      <c r="AG34" s="1316" t="s">
        <v>4975</v>
      </c>
      <c r="AH34" s="1316" t="s">
        <v>4368</v>
      </c>
      <c r="AI34" s="1316" t="s">
        <v>9060</v>
      </c>
      <c r="AJ34" s="1316" t="s">
        <v>9061</v>
      </c>
      <c r="AK34" s="1316" t="s">
        <v>1760</v>
      </c>
      <c r="AL34" s="1316" t="s">
        <v>6521</v>
      </c>
      <c r="AM34" s="1316" t="s">
        <v>3710</v>
      </c>
      <c r="AN34" s="1316" t="s">
        <v>3841</v>
      </c>
      <c r="AO34" s="1316" t="s">
        <v>6064</v>
      </c>
      <c r="AP34" s="1316" t="s">
        <v>9062</v>
      </c>
      <c r="AQ34" s="1316" t="s">
        <v>9063</v>
      </c>
      <c r="AR34" s="1316" t="s">
        <v>8593</v>
      </c>
      <c r="AS34" s="1316" t="s">
        <v>926</v>
      </c>
      <c r="AT34" s="1316" t="s">
        <v>3079</v>
      </c>
      <c r="AU34" s="1438" t="s">
        <v>8948</v>
      </c>
      <c r="AV34" s="1406" t="str">
        <f t="shared" si="1"/>
        <v>2:26</v>
      </c>
      <c r="AW34" s="1445" t="s">
        <v>9064</v>
      </c>
    </row>
    <row r="35" ht="15.75" customHeight="1">
      <c r="A35" s="1396" t="s">
        <v>737</v>
      </c>
      <c r="B35" s="1459" t="s">
        <v>8339</v>
      </c>
      <c r="C35" s="1398">
        <v>0.05056712962962963</v>
      </c>
      <c r="D35" s="1487" t="s">
        <v>8340</v>
      </c>
      <c r="E35" s="1464" t="s">
        <v>8806</v>
      </c>
      <c r="F35" s="1486" t="s">
        <v>8342</v>
      </c>
      <c r="G35" s="1405" t="s">
        <v>9065</v>
      </c>
      <c r="H35" s="1405" t="s">
        <v>9066</v>
      </c>
      <c r="I35" s="1486" t="s">
        <v>8345</v>
      </c>
      <c r="J35" s="1405" t="s">
        <v>1175</v>
      </c>
      <c r="K35" s="1405" t="s">
        <v>4817</v>
      </c>
      <c r="L35" s="1405" t="s">
        <v>2272</v>
      </c>
      <c r="M35" s="1405" t="s">
        <v>2192</v>
      </c>
      <c r="N35" s="1405" t="s">
        <v>8781</v>
      </c>
      <c r="O35" s="1405" t="s">
        <v>9067</v>
      </c>
      <c r="P35" s="1405" t="s">
        <v>3795</v>
      </c>
      <c r="Q35" s="1405" t="s">
        <v>9068</v>
      </c>
      <c r="R35" s="1405" t="s">
        <v>2877</v>
      </c>
      <c r="S35" s="1405" t="s">
        <v>9069</v>
      </c>
      <c r="T35" s="1405" t="s">
        <v>2343</v>
      </c>
      <c r="U35" s="1405" t="s">
        <v>8549</v>
      </c>
      <c r="V35" s="1405" t="s">
        <v>2694</v>
      </c>
      <c r="W35" s="1405" t="s">
        <v>9070</v>
      </c>
      <c r="X35" s="1405" t="s">
        <v>9071</v>
      </c>
      <c r="Y35" s="1405" t="s">
        <v>950</v>
      </c>
      <c r="Z35" s="1405" t="s">
        <v>8667</v>
      </c>
      <c r="AA35" s="1405" t="s">
        <v>7238</v>
      </c>
      <c r="AB35" s="1405" t="s">
        <v>9072</v>
      </c>
      <c r="AC35" s="1406" t="s">
        <v>533</v>
      </c>
      <c r="AD35" s="1405" t="s">
        <v>9073</v>
      </c>
      <c r="AE35" s="1405" t="s">
        <v>4750</v>
      </c>
      <c r="AF35" s="1405" t="s">
        <v>9074</v>
      </c>
      <c r="AG35" s="1486" t="s">
        <v>8356</v>
      </c>
      <c r="AH35" s="1486" t="s">
        <v>2780</v>
      </c>
      <c r="AI35" s="1405" t="s">
        <v>9075</v>
      </c>
      <c r="AJ35" s="1405" t="s">
        <v>9076</v>
      </c>
      <c r="AK35" s="1405" t="s">
        <v>5267</v>
      </c>
      <c r="AL35" s="1405" t="s">
        <v>4075</v>
      </c>
      <c r="AM35" s="1405" t="s">
        <v>8642</v>
      </c>
      <c r="AN35" s="1405" t="s">
        <v>343</v>
      </c>
      <c r="AO35" s="1486" t="s">
        <v>8359</v>
      </c>
      <c r="AP35" s="1405" t="s">
        <v>9077</v>
      </c>
      <c r="AQ35" s="1405" t="s">
        <v>7178</v>
      </c>
      <c r="AR35" s="1405" t="s">
        <v>2614</v>
      </c>
      <c r="AS35" s="1405" t="s">
        <v>3853</v>
      </c>
      <c r="AT35" s="1405" t="s">
        <v>9078</v>
      </c>
      <c r="AU35" s="1405" t="s">
        <v>8698</v>
      </c>
      <c r="AV35" s="1406" t="str">
        <f t="shared" si="1"/>
        <v>3:34</v>
      </c>
      <c r="AW35" s="1442" t="s">
        <v>9079</v>
      </c>
    </row>
    <row r="36" ht="15.75" customHeight="1">
      <c r="A36" s="1411" t="s">
        <v>643</v>
      </c>
      <c r="B36" s="1459" t="s">
        <v>8339</v>
      </c>
      <c r="C36" s="1507">
        <v>0.05056712962962963</v>
      </c>
      <c r="D36" s="1316" t="s">
        <v>9080</v>
      </c>
      <c r="E36" s="1406" t="s">
        <v>9081</v>
      </c>
      <c r="F36" s="1406" t="s">
        <v>8731</v>
      </c>
      <c r="G36" s="1406" t="s">
        <v>9082</v>
      </c>
      <c r="H36" s="1406" t="s">
        <v>4372</v>
      </c>
      <c r="I36" s="1406" t="s">
        <v>1113</v>
      </c>
      <c r="J36" s="1405" t="s">
        <v>9083</v>
      </c>
      <c r="K36" s="1405" t="s">
        <v>9083</v>
      </c>
      <c r="L36" s="1406" t="s">
        <v>9084</v>
      </c>
      <c r="M36" s="1406" t="s">
        <v>9085</v>
      </c>
      <c r="N36" s="1406" t="s">
        <v>8672</v>
      </c>
      <c r="O36" s="1486" t="s">
        <v>8349</v>
      </c>
      <c r="P36" s="1406" t="s">
        <v>6814</v>
      </c>
      <c r="Q36" s="1406" t="s">
        <v>786</v>
      </c>
      <c r="R36" s="1405" t="s">
        <v>9083</v>
      </c>
      <c r="S36" s="1406" t="s">
        <v>9086</v>
      </c>
      <c r="T36" s="1406" t="s">
        <v>780</v>
      </c>
      <c r="U36" s="1406" t="s">
        <v>9087</v>
      </c>
      <c r="V36" s="1406" t="s">
        <v>9088</v>
      </c>
      <c r="W36" s="1406" t="s">
        <v>9089</v>
      </c>
      <c r="X36" s="1406" t="s">
        <v>8863</v>
      </c>
      <c r="Y36" s="1406" t="s">
        <v>8864</v>
      </c>
      <c r="Z36" s="1406" t="s">
        <v>2613</v>
      </c>
      <c r="AA36" s="1406" t="s">
        <v>9090</v>
      </c>
      <c r="AB36" s="1406" t="s">
        <v>8568</v>
      </c>
      <c r="AC36" s="1406" t="s">
        <v>4400</v>
      </c>
      <c r="AD36" s="1406" t="s">
        <v>2306</v>
      </c>
      <c r="AE36" s="1406" t="s">
        <v>9027</v>
      </c>
      <c r="AF36" s="1406" t="s">
        <v>9091</v>
      </c>
      <c r="AG36" s="1406" t="s">
        <v>3901</v>
      </c>
      <c r="AH36" s="1406" t="s">
        <v>4389</v>
      </c>
      <c r="AI36" s="1406" t="s">
        <v>3658</v>
      </c>
      <c r="AJ36" s="1406" t="s">
        <v>9092</v>
      </c>
      <c r="AK36" s="1406" t="s">
        <v>1092</v>
      </c>
      <c r="AL36" s="1406" t="s">
        <v>8867</v>
      </c>
      <c r="AM36" s="1406" t="s">
        <v>9093</v>
      </c>
      <c r="AN36" s="1405" t="s">
        <v>9094</v>
      </c>
      <c r="AO36" s="1405" t="s">
        <v>9083</v>
      </c>
      <c r="AP36" s="1406" t="s">
        <v>5255</v>
      </c>
      <c r="AQ36" s="1406" t="s">
        <v>250</v>
      </c>
      <c r="AR36" s="1406" t="s">
        <v>4897</v>
      </c>
      <c r="AS36" s="1406" t="s">
        <v>9095</v>
      </c>
      <c r="AT36" s="1406" t="s">
        <v>9096</v>
      </c>
      <c r="AU36" s="1405" t="s">
        <v>9097</v>
      </c>
      <c r="AV36" s="1406" t="str">
        <f t="shared" si="1"/>
        <v>3:07</v>
      </c>
      <c r="AW36" s="1481" t="s">
        <v>9098</v>
      </c>
    </row>
    <row r="37" ht="15.75" customHeight="1">
      <c r="A37" s="1396" t="s">
        <v>4124</v>
      </c>
      <c r="B37" s="1397" t="s">
        <v>8311</v>
      </c>
      <c r="C37" s="1507">
        <v>0.05060185185185185</v>
      </c>
      <c r="D37" s="1316" t="s">
        <v>9099</v>
      </c>
      <c r="E37" s="1464" t="s">
        <v>4336</v>
      </c>
      <c r="F37" s="1464" t="s">
        <v>5839</v>
      </c>
      <c r="G37" s="1464" t="s">
        <v>9100</v>
      </c>
      <c r="H37" s="1451" t="s">
        <v>9101</v>
      </c>
      <c r="I37" s="1451" t="s">
        <v>1141</v>
      </c>
      <c r="J37" s="1465" t="s">
        <v>8508</v>
      </c>
      <c r="K37" s="1465" t="s">
        <v>7655</v>
      </c>
      <c r="L37" s="1465" t="s">
        <v>5471</v>
      </c>
      <c r="M37" s="1465" t="s">
        <v>9102</v>
      </c>
      <c r="N37" s="1465" t="s">
        <v>5174</v>
      </c>
      <c r="O37" s="1465" t="s">
        <v>9103</v>
      </c>
      <c r="P37" s="1465" t="s">
        <v>8714</v>
      </c>
      <c r="Q37" s="1466" t="s">
        <v>9104</v>
      </c>
      <c r="R37" s="1466" t="s">
        <v>5397</v>
      </c>
      <c r="S37" s="1466" t="s">
        <v>6317</v>
      </c>
      <c r="T37" s="1466" t="s">
        <v>9105</v>
      </c>
      <c r="U37" s="1466" t="s">
        <v>9106</v>
      </c>
      <c r="V37" s="1466" t="s">
        <v>9107</v>
      </c>
      <c r="W37" s="1467" t="s">
        <v>9108</v>
      </c>
      <c r="X37" s="1467" t="s">
        <v>7646</v>
      </c>
      <c r="Y37" s="1467" t="s">
        <v>5023</v>
      </c>
      <c r="Z37" s="1467" t="s">
        <v>1973</v>
      </c>
      <c r="AA37" s="1467" t="s">
        <v>9109</v>
      </c>
      <c r="AB37" s="1467" t="s">
        <v>8568</v>
      </c>
      <c r="AC37" s="1467" t="s">
        <v>5472</v>
      </c>
      <c r="AD37" s="1464" t="s">
        <v>6202</v>
      </c>
      <c r="AE37" s="1464" t="s">
        <v>8708</v>
      </c>
      <c r="AF37" s="1468" t="s">
        <v>9110</v>
      </c>
      <c r="AG37" s="1468" t="s">
        <v>9031</v>
      </c>
      <c r="AH37" s="1468" t="s">
        <v>9111</v>
      </c>
      <c r="AI37" s="1468" t="s">
        <v>5467</v>
      </c>
      <c r="AJ37" s="1468" t="s">
        <v>9112</v>
      </c>
      <c r="AK37" s="1468" t="s">
        <v>9113</v>
      </c>
      <c r="AL37" s="1468" t="s">
        <v>9114</v>
      </c>
      <c r="AM37" s="1456" t="s">
        <v>9115</v>
      </c>
      <c r="AN37" s="1456" t="s">
        <v>9116</v>
      </c>
      <c r="AO37" s="1456" t="s">
        <v>9117</v>
      </c>
      <c r="AP37" s="1456" t="s">
        <v>9118</v>
      </c>
      <c r="AQ37" s="1456" t="s">
        <v>8971</v>
      </c>
      <c r="AR37" s="1456" t="s">
        <v>9119</v>
      </c>
      <c r="AS37" s="1456" t="s">
        <v>4207</v>
      </c>
      <c r="AT37" s="1465" t="s">
        <v>9120</v>
      </c>
      <c r="AU37" s="1469" t="s">
        <v>9121</v>
      </c>
      <c r="AV37" s="1406" t="str">
        <f t="shared" si="1"/>
        <v>1:56</v>
      </c>
      <c r="AW37" s="1506"/>
    </row>
    <row r="38" ht="15.75" customHeight="1">
      <c r="A38" s="1411" t="s">
        <v>826</v>
      </c>
      <c r="B38" s="1397" t="s">
        <v>8311</v>
      </c>
      <c r="C38" s="1398">
        <v>0.05061342592592592</v>
      </c>
      <c r="D38" s="1316" t="s">
        <v>9122</v>
      </c>
      <c r="E38" s="1405" t="s">
        <v>8485</v>
      </c>
      <c r="F38" s="1405" t="s">
        <v>5331</v>
      </c>
      <c r="G38" s="1406" t="s">
        <v>9123</v>
      </c>
      <c r="H38" s="1405" t="s">
        <v>9124</v>
      </c>
      <c r="I38" s="1405" t="s">
        <v>387</v>
      </c>
      <c r="J38" s="1405" t="s">
        <v>6579</v>
      </c>
      <c r="K38" s="1406" t="s">
        <v>8728</v>
      </c>
      <c r="L38" s="1405" t="s">
        <v>9125</v>
      </c>
      <c r="M38" s="1405" t="s">
        <v>9126</v>
      </c>
      <c r="N38" s="1405" t="s">
        <v>4215</v>
      </c>
      <c r="O38" s="1405" t="s">
        <v>9127</v>
      </c>
      <c r="P38" s="1405" t="s">
        <v>1679</v>
      </c>
      <c r="Q38" s="1402" t="s">
        <v>9128</v>
      </c>
      <c r="R38" s="1405" t="s">
        <v>9129</v>
      </c>
      <c r="S38" s="1406" t="s">
        <v>9130</v>
      </c>
      <c r="T38" s="1405" t="s">
        <v>8845</v>
      </c>
      <c r="U38" s="1405" t="s">
        <v>7022</v>
      </c>
      <c r="V38" s="1405" t="s">
        <v>1666</v>
      </c>
      <c r="W38" s="1421" t="str">
        <f>HYPERLINK("https://www.youtube.com/watch?v=nn1ub1z3NYM","1:45.96")</f>
        <v>1:45.96</v>
      </c>
      <c r="X38" s="1405" t="s">
        <v>5557</v>
      </c>
      <c r="Y38" s="1406" t="s">
        <v>5432</v>
      </c>
      <c r="Z38" s="1405" t="s">
        <v>1502</v>
      </c>
      <c r="AA38" s="1405" t="s">
        <v>9131</v>
      </c>
      <c r="AB38" s="1405" t="s">
        <v>9132</v>
      </c>
      <c r="AC38" s="1405" t="s">
        <v>1047</v>
      </c>
      <c r="AD38" s="1405" t="s">
        <v>9133</v>
      </c>
      <c r="AE38" s="1402" t="s">
        <v>4545</v>
      </c>
      <c r="AF38" s="1406" t="s">
        <v>9134</v>
      </c>
      <c r="AG38" s="1405" t="s">
        <v>2080</v>
      </c>
      <c r="AH38" s="1405" t="s">
        <v>2955</v>
      </c>
      <c r="AI38" s="1405" t="s">
        <v>9135</v>
      </c>
      <c r="AJ38" s="1406" t="s">
        <v>7870</v>
      </c>
      <c r="AK38" s="1405" t="s">
        <v>9136</v>
      </c>
      <c r="AL38" s="1406" t="s">
        <v>4155</v>
      </c>
      <c r="AM38" s="1406" t="s">
        <v>9137</v>
      </c>
      <c r="AN38" s="1406" t="s">
        <v>2495</v>
      </c>
      <c r="AO38" s="1405" t="s">
        <v>5121</v>
      </c>
      <c r="AP38" s="1405" t="s">
        <v>9138</v>
      </c>
      <c r="AQ38" s="1405" t="s">
        <v>6195</v>
      </c>
      <c r="AR38" s="1405" t="s">
        <v>1369</v>
      </c>
      <c r="AS38" s="1405" t="s">
        <v>9139</v>
      </c>
      <c r="AT38" s="1405" t="s">
        <v>9140</v>
      </c>
      <c r="AU38" s="1405" t="s">
        <v>9141</v>
      </c>
      <c r="AV38" s="1406" t="str">
        <f t="shared" si="1"/>
        <v>2:25</v>
      </c>
      <c r="AW38" s="1442"/>
    </row>
    <row r="39">
      <c r="A39" s="1411" t="s">
        <v>9142</v>
      </c>
      <c r="B39" s="1440" t="s">
        <v>8311</v>
      </c>
      <c r="C39" s="1398">
        <v>0.050625</v>
      </c>
      <c r="D39" s="1516" t="s">
        <v>9143</v>
      </c>
      <c r="E39" s="1405" t="s">
        <v>4589</v>
      </c>
      <c r="F39" s="1405" t="s">
        <v>9144</v>
      </c>
      <c r="G39" s="1405" t="s">
        <v>8742</v>
      </c>
      <c r="H39" s="1405" t="s">
        <v>1582</v>
      </c>
      <c r="I39" s="1405" t="s">
        <v>1965</v>
      </c>
      <c r="J39" s="1405" t="s">
        <v>9145</v>
      </c>
      <c r="K39" s="1405" t="s">
        <v>3352</v>
      </c>
      <c r="L39" s="1405" t="s">
        <v>9146</v>
      </c>
      <c r="M39" s="1405" t="s">
        <v>9147</v>
      </c>
      <c r="N39" s="1405" t="s">
        <v>9148</v>
      </c>
      <c r="O39" s="1405" t="s">
        <v>9149</v>
      </c>
      <c r="P39" s="1405" t="s">
        <v>9027</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8393</v>
      </c>
      <c r="AO39" s="1405" t="s">
        <v>9164</v>
      </c>
      <c r="AP39" s="1405" t="s">
        <v>9165</v>
      </c>
      <c r="AQ39" s="1405" t="s">
        <v>9166</v>
      </c>
      <c r="AR39" s="1405" t="s">
        <v>6322</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8611</v>
      </c>
      <c r="G40" s="1450" t="s">
        <v>9171</v>
      </c>
      <c r="H40" s="1496" t="s">
        <v>9172</v>
      </c>
      <c r="I40" s="1496" t="s">
        <v>9173</v>
      </c>
      <c r="J40" s="1452" t="s">
        <v>9174</v>
      </c>
      <c r="K40" s="1452" t="s">
        <v>6852</v>
      </c>
      <c r="L40" s="1452" t="s">
        <v>4259</v>
      </c>
      <c r="M40" s="1452" t="s">
        <v>6849</v>
      </c>
      <c r="N40" s="1452" t="s">
        <v>9175</v>
      </c>
      <c r="O40" s="1452" t="s">
        <v>2196</v>
      </c>
      <c r="P40" s="1452" t="s">
        <v>6817</v>
      </c>
      <c r="Q40" s="1453" t="s">
        <v>7579</v>
      </c>
      <c r="R40" s="1453" t="s">
        <v>9176</v>
      </c>
      <c r="S40" s="1453" t="s">
        <v>9177</v>
      </c>
      <c r="T40" s="1453" t="s">
        <v>9178</v>
      </c>
      <c r="U40" s="1453" t="s">
        <v>9179</v>
      </c>
      <c r="V40" s="1453" t="s">
        <v>9180</v>
      </c>
      <c r="W40" s="1454" t="s">
        <v>9181</v>
      </c>
      <c r="X40" s="1454" t="s">
        <v>9182</v>
      </c>
      <c r="Y40" s="1454" t="s">
        <v>5948</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8612</v>
      </c>
      <c r="AN40" s="1457" t="s">
        <v>8545</v>
      </c>
      <c r="AO40" s="1457" t="s">
        <v>8802</v>
      </c>
      <c r="AP40" s="1457" t="s">
        <v>9189</v>
      </c>
      <c r="AQ40" s="1457" t="s">
        <v>9190</v>
      </c>
      <c r="AR40" s="1457" t="s">
        <v>9191</v>
      </c>
      <c r="AS40" s="1457" t="s">
        <v>6373</v>
      </c>
      <c r="AT40" s="1452" t="s">
        <v>9192</v>
      </c>
      <c r="AU40" s="1438" t="s">
        <v>8973</v>
      </c>
      <c r="AV40" s="1406" t="str">
        <f t="shared" si="1"/>
        <v>3:31</v>
      </c>
      <c r="AW40" s="1506"/>
    </row>
    <row r="41" ht="15.75" customHeight="1">
      <c r="A41" s="1484" t="s">
        <v>9193</v>
      </c>
      <c r="B41" s="1397" t="s">
        <v>8311</v>
      </c>
      <c r="C41" s="1398">
        <v>0.05070601851851852</v>
      </c>
      <c r="D41" s="1316" t="s">
        <v>9194</v>
      </c>
      <c r="E41" s="1464" t="s">
        <v>8262</v>
      </c>
      <c r="F41" s="1464" t="s">
        <v>8546</v>
      </c>
      <c r="G41" s="1464" t="s">
        <v>9195</v>
      </c>
      <c r="H41" s="1451" t="s">
        <v>9196</v>
      </c>
      <c r="I41" s="1451" t="s">
        <v>387</v>
      </c>
      <c r="J41" s="1465" t="s">
        <v>2077</v>
      </c>
      <c r="K41" s="1465" t="s">
        <v>3230</v>
      </c>
      <c r="L41" s="1465" t="s">
        <v>5340</v>
      </c>
      <c r="M41" s="1465" t="s">
        <v>9197</v>
      </c>
      <c r="N41" s="1465" t="s">
        <v>9023</v>
      </c>
      <c r="O41" s="1465" t="s">
        <v>9198</v>
      </c>
      <c r="P41" s="1465" t="s">
        <v>5412</v>
      </c>
      <c r="Q41" s="1466" t="s">
        <v>9199</v>
      </c>
      <c r="R41" s="1466" t="s">
        <v>729</v>
      </c>
      <c r="S41" s="1466" t="s">
        <v>9164</v>
      </c>
      <c r="T41" s="1466" t="s">
        <v>9026</v>
      </c>
      <c r="U41" s="1466" t="s">
        <v>9200</v>
      </c>
      <c r="V41" s="1466" t="s">
        <v>1666</v>
      </c>
      <c r="W41" s="1467" t="s">
        <v>9201</v>
      </c>
      <c r="X41" s="1467" t="s">
        <v>8430</v>
      </c>
      <c r="Y41" s="1467" t="s">
        <v>9202</v>
      </c>
      <c r="Z41" s="1467" t="s">
        <v>9203</v>
      </c>
      <c r="AA41" s="1467" t="s">
        <v>9204</v>
      </c>
      <c r="AB41" s="1467" t="s">
        <v>2588</v>
      </c>
      <c r="AC41" s="1467" t="s">
        <v>2873</v>
      </c>
      <c r="AD41" s="1464" t="s">
        <v>9205</v>
      </c>
      <c r="AE41" s="1464" t="s">
        <v>5950</v>
      </c>
      <c r="AF41" s="1468" t="s">
        <v>8450</v>
      </c>
      <c r="AG41" s="1468" t="s">
        <v>9206</v>
      </c>
      <c r="AH41" s="1468" t="s">
        <v>2206</v>
      </c>
      <c r="AI41" s="1468" t="s">
        <v>9207</v>
      </c>
      <c r="AJ41" s="1468" t="s">
        <v>8892</v>
      </c>
      <c r="AK41" s="1468" t="s">
        <v>9208</v>
      </c>
      <c r="AL41" s="1468" t="s">
        <v>5307</v>
      </c>
      <c r="AM41" s="1456" t="s">
        <v>9054</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8471</v>
      </c>
      <c r="K42" s="1452" t="s">
        <v>2919</v>
      </c>
      <c r="L42" s="1452" t="s">
        <v>8393</v>
      </c>
      <c r="M42" s="1452" t="s">
        <v>9217</v>
      </c>
      <c r="N42" s="1452" t="s">
        <v>5260</v>
      </c>
      <c r="O42" s="1452" t="s">
        <v>7791</v>
      </c>
      <c r="P42" s="1452" t="s">
        <v>9218</v>
      </c>
      <c r="Q42" s="1453" t="s">
        <v>9219</v>
      </c>
      <c r="R42" s="1453" t="s">
        <v>9129</v>
      </c>
      <c r="S42" s="1453" t="s">
        <v>8688</v>
      </c>
      <c r="T42" s="1453" t="s">
        <v>4094</v>
      </c>
      <c r="U42" s="1520" t="s">
        <v>9220</v>
      </c>
      <c r="V42" s="1453" t="s">
        <v>9221</v>
      </c>
      <c r="W42" s="1454" t="s">
        <v>9222</v>
      </c>
      <c r="X42" s="1454" t="s">
        <v>9223</v>
      </c>
      <c r="Y42" s="1521" t="s">
        <v>6818</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8802</v>
      </c>
      <c r="AP42" s="1457" t="s">
        <v>9232</v>
      </c>
      <c r="AQ42" s="1457" t="s">
        <v>9233</v>
      </c>
      <c r="AR42" s="1524" t="s">
        <v>8729</v>
      </c>
      <c r="AS42" s="1457" t="s">
        <v>8946</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7061</v>
      </c>
      <c r="O43" s="1405" t="s">
        <v>9243</v>
      </c>
      <c r="P43" s="1405" t="s">
        <v>8735</v>
      </c>
      <c r="Q43" s="1405" t="s">
        <v>9244</v>
      </c>
      <c r="R43" s="1405" t="s">
        <v>9245</v>
      </c>
      <c r="S43" s="1405" t="s">
        <v>9246</v>
      </c>
      <c r="T43" s="1405" t="s">
        <v>1791</v>
      </c>
      <c r="U43" s="1405" t="s">
        <v>9247</v>
      </c>
      <c r="V43" s="1405" t="s">
        <v>6894</v>
      </c>
      <c r="W43" s="1405" t="s">
        <v>5396</v>
      </c>
      <c r="X43" s="1405" t="s">
        <v>9248</v>
      </c>
      <c r="Y43" s="1405" t="s">
        <v>6810</v>
      </c>
      <c r="Z43" s="1405" t="s">
        <v>2029</v>
      </c>
      <c r="AA43" s="1454" t="s">
        <v>8901</v>
      </c>
      <c r="AB43" s="1405" t="s">
        <v>1973</v>
      </c>
      <c r="AC43" s="1405" t="s">
        <v>7445</v>
      </c>
      <c r="AD43" s="1405" t="s">
        <v>9249</v>
      </c>
      <c r="AE43" s="1405" t="s">
        <v>4842</v>
      </c>
      <c r="AF43" s="1405" t="s">
        <v>9250</v>
      </c>
      <c r="AG43" s="1405" t="s">
        <v>1107</v>
      </c>
      <c r="AH43" s="1405" t="s">
        <v>3743</v>
      </c>
      <c r="AI43" s="1405" t="s">
        <v>9251</v>
      </c>
      <c r="AJ43" s="1405" t="s">
        <v>9252</v>
      </c>
      <c r="AK43" s="1405" t="s">
        <v>9136</v>
      </c>
      <c r="AL43" s="1405" t="s">
        <v>4162</v>
      </c>
      <c r="AM43" s="1405" t="s">
        <v>9136</v>
      </c>
      <c r="AN43" s="1405" t="s">
        <v>8393</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9066</v>
      </c>
      <c r="I44" s="1406" t="s">
        <v>1359</v>
      </c>
      <c r="J44" s="1406" t="s">
        <v>9191</v>
      </c>
      <c r="K44" s="1406" t="s">
        <v>8767</v>
      </c>
      <c r="L44" s="1406" t="s">
        <v>8614</v>
      </c>
      <c r="M44" s="1406" t="s">
        <v>5233</v>
      </c>
      <c r="N44" s="1406" t="s">
        <v>7829</v>
      </c>
      <c r="O44" s="1406" t="s">
        <v>9261</v>
      </c>
      <c r="P44" s="1406" t="s">
        <v>9262</v>
      </c>
      <c r="Q44" s="1406" t="s">
        <v>9263</v>
      </c>
      <c r="R44" s="1406" t="s">
        <v>7143</v>
      </c>
      <c r="S44" s="1406" t="s">
        <v>8596</v>
      </c>
      <c r="T44" s="1406" t="s">
        <v>4533</v>
      </c>
      <c r="U44" s="1406" t="s">
        <v>9264</v>
      </c>
      <c r="V44" s="1406" t="s">
        <v>8795</v>
      </c>
      <c r="W44" s="1406" t="s">
        <v>9265</v>
      </c>
      <c r="X44" s="1406" t="s">
        <v>8799</v>
      </c>
      <c r="Y44" s="1406" t="s">
        <v>3359</v>
      </c>
      <c r="Z44" s="1406" t="s">
        <v>9266</v>
      </c>
      <c r="AA44" s="1406" t="s">
        <v>9267</v>
      </c>
      <c r="AB44" s="1406" t="s">
        <v>1709</v>
      </c>
      <c r="AC44" s="1406" t="s">
        <v>2918</v>
      </c>
      <c r="AD44" s="1406" t="s">
        <v>9268</v>
      </c>
      <c r="AE44" s="1406" t="s">
        <v>616</v>
      </c>
      <c r="AF44" s="1406" t="s">
        <v>9269</v>
      </c>
      <c r="AG44" s="1406" t="s">
        <v>5773</v>
      </c>
      <c r="AH44" s="1406" t="s">
        <v>9270</v>
      </c>
      <c r="AI44" s="1406" t="s">
        <v>7259</v>
      </c>
      <c r="AJ44" s="1406" t="s">
        <v>9271</v>
      </c>
      <c r="AK44" s="1406" t="s">
        <v>5295</v>
      </c>
      <c r="AL44" s="1406" t="s">
        <v>9272</v>
      </c>
      <c r="AM44" s="1406" t="s">
        <v>9273</v>
      </c>
      <c r="AN44" s="1406" t="s">
        <v>3526</v>
      </c>
      <c r="AO44" s="1406" t="s">
        <v>8728</v>
      </c>
      <c r="AP44" s="1406" t="s">
        <v>9274</v>
      </c>
      <c r="AQ44" s="1406" t="s">
        <v>9275</v>
      </c>
      <c r="AR44" s="1406" t="s">
        <v>8605</v>
      </c>
      <c r="AS44" s="1406" t="s">
        <v>4947</v>
      </c>
      <c r="AT44" s="1406" t="s">
        <v>9276</v>
      </c>
      <c r="AU44" s="1406" t="s">
        <v>9277</v>
      </c>
      <c r="AV44" s="1406" t="str">
        <f t="shared" si="1"/>
        <v>2:44</v>
      </c>
      <c r="AW44" s="1426"/>
    </row>
    <row r="45" ht="15.75" customHeight="1">
      <c r="A45" s="1446" t="s">
        <v>1945</v>
      </c>
      <c r="B45" s="1525" t="s">
        <v>8365</v>
      </c>
      <c r="C45" s="1398">
        <v>0.05092592592592592</v>
      </c>
      <c r="D45" s="1526" t="s">
        <v>8366</v>
      </c>
      <c r="E45" s="1527" t="s">
        <v>8367</v>
      </c>
      <c r="F45" s="1526" t="s">
        <v>8368</v>
      </c>
      <c r="G45" s="1405" t="s">
        <v>9278</v>
      </c>
      <c r="H45" s="1526" t="s">
        <v>8370</v>
      </c>
      <c r="I45" s="1406" t="s">
        <v>1318</v>
      </c>
      <c r="J45" s="1464" t="s">
        <v>9279</v>
      </c>
      <c r="K45" s="1406" t="s">
        <v>9023</v>
      </c>
      <c r="L45" s="1464" t="s">
        <v>2312</v>
      </c>
      <c r="M45" s="1406" t="s">
        <v>2630</v>
      </c>
      <c r="N45" s="1526" t="s">
        <v>8373</v>
      </c>
      <c r="O45" s="1406" t="s">
        <v>9280</v>
      </c>
      <c r="P45" s="1464" t="s">
        <v>635</v>
      </c>
      <c r="Q45" s="1527" t="s">
        <v>8376</v>
      </c>
      <c r="R45" s="1526" t="s">
        <v>8377</v>
      </c>
      <c r="S45" s="1406" t="s">
        <v>1092</v>
      </c>
      <c r="T45" s="1464" t="s">
        <v>7502</v>
      </c>
      <c r="U45" s="1527" t="s">
        <v>8379</v>
      </c>
      <c r="V45" s="1526" t="s">
        <v>8380</v>
      </c>
      <c r="W45" s="1406" t="s">
        <v>9281</v>
      </c>
      <c r="X45" s="1526" t="s">
        <v>8382</v>
      </c>
      <c r="Y45" s="1406" t="s">
        <v>5541</v>
      </c>
      <c r="Z45" s="1450" t="s">
        <v>9282</v>
      </c>
      <c r="AA45" s="1406" t="s">
        <v>2287</v>
      </c>
      <c r="AB45" s="1464" t="s">
        <v>9283</v>
      </c>
      <c r="AC45" s="1405" t="s">
        <v>9284</v>
      </c>
      <c r="AD45" s="1464" t="s">
        <v>9285</v>
      </c>
      <c r="AE45" s="1405" t="s">
        <v>9286</v>
      </c>
      <c r="AF45" s="1464" t="s">
        <v>9287</v>
      </c>
      <c r="AG45" s="1406" t="s">
        <v>6737</v>
      </c>
      <c r="AH45" s="1450" t="s">
        <v>9146</v>
      </c>
      <c r="AI45" s="1527" t="s">
        <v>8388</v>
      </c>
      <c r="AJ45" s="1464" t="s">
        <v>9288</v>
      </c>
      <c r="AK45" s="1406" t="s">
        <v>5685</v>
      </c>
      <c r="AL45" s="1526" t="s">
        <v>8391</v>
      </c>
      <c r="AM45" s="1406" t="s">
        <v>8689</v>
      </c>
      <c r="AN45" s="1464" t="s">
        <v>3886</v>
      </c>
      <c r="AO45" s="1405" t="s">
        <v>4767</v>
      </c>
      <c r="AP45" s="1450" t="s">
        <v>9289</v>
      </c>
      <c r="AQ45" s="1405" t="s">
        <v>9290</v>
      </c>
      <c r="AR45" s="1450" t="s">
        <v>9291</v>
      </c>
      <c r="AS45" s="1406" t="s">
        <v>902</v>
      </c>
      <c r="AT45" s="1526" t="s">
        <v>8397</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8467</v>
      </c>
      <c r="K46" s="1452" t="s">
        <v>3730</v>
      </c>
      <c r="L46" s="1452" t="s">
        <v>5618</v>
      </c>
      <c r="M46" s="1452" t="s">
        <v>2891</v>
      </c>
      <c r="N46" s="1452" t="s">
        <v>9093</v>
      </c>
      <c r="O46" s="1452" t="s">
        <v>9298</v>
      </c>
      <c r="P46" s="1452" t="s">
        <v>772</v>
      </c>
      <c r="Q46" s="1453" t="s">
        <v>7472</v>
      </c>
      <c r="R46" s="1453" t="s">
        <v>7189</v>
      </c>
      <c r="S46" s="1453" t="s">
        <v>6325</v>
      </c>
      <c r="T46" s="1453" t="s">
        <v>9299</v>
      </c>
      <c r="U46" s="1515" t="s">
        <v>7634</v>
      </c>
      <c r="V46" s="1453" t="s">
        <v>9300</v>
      </c>
      <c r="W46" s="1454" t="s">
        <v>6505</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8357</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9020</v>
      </c>
      <c r="L47" s="1452" t="s">
        <v>4306</v>
      </c>
      <c r="M47" s="1452" t="s">
        <v>1453</v>
      </c>
      <c r="N47" s="1452" t="s">
        <v>9315</v>
      </c>
      <c r="O47" s="1452" t="s">
        <v>8490</v>
      </c>
      <c r="P47" s="1452" t="s">
        <v>9316</v>
      </c>
      <c r="Q47" s="1453" t="s">
        <v>9317</v>
      </c>
      <c r="R47" s="1453" t="s">
        <v>3160</v>
      </c>
      <c r="S47" s="1453" t="s">
        <v>6844</v>
      </c>
      <c r="T47" s="1453" t="s">
        <v>9318</v>
      </c>
      <c r="U47" s="1453" t="s">
        <v>9319</v>
      </c>
      <c r="V47" s="1466" t="s">
        <v>1272</v>
      </c>
      <c r="W47" s="1454" t="s">
        <v>9320</v>
      </c>
      <c r="X47" s="1454" t="s">
        <v>9075</v>
      </c>
      <c r="Y47" s="1454" t="s">
        <v>3795</v>
      </c>
      <c r="Z47" s="1454" t="s">
        <v>7421</v>
      </c>
      <c r="AA47" s="1454" t="s">
        <v>1025</v>
      </c>
      <c r="AB47" s="1454" t="s">
        <v>3915</v>
      </c>
      <c r="AC47" s="1467" t="s">
        <v>6455</v>
      </c>
      <c r="AD47" s="1450" t="s">
        <v>9321</v>
      </c>
      <c r="AE47" s="1464" t="s">
        <v>4830</v>
      </c>
      <c r="AF47" s="1455" t="s">
        <v>9322</v>
      </c>
      <c r="AG47" s="1455" t="s">
        <v>9323</v>
      </c>
      <c r="AH47" s="1455" t="s">
        <v>9324</v>
      </c>
      <c r="AI47" s="1455" t="s">
        <v>8670</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9054</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8387</v>
      </c>
      <c r="AF48" s="1455" t="s">
        <v>8506</v>
      </c>
      <c r="AG48" s="1455" t="s">
        <v>272</v>
      </c>
      <c r="AH48" s="1455" t="s">
        <v>461</v>
      </c>
      <c r="AI48" s="1455" t="s">
        <v>9350</v>
      </c>
      <c r="AJ48" s="1455" t="s">
        <v>9351</v>
      </c>
      <c r="AK48" s="1455" t="s">
        <v>4026</v>
      </c>
      <c r="AL48" s="1455" t="s">
        <v>9352</v>
      </c>
      <c r="AM48" s="1457" t="s">
        <v>9353</v>
      </c>
      <c r="AN48" s="1502" t="s">
        <v>3571</v>
      </c>
      <c r="AO48" s="1457" t="s">
        <v>6852</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6320</v>
      </c>
      <c r="K49" s="1405" t="s">
        <v>2484</v>
      </c>
      <c r="L49" s="1405" t="s">
        <v>1272</v>
      </c>
      <c r="M49" s="1405" t="s">
        <v>9362</v>
      </c>
      <c r="N49" s="1405" t="s">
        <v>8887</v>
      </c>
      <c r="O49" s="1405" t="s">
        <v>9363</v>
      </c>
      <c r="P49" s="1405" t="s">
        <v>3359</v>
      </c>
      <c r="Q49" s="1405" t="s">
        <v>9364</v>
      </c>
      <c r="R49" s="1405" t="s">
        <v>2226</v>
      </c>
      <c r="S49" s="1405" t="s">
        <v>3633</v>
      </c>
      <c r="T49" s="1405" t="s">
        <v>7646</v>
      </c>
      <c r="U49" s="1453" t="s">
        <v>8696</v>
      </c>
      <c r="V49" s="1405" t="s">
        <v>9365</v>
      </c>
      <c r="W49" s="1405" t="s">
        <v>9366</v>
      </c>
      <c r="X49" s="1405" t="s">
        <v>1488</v>
      </c>
      <c r="Y49" s="1405" t="s">
        <v>6814</v>
      </c>
      <c r="Z49" s="1405" t="s">
        <v>8553</v>
      </c>
      <c r="AA49" s="1454" t="s">
        <v>611</v>
      </c>
      <c r="AB49" s="1405" t="s">
        <v>9367</v>
      </c>
      <c r="AC49" s="1405" t="s">
        <v>5151</v>
      </c>
      <c r="AD49" s="1405" t="s">
        <v>8743</v>
      </c>
      <c r="AE49" s="1405" t="s">
        <v>3359</v>
      </c>
      <c r="AF49" s="1405" t="s">
        <v>9368</v>
      </c>
      <c r="AG49" s="1405" t="s">
        <v>9369</v>
      </c>
      <c r="AH49" s="1405" t="s">
        <v>2507</v>
      </c>
      <c r="AI49" s="1405" t="s">
        <v>5857</v>
      </c>
      <c r="AJ49" s="1405" t="s">
        <v>9370</v>
      </c>
      <c r="AK49" s="1405" t="s">
        <v>8802</v>
      </c>
      <c r="AL49" s="1405" t="s">
        <v>9371</v>
      </c>
      <c r="AM49" s="1405" t="s">
        <v>2625</v>
      </c>
      <c r="AN49" s="1405" t="s">
        <v>9372</v>
      </c>
      <c r="AO49" s="1405" t="s">
        <v>8464</v>
      </c>
      <c r="AP49" s="1405" t="s">
        <v>9373</v>
      </c>
      <c r="AQ49" s="1405" t="s">
        <v>9374</v>
      </c>
      <c r="AR49" s="1405" t="s">
        <v>2205</v>
      </c>
      <c r="AS49" s="1405" t="s">
        <v>6810</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8856</v>
      </c>
      <c r="L50" s="1405" t="s">
        <v>8410</v>
      </c>
      <c r="M50" s="1405" t="s">
        <v>9381</v>
      </c>
      <c r="N50" s="1405" t="s">
        <v>9382</v>
      </c>
      <c r="O50" s="1405" t="s">
        <v>9383</v>
      </c>
      <c r="P50" s="1405" t="s">
        <v>3539</v>
      </c>
      <c r="Q50" s="1405" t="s">
        <v>7050</v>
      </c>
      <c r="R50" s="1405" t="s">
        <v>9384</v>
      </c>
      <c r="S50" s="1405" t="s">
        <v>8189</v>
      </c>
      <c r="T50" s="1406" t="s">
        <v>4073</v>
      </c>
      <c r="U50" s="1406" t="s">
        <v>9385</v>
      </c>
      <c r="V50" s="1405" t="s">
        <v>1822</v>
      </c>
      <c r="W50" s="1405" t="s">
        <v>9386</v>
      </c>
      <c r="X50" s="1405" t="s">
        <v>9387</v>
      </c>
      <c r="Y50" s="1405" t="s">
        <v>8735</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8983</v>
      </c>
      <c r="AO50" s="1421" t="str">
        <f>HYPERLINK("https://clips.twitch.tv/AltruisticEmpathicManateeDoritosChip","1:20.90")</f>
        <v>1:20.90</v>
      </c>
      <c r="AP50" s="1405" t="s">
        <v>9397</v>
      </c>
      <c r="AQ50" s="1405" t="s">
        <v>9398</v>
      </c>
      <c r="AR50" s="1405" t="s">
        <v>9399</v>
      </c>
      <c r="AS50" s="1405" t="s">
        <v>8946</v>
      </c>
      <c r="AT50" s="1405" t="s">
        <v>9400</v>
      </c>
      <c r="AU50" s="1405" t="s">
        <v>9401</v>
      </c>
      <c r="AV50" s="1406" t="str">
        <f t="shared" si="1"/>
        <v>2:40</v>
      </c>
      <c r="AW50" s="1481" t="s">
        <v>9402</v>
      </c>
    </row>
    <row r="51" ht="15.75" customHeight="1">
      <c r="A51" s="1446" t="s">
        <v>1555</v>
      </c>
      <c r="B51" s="1534" t="s">
        <v>8365</v>
      </c>
      <c r="C51" s="1507">
        <v>0.051319444444444445</v>
      </c>
      <c r="D51" s="1316" t="s">
        <v>9403</v>
      </c>
      <c r="E51" s="1406" t="s">
        <v>9404</v>
      </c>
      <c r="F51" s="1406" t="s">
        <v>9405</v>
      </c>
      <c r="G51" s="1406" t="s">
        <v>9406</v>
      </c>
      <c r="H51" s="1406" t="s">
        <v>5000</v>
      </c>
      <c r="I51" s="1406" t="s">
        <v>6218</v>
      </c>
      <c r="J51" s="1406" t="s">
        <v>9407</v>
      </c>
      <c r="K51" s="1406" t="s">
        <v>8718</v>
      </c>
      <c r="L51" s="1406" t="s">
        <v>3744</v>
      </c>
      <c r="M51" s="1406" t="s">
        <v>9176</v>
      </c>
      <c r="N51" s="1406" t="s">
        <v>8960</v>
      </c>
      <c r="O51" s="1406" t="s">
        <v>9408</v>
      </c>
      <c r="P51" s="1535" t="s">
        <v>8375</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8387</v>
      </c>
      <c r="AF51" s="1535" t="s">
        <v>2662</v>
      </c>
      <c r="AG51" s="1406" t="s">
        <v>4470</v>
      </c>
      <c r="AH51" s="1406" t="s">
        <v>9415</v>
      </c>
      <c r="AI51" s="1406" t="s">
        <v>9416</v>
      </c>
      <c r="AJ51" s="1406" t="s">
        <v>9417</v>
      </c>
      <c r="AK51" s="1406" t="s">
        <v>5821</v>
      </c>
      <c r="AL51" s="1406" t="s">
        <v>5993</v>
      </c>
      <c r="AM51" s="1535" t="s">
        <v>8392</v>
      </c>
      <c r="AN51" s="1405" t="s">
        <v>2459</v>
      </c>
      <c r="AO51" s="1406" t="s">
        <v>4827</v>
      </c>
      <c r="AP51" s="1406" t="s">
        <v>9418</v>
      </c>
      <c r="AQ51" s="1406" t="s">
        <v>9419</v>
      </c>
      <c r="AR51" s="1406" t="s">
        <v>8810</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8561</v>
      </c>
      <c r="O52" s="1452" t="s">
        <v>9430</v>
      </c>
      <c r="P52" s="1452" t="s">
        <v>8494</v>
      </c>
      <c r="Q52" s="1453" t="s">
        <v>9431</v>
      </c>
      <c r="R52" s="1453" t="s">
        <v>9245</v>
      </c>
      <c r="S52" s="1453" t="s">
        <v>9432</v>
      </c>
      <c r="T52" s="1453" t="s">
        <v>8901</v>
      </c>
      <c r="U52" s="1453" t="s">
        <v>9433</v>
      </c>
      <c r="V52" s="1453" t="s">
        <v>8998</v>
      </c>
      <c r="W52" s="1454" t="s">
        <v>9434</v>
      </c>
      <c r="X52" s="1454" t="s">
        <v>9435</v>
      </c>
      <c r="Y52" s="1454" t="s">
        <v>5400</v>
      </c>
      <c r="Z52" s="1454" t="s">
        <v>1502</v>
      </c>
      <c r="AA52" s="1454" t="s">
        <v>9436</v>
      </c>
      <c r="AB52" s="1454" t="s">
        <v>6048</v>
      </c>
      <c r="AC52" s="1454" t="s">
        <v>261</v>
      </c>
      <c r="AD52" s="1450" t="s">
        <v>8766</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9036</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7045</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8388</v>
      </c>
      <c r="Y53" s="1454" t="s">
        <v>9048</v>
      </c>
      <c r="Z53" s="1454" t="s">
        <v>2939</v>
      </c>
      <c r="AA53" s="1405" t="s">
        <v>589</v>
      </c>
      <c r="AB53" s="1454" t="s">
        <v>8760</v>
      </c>
      <c r="AC53" s="1454" t="s">
        <v>8918</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9036</v>
      </c>
      <c r="AR53" s="1457" t="s">
        <v>9465</v>
      </c>
      <c r="AS53" s="1457" t="s">
        <v>1828</v>
      </c>
      <c r="AT53" s="1452" t="s">
        <v>9466</v>
      </c>
      <c r="AU53" s="1438" t="s">
        <v>9376</v>
      </c>
      <c r="AV53" s="1406" t="str">
        <f t="shared" si="1"/>
        <v>2:56</v>
      </c>
      <c r="AW53" s="1445" t="s">
        <v>9467</v>
      </c>
    </row>
    <row r="54" ht="15.75" customHeight="1">
      <c r="A54" s="1411" t="s">
        <v>1415</v>
      </c>
      <c r="B54" s="1534" t="s">
        <v>8365</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8374</v>
      </c>
      <c r="P54" s="1465" t="s">
        <v>387</v>
      </c>
      <c r="Q54" s="1466" t="s">
        <v>9474</v>
      </c>
      <c r="R54" s="1466" t="s">
        <v>1715</v>
      </c>
      <c r="S54" s="1466" t="s">
        <v>9475</v>
      </c>
      <c r="T54" s="1538" t="s">
        <v>8378</v>
      </c>
      <c r="U54" s="1466" t="s">
        <v>9476</v>
      </c>
      <c r="V54" s="1466" t="s">
        <v>3827</v>
      </c>
      <c r="W54" s="1539" t="s">
        <v>8381</v>
      </c>
      <c r="X54" s="1467" t="s">
        <v>4171</v>
      </c>
      <c r="Y54" s="1467" t="s">
        <v>6218</v>
      </c>
      <c r="Z54" s="1467" t="s">
        <v>7412</v>
      </c>
      <c r="AA54" s="1467" t="s">
        <v>8843</v>
      </c>
      <c r="AB54" s="1539" t="s">
        <v>8385</v>
      </c>
      <c r="AC54" s="1467" t="s">
        <v>6333</v>
      </c>
      <c r="AD54" s="1457" t="s">
        <v>9477</v>
      </c>
      <c r="AE54" s="1464" t="s">
        <v>9478</v>
      </c>
      <c r="AF54" s="1468" t="s">
        <v>9479</v>
      </c>
      <c r="AG54" s="1468" t="s">
        <v>9480</v>
      </c>
      <c r="AH54" s="1468" t="s">
        <v>9481</v>
      </c>
      <c r="AI54" s="1468" t="s">
        <v>9482</v>
      </c>
      <c r="AJ54" s="1468" t="s">
        <v>9483</v>
      </c>
      <c r="AK54" s="1540" t="s">
        <v>8390</v>
      </c>
      <c r="AL54" s="1468" t="s">
        <v>9484</v>
      </c>
      <c r="AM54" s="1456" t="s">
        <v>9369</v>
      </c>
      <c r="AN54" s="1457" t="s">
        <v>3999</v>
      </c>
      <c r="AO54" s="1456" t="s">
        <v>9485</v>
      </c>
      <c r="AP54" s="1456" t="s">
        <v>9486</v>
      </c>
      <c r="AQ54" s="1456" t="s">
        <v>9487</v>
      </c>
      <c r="AR54" s="1456" t="s">
        <v>8403</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8549</v>
      </c>
      <c r="I55" s="1406" t="s">
        <v>5996</v>
      </c>
      <c r="J55" s="1406" t="s">
        <v>9493</v>
      </c>
      <c r="K55" s="1406" t="s">
        <v>3751</v>
      </c>
      <c r="L55" s="1406" t="s">
        <v>9494</v>
      </c>
      <c r="M55" s="1406" t="s">
        <v>9495</v>
      </c>
      <c r="N55" s="1406" t="s">
        <v>2742</v>
      </c>
      <c r="O55" s="1406" t="s">
        <v>9222</v>
      </c>
      <c r="P55" s="1406" t="s">
        <v>1155</v>
      </c>
      <c r="Q55" s="1406" t="s">
        <v>2449</v>
      </c>
      <c r="R55" s="1406" t="s">
        <v>9245</v>
      </c>
      <c r="S55" s="1406" t="s">
        <v>9086</v>
      </c>
      <c r="T55" s="1406" t="s">
        <v>9496</v>
      </c>
      <c r="U55" s="1406" t="s">
        <v>9497</v>
      </c>
      <c r="V55" s="1406" t="s">
        <v>3997</v>
      </c>
      <c r="W55" s="1406" t="s">
        <v>9498</v>
      </c>
      <c r="X55" s="1406" t="s">
        <v>9499</v>
      </c>
      <c r="Y55" s="1406" t="s">
        <v>387</v>
      </c>
      <c r="Z55" s="1406" t="s">
        <v>6844</v>
      </c>
      <c r="AA55" s="1406" t="s">
        <v>9031</v>
      </c>
      <c r="AB55" s="1406" t="s">
        <v>8434</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8554</v>
      </c>
      <c r="AP55" s="1406" t="s">
        <v>9505</v>
      </c>
      <c r="AQ55" s="1406" t="s">
        <v>9506</v>
      </c>
      <c r="AR55" s="1406" t="s">
        <v>9507</v>
      </c>
      <c r="AS55" s="1456" t="s">
        <v>4324</v>
      </c>
      <c r="AT55" s="1406" t="s">
        <v>9508</v>
      </c>
      <c r="AU55" s="1406" t="s">
        <v>8698</v>
      </c>
      <c r="AV55" s="1406" t="str">
        <f t="shared" si="1"/>
        <v>2:27</v>
      </c>
      <c r="AW55" s="1481"/>
    </row>
    <row r="56" ht="15.75" customHeight="1">
      <c r="A56" s="1446" t="s">
        <v>1254</v>
      </c>
      <c r="B56" s="1440" t="s">
        <v>8365</v>
      </c>
      <c r="C56" s="1398">
        <v>0.05140046296296296</v>
      </c>
      <c r="D56" s="1405" t="s">
        <v>9509</v>
      </c>
      <c r="E56" s="1405" t="s">
        <v>1583</v>
      </c>
      <c r="F56" s="1405" t="s">
        <v>9510</v>
      </c>
      <c r="G56" s="1527" t="s">
        <v>8369</v>
      </c>
      <c r="H56" s="1316" t="s">
        <v>9511</v>
      </c>
      <c r="I56" s="1405" t="s">
        <v>1757</v>
      </c>
      <c r="J56" s="1527" t="s">
        <v>8371</v>
      </c>
      <c r="K56" s="1405" t="s">
        <v>9512</v>
      </c>
      <c r="L56" s="1405" t="s">
        <v>9513</v>
      </c>
      <c r="M56" s="1527" t="s">
        <v>8372</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8384</v>
      </c>
      <c r="AB56" s="1405" t="s">
        <v>5803</v>
      </c>
      <c r="AC56" s="1405" t="s">
        <v>9521</v>
      </c>
      <c r="AD56" s="1405" t="s">
        <v>8678</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8394</v>
      </c>
      <c r="AP56" s="1542" t="s">
        <v>8395</v>
      </c>
      <c r="AQ56" s="1405" t="s">
        <v>3589</v>
      </c>
      <c r="AR56" s="1405" t="s">
        <v>9526</v>
      </c>
      <c r="AS56" s="1405" t="s">
        <v>5089</v>
      </c>
      <c r="AT56" s="1405" t="s">
        <v>9527</v>
      </c>
      <c r="AU56" s="1405" t="s">
        <v>8698</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8780</v>
      </c>
      <c r="H57" s="1496" t="s">
        <v>9531</v>
      </c>
      <c r="I57" s="1496" t="s">
        <v>6806</v>
      </c>
      <c r="J57" s="1452" t="s">
        <v>9020</v>
      </c>
      <c r="K57" s="1452" t="s">
        <v>9532</v>
      </c>
      <c r="L57" s="1452" t="s">
        <v>4527</v>
      </c>
      <c r="M57" s="1452" t="s">
        <v>7366</v>
      </c>
      <c r="N57" s="1544" t="s">
        <v>156</v>
      </c>
      <c r="O57" s="1452" t="s">
        <v>3801</v>
      </c>
      <c r="P57" s="1452" t="s">
        <v>411</v>
      </c>
      <c r="Q57" s="1453" t="s">
        <v>9533</v>
      </c>
      <c r="R57" s="1453" t="s">
        <v>8978</v>
      </c>
      <c r="S57" s="1453" t="s">
        <v>9534</v>
      </c>
      <c r="T57" s="1453" t="s">
        <v>9248</v>
      </c>
      <c r="U57" s="1453" t="s">
        <v>9035</v>
      </c>
      <c r="V57" s="1453" t="s">
        <v>2158</v>
      </c>
      <c r="W57" s="1454" t="s">
        <v>5497</v>
      </c>
      <c r="X57" s="1454" t="s">
        <v>8670</v>
      </c>
      <c r="Y57" s="1454" t="s">
        <v>3096</v>
      </c>
      <c r="Z57" s="1454" t="s">
        <v>9535</v>
      </c>
      <c r="AA57" s="1454" t="s">
        <v>8670</v>
      </c>
      <c r="AB57" s="1454" t="s">
        <v>9130</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6511</v>
      </c>
      <c r="F58" s="1480" t="s">
        <v>9548</v>
      </c>
      <c r="G58" s="1480" t="s">
        <v>4835</v>
      </c>
      <c r="H58" s="1316" t="s">
        <v>9549</v>
      </c>
      <c r="I58" s="1480" t="s">
        <v>1359</v>
      </c>
      <c r="J58" s="1480" t="s">
        <v>9550</v>
      </c>
      <c r="K58" s="1480" t="s">
        <v>3401</v>
      </c>
      <c r="L58" s="1480" t="s">
        <v>4098</v>
      </c>
      <c r="M58" s="1480" t="s">
        <v>6972</v>
      </c>
      <c r="N58" s="1480" t="s">
        <v>9551</v>
      </c>
      <c r="O58" s="1480" t="s">
        <v>3656</v>
      </c>
      <c r="P58" s="1480" t="s">
        <v>6814</v>
      </c>
      <c r="Q58" s="1480" t="s">
        <v>9552</v>
      </c>
      <c r="R58" s="1480" t="s">
        <v>3160</v>
      </c>
      <c r="S58" s="1547" t="s">
        <v>9174</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8946</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9042</v>
      </c>
      <c r="H59" s="1451" t="s">
        <v>9569</v>
      </c>
      <c r="I59" s="1451" t="s">
        <v>2020</v>
      </c>
      <c r="J59" s="1465" t="s">
        <v>5371</v>
      </c>
      <c r="K59" s="1465" t="s">
        <v>3230</v>
      </c>
      <c r="L59" s="1465" t="s">
        <v>9570</v>
      </c>
      <c r="M59" s="1465" t="s">
        <v>9242</v>
      </c>
      <c r="N59" s="1465" t="s">
        <v>1229</v>
      </c>
      <c r="O59" s="1465" t="s">
        <v>9518</v>
      </c>
      <c r="P59" s="1465" t="s">
        <v>8538</v>
      </c>
      <c r="Q59" s="1466" t="s">
        <v>9571</v>
      </c>
      <c r="R59" s="1466" t="s">
        <v>9572</v>
      </c>
      <c r="S59" s="1466" t="s">
        <v>9573</v>
      </c>
      <c r="T59" s="1466" t="s">
        <v>7158</v>
      </c>
      <c r="U59" s="1466" t="s">
        <v>7090</v>
      </c>
      <c r="V59" s="1466" t="s">
        <v>5031</v>
      </c>
      <c r="W59" s="1467" t="s">
        <v>9574</v>
      </c>
      <c r="X59" s="1467" t="s">
        <v>9575</v>
      </c>
      <c r="Y59" s="1467" t="s">
        <v>9413</v>
      </c>
      <c r="Z59" s="1467" t="s">
        <v>8385</v>
      </c>
      <c r="AA59" s="1467" t="s">
        <v>5857</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6384</v>
      </c>
      <c r="F60" s="1450" t="s">
        <v>8546</v>
      </c>
      <c r="G60" s="1450" t="s">
        <v>9591</v>
      </c>
      <c r="H60" s="1496" t="s">
        <v>9592</v>
      </c>
      <c r="I60" s="1496" t="s">
        <v>9593</v>
      </c>
      <c r="J60" s="1452" t="s">
        <v>9594</v>
      </c>
      <c r="K60" s="1452" t="s">
        <v>7392</v>
      </c>
      <c r="L60" s="1452" t="s">
        <v>4381</v>
      </c>
      <c r="M60" s="1452" t="s">
        <v>9595</v>
      </c>
      <c r="N60" s="1452" t="s">
        <v>8979</v>
      </c>
      <c r="O60" s="1452" t="s">
        <v>9596</v>
      </c>
      <c r="P60" s="1452" t="s">
        <v>6418</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8833</v>
      </c>
      <c r="AF60" s="1551" t="s">
        <v>9603</v>
      </c>
      <c r="AG60" s="1455" t="s">
        <v>6485</v>
      </c>
      <c r="AH60" s="1455" t="s">
        <v>9579</v>
      </c>
      <c r="AI60" s="1455" t="s">
        <v>3947</v>
      </c>
      <c r="AJ60" s="1455" t="s">
        <v>9604</v>
      </c>
      <c r="AK60" s="1455" t="s">
        <v>1523</v>
      </c>
      <c r="AL60" s="1455" t="s">
        <v>4369</v>
      </c>
      <c r="AM60" s="1457" t="s">
        <v>5857</v>
      </c>
      <c r="AN60" s="1457" t="s">
        <v>5493</v>
      </c>
      <c r="AO60" s="1457" t="s">
        <v>6319</v>
      </c>
      <c r="AP60" s="1457" t="s">
        <v>9605</v>
      </c>
      <c r="AQ60" s="1457" t="s">
        <v>3238</v>
      </c>
      <c r="AR60" s="1457" t="s">
        <v>9148</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8395</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8941</v>
      </c>
      <c r="AB61" s="1549" t="s">
        <v>9621</v>
      </c>
      <c r="AC61" s="1549" t="s">
        <v>387</v>
      </c>
      <c r="AD61" s="1549" t="s">
        <v>5898</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8963</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6511</v>
      </c>
      <c r="F62" s="1549" t="s">
        <v>9629</v>
      </c>
      <c r="G62" s="1549" t="s">
        <v>5208</v>
      </c>
      <c r="H62" s="1549" t="s">
        <v>9196</v>
      </c>
      <c r="I62" s="1549" t="s">
        <v>4605</v>
      </c>
      <c r="J62" s="1549" t="s">
        <v>8535</v>
      </c>
      <c r="K62" s="1549" t="s">
        <v>8186</v>
      </c>
      <c r="L62" s="1549" t="s">
        <v>5731</v>
      </c>
      <c r="M62" s="1549" t="s">
        <v>864</v>
      </c>
      <c r="N62" s="1549" t="s">
        <v>9630</v>
      </c>
      <c r="O62" s="1549" t="s">
        <v>9408</v>
      </c>
      <c r="P62" s="1549" t="s">
        <v>9316</v>
      </c>
      <c r="Q62" s="1549" t="s">
        <v>9631</v>
      </c>
      <c r="R62" s="1549" t="s">
        <v>9572</v>
      </c>
      <c r="S62" s="1549" t="s">
        <v>7038</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8584</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8485</v>
      </c>
      <c r="F63" s="1549" t="s">
        <v>9649</v>
      </c>
      <c r="G63" s="1549" t="s">
        <v>8369</v>
      </c>
      <c r="H63" s="1549" t="s">
        <v>9650</v>
      </c>
      <c r="I63" s="1549" t="s">
        <v>1359</v>
      </c>
      <c r="J63" s="1549" t="s">
        <v>804</v>
      </c>
      <c r="K63" s="1549" t="s">
        <v>6998</v>
      </c>
      <c r="L63" s="1549" t="s">
        <v>3332</v>
      </c>
      <c r="M63" s="1549" t="s">
        <v>9595</v>
      </c>
      <c r="N63" s="1549" t="s">
        <v>8639</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6320</v>
      </c>
      <c r="AC63" s="1549" t="s">
        <v>6455</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8704</v>
      </c>
      <c r="AO63" s="1549" t="s">
        <v>8403</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8365</v>
      </c>
      <c r="C64" s="1507">
        <v>0.05167824074074074</v>
      </c>
      <c r="D64" s="1316" t="s">
        <v>9668</v>
      </c>
      <c r="E64" s="1549" t="s">
        <v>9669</v>
      </c>
      <c r="F64" s="1549" t="s">
        <v>9670</v>
      </c>
      <c r="G64" s="1549" t="s">
        <v>9671</v>
      </c>
      <c r="H64" s="1549" t="s">
        <v>9672</v>
      </c>
      <c r="I64" s="1549" t="s">
        <v>1969</v>
      </c>
      <c r="J64" s="1549" t="s">
        <v>9514</v>
      </c>
      <c r="K64" s="1549" t="s">
        <v>8616</v>
      </c>
      <c r="L64" s="1549" t="s">
        <v>1822</v>
      </c>
      <c r="M64" s="1549" t="s">
        <v>7143</v>
      </c>
      <c r="N64" s="1549" t="s">
        <v>9673</v>
      </c>
      <c r="O64" s="1549" t="s">
        <v>9674</v>
      </c>
      <c r="P64" s="1549" t="s">
        <v>2369</v>
      </c>
      <c r="Q64" s="1549" t="s">
        <v>719</v>
      </c>
      <c r="R64" s="1549" t="s">
        <v>9675</v>
      </c>
      <c r="S64" s="1549" t="s">
        <v>8900</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9134</v>
      </c>
      <c r="AG64" s="1549" t="s">
        <v>6587</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8742</v>
      </c>
      <c r="H65" s="1549" t="s">
        <v>9691</v>
      </c>
      <c r="I65" s="1549" t="s">
        <v>9692</v>
      </c>
      <c r="J65" s="1549" t="s">
        <v>9279</v>
      </c>
      <c r="K65" s="1549" t="s">
        <v>8584</v>
      </c>
      <c r="L65" s="1549" t="s">
        <v>3856</v>
      </c>
      <c r="M65" s="1549" t="s">
        <v>7349</v>
      </c>
      <c r="N65" s="1549" t="s">
        <v>5905</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9044</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6818</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8684</v>
      </c>
      <c r="K67" s="1480" t="s">
        <v>9735</v>
      </c>
      <c r="L67" s="1480" t="s">
        <v>6892</v>
      </c>
      <c r="M67" s="1480" t="s">
        <v>3371</v>
      </c>
      <c r="N67" s="1480" t="s">
        <v>9736</v>
      </c>
      <c r="O67" s="1480" t="s">
        <v>9737</v>
      </c>
      <c r="P67" s="1480" t="s">
        <v>3608</v>
      </c>
      <c r="Q67" s="1480" t="s">
        <v>9738</v>
      </c>
      <c r="R67" s="1480" t="s">
        <v>9675</v>
      </c>
      <c r="S67" s="1480" t="s">
        <v>5438</v>
      </c>
      <c r="T67" s="1480" t="s">
        <v>9739</v>
      </c>
      <c r="U67" s="1480" t="s">
        <v>9740</v>
      </c>
      <c r="V67" s="1480" t="s">
        <v>125</v>
      </c>
      <c r="W67" s="1480" t="s">
        <v>5508</v>
      </c>
      <c r="X67" s="1480" t="s">
        <v>9578</v>
      </c>
      <c r="Y67" s="1480" t="s">
        <v>1095</v>
      </c>
      <c r="Z67" s="1480" t="s">
        <v>9741</v>
      </c>
      <c r="AA67" s="1480" t="s">
        <v>8941</v>
      </c>
      <c r="AB67" s="1480" t="s">
        <v>6318</v>
      </c>
      <c r="AC67" s="1480" t="s">
        <v>160</v>
      </c>
      <c r="AD67" s="1480" t="s">
        <v>9602</v>
      </c>
      <c r="AE67" s="1480" t="s">
        <v>9016</v>
      </c>
      <c r="AF67" s="1480" t="s">
        <v>9030</v>
      </c>
      <c r="AG67" s="1480" t="s">
        <v>4754</v>
      </c>
      <c r="AH67" s="1480" t="s">
        <v>9742</v>
      </c>
      <c r="AI67" s="1480" t="s">
        <v>9743</v>
      </c>
      <c r="AJ67" s="1480" t="s">
        <v>9744</v>
      </c>
      <c r="AK67" s="1480" t="s">
        <v>8651</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8365</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8383</v>
      </c>
      <c r="AA68" s="1416" t="s">
        <v>197</v>
      </c>
      <c r="AB68" s="1415" t="s">
        <v>4147</v>
      </c>
      <c r="AC68" s="1416">
        <v>49.53</v>
      </c>
      <c r="AD68" s="1416" t="s">
        <v>1862</v>
      </c>
      <c r="AE68" s="1415" t="s">
        <v>9767</v>
      </c>
      <c r="AF68" s="1416" t="s">
        <v>8543</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5901</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8668</v>
      </c>
      <c r="K69" s="1402" t="s">
        <v>8932</v>
      </c>
      <c r="L69" s="1402" t="s">
        <v>9742</v>
      </c>
      <c r="M69" s="1402" t="s">
        <v>1454</v>
      </c>
      <c r="N69" s="1402" t="s">
        <v>9251</v>
      </c>
      <c r="O69" s="1402" t="s">
        <v>7250</v>
      </c>
      <c r="P69" s="1402" t="s">
        <v>8840</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6418</v>
      </c>
      <c r="AF69" s="1402" t="s">
        <v>9437</v>
      </c>
      <c r="AG69" s="1402" t="s">
        <v>400</v>
      </c>
      <c r="AH69" s="1402" t="s">
        <v>9787</v>
      </c>
      <c r="AI69" s="1402" t="s">
        <v>244</v>
      </c>
      <c r="AJ69" s="1402" t="s">
        <v>9788</v>
      </c>
      <c r="AK69" s="1402" t="s">
        <v>9034</v>
      </c>
      <c r="AL69" s="1402" t="s">
        <v>4618</v>
      </c>
      <c r="AM69" s="1402" t="s">
        <v>9789</v>
      </c>
      <c r="AN69" s="1402" t="s">
        <v>9084</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8537</v>
      </c>
      <c r="AP70" s="1549" t="s">
        <v>9815</v>
      </c>
      <c r="AQ70" s="1549" t="s">
        <v>9816</v>
      </c>
      <c r="AR70" s="1549" t="s">
        <v>8519</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8404</v>
      </c>
      <c r="M71" s="1549" t="s">
        <v>7366</v>
      </c>
      <c r="N71" s="1549" t="s">
        <v>9440</v>
      </c>
      <c r="O71" s="1549" t="s">
        <v>4395</v>
      </c>
      <c r="P71" s="1549" t="s">
        <v>1526</v>
      </c>
      <c r="Q71" s="1549" t="s">
        <v>9826</v>
      </c>
      <c r="R71" s="1549" t="s">
        <v>9050</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9071</v>
      </c>
      <c r="AS71" s="1549" t="s">
        <v>9139</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9045</v>
      </c>
      <c r="L72" s="1316" t="s">
        <v>2693</v>
      </c>
      <c r="M72" s="1316" t="s">
        <v>9845</v>
      </c>
      <c r="N72" s="1316" t="s">
        <v>3836</v>
      </c>
      <c r="O72" s="1316" t="s">
        <v>9846</v>
      </c>
      <c r="P72" s="1316" t="s">
        <v>5075</v>
      </c>
      <c r="Q72" s="1316" t="s">
        <v>9847</v>
      </c>
      <c r="R72" s="1316" t="s">
        <v>5473</v>
      </c>
      <c r="S72" s="1316" t="s">
        <v>9848</v>
      </c>
      <c r="T72" s="1316" t="s">
        <v>8388</v>
      </c>
      <c r="U72" s="1316" t="s">
        <v>9849</v>
      </c>
      <c r="V72" s="1316" t="s">
        <v>5362</v>
      </c>
      <c r="W72" s="1316" t="s">
        <v>9850</v>
      </c>
      <c r="X72" s="1316" t="s">
        <v>9851</v>
      </c>
      <c r="Y72" s="1316" t="s">
        <v>9852</v>
      </c>
      <c r="Z72" s="1316" t="s">
        <v>9057</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9063</v>
      </c>
      <c r="AL72" s="1316" t="s">
        <v>9513</v>
      </c>
      <c r="AM72" s="1316" t="s">
        <v>9032</v>
      </c>
      <c r="AN72" s="1316" t="s">
        <v>3365</v>
      </c>
      <c r="AO72" s="1316" t="s">
        <v>8531</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8365</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8953</v>
      </c>
      <c r="AE73" s="1562">
        <v>49.87</v>
      </c>
      <c r="AF73" s="1474" t="s">
        <v>9872</v>
      </c>
      <c r="AG73" s="1474" t="s">
        <v>9873</v>
      </c>
      <c r="AH73" s="1562">
        <v>59.9</v>
      </c>
      <c r="AI73" s="1474" t="s">
        <v>9874</v>
      </c>
      <c r="AJ73" s="1564" t="s">
        <v>8389</v>
      </c>
      <c r="AK73" s="1474" t="s">
        <v>1886</v>
      </c>
      <c r="AL73" s="1562">
        <v>58.74</v>
      </c>
      <c r="AM73" s="1474" t="s">
        <v>1932</v>
      </c>
      <c r="AN73" s="1562">
        <v>57.51</v>
      </c>
      <c r="AO73" s="1474" t="s">
        <v>4731</v>
      </c>
      <c r="AP73" s="1474" t="s">
        <v>9875</v>
      </c>
      <c r="AQ73" s="1474" t="s">
        <v>3589</v>
      </c>
      <c r="AR73" s="1564" t="s">
        <v>6319</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8984</v>
      </c>
      <c r="L74" s="1480"/>
      <c r="M74" s="1480" t="s">
        <v>7005</v>
      </c>
      <c r="N74" s="1480" t="s">
        <v>9211</v>
      </c>
      <c r="O74" s="1480" t="s">
        <v>8381</v>
      </c>
      <c r="P74" s="1480" t="s">
        <v>9227</v>
      </c>
      <c r="Q74" s="1480" t="s">
        <v>9882</v>
      </c>
      <c r="R74" s="1480" t="s">
        <v>9883</v>
      </c>
      <c r="S74" s="1480" t="s">
        <v>8760</v>
      </c>
      <c r="T74" s="1480" t="s">
        <v>9000</v>
      </c>
      <c r="U74" s="1480" t="s">
        <v>2251</v>
      </c>
      <c r="V74" s="1480" t="s">
        <v>8795</v>
      </c>
      <c r="W74" s="1480" t="s">
        <v>5662</v>
      </c>
      <c r="X74" s="1480" t="s">
        <v>626</v>
      </c>
      <c r="Y74" s="1480" t="s">
        <v>8775</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8354</v>
      </c>
      <c r="Q75" s="1480" t="s">
        <v>9902</v>
      </c>
      <c r="R75" s="1480" t="s">
        <v>3121</v>
      </c>
      <c r="S75" s="1548" t="s">
        <v>2329</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8735</v>
      </c>
      <c r="AF75" s="1480" t="s">
        <v>9905</v>
      </c>
      <c r="AG75" s="1480" t="s">
        <v>9906</v>
      </c>
      <c r="AH75" s="1480" t="s">
        <v>4919</v>
      </c>
      <c r="AI75" s="1480" t="s">
        <v>5949</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9136</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8387</v>
      </c>
      <c r="AD76" s="1549" t="s">
        <v>9925</v>
      </c>
      <c r="AE76" s="1549" t="s">
        <v>6455</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8607</v>
      </c>
      <c r="F77" s="1549" t="s">
        <v>9936</v>
      </c>
      <c r="G77" s="1549" t="s">
        <v>9937</v>
      </c>
      <c r="H77" s="1549" t="s">
        <v>9938</v>
      </c>
      <c r="I77" s="1549" t="s">
        <v>3376</v>
      </c>
      <c r="J77" s="1549" t="s">
        <v>9020</v>
      </c>
      <c r="K77" s="1549" t="s">
        <v>4359</v>
      </c>
      <c r="L77" s="1549" t="s">
        <v>3223</v>
      </c>
      <c r="M77" s="1549" t="s">
        <v>9617</v>
      </c>
      <c r="N77" s="1549" t="s">
        <v>4398</v>
      </c>
      <c r="O77" s="1549" t="s">
        <v>9939</v>
      </c>
      <c r="P77" s="1549" t="s">
        <v>9940</v>
      </c>
      <c r="Q77" s="1549" t="s">
        <v>113</v>
      </c>
      <c r="R77" s="1549" t="s">
        <v>1454</v>
      </c>
      <c r="S77" s="1549" t="s">
        <v>9105</v>
      </c>
      <c r="T77" s="1549" t="s">
        <v>525</v>
      </c>
      <c r="U77" s="1549" t="s">
        <v>1847</v>
      </c>
      <c r="V77" s="1549" t="s">
        <v>462</v>
      </c>
      <c r="W77" s="1549" t="s">
        <v>5577</v>
      </c>
      <c r="X77" s="1549" t="s">
        <v>9393</v>
      </c>
      <c r="Y77" s="1549" t="s">
        <v>2431</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8737</v>
      </c>
      <c r="AM77" s="1549" t="s">
        <v>1459</v>
      </c>
      <c r="AN77" s="1549" t="s">
        <v>8489</v>
      </c>
      <c r="AO77" s="1549" t="s">
        <v>8790</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8631</v>
      </c>
      <c r="AC78" s="1549" t="s">
        <v>853</v>
      </c>
      <c r="AD78" s="1549" t="s">
        <v>9968</v>
      </c>
      <c r="AE78" s="1549" t="s">
        <v>1095</v>
      </c>
      <c r="AF78" s="1549" t="s">
        <v>9969</v>
      </c>
      <c r="AG78" s="1549" t="s">
        <v>2800</v>
      </c>
      <c r="AH78" s="1549" t="s">
        <v>5908</v>
      </c>
      <c r="AI78" s="1549" t="s">
        <v>1664</v>
      </c>
      <c r="AJ78" s="1549" t="s">
        <v>9970</v>
      </c>
      <c r="AK78" s="1549" t="s">
        <v>3352</v>
      </c>
      <c r="AL78" s="1549" t="s">
        <v>3744</v>
      </c>
      <c r="AM78" s="1549" t="s">
        <v>928</v>
      </c>
      <c r="AN78" s="1549" t="s">
        <v>9702</v>
      </c>
      <c r="AO78" s="1549" t="s">
        <v>2205</v>
      </c>
      <c r="AP78" s="1549" t="s">
        <v>9971</v>
      </c>
      <c r="AQ78" s="1549" t="s">
        <v>1005</v>
      </c>
      <c r="AR78" s="1549" t="s">
        <v>8382</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8891</v>
      </c>
      <c r="I79" s="1549" t="s">
        <v>4814</v>
      </c>
      <c r="J79" s="1549" t="s">
        <v>8924</v>
      </c>
      <c r="K79" s="1549" t="s">
        <v>9583</v>
      </c>
      <c r="L79" s="1549" t="s">
        <v>9979</v>
      </c>
      <c r="M79" s="1549" t="s">
        <v>2678</v>
      </c>
      <c r="N79" s="1549" t="s">
        <v>9980</v>
      </c>
      <c r="O79" s="1549" t="s">
        <v>9981</v>
      </c>
      <c r="P79" s="1549" t="s">
        <v>764</v>
      </c>
      <c r="Q79" s="1549" t="s">
        <v>9982</v>
      </c>
      <c r="R79" s="1549" t="s">
        <v>4826</v>
      </c>
      <c r="S79" s="1549" t="s">
        <v>5852</v>
      </c>
      <c r="T79" s="1549" t="s">
        <v>5719</v>
      </c>
      <c r="U79" s="1549" t="s">
        <v>9983</v>
      </c>
      <c r="V79" s="1549" t="s">
        <v>2405</v>
      </c>
      <c r="W79" s="1549" t="s">
        <v>8386</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6895</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5948</v>
      </c>
      <c r="AT79" s="1549" t="s">
        <v>7458</v>
      </c>
      <c r="AU79" s="1549" t="s">
        <v>9991</v>
      </c>
      <c r="AV79" s="1549" t="str">
        <f t="shared" si="2"/>
        <v>3:10</v>
      </c>
      <c r="AW79" s="1554" t="s">
        <v>9992</v>
      </c>
    </row>
    <row r="80">
      <c r="A80" s="1558" t="s">
        <v>3870</v>
      </c>
      <c r="B80" s="1534" t="s">
        <v>8365</v>
      </c>
      <c r="C80" s="1518">
        <v>0.052141203703703703</v>
      </c>
      <c r="D80" s="1316" t="s">
        <v>9993</v>
      </c>
      <c r="E80" s="1450" t="s">
        <v>2910</v>
      </c>
      <c r="F80" s="1450" t="s">
        <v>9994</v>
      </c>
      <c r="G80" s="1474" t="s">
        <v>9995</v>
      </c>
      <c r="H80" s="1474" t="s">
        <v>9996</v>
      </c>
      <c r="I80" s="1474" t="s">
        <v>114</v>
      </c>
      <c r="J80" s="1474" t="s">
        <v>6739</v>
      </c>
      <c r="K80" s="1566" t="s">
        <v>6003</v>
      </c>
      <c r="L80" s="1567" t="s">
        <v>6892</v>
      </c>
      <c r="M80" s="1474" t="s">
        <v>9997</v>
      </c>
      <c r="N80" s="1474" t="s">
        <v>5719</v>
      </c>
      <c r="O80" s="1474" t="s">
        <v>5476</v>
      </c>
      <c r="P80" s="1474" t="s">
        <v>1981</v>
      </c>
      <c r="Q80" s="1474" t="s">
        <v>9998</v>
      </c>
      <c r="R80" s="1474" t="s">
        <v>2354</v>
      </c>
      <c r="S80" s="1568" t="s">
        <v>2249</v>
      </c>
      <c r="T80" s="1474" t="s">
        <v>8777</v>
      </c>
      <c r="U80" s="1474" t="s">
        <v>3189</v>
      </c>
      <c r="V80" s="1474" t="s">
        <v>9999</v>
      </c>
      <c r="W80" s="1474" t="s">
        <v>10000</v>
      </c>
      <c r="X80" s="1474" t="s">
        <v>4384</v>
      </c>
      <c r="Y80" s="1474" t="s">
        <v>3286</v>
      </c>
      <c r="Z80" s="1474" t="s">
        <v>4065</v>
      </c>
      <c r="AA80" s="1474" t="s">
        <v>400</v>
      </c>
      <c r="AB80" s="1474" t="s">
        <v>623</v>
      </c>
      <c r="AC80" s="1474" t="s">
        <v>6027</v>
      </c>
      <c r="AD80" s="1569" t="s">
        <v>8703</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8684</v>
      </c>
      <c r="AP80" s="1474" t="s">
        <v>10005</v>
      </c>
      <c r="AQ80" s="1566" t="s">
        <v>8396</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8730</v>
      </c>
      <c r="V81" s="1480" t="s">
        <v>10019</v>
      </c>
      <c r="W81" s="1480" t="s">
        <v>10020</v>
      </c>
      <c r="X81" s="1480" t="s">
        <v>9906</v>
      </c>
      <c r="Y81" s="1480" t="s">
        <v>758</v>
      </c>
      <c r="Z81" s="1480" t="s">
        <v>10021</v>
      </c>
      <c r="AA81" s="1316" t="s">
        <v>10022</v>
      </c>
      <c r="AB81" s="1480" t="s">
        <v>6841</v>
      </c>
      <c r="AC81" s="1480" t="s">
        <v>9767</v>
      </c>
      <c r="AD81" s="1480" t="s">
        <v>7305</v>
      </c>
      <c r="AE81" s="1480" t="s">
        <v>4830</v>
      </c>
      <c r="AF81" s="1400" t="s">
        <v>10023</v>
      </c>
      <c r="AG81" s="1480" t="s">
        <v>10024</v>
      </c>
      <c r="AH81" s="1480" t="s">
        <v>4994</v>
      </c>
      <c r="AI81" s="1480" t="s">
        <v>6479</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6331</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5789</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8946</v>
      </c>
      <c r="AT83" s="1549" t="s">
        <v>9033</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8759</v>
      </c>
      <c r="K84" s="1549" t="s">
        <v>4026</v>
      </c>
      <c r="L84" s="1549" t="s">
        <v>4098</v>
      </c>
      <c r="M84" s="1549" t="s">
        <v>9055</v>
      </c>
      <c r="N84" s="1549" t="s">
        <v>10078</v>
      </c>
      <c r="O84" s="1549" t="s">
        <v>8353</v>
      </c>
      <c r="P84" s="1549" t="s">
        <v>481</v>
      </c>
      <c r="Q84" s="1549" t="s">
        <v>10079</v>
      </c>
      <c r="R84" s="1549" t="s">
        <v>5473</v>
      </c>
      <c r="S84" s="1549" t="s">
        <v>1976</v>
      </c>
      <c r="T84" s="1549" t="s">
        <v>10080</v>
      </c>
      <c r="U84" s="1549" t="s">
        <v>10081</v>
      </c>
      <c r="V84" s="1549" t="s">
        <v>10082</v>
      </c>
      <c r="W84" s="1549" t="s">
        <v>10083</v>
      </c>
      <c r="X84" s="1549" t="s">
        <v>5586</v>
      </c>
      <c r="Y84" s="1549" t="s">
        <v>1541</v>
      </c>
      <c r="Z84" s="1549" t="s">
        <v>6320</v>
      </c>
      <c r="AA84" s="1480" t="s">
        <v>7519</v>
      </c>
      <c r="AB84" s="1549" t="s">
        <v>8944</v>
      </c>
      <c r="AC84" s="1549" t="s">
        <v>9784</v>
      </c>
      <c r="AD84" s="1549" t="s">
        <v>2948</v>
      </c>
      <c r="AE84" s="1549" t="s">
        <v>1141</v>
      </c>
      <c r="AF84" s="1549" t="s">
        <v>10084</v>
      </c>
      <c r="AG84" s="1549" t="s">
        <v>2701</v>
      </c>
      <c r="AH84" s="1549" t="s">
        <v>6474</v>
      </c>
      <c r="AI84" s="1549" t="s">
        <v>10085</v>
      </c>
      <c r="AJ84" s="1549" t="s">
        <v>10086</v>
      </c>
      <c r="AK84" s="1549" t="s">
        <v>9389</v>
      </c>
      <c r="AL84" s="1549" t="s">
        <v>10087</v>
      </c>
      <c r="AM84" s="1549" t="s">
        <v>10088</v>
      </c>
      <c r="AN84" s="1549" t="s">
        <v>3743</v>
      </c>
      <c r="AO84" s="1549" t="s">
        <v>8684</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8365</v>
      </c>
      <c r="C85" s="1398">
        <v>0.052662037037037035</v>
      </c>
      <c r="D85" s="1316" t="s">
        <v>10094</v>
      </c>
      <c r="E85" s="1316" t="s">
        <v>529</v>
      </c>
      <c r="F85" s="1316" t="s">
        <v>10095</v>
      </c>
      <c r="G85" s="1316" t="s">
        <v>10096</v>
      </c>
      <c r="H85" s="1316" t="s">
        <v>8558</v>
      </c>
      <c r="I85" s="1316" t="s">
        <v>10097</v>
      </c>
      <c r="J85" s="1316" t="s">
        <v>1686</v>
      </c>
      <c r="K85" s="1316" t="s">
        <v>10098</v>
      </c>
      <c r="L85" s="1316" t="s">
        <v>2694</v>
      </c>
      <c r="M85" s="1316" t="s">
        <v>268</v>
      </c>
      <c r="N85" s="1316" t="s">
        <v>8822</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6333</v>
      </c>
      <c r="AD85" s="1571" t="s">
        <v>8386</v>
      </c>
      <c r="AE85" s="1316" t="s">
        <v>334</v>
      </c>
      <c r="AF85" s="1316" t="s">
        <v>10108</v>
      </c>
      <c r="AG85" s="1316" t="s">
        <v>7252</v>
      </c>
      <c r="AH85" s="1316" t="s">
        <v>3444</v>
      </c>
      <c r="AI85" s="1316" t="s">
        <v>10109</v>
      </c>
      <c r="AJ85" s="1316" t="s">
        <v>10110</v>
      </c>
      <c r="AK85" s="1316" t="s">
        <v>10111</v>
      </c>
      <c r="AL85" s="1316" t="s">
        <v>4527</v>
      </c>
      <c r="AM85" s="1316" t="s">
        <v>5576</v>
      </c>
      <c r="AN85" s="1571" t="s">
        <v>8393</v>
      </c>
      <c r="AO85" s="1316" t="s">
        <v>10112</v>
      </c>
      <c r="AP85" s="1316" t="s">
        <v>10113</v>
      </c>
      <c r="AQ85" s="1316" t="s">
        <v>10114</v>
      </c>
      <c r="AR85" s="1316" t="s">
        <v>5821</v>
      </c>
      <c r="AS85" s="1316" t="s">
        <v>8961</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9107</v>
      </c>
      <c r="W86" s="1480" t="s">
        <v>10128</v>
      </c>
      <c r="X86" s="1480" t="s">
        <v>2399</v>
      </c>
      <c r="Y86" s="1480" t="s">
        <v>9016</v>
      </c>
      <c r="Z86" s="1480" t="s">
        <v>8508</v>
      </c>
      <c r="AA86" s="1480" t="s">
        <v>10129</v>
      </c>
      <c r="AB86" s="1480" t="s">
        <v>9652</v>
      </c>
      <c r="AC86" s="1480" t="s">
        <v>8864</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5901</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5841</v>
      </c>
      <c r="B87" s="1459" t="s">
        <v>8339</v>
      </c>
      <c r="C87" s="1507">
        <v>0.05275462962962963</v>
      </c>
      <c r="D87" s="1316" t="s">
        <v>10139</v>
      </c>
      <c r="E87" s="1549" t="s">
        <v>9469</v>
      </c>
      <c r="F87" s="1549" t="s">
        <v>10140</v>
      </c>
      <c r="G87" s="1549" t="s">
        <v>8543</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8631</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8758</v>
      </c>
      <c r="AL87" s="1549" t="s">
        <v>5271</v>
      </c>
      <c r="AM87" s="1549" t="s">
        <v>3256</v>
      </c>
      <c r="AN87" s="1549" t="s">
        <v>6177</v>
      </c>
      <c r="AO87" s="1549" t="s">
        <v>10151</v>
      </c>
      <c r="AP87" s="1549" t="s">
        <v>10152</v>
      </c>
      <c r="AQ87" s="1549" t="s">
        <v>10153</v>
      </c>
      <c r="AR87" s="1549" t="s">
        <v>9739</v>
      </c>
      <c r="AS87" s="1549" t="s">
        <v>8644</v>
      </c>
      <c r="AT87" s="1549" t="s">
        <v>10154</v>
      </c>
      <c r="AU87" s="1549" t="s">
        <v>10155</v>
      </c>
      <c r="AV87" s="1549" t="str">
        <f t="shared" si="3"/>
        <v>3:59</v>
      </c>
      <c r="AW87" s="1554" t="s">
        <v>10156</v>
      </c>
    </row>
    <row r="88" ht="15.75" customHeight="1">
      <c r="A88" s="1484" t="s">
        <v>10157</v>
      </c>
      <c r="B88" s="1534" t="s">
        <v>8365</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8542</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9061</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8365</v>
      </c>
      <c r="C90" s="1398">
        <v>0.05331018518518518</v>
      </c>
      <c r="D90" s="1480" t="s">
        <v>10205</v>
      </c>
      <c r="E90" s="1480" t="s">
        <v>7656</v>
      </c>
      <c r="F90" s="1480" t="s">
        <v>9977</v>
      </c>
      <c r="G90" s="1480" t="s">
        <v>10206</v>
      </c>
      <c r="H90" s="1316" t="s">
        <v>10207</v>
      </c>
      <c r="I90" s="1480" t="s">
        <v>10208</v>
      </c>
      <c r="J90" s="1480" t="s">
        <v>9715</v>
      </c>
      <c r="K90" s="1480" t="s">
        <v>8537</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6733</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8365</v>
      </c>
      <c r="C91" s="1398">
        <v>0.05348379629629629</v>
      </c>
      <c r="D91" s="1316" t="s">
        <v>10228</v>
      </c>
      <c r="E91" s="1549" t="s">
        <v>10012</v>
      </c>
      <c r="F91" s="1549" t="s">
        <v>6176</v>
      </c>
      <c r="G91" s="1549" t="s">
        <v>10229</v>
      </c>
      <c r="H91" s="1549" t="s">
        <v>10230</v>
      </c>
      <c r="I91" s="1549" t="s">
        <v>2334</v>
      </c>
      <c r="J91" s="1549" t="s">
        <v>8837</v>
      </c>
      <c r="K91" s="1549" t="s">
        <v>8378</v>
      </c>
      <c r="L91" s="1549" t="s">
        <v>4714</v>
      </c>
      <c r="M91" s="1549" t="s">
        <v>8899</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8728</v>
      </c>
      <c r="AA91" s="1480" t="s">
        <v>10234</v>
      </c>
      <c r="AB91" s="1549" t="s">
        <v>9493</v>
      </c>
      <c r="AC91" s="1549" t="s">
        <v>1085</v>
      </c>
      <c r="AD91" s="1549" t="s">
        <v>10235</v>
      </c>
      <c r="AE91" s="1549" t="s">
        <v>583</v>
      </c>
      <c r="AF91" s="1480" t="s">
        <v>10236</v>
      </c>
      <c r="AG91" s="1549" t="s">
        <v>5631</v>
      </c>
      <c r="AH91" s="1549" t="s">
        <v>8958</v>
      </c>
      <c r="AI91" s="1549" t="s">
        <v>2584</v>
      </c>
      <c r="AJ91" s="1549" t="s">
        <v>10237</v>
      </c>
      <c r="AK91" s="1549" t="s">
        <v>8767</v>
      </c>
      <c r="AL91" s="1549" t="s">
        <v>10238</v>
      </c>
      <c r="AM91" s="1549" t="s">
        <v>8335</v>
      </c>
      <c r="AN91" s="1549" t="s">
        <v>9787</v>
      </c>
      <c r="AO91" s="1549" t="s">
        <v>8718</v>
      </c>
      <c r="AP91" s="1549" t="s">
        <v>10239</v>
      </c>
      <c r="AQ91" s="1549" t="s">
        <v>4386</v>
      </c>
      <c r="AR91" s="1549" t="s">
        <v>154</v>
      </c>
      <c r="AS91" s="1549" t="s">
        <v>8552</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8920</v>
      </c>
      <c r="U92" s="1480" t="s">
        <v>10252</v>
      </c>
      <c r="V92" s="1480" t="s">
        <v>10253</v>
      </c>
      <c r="W92" s="1480" t="s">
        <v>7493</v>
      </c>
      <c r="X92" s="1480" t="s">
        <v>10254</v>
      </c>
      <c r="Y92" s="1480" t="s">
        <v>2110</v>
      </c>
      <c r="Z92" s="1480" t="s">
        <v>9493</v>
      </c>
      <c r="AA92" s="1480" t="s">
        <v>10255</v>
      </c>
      <c r="AB92" s="1480" t="s">
        <v>10256</v>
      </c>
      <c r="AC92" s="1480" t="s">
        <v>7445</v>
      </c>
      <c r="AD92" s="1480" t="s">
        <v>5755</v>
      </c>
      <c r="AE92" s="1480" t="s">
        <v>2431</v>
      </c>
      <c r="AF92" s="1480" t="s">
        <v>7531</v>
      </c>
      <c r="AG92" s="1480" t="s">
        <v>10257</v>
      </c>
      <c r="AH92" s="1480" t="s">
        <v>8917</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7">
        <v>0.05386574074074074</v>
      </c>
      <c r="D93" s="1549" t="s">
        <v>10265</v>
      </c>
      <c r="E93" s="1549" t="s">
        <v>7065</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8932</v>
      </c>
      <c r="AA93" s="1316" t="s">
        <v>10277</v>
      </c>
      <c r="AB93" s="1549" t="s">
        <v>10278</v>
      </c>
      <c r="AC93" s="1549" t="s">
        <v>6809</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8998</v>
      </c>
      <c r="AO93" s="1480" t="s">
        <v>9178</v>
      </c>
      <c r="AP93" s="1549" t="s">
        <v>10284</v>
      </c>
      <c r="AQ93" s="1549" t="s">
        <v>10285</v>
      </c>
      <c r="AR93" s="1549" t="s">
        <v>10286</v>
      </c>
      <c r="AS93" s="1549" t="s">
        <v>8735</v>
      </c>
      <c r="AT93" s="1549" t="s">
        <v>10287</v>
      </c>
      <c r="AU93" s="1549" t="s">
        <v>10226</v>
      </c>
      <c r="AV93" s="1549" t="str">
        <f t="shared" si="3"/>
        <v>3:30</v>
      </c>
      <c r="AW93" s="1554"/>
    </row>
    <row r="94">
      <c r="A94" s="1446" t="s">
        <v>5155</v>
      </c>
      <c r="B94" s="1444" t="s">
        <v>8365</v>
      </c>
      <c r="C94" s="1398">
        <v>0.05482638888888889</v>
      </c>
      <c r="D94" s="1516" t="s">
        <v>10288</v>
      </c>
      <c r="E94" s="1480" t="s">
        <v>9085</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8733</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6892</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8931</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9066</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8803</v>
      </c>
      <c r="I97" s="1480" t="s">
        <v>3226</v>
      </c>
      <c r="J97" s="1480" t="s">
        <v>9075</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6579</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8837</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8936</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8355</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8796</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6502</v>
      </c>
      <c r="F1" s="1596" t="s">
        <v>6778</v>
      </c>
      <c r="G1" s="1597" t="s">
        <v>38</v>
      </c>
      <c r="H1" s="1598" t="s">
        <v>36</v>
      </c>
      <c r="I1" s="1594" t="s">
        <v>10443</v>
      </c>
      <c r="J1" s="1599" t="s">
        <v>39</v>
      </c>
      <c r="K1" s="1600" t="s">
        <v>6724</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10" t="s">
        <v>10449</v>
      </c>
      <c r="J2" s="1611" t="s">
        <v>10450</v>
      </c>
      <c r="K2" s="1612" t="s">
        <v>10451</v>
      </c>
      <c r="L2" s="1613" t="s">
        <v>8336</v>
      </c>
      <c r="M2" s="1604">
        <v>0.050590277777777776</v>
      </c>
      <c r="N2" s="1614" t="str">
        <f t="shared" ref="N2:N36" si="1">TEXT(M2-C2, "m:ss")</f>
        <v>1:06</v>
      </c>
      <c r="O2" s="1364"/>
    </row>
    <row r="3" ht="15.75" customHeight="1">
      <c r="A3" s="1365" t="s">
        <v>8338</v>
      </c>
      <c r="B3" s="1615" t="s">
        <v>8339</v>
      </c>
      <c r="C3" s="1616">
        <v>0.051458333333333335</v>
      </c>
      <c r="D3" s="1368" t="s">
        <v>10452</v>
      </c>
      <c r="E3" s="1617" t="s">
        <v>5766</v>
      </c>
      <c r="F3" s="1370" t="s">
        <v>10453</v>
      </c>
      <c r="G3" s="1371" t="s">
        <v>10454</v>
      </c>
      <c r="H3" s="1374" t="s">
        <v>10455</v>
      </c>
      <c r="I3" s="1368" t="s">
        <v>10456</v>
      </c>
      <c r="J3" s="1376" t="s">
        <v>10457</v>
      </c>
      <c r="K3" s="1378" t="s">
        <v>10458</v>
      </c>
      <c r="L3" s="1379" t="s">
        <v>8927</v>
      </c>
      <c r="M3" s="1616">
        <v>0.05236111111111111</v>
      </c>
      <c r="N3" s="1618" t="str">
        <f t="shared" si="1"/>
        <v>1:18</v>
      </c>
    </row>
    <row r="4" ht="15.75" customHeight="1">
      <c r="A4" s="1381" t="s">
        <v>8364</v>
      </c>
      <c r="B4" s="1619" t="s">
        <v>8365</v>
      </c>
      <c r="C4" s="1620">
        <f>C21</f>
        <v>0.05158564815</v>
      </c>
      <c r="D4" s="1384" t="s">
        <v>10459</v>
      </c>
      <c r="E4" s="1621" t="s">
        <v>10460</v>
      </c>
      <c r="F4" s="1386" t="s">
        <v>10461</v>
      </c>
      <c r="G4" s="1387" t="s">
        <v>10462</v>
      </c>
      <c r="H4" s="1388" t="s">
        <v>10463</v>
      </c>
      <c r="I4" s="1384" t="s">
        <v>10464</v>
      </c>
      <c r="J4" s="1390" t="s">
        <v>10465</v>
      </c>
      <c r="K4" s="1391" t="s">
        <v>10466</v>
      </c>
      <c r="L4" s="1393" t="s">
        <v>8397</v>
      </c>
      <c r="M4" s="1622">
        <f>M21</f>
        <v>0.0521412037</v>
      </c>
      <c r="N4" s="1622" t="str">
        <f t="shared" si="1"/>
        <v>0:48</v>
      </c>
    </row>
    <row r="5" ht="15.75" customHeight="1">
      <c r="A5" s="1558" t="s">
        <v>1128</v>
      </c>
      <c r="B5" s="1533" t="s">
        <v>8311</v>
      </c>
      <c r="C5" s="1623">
        <v>0.04997685185185185</v>
      </c>
      <c r="D5" s="1624" t="s">
        <v>10444</v>
      </c>
      <c r="E5" s="1421" t="s">
        <v>10467</v>
      </c>
      <c r="F5" s="1624" t="s">
        <v>10446</v>
      </c>
      <c r="G5" s="1624" t="s">
        <v>10447</v>
      </c>
      <c r="H5" s="1625" t="s">
        <v>10468</v>
      </c>
      <c r="I5" s="1418" t="s">
        <v>10469</v>
      </c>
      <c r="J5" s="1418" t="s">
        <v>10470</v>
      </c>
      <c r="K5" s="1418" t="s">
        <v>10471</v>
      </c>
      <c r="L5" s="1418" t="s">
        <v>2065</v>
      </c>
      <c r="M5" s="1461" t="s">
        <v>8337</v>
      </c>
      <c r="N5" s="1626" t="str">
        <f t="shared" si="1"/>
        <v>0:53</v>
      </c>
      <c r="O5" s="1418" t="s">
        <v>10472</v>
      </c>
    </row>
    <row r="6" ht="15.75" customHeight="1">
      <c r="A6" s="1627" t="s">
        <v>435</v>
      </c>
      <c r="B6" s="1397" t="s">
        <v>8311</v>
      </c>
      <c r="C6" s="1628">
        <v>0.04998842592592593</v>
      </c>
      <c r="D6" s="1418" t="s">
        <v>10473</v>
      </c>
      <c r="E6" s="1629" t="s">
        <v>10445</v>
      </c>
      <c r="F6" s="1418" t="s">
        <v>10474</v>
      </c>
      <c r="G6" s="1418" t="s">
        <v>10475</v>
      </c>
      <c r="H6" s="1461" t="s">
        <v>10448</v>
      </c>
      <c r="I6" s="1418" t="s">
        <v>10476</v>
      </c>
      <c r="J6" s="1461" t="s">
        <v>10450</v>
      </c>
      <c r="K6" s="1418" t="s">
        <v>10477</v>
      </c>
      <c r="L6" s="1418" t="s">
        <v>8436</v>
      </c>
      <c r="M6" s="1418" t="s">
        <v>8437</v>
      </c>
      <c r="N6" s="1630" t="str">
        <f t="shared" si="1"/>
        <v>1:18</v>
      </c>
      <c r="O6" s="1418" t="s">
        <v>10478</v>
      </c>
    </row>
    <row r="7" ht="15.75" customHeight="1">
      <c r="A7" s="1590" t="s">
        <v>1945</v>
      </c>
      <c r="B7" s="1397" t="s">
        <v>8311</v>
      </c>
      <c r="C7" s="1623">
        <v>0.050150462962962966</v>
      </c>
      <c r="D7" s="1418" t="s">
        <v>10479</v>
      </c>
      <c r="E7" s="1418" t="s">
        <v>10480</v>
      </c>
      <c r="F7" s="1418" t="s">
        <v>10481</v>
      </c>
      <c r="G7" s="1418" t="s">
        <v>10482</v>
      </c>
      <c r="H7" s="1418" t="s">
        <v>10483</v>
      </c>
      <c r="I7" s="1418" t="s">
        <v>10484</v>
      </c>
      <c r="J7" s="1418" t="s">
        <v>10485</v>
      </c>
      <c r="K7" s="1624" t="s">
        <v>10451</v>
      </c>
      <c r="L7" s="1418" t="s">
        <v>10486</v>
      </c>
      <c r="M7" s="1631">
        <v>0.05077546296296296</v>
      </c>
      <c r="N7" s="1630" t="str">
        <f t="shared" si="1"/>
        <v>0:54</v>
      </c>
      <c r="O7" s="1418" t="s">
        <v>10478</v>
      </c>
    </row>
    <row r="8" ht="15.75" customHeight="1">
      <c r="A8" s="1627" t="s">
        <v>6191</v>
      </c>
      <c r="B8" s="1498" t="s">
        <v>8311</v>
      </c>
      <c r="C8" s="1632">
        <v>0.05025462962962963</v>
      </c>
      <c r="D8" s="1522" t="s">
        <v>10487</v>
      </c>
      <c r="E8" s="1419" t="s">
        <v>10488</v>
      </c>
      <c r="F8" s="1418" t="s">
        <v>10489</v>
      </c>
      <c r="G8" s="1418" t="s">
        <v>10490</v>
      </c>
      <c r="H8" s="1418" t="s">
        <v>10491</v>
      </c>
      <c r="I8" s="1418" t="s">
        <v>10271</v>
      </c>
      <c r="J8" s="1418" t="s">
        <v>10492</v>
      </c>
      <c r="K8" s="1418" t="s">
        <v>10493</v>
      </c>
      <c r="L8" s="1418" t="s">
        <v>8523</v>
      </c>
      <c r="M8" s="1631" t="s">
        <v>8524</v>
      </c>
      <c r="N8" s="1630" t="str">
        <f t="shared" si="1"/>
        <v>0:36</v>
      </c>
      <c r="O8" s="1418"/>
    </row>
    <row r="9" ht="15.75" customHeight="1">
      <c r="A9" s="1590" t="s">
        <v>6269</v>
      </c>
      <c r="B9" s="1397" t="s">
        <v>8311</v>
      </c>
      <c r="C9" s="1632">
        <v>0.050416666666666665</v>
      </c>
      <c r="D9" s="1418" t="s">
        <v>10494</v>
      </c>
      <c r="E9" s="1419" t="s">
        <v>10495</v>
      </c>
      <c r="F9" s="1421" t="s">
        <v>10496</v>
      </c>
      <c r="G9" s="1421" t="s">
        <v>10497</v>
      </c>
      <c r="H9" s="1418" t="s">
        <v>10498</v>
      </c>
      <c r="I9" s="1461" t="s">
        <v>10449</v>
      </c>
      <c r="J9" s="1418" t="s">
        <v>10499</v>
      </c>
      <c r="K9" s="1418" t="s">
        <v>10500</v>
      </c>
      <c r="L9" s="1421" t="s">
        <v>10486</v>
      </c>
      <c r="M9" s="1631">
        <v>0.0512037037037037</v>
      </c>
      <c r="N9" s="1630" t="str">
        <f t="shared" si="1"/>
        <v>1:08</v>
      </c>
      <c r="O9" s="1418" t="s">
        <v>10478</v>
      </c>
    </row>
    <row r="10">
      <c r="A10" s="1633" t="s">
        <v>911</v>
      </c>
      <c r="B10" s="1634" t="s">
        <v>8311</v>
      </c>
      <c r="C10" s="1632">
        <v>0.05047453703703704</v>
      </c>
      <c r="D10" s="1489" t="s">
        <v>10501</v>
      </c>
      <c r="E10" s="1419" t="s">
        <v>10502</v>
      </c>
      <c r="F10" s="1625" t="s">
        <v>10503</v>
      </c>
      <c r="G10" s="1418" t="s">
        <v>10504</v>
      </c>
      <c r="H10" s="1418" t="s">
        <v>10505</v>
      </c>
      <c r="I10" s="1418" t="s">
        <v>10506</v>
      </c>
      <c r="J10" s="1418" t="s">
        <v>10507</v>
      </c>
      <c r="K10" s="1418" t="s">
        <v>10508</v>
      </c>
      <c r="L10" s="1418" t="s">
        <v>3399</v>
      </c>
      <c r="M10" s="1631">
        <v>0.051354166666666666</v>
      </c>
      <c r="N10" s="1630" t="str">
        <f t="shared" si="1"/>
        <v>1:16</v>
      </c>
      <c r="O10" s="1418" t="s">
        <v>10509</v>
      </c>
    </row>
    <row r="11" ht="15.75" customHeight="1">
      <c r="A11" s="1558" t="s">
        <v>1648</v>
      </c>
      <c r="B11" s="1341" t="s">
        <v>8311</v>
      </c>
      <c r="C11" s="1632">
        <v>0.05061342592592592</v>
      </c>
      <c r="D11" s="1635" t="s">
        <v>10510</v>
      </c>
      <c r="E11" s="1419" t="s">
        <v>10511</v>
      </c>
      <c r="F11" s="1636" t="s">
        <v>10512</v>
      </c>
      <c r="G11" s="1418" t="s">
        <v>10513</v>
      </c>
      <c r="H11" s="1636" t="s">
        <v>10514</v>
      </c>
      <c r="I11" s="1636" t="s">
        <v>10515</v>
      </c>
      <c r="J11" s="1418" t="s">
        <v>10516</v>
      </c>
      <c r="K11" s="1418" t="s">
        <v>10517</v>
      </c>
      <c r="L11" s="1418" t="s">
        <v>3237</v>
      </c>
      <c r="M11" s="1631">
        <v>0.05122685185185185</v>
      </c>
      <c r="N11" s="1630" t="str">
        <f t="shared" si="1"/>
        <v>0:53</v>
      </c>
      <c r="O11" s="1418" t="s">
        <v>10518</v>
      </c>
    </row>
    <row r="12" ht="15.75" customHeight="1">
      <c r="A12" s="1578" t="s">
        <v>2007</v>
      </c>
      <c r="B12" s="1397" t="s">
        <v>8311</v>
      </c>
      <c r="C12" s="1628">
        <v>0.05061342592592592</v>
      </c>
      <c r="D12" s="1489" t="s">
        <v>10519</v>
      </c>
      <c r="E12" s="1637" t="s">
        <v>10520</v>
      </c>
      <c r="F12" s="1418" t="s">
        <v>10521</v>
      </c>
      <c r="G12" s="1418" t="s">
        <v>10522</v>
      </c>
      <c r="H12" s="1418" t="s">
        <v>10523</v>
      </c>
      <c r="I12" s="1418" t="s">
        <v>10524</v>
      </c>
      <c r="J12" s="1418" t="s">
        <v>10525</v>
      </c>
      <c r="K12" s="1418" t="s">
        <v>10526</v>
      </c>
      <c r="L12" s="1418" t="s">
        <v>6184</v>
      </c>
      <c r="M12" s="1631">
        <v>0.05153935185185185</v>
      </c>
      <c r="N12" s="1630" t="str">
        <f t="shared" si="1"/>
        <v>1:20</v>
      </c>
      <c r="O12" s="1418" t="s">
        <v>10478</v>
      </c>
    </row>
    <row r="13" ht="15.75" customHeight="1">
      <c r="A13" s="1627" t="s">
        <v>329</v>
      </c>
      <c r="B13" s="1397" t="s">
        <v>8311</v>
      </c>
      <c r="C13" s="1628">
        <v>0.05068287037037037</v>
      </c>
      <c r="D13" s="1418" t="s">
        <v>10527</v>
      </c>
      <c r="E13" s="1637" t="s">
        <v>10528</v>
      </c>
      <c r="F13" s="1418" t="s">
        <v>10529</v>
      </c>
      <c r="G13" s="1418" t="s">
        <v>10530</v>
      </c>
      <c r="H13" s="1418" t="s">
        <v>10531</v>
      </c>
      <c r="I13" s="1418" t="s">
        <v>10532</v>
      </c>
      <c r="J13" s="1418" t="s">
        <v>10533</v>
      </c>
      <c r="K13" s="1418" t="s">
        <v>10534</v>
      </c>
      <c r="L13" s="1437" t="s">
        <v>8336</v>
      </c>
      <c r="M13" s="1631">
        <v>0.05164351851851852</v>
      </c>
      <c r="N13" s="1630" t="str">
        <f t="shared" si="1"/>
        <v>1:23</v>
      </c>
      <c r="O13" s="1418" t="s">
        <v>10478</v>
      </c>
    </row>
    <row r="14" ht="15.75" customHeight="1">
      <c r="A14" s="1638" t="s">
        <v>2631</v>
      </c>
      <c r="B14" s="1397" t="s">
        <v>8311</v>
      </c>
      <c r="C14" s="1639">
        <v>0.05103009259259259</v>
      </c>
      <c r="D14" s="1418" t="s">
        <v>10535</v>
      </c>
      <c r="E14" s="1637" t="s">
        <v>10084</v>
      </c>
      <c r="F14" s="1418" t="s">
        <v>10536</v>
      </c>
      <c r="G14" s="1418" t="s">
        <v>10537</v>
      </c>
      <c r="H14" s="1625" t="s">
        <v>10538</v>
      </c>
      <c r="I14" s="1418" t="s">
        <v>10539</v>
      </c>
      <c r="J14" s="1418" t="s">
        <v>10540</v>
      </c>
      <c r="K14" s="1418" t="s">
        <v>10541</v>
      </c>
      <c r="L14" s="1418" t="s">
        <v>10542</v>
      </c>
      <c r="M14" s="1631">
        <v>0.051909722222222225</v>
      </c>
      <c r="N14" s="1630" t="str">
        <f t="shared" si="1"/>
        <v>1:16</v>
      </c>
      <c r="O14" s="1418" t="s">
        <v>10478</v>
      </c>
    </row>
    <row r="15" ht="15.75" customHeight="1">
      <c r="A15" s="1627" t="s">
        <v>1415</v>
      </c>
      <c r="B15" s="1397" t="s">
        <v>8311</v>
      </c>
      <c r="C15" s="1628">
        <v>0.05122685185185185</v>
      </c>
      <c r="D15" s="1418" t="s">
        <v>10543</v>
      </c>
      <c r="E15" s="1637" t="s">
        <v>8369</v>
      </c>
      <c r="F15" s="1418" t="s">
        <v>10544</v>
      </c>
      <c r="G15" s="1418" t="s">
        <v>10545</v>
      </c>
      <c r="H15" s="1418" t="s">
        <v>10447</v>
      </c>
      <c r="I15" s="1418" t="s">
        <v>8316</v>
      </c>
      <c r="J15" s="1418" t="s">
        <v>10546</v>
      </c>
      <c r="K15" s="1418" t="s">
        <v>10547</v>
      </c>
      <c r="L15" s="1418" t="s">
        <v>10548</v>
      </c>
      <c r="M15" s="1631">
        <v>0.052037037037037034</v>
      </c>
      <c r="N15" s="1630" t="str">
        <f t="shared" si="1"/>
        <v>1:10</v>
      </c>
      <c r="O15" s="1418" t="s">
        <v>10478</v>
      </c>
    </row>
    <row r="16" ht="15.75" customHeight="1">
      <c r="A16" s="1517" t="s">
        <v>1725</v>
      </c>
      <c r="B16" s="1498" t="s">
        <v>8311</v>
      </c>
      <c r="C16" s="1628">
        <v>0.05122685185185185</v>
      </c>
      <c r="D16" s="1522" t="s">
        <v>10549</v>
      </c>
      <c r="E16" s="1419" t="s">
        <v>10550</v>
      </c>
      <c r="F16" s="1418" t="s">
        <v>10551</v>
      </c>
      <c r="G16" s="1418" t="s">
        <v>10552</v>
      </c>
      <c r="H16" s="1418" t="s">
        <v>10553</v>
      </c>
      <c r="I16" s="1418" t="s">
        <v>10554</v>
      </c>
      <c r="J16" s="1418" t="s">
        <v>10555</v>
      </c>
      <c r="K16" s="1418" t="s">
        <v>10556</v>
      </c>
      <c r="L16" s="1418" t="s">
        <v>5835</v>
      </c>
      <c r="M16" s="1631">
        <v>0.05224537037037037</v>
      </c>
      <c r="N16" s="1630" t="str">
        <f t="shared" si="1"/>
        <v>1:28</v>
      </c>
      <c r="O16" s="1418" t="s">
        <v>10557</v>
      </c>
    </row>
    <row r="17" ht="15.75" customHeight="1">
      <c r="A17" s="1517" t="s">
        <v>6263</v>
      </c>
      <c r="B17" s="1498" t="s">
        <v>8311</v>
      </c>
      <c r="C17" s="1628">
        <v>0.05133101851851852</v>
      </c>
      <c r="D17" s="1418" t="s">
        <v>10558</v>
      </c>
      <c r="E17" s="1419" t="s">
        <v>10559</v>
      </c>
      <c r="F17" s="1418" t="s">
        <v>10560</v>
      </c>
      <c r="G17" s="1421" t="s">
        <v>10561</v>
      </c>
      <c r="H17" s="1421" t="s">
        <v>10562</v>
      </c>
      <c r="I17" s="1418" t="s">
        <v>10563</v>
      </c>
      <c r="J17" s="1418" t="s">
        <v>10564</v>
      </c>
      <c r="K17" s="1418" t="s">
        <v>10565</v>
      </c>
      <c r="L17" s="1418" t="s">
        <v>10566</v>
      </c>
      <c r="M17" s="1631">
        <v>0.05197916666666667</v>
      </c>
      <c r="N17" s="1630" t="str">
        <f t="shared" si="1"/>
        <v>0:56</v>
      </c>
      <c r="O17" s="1418" t="s">
        <v>10567</v>
      </c>
    </row>
    <row r="18" ht="15.75" customHeight="1">
      <c r="A18" s="1590" t="s">
        <v>8724</v>
      </c>
      <c r="B18" s="1397" t="s">
        <v>8311</v>
      </c>
      <c r="C18" s="1632">
        <v>0.05144675925925926</v>
      </c>
      <c r="D18" s="1418" t="s">
        <v>10568</v>
      </c>
      <c r="E18" s="1637" t="s">
        <v>10569</v>
      </c>
      <c r="F18" s="1418" t="s">
        <v>10570</v>
      </c>
      <c r="G18" s="1418" t="s">
        <v>10571</v>
      </c>
      <c r="H18" s="1418" t="s">
        <v>10572</v>
      </c>
      <c r="I18" s="1418" t="s">
        <v>9537</v>
      </c>
      <c r="J18" s="1418" t="s">
        <v>10573</v>
      </c>
      <c r="K18" s="1418" t="s">
        <v>10574</v>
      </c>
      <c r="L18" s="1640" t="s">
        <v>8613</v>
      </c>
      <c r="M18" s="1631">
        <v>0.05258101851851852</v>
      </c>
      <c r="N18" s="1630" t="str">
        <f t="shared" si="1"/>
        <v>1:38</v>
      </c>
      <c r="O18" s="1418" t="s">
        <v>10478</v>
      </c>
    </row>
    <row r="19" ht="15.75" customHeight="1">
      <c r="A19" s="1517" t="s">
        <v>8911</v>
      </c>
      <c r="B19" s="1498" t="s">
        <v>8339</v>
      </c>
      <c r="C19" s="1628">
        <v>0.05146990740740741</v>
      </c>
      <c r="D19" s="1641" t="s">
        <v>10452</v>
      </c>
      <c r="E19" s="1419" t="s">
        <v>9916</v>
      </c>
      <c r="F19" s="1641" t="s">
        <v>10453</v>
      </c>
      <c r="G19" s="1641" t="s">
        <v>10454</v>
      </c>
      <c r="H19" s="1641" t="s">
        <v>10455</v>
      </c>
      <c r="I19" s="1418" t="s">
        <v>10575</v>
      </c>
      <c r="J19" s="1641" t="s">
        <v>10457</v>
      </c>
      <c r="K19" s="1641" t="s">
        <v>10458</v>
      </c>
      <c r="L19" s="1642" t="s">
        <v>8927</v>
      </c>
      <c r="M19" s="1643">
        <v>0.05236111111111111</v>
      </c>
      <c r="N19" s="1630" t="str">
        <f t="shared" si="1"/>
        <v>1:17</v>
      </c>
      <c r="O19" s="1418" t="s">
        <v>10478</v>
      </c>
    </row>
    <row r="20" ht="15.75" customHeight="1">
      <c r="A20" s="1627" t="s">
        <v>826</v>
      </c>
      <c r="B20" s="1397" t="s">
        <v>8311</v>
      </c>
      <c r="C20" s="1632">
        <v>0.051550925925925924</v>
      </c>
      <c r="D20" s="1418" t="s">
        <v>10576</v>
      </c>
      <c r="E20" s="1637" t="s">
        <v>9885</v>
      </c>
      <c r="F20" s="1418" t="s">
        <v>10577</v>
      </c>
      <c r="G20" s="1418" t="s">
        <v>10578</v>
      </c>
      <c r="H20" s="1418" t="s">
        <v>10579</v>
      </c>
      <c r="I20" s="1418" t="s">
        <v>10580</v>
      </c>
      <c r="J20" s="1418" t="s">
        <v>10581</v>
      </c>
      <c r="K20" s="1418" t="s">
        <v>10582</v>
      </c>
      <c r="L20" s="1640" t="s">
        <v>10583</v>
      </c>
      <c r="M20" s="1631">
        <v>0.05229166666666667</v>
      </c>
      <c r="N20" s="1630" t="str">
        <f t="shared" si="1"/>
        <v>1:04</v>
      </c>
      <c r="O20" s="1418" t="s">
        <v>10478</v>
      </c>
    </row>
    <row r="21">
      <c r="A21" s="1644" t="s">
        <v>1945</v>
      </c>
      <c r="B21" s="1533" t="s">
        <v>8365</v>
      </c>
      <c r="C21" s="1628">
        <v>0.05158564814814815</v>
      </c>
      <c r="D21" s="1645" t="s">
        <v>10459</v>
      </c>
      <c r="E21" s="1646" t="s">
        <v>10460</v>
      </c>
      <c r="F21" s="1645" t="s">
        <v>10461</v>
      </c>
      <c r="G21" s="1645" t="s">
        <v>10462</v>
      </c>
      <c r="H21" s="1645" t="s">
        <v>10463</v>
      </c>
      <c r="I21" s="1645" t="s">
        <v>10464</v>
      </c>
      <c r="J21" s="1645" t="s">
        <v>10465</v>
      </c>
      <c r="K21" s="1645" t="s">
        <v>10466</v>
      </c>
      <c r="L21" s="1645" t="s">
        <v>8397</v>
      </c>
      <c r="M21" s="1647">
        <v>0.052141203703703703</v>
      </c>
      <c r="N21" s="1630" t="str">
        <f t="shared" si="1"/>
        <v>0:48</v>
      </c>
      <c r="O21" s="1418" t="s">
        <v>10584</v>
      </c>
    </row>
    <row r="22" ht="15.75" customHeight="1">
      <c r="A22" s="1558" t="s">
        <v>2810</v>
      </c>
      <c r="B22" s="1498" t="s">
        <v>8311</v>
      </c>
      <c r="C22" s="1632">
        <v>0.051706365740740744</v>
      </c>
      <c r="D22" s="1489" t="s">
        <v>10585</v>
      </c>
      <c r="E22" s="1419" t="s">
        <v>10586</v>
      </c>
      <c r="F22" s="1418" t="s">
        <v>10587</v>
      </c>
      <c r="G22" s="1418" t="s">
        <v>10588</v>
      </c>
      <c r="H22" s="1418" t="s">
        <v>10589</v>
      </c>
      <c r="I22" s="1418" t="s">
        <v>10590</v>
      </c>
      <c r="J22" s="1418" t="s">
        <v>10591</v>
      </c>
      <c r="K22" s="1418" t="s">
        <v>10592</v>
      </c>
      <c r="L22" s="1418" t="s">
        <v>9256</v>
      </c>
      <c r="M22" s="1631">
        <v>0.0525</v>
      </c>
      <c r="N22" s="1631" t="str">
        <f t="shared" si="1"/>
        <v>1:09</v>
      </c>
      <c r="O22" s="1418"/>
    </row>
    <row r="23" ht="15.75" customHeight="1">
      <c r="A23" s="1648" t="s">
        <v>2090</v>
      </c>
      <c r="B23" s="1525" t="s">
        <v>8311</v>
      </c>
      <c r="C23" s="1632">
        <v>0.05171296296296296</v>
      </c>
      <c r="D23" s="1649" t="s">
        <v>10593</v>
      </c>
      <c r="E23" s="1649" t="s">
        <v>10594</v>
      </c>
      <c r="F23" s="1649" t="s">
        <v>10595</v>
      </c>
      <c r="G23" s="1649" t="s">
        <v>10596</v>
      </c>
      <c r="H23" s="1489" t="s">
        <v>10597</v>
      </c>
      <c r="I23" s="1649" t="s">
        <v>10598</v>
      </c>
      <c r="J23" s="1489" t="s">
        <v>10599</v>
      </c>
      <c r="K23" s="1649" t="s">
        <v>10600</v>
      </c>
      <c r="L23" s="1489" t="s">
        <v>7781</v>
      </c>
      <c r="M23" s="1631">
        <v>0.054375</v>
      </c>
      <c r="N23" s="1630" t="str">
        <f t="shared" si="1"/>
        <v>3:50</v>
      </c>
      <c r="O23" s="1418" t="s">
        <v>10601</v>
      </c>
    </row>
    <row r="24">
      <c r="A24" s="1644" t="s">
        <v>3250</v>
      </c>
      <c r="B24" s="1650" t="s">
        <v>8311</v>
      </c>
      <c r="C24" s="1628">
        <v>0.051719560185185184</v>
      </c>
      <c r="D24" s="1651" t="s">
        <v>10602</v>
      </c>
      <c r="E24" s="1652" t="s">
        <v>9042</v>
      </c>
      <c r="F24" s="1625" t="s">
        <v>10603</v>
      </c>
      <c r="G24" s="1625" t="s">
        <v>10604</v>
      </c>
      <c r="H24" s="1625" t="s">
        <v>10605</v>
      </c>
      <c r="I24" s="1625" t="s">
        <v>10606</v>
      </c>
      <c r="J24" s="1625" t="s">
        <v>10607</v>
      </c>
      <c r="K24" s="1625" t="s">
        <v>10608</v>
      </c>
      <c r="L24" s="1625" t="s">
        <v>9234</v>
      </c>
      <c r="M24" s="1631">
        <v>0.05334490740740741</v>
      </c>
      <c r="N24" s="1631" t="str">
        <f t="shared" si="1"/>
        <v>2:20</v>
      </c>
      <c r="O24" s="1418"/>
    </row>
    <row r="25" ht="15.75" customHeight="1">
      <c r="A25" s="1517" t="s">
        <v>2858</v>
      </c>
      <c r="B25" s="1498" t="s">
        <v>8311</v>
      </c>
      <c r="C25" s="1628">
        <v>0.05180160879629629</v>
      </c>
      <c r="D25" s="1489" t="s">
        <v>10609</v>
      </c>
      <c r="E25" s="1419" t="s">
        <v>10610</v>
      </c>
      <c r="F25" s="1418" t="s">
        <v>10611</v>
      </c>
      <c r="G25" s="1418" t="s">
        <v>10612</v>
      </c>
      <c r="H25" s="1418" t="s">
        <v>10613</v>
      </c>
      <c r="I25" s="1418" t="s">
        <v>10614</v>
      </c>
      <c r="J25" s="1418" t="s">
        <v>10615</v>
      </c>
      <c r="K25" s="1418" t="s">
        <v>10616</v>
      </c>
      <c r="L25" s="1418" t="s">
        <v>10617</v>
      </c>
      <c r="M25" s="1631">
        <v>0.05303240740740741</v>
      </c>
      <c r="N25" s="1630" t="str">
        <f t="shared" si="1"/>
        <v>1:46</v>
      </c>
      <c r="O25" s="1418"/>
    </row>
    <row r="26" ht="15.75" customHeight="1">
      <c r="A26" s="1558" t="s">
        <v>1254</v>
      </c>
      <c r="B26" s="1533" t="s">
        <v>8365</v>
      </c>
      <c r="C26" s="1632">
        <v>0.052088194444444444</v>
      </c>
      <c r="D26" s="1489" t="s">
        <v>10618</v>
      </c>
      <c r="E26" s="1419" t="s">
        <v>10619</v>
      </c>
      <c r="F26" s="1418" t="s">
        <v>10620</v>
      </c>
      <c r="G26" s="1418" t="s">
        <v>10621</v>
      </c>
      <c r="H26" s="1418" t="s">
        <v>10622</v>
      </c>
      <c r="I26" s="1418" t="s">
        <v>10623</v>
      </c>
      <c r="J26" s="1418" t="s">
        <v>10624</v>
      </c>
      <c r="K26" s="1418" t="s">
        <v>10625</v>
      </c>
      <c r="L26" s="1418" t="s">
        <v>9527</v>
      </c>
      <c r="M26" s="1631">
        <v>0.053043981481481484</v>
      </c>
      <c r="N26" s="1630" t="str">
        <f t="shared" si="1"/>
        <v>1:23</v>
      </c>
      <c r="O26" s="1418" t="s">
        <v>10478</v>
      </c>
    </row>
    <row r="27" ht="15.75" customHeight="1">
      <c r="A27" s="1558" t="s">
        <v>2526</v>
      </c>
      <c r="B27" s="1498" t="s">
        <v>8339</v>
      </c>
      <c r="C27" s="1632">
        <v>0.05215277777777778</v>
      </c>
      <c r="D27" s="1418" t="s">
        <v>10626</v>
      </c>
      <c r="E27" s="1641" t="s">
        <v>5766</v>
      </c>
      <c r="F27" s="1418" t="s">
        <v>10627</v>
      </c>
      <c r="G27" s="1418" t="s">
        <v>10628</v>
      </c>
      <c r="H27" s="1418" t="s">
        <v>10629</v>
      </c>
      <c r="I27" s="1418" t="s">
        <v>10511</v>
      </c>
      <c r="J27" s="1418" t="s">
        <v>10630</v>
      </c>
      <c r="K27" s="1418" t="s">
        <v>10631</v>
      </c>
      <c r="L27" s="1418" t="s">
        <v>9308</v>
      </c>
      <c r="M27" s="1631">
        <v>0.05399305555555556</v>
      </c>
      <c r="N27" s="1630" t="str">
        <f t="shared" si="1"/>
        <v>2:39</v>
      </c>
      <c r="O27" s="1418" t="s">
        <v>10632</v>
      </c>
    </row>
    <row r="28" ht="15.75" customHeight="1">
      <c r="A28" s="1517" t="s">
        <v>2893</v>
      </c>
      <c r="B28" s="1498" t="s">
        <v>8311</v>
      </c>
      <c r="C28" s="1653">
        <v>0.05216435185185185</v>
      </c>
      <c r="D28" s="1418" t="s">
        <v>10633</v>
      </c>
      <c r="E28" s="1419" t="s">
        <v>10634</v>
      </c>
      <c r="F28" s="1418" t="s">
        <v>10635</v>
      </c>
      <c r="G28" s="1418" t="s">
        <v>10636</v>
      </c>
      <c r="H28" s="1418" t="s">
        <v>10637</v>
      </c>
      <c r="I28" s="1418" t="s">
        <v>10638</v>
      </c>
      <c r="J28" s="1418" t="s">
        <v>10639</v>
      </c>
      <c r="K28" s="1418" t="s">
        <v>10640</v>
      </c>
      <c r="L28" s="1418" t="s">
        <v>10641</v>
      </c>
      <c r="M28" s="1654">
        <v>0.05337962962962963</v>
      </c>
      <c r="N28" s="1630" t="str">
        <f t="shared" si="1"/>
        <v>1:45</v>
      </c>
      <c r="O28" s="1418" t="s">
        <v>10642</v>
      </c>
    </row>
    <row r="29" ht="15.75" customHeight="1">
      <c r="A29" s="1558" t="s">
        <v>737</v>
      </c>
      <c r="B29" s="1498" t="s">
        <v>8339</v>
      </c>
      <c r="C29" s="1632">
        <v>0.05224537037037037</v>
      </c>
      <c r="D29" s="1418" t="s">
        <v>10643</v>
      </c>
      <c r="E29" s="1655" t="s">
        <v>10644</v>
      </c>
      <c r="F29" s="1418" t="s">
        <v>10645</v>
      </c>
      <c r="G29" s="1418" t="s">
        <v>10646</v>
      </c>
      <c r="H29" s="1418" t="s">
        <v>10647</v>
      </c>
      <c r="I29" s="1641" t="s">
        <v>10456</v>
      </c>
      <c r="J29" s="1418" t="s">
        <v>10648</v>
      </c>
      <c r="K29" s="1421" t="s">
        <v>10649</v>
      </c>
      <c r="L29" s="1418" t="s">
        <v>10650</v>
      </c>
      <c r="M29" s="1631">
        <v>0.053043981481481484</v>
      </c>
      <c r="N29" s="1630" t="str">
        <f t="shared" si="1"/>
        <v>1:09</v>
      </c>
      <c r="O29" s="1418" t="s">
        <v>10651</v>
      </c>
    </row>
    <row r="30" ht="15.75" customHeight="1">
      <c r="A30" s="1517" t="s">
        <v>2858</v>
      </c>
      <c r="B30" s="1533" t="s">
        <v>8339</v>
      </c>
      <c r="C30" s="1628">
        <v>0.052316898148148154</v>
      </c>
      <c r="D30" s="1489" t="s">
        <v>10652</v>
      </c>
      <c r="E30" s="1419" t="s">
        <v>10653</v>
      </c>
      <c r="F30" s="1418" t="s">
        <v>10654</v>
      </c>
      <c r="G30" s="1418" t="s">
        <v>10655</v>
      </c>
      <c r="H30" s="1418" t="s">
        <v>10656</v>
      </c>
      <c r="I30" s="1418" t="s">
        <v>10657</v>
      </c>
      <c r="J30" s="1418" t="s">
        <v>10658</v>
      </c>
      <c r="K30" s="1418" t="s">
        <v>10659</v>
      </c>
      <c r="L30" s="1418" t="s">
        <v>9007</v>
      </c>
      <c r="M30" s="1631">
        <v>0.0537625</v>
      </c>
      <c r="N30" s="1630" t="str">
        <f t="shared" si="1"/>
        <v>2:05</v>
      </c>
      <c r="O30" s="1418" t="s">
        <v>10478</v>
      </c>
    </row>
    <row r="31" ht="15.75" customHeight="1">
      <c r="A31" s="1558" t="s">
        <v>3812</v>
      </c>
      <c r="B31" s="1498" t="s">
        <v>8311</v>
      </c>
      <c r="C31" s="1632">
        <v>0.05238425925925926</v>
      </c>
      <c r="D31" s="1522" t="s">
        <v>10660</v>
      </c>
      <c r="E31" s="1419" t="s">
        <v>10634</v>
      </c>
      <c r="F31" s="1418" t="s">
        <v>10661</v>
      </c>
      <c r="G31" s="1656" t="s">
        <v>10662</v>
      </c>
      <c r="H31" s="1418" t="s">
        <v>10663</v>
      </c>
      <c r="I31" s="1418" t="s">
        <v>10664</v>
      </c>
      <c r="J31" s="1418" t="s">
        <v>10665</v>
      </c>
      <c r="K31" s="1418" t="s">
        <v>10666</v>
      </c>
      <c r="L31" s="1418" t="s">
        <v>9563</v>
      </c>
      <c r="M31" s="1631">
        <v>0.05340277777777778</v>
      </c>
      <c r="N31" s="1630" t="str">
        <f t="shared" si="1"/>
        <v>1:28</v>
      </c>
      <c r="O31" s="1418" t="s">
        <v>10667</v>
      </c>
    </row>
    <row r="32" ht="15.75" customHeight="1">
      <c r="A32" s="1657" t="s">
        <v>7657</v>
      </c>
      <c r="B32" s="1498" t="s">
        <v>8311</v>
      </c>
      <c r="C32" s="1632">
        <v>0.05258101851851852</v>
      </c>
      <c r="D32" s="1418" t="s">
        <v>10668</v>
      </c>
      <c r="E32" s="1419" t="s">
        <v>10669</v>
      </c>
      <c r="F32" s="1418" t="s">
        <v>10670</v>
      </c>
      <c r="G32" s="1418" t="s">
        <v>10671</v>
      </c>
      <c r="H32" s="1418" t="s">
        <v>10672</v>
      </c>
      <c r="I32" s="1418" t="s">
        <v>10673</v>
      </c>
      <c r="J32" s="1418" t="s">
        <v>10674</v>
      </c>
      <c r="K32" s="1418" t="s">
        <v>10675</v>
      </c>
      <c r="L32" s="1418" t="s">
        <v>10676</v>
      </c>
      <c r="M32" s="1631">
        <v>0.05425925925925926</v>
      </c>
      <c r="N32" s="1630" t="str">
        <f t="shared" si="1"/>
        <v>2:25</v>
      </c>
      <c r="O32" s="1418" t="s">
        <v>10677</v>
      </c>
    </row>
    <row r="33" ht="15.75" customHeight="1">
      <c r="A33" s="1517" t="s">
        <v>9589</v>
      </c>
      <c r="B33" s="1498" t="s">
        <v>8311</v>
      </c>
      <c r="C33" s="1628">
        <v>0.05268518518518518</v>
      </c>
      <c r="D33" s="1489" t="s">
        <v>10678</v>
      </c>
      <c r="E33" s="1419" t="s">
        <v>10679</v>
      </c>
      <c r="F33" s="1418" t="s">
        <v>10680</v>
      </c>
      <c r="G33" s="1418" t="s">
        <v>10681</v>
      </c>
      <c r="H33" s="1418" t="s">
        <v>10682</v>
      </c>
      <c r="I33" s="1418" t="s">
        <v>10683</v>
      </c>
      <c r="J33" s="1418" t="s">
        <v>10684</v>
      </c>
      <c r="K33" s="1418" t="s">
        <v>10685</v>
      </c>
      <c r="L33" s="1418" t="s">
        <v>9606</v>
      </c>
      <c r="M33" s="1631">
        <v>0.05331018518518518</v>
      </c>
      <c r="N33" s="1630" t="str">
        <f t="shared" si="1"/>
        <v>0:54</v>
      </c>
      <c r="O33" s="1418" t="s">
        <v>10686</v>
      </c>
    </row>
    <row r="34" ht="15.75" customHeight="1">
      <c r="A34" s="1558" t="s">
        <v>986</v>
      </c>
      <c r="B34" s="1615" t="s">
        <v>8339</v>
      </c>
      <c r="C34" s="1632">
        <v>0.05378472222222222</v>
      </c>
      <c r="D34" s="1489" t="s">
        <v>10687</v>
      </c>
      <c r="E34" s="1419" t="s">
        <v>10688</v>
      </c>
      <c r="F34" s="1418" t="s">
        <v>10689</v>
      </c>
      <c r="G34" s="1418" t="s">
        <v>10690</v>
      </c>
      <c r="H34" s="1418" t="s">
        <v>10691</v>
      </c>
      <c r="I34" s="1418" t="s">
        <v>7896</v>
      </c>
      <c r="J34" s="1418" t="s">
        <v>10692</v>
      </c>
      <c r="K34" s="1418" t="s">
        <v>10693</v>
      </c>
      <c r="L34" s="1418" t="s">
        <v>9357</v>
      </c>
      <c r="M34" s="1631">
        <v>0.054560185185185184</v>
      </c>
      <c r="N34" s="1630" t="str">
        <f t="shared" si="1"/>
        <v>1:07</v>
      </c>
      <c r="O34" s="1418"/>
    </row>
    <row r="35" ht="15.75" customHeight="1">
      <c r="A35" s="1558" t="s">
        <v>4822</v>
      </c>
      <c r="B35" s="1533" t="s">
        <v>8339</v>
      </c>
      <c r="C35" s="1632">
        <v>0.05748842592592593</v>
      </c>
      <c r="D35" s="1489" t="s">
        <v>10694</v>
      </c>
      <c r="E35" s="1419" t="s">
        <v>10695</v>
      </c>
      <c r="F35" s="1418" t="s">
        <v>10696</v>
      </c>
      <c r="G35" s="1418" t="s">
        <v>10697</v>
      </c>
      <c r="H35" s="1418" t="s">
        <v>10698</v>
      </c>
      <c r="I35" s="1418" t="s">
        <v>10699</v>
      </c>
      <c r="J35" s="1418" t="s">
        <v>10700</v>
      </c>
      <c r="K35" s="1418" t="s">
        <v>10701</v>
      </c>
      <c r="L35" s="1418" t="s">
        <v>10384</v>
      </c>
      <c r="M35" s="1631">
        <v>0.06149305555555556</v>
      </c>
      <c r="N35" s="1630" t="str">
        <f t="shared" si="1"/>
        <v>5:46</v>
      </c>
      <c r="O35" s="1418" t="s">
        <v>10478</v>
      </c>
    </row>
    <row r="36" ht="15.75" customHeight="1">
      <c r="A36" s="1517" t="s">
        <v>2245</v>
      </c>
      <c r="B36" s="1498" t="s">
        <v>8311</v>
      </c>
      <c r="C36" s="1628">
        <v>0.0499537037037037</v>
      </c>
      <c r="D36" s="1489" t="s">
        <v>10702</v>
      </c>
      <c r="E36" s="1419" t="s">
        <v>10703</v>
      </c>
      <c r="F36" s="1418" t="s">
        <v>10704</v>
      </c>
      <c r="G36" s="1418" t="s">
        <v>10705</v>
      </c>
      <c r="H36" s="1418" t="s">
        <v>10706</v>
      </c>
      <c r="I36" s="1418" t="s">
        <v>10707</v>
      </c>
      <c r="J36" s="1418" t="s">
        <v>10708</v>
      </c>
      <c r="K36" s="1418" t="s">
        <v>10709</v>
      </c>
      <c r="L36" s="1418" t="s">
        <v>2881</v>
      </c>
      <c r="M36" s="1631">
        <v>0.05228009259259259</v>
      </c>
      <c r="N36" s="1630" t="str">
        <f t="shared" si="1"/>
        <v>3:21</v>
      </c>
      <c r="O36" s="1418" t="s">
        <v>10710</v>
      </c>
    </row>
    <row r="37" ht="15.75" customHeight="1">
      <c r="A37" s="1517" t="s">
        <v>2214</v>
      </c>
      <c r="B37" s="1533" t="s">
        <v>8339</v>
      </c>
      <c r="C37" s="1658" t="s">
        <v>10711</v>
      </c>
      <c r="D37" s="1522" t="s">
        <v>10712</v>
      </c>
      <c r="E37" s="1419" t="s">
        <v>9082</v>
      </c>
      <c r="F37" s="1418" t="s">
        <v>10713</v>
      </c>
      <c r="G37" s="1418" t="s">
        <v>10714</v>
      </c>
      <c r="H37" s="1418" t="s">
        <v>10715</v>
      </c>
      <c r="I37" s="1418" t="s">
        <v>10716</v>
      </c>
      <c r="J37" s="1418" t="s">
        <v>10717</v>
      </c>
      <c r="K37" s="1418"/>
      <c r="L37" s="1418" t="s">
        <v>9140</v>
      </c>
      <c r="M37" s="1631">
        <v>0.05394675925925926</v>
      </c>
      <c r="N37" s="1631"/>
      <c r="O37" s="1418" t="s">
        <v>10718</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4" t="s">
        <v>10442</v>
      </c>
      <c r="D1" s="1685" t="s">
        <v>6502</v>
      </c>
      <c r="E1" s="1686" t="s">
        <v>6778</v>
      </c>
      <c r="F1" s="1687" t="s">
        <v>38</v>
      </c>
      <c r="G1" s="1688" t="s">
        <v>36</v>
      </c>
      <c r="H1" s="1684" t="s">
        <v>10443</v>
      </c>
      <c r="I1" s="1689" t="s">
        <v>39</v>
      </c>
      <c r="J1" s="1690" t="s">
        <v>6724</v>
      </c>
      <c r="K1" s="1327" t="s">
        <v>8307</v>
      </c>
      <c r="L1" s="1327" t="s">
        <v>8309</v>
      </c>
    </row>
    <row r="2" ht="15.75" customHeight="1">
      <c r="A2" s="1340" t="s">
        <v>8310</v>
      </c>
      <c r="B2" s="1603" t="s">
        <v>8311</v>
      </c>
      <c r="C2" s="1343" t="s">
        <v>10444</v>
      </c>
      <c r="D2" s="1345" t="s">
        <v>10719</v>
      </c>
      <c r="E2" s="1691" t="s">
        <v>10720</v>
      </c>
      <c r="F2" s="1692" t="s">
        <v>10721</v>
      </c>
      <c r="G2" s="1693" t="s">
        <v>10722</v>
      </c>
      <c r="H2" s="1605" t="s">
        <v>10723</v>
      </c>
      <c r="I2" s="1694" t="s">
        <v>10724</v>
      </c>
      <c r="J2" s="1695" t="s">
        <v>10725</v>
      </c>
      <c r="K2" s="1696" t="s">
        <v>8337</v>
      </c>
      <c r="L2" s="1697"/>
    </row>
    <row r="3" ht="15.75" customHeight="1">
      <c r="A3" s="1365" t="s">
        <v>8338</v>
      </c>
      <c r="B3" s="1615" t="s">
        <v>8339</v>
      </c>
      <c r="C3" s="1368" t="s">
        <v>10626</v>
      </c>
      <c r="D3" s="1369" t="s">
        <v>10726</v>
      </c>
      <c r="E3" s="1370" t="s">
        <v>10727</v>
      </c>
      <c r="F3" s="1371" t="s">
        <v>10728</v>
      </c>
      <c r="G3" s="1374" t="s">
        <v>10729</v>
      </c>
      <c r="H3" s="1368" t="s">
        <v>10730</v>
      </c>
      <c r="I3" s="1376" t="s">
        <v>10731</v>
      </c>
      <c r="J3" s="1378" t="s">
        <v>10732</v>
      </c>
      <c r="K3" s="1616">
        <v>0.053043981481481484</v>
      </c>
    </row>
    <row r="4" ht="15.75" customHeight="1">
      <c r="A4" s="1381" t="s">
        <v>8364</v>
      </c>
      <c r="B4" s="1619" t="s">
        <v>8365</v>
      </c>
      <c r="C4" s="1384" t="s">
        <v>10618</v>
      </c>
      <c r="D4" s="1385" t="s">
        <v>10733</v>
      </c>
      <c r="E4" s="1386" t="s">
        <v>10734</v>
      </c>
      <c r="F4" s="1387" t="s">
        <v>10735</v>
      </c>
      <c r="G4" s="1388" t="s">
        <v>10736</v>
      </c>
      <c r="H4" s="1384" t="s">
        <v>10737</v>
      </c>
      <c r="I4" s="1390" t="s">
        <v>10738</v>
      </c>
      <c r="J4" s="1391" t="s">
        <v>10739</v>
      </c>
      <c r="K4" s="1620">
        <v>0.053043981481481484</v>
      </c>
    </row>
    <row r="5" ht="15.75" customHeight="1">
      <c r="A5" s="1558" t="s">
        <v>1128</v>
      </c>
      <c r="B5" s="1498" t="s">
        <v>8311</v>
      </c>
      <c r="C5" s="1624" t="s">
        <v>10444</v>
      </c>
      <c r="D5" s="1624" t="s">
        <v>10719</v>
      </c>
      <c r="E5" s="1624" t="s">
        <v>10720</v>
      </c>
      <c r="F5" s="1624" t="s">
        <v>10721</v>
      </c>
      <c r="G5" s="1624" t="s">
        <v>10722</v>
      </c>
      <c r="H5" s="1624" t="s">
        <v>10723</v>
      </c>
      <c r="I5" s="1624" t="s">
        <v>10724</v>
      </c>
      <c r="J5" s="1624" t="s">
        <v>10725</v>
      </c>
      <c r="K5" s="1698" t="s">
        <v>8337</v>
      </c>
      <c r="L5" s="1418" t="s">
        <v>10740</v>
      </c>
    </row>
    <row r="6" ht="15.75" customHeight="1">
      <c r="A6" s="1699" t="s">
        <v>6191</v>
      </c>
      <c r="B6" s="1498" t="s">
        <v>8311</v>
      </c>
      <c r="C6" s="1567" t="s">
        <v>10487</v>
      </c>
      <c r="D6" s="1418" t="s">
        <v>10741</v>
      </c>
      <c r="E6" s="1418" t="s">
        <v>10742</v>
      </c>
      <c r="F6" s="1418" t="s">
        <v>10743</v>
      </c>
      <c r="G6" s="1418" t="s">
        <v>10744</v>
      </c>
      <c r="H6" s="1418" t="s">
        <v>10745</v>
      </c>
      <c r="I6" s="1418" t="s">
        <v>10746</v>
      </c>
      <c r="J6" s="1418" t="s">
        <v>10747</v>
      </c>
      <c r="K6" s="1418" t="s">
        <v>8524</v>
      </c>
      <c r="L6" s="1418"/>
    </row>
    <row r="7" ht="15.75" customHeight="1">
      <c r="A7" s="1590" t="s">
        <v>1945</v>
      </c>
      <c r="B7" s="1700" t="s">
        <v>8311</v>
      </c>
      <c r="C7" s="1418" t="s">
        <v>10479</v>
      </c>
      <c r="D7" s="1418" t="s">
        <v>10748</v>
      </c>
      <c r="E7" s="1656" t="s">
        <v>10749</v>
      </c>
      <c r="F7" s="1421" t="s">
        <v>10750</v>
      </c>
      <c r="G7" s="1701" t="s">
        <v>10751</v>
      </c>
      <c r="H7" s="1701" t="s">
        <v>10752</v>
      </c>
      <c r="I7" s="1418" t="s">
        <v>10753</v>
      </c>
      <c r="J7" s="1702" t="s">
        <v>10754</v>
      </c>
      <c r="K7" s="1702" t="s">
        <v>8479</v>
      </c>
      <c r="L7" s="1418" t="s">
        <v>10755</v>
      </c>
    </row>
    <row r="8" ht="15.75" customHeight="1">
      <c r="A8" s="1627" t="s">
        <v>435</v>
      </c>
      <c r="B8" s="1397" t="s">
        <v>8311</v>
      </c>
      <c r="C8" s="1421" t="s">
        <v>10473</v>
      </c>
      <c r="D8" s="1418" t="s">
        <v>10756</v>
      </c>
      <c r="E8" s="1418" t="s">
        <v>10757</v>
      </c>
      <c r="F8" s="1418" t="s">
        <v>10758</v>
      </c>
      <c r="G8" s="1418" t="s">
        <v>10759</v>
      </c>
      <c r="H8" s="1418" t="s">
        <v>10760</v>
      </c>
      <c r="I8" s="1418" t="s">
        <v>10761</v>
      </c>
      <c r="J8" s="1418" t="s">
        <v>10762</v>
      </c>
      <c r="K8" s="1418" t="s">
        <v>8437</v>
      </c>
      <c r="L8" s="1418"/>
    </row>
    <row r="9" ht="15.75" customHeight="1">
      <c r="A9" s="1590" t="s">
        <v>6269</v>
      </c>
      <c r="B9" s="1397" t="s">
        <v>8311</v>
      </c>
      <c r="C9" s="1418" t="s">
        <v>10763</v>
      </c>
      <c r="D9" s="1418" t="s">
        <v>10764</v>
      </c>
      <c r="E9" s="1418" t="s">
        <v>10765</v>
      </c>
      <c r="F9" s="1421" t="s">
        <v>10766</v>
      </c>
      <c r="G9" s="1421" t="s">
        <v>10767</v>
      </c>
      <c r="H9" s="1703" t="s">
        <v>10768</v>
      </c>
      <c r="I9" s="1421" t="s">
        <v>10769</v>
      </c>
      <c r="J9" s="1421" t="s">
        <v>10770</v>
      </c>
      <c r="K9" s="1418" t="s">
        <v>8458</v>
      </c>
      <c r="L9" s="1418"/>
    </row>
    <row r="10" ht="15.75" customHeight="1">
      <c r="A10" s="1558" t="s">
        <v>1648</v>
      </c>
      <c r="B10" s="1498" t="s">
        <v>8311</v>
      </c>
      <c r="C10" s="1704" t="s">
        <v>10510</v>
      </c>
      <c r="D10" s="1636" t="s">
        <v>10771</v>
      </c>
      <c r="E10" s="1636" t="s">
        <v>10772</v>
      </c>
      <c r="F10" s="1418" t="s">
        <v>10773</v>
      </c>
      <c r="G10" s="1656" t="s">
        <v>10774</v>
      </c>
      <c r="H10" s="1656" t="s">
        <v>10775</v>
      </c>
      <c r="I10" s="1656" t="s">
        <v>10776</v>
      </c>
      <c r="J10" s="1656" t="s">
        <v>10777</v>
      </c>
      <c r="K10" s="1656" t="s">
        <v>8674</v>
      </c>
      <c r="L10" s="1418" t="s">
        <v>10778</v>
      </c>
    </row>
    <row r="11" ht="15.75" customHeight="1">
      <c r="A11" s="1517" t="s">
        <v>911</v>
      </c>
      <c r="B11" s="1533" t="s">
        <v>8311</v>
      </c>
      <c r="C11" s="1705" t="s">
        <v>10501</v>
      </c>
      <c r="D11" s="1418" t="s">
        <v>10779</v>
      </c>
      <c r="E11" s="1418" t="s">
        <v>10780</v>
      </c>
      <c r="F11" s="1418" t="s">
        <v>10781</v>
      </c>
      <c r="G11" s="1418" t="s">
        <v>10782</v>
      </c>
      <c r="H11" s="1418" t="s">
        <v>10783</v>
      </c>
      <c r="I11" s="1418" t="s">
        <v>10784</v>
      </c>
      <c r="J11" s="1418" t="s">
        <v>10785</v>
      </c>
      <c r="K11" s="1418" t="s">
        <v>8547</v>
      </c>
      <c r="L11" s="1418" t="s">
        <v>10786</v>
      </c>
    </row>
    <row r="12" ht="15.75" customHeight="1">
      <c r="A12" s="1578" t="s">
        <v>2007</v>
      </c>
      <c r="B12" s="1397" t="s">
        <v>8311</v>
      </c>
      <c r="C12" s="1704" t="s">
        <v>10519</v>
      </c>
      <c r="D12" s="1418" t="s">
        <v>10787</v>
      </c>
      <c r="E12" s="1418" t="s">
        <v>10788</v>
      </c>
      <c r="F12" s="1418" t="s">
        <v>10789</v>
      </c>
      <c r="G12" s="1418" t="s">
        <v>10790</v>
      </c>
      <c r="H12" s="1418" t="s">
        <v>10791</v>
      </c>
      <c r="I12" s="1418" t="s">
        <v>10792</v>
      </c>
      <c r="J12" s="1418" t="s">
        <v>10793</v>
      </c>
      <c r="K12" s="1418" t="s">
        <v>8653</v>
      </c>
      <c r="L12" s="1418"/>
    </row>
    <row r="13" ht="15.75" customHeight="1">
      <c r="A13" s="1627" t="s">
        <v>329</v>
      </c>
      <c r="B13" s="1397" t="s">
        <v>8311</v>
      </c>
      <c r="C13" s="1418" t="s">
        <v>10794</v>
      </c>
      <c r="D13" s="1418" t="s">
        <v>10795</v>
      </c>
      <c r="E13" s="1418" t="s">
        <v>10796</v>
      </c>
      <c r="F13" s="1418" t="s">
        <v>10797</v>
      </c>
      <c r="G13" s="1418" t="s">
        <v>10798</v>
      </c>
      <c r="H13" s="1418" t="s">
        <v>10799</v>
      </c>
      <c r="I13" s="1418" t="s">
        <v>10800</v>
      </c>
      <c r="J13" s="1418" t="s">
        <v>10801</v>
      </c>
      <c r="K13" s="1418" t="s">
        <v>8503</v>
      </c>
      <c r="L13" s="1418"/>
    </row>
    <row r="14" ht="16.5" customHeight="1">
      <c r="A14" s="1638" t="s">
        <v>2631</v>
      </c>
      <c r="B14" s="1397" t="s">
        <v>8311</v>
      </c>
      <c r="C14" s="1418" t="s">
        <v>10535</v>
      </c>
      <c r="D14" s="1418" t="s">
        <v>10802</v>
      </c>
      <c r="E14" s="1418" t="s">
        <v>10803</v>
      </c>
      <c r="F14" s="1418" t="s">
        <v>10804</v>
      </c>
      <c r="G14" s="1418" t="s">
        <v>10805</v>
      </c>
      <c r="H14" s="1418" t="s">
        <v>10806</v>
      </c>
      <c r="I14" s="1418" t="s">
        <v>10807</v>
      </c>
      <c r="J14" s="1418" t="s">
        <v>10808</v>
      </c>
      <c r="K14" s="1418" t="s">
        <v>10809</v>
      </c>
      <c r="L14" s="1418" t="s">
        <v>10810</v>
      </c>
    </row>
    <row r="15" ht="15.0" customHeight="1">
      <c r="A15" s="1648" t="s">
        <v>1555</v>
      </c>
      <c r="B15" s="1525" t="s">
        <v>8311</v>
      </c>
      <c r="C15" s="1705" t="s">
        <v>10811</v>
      </c>
      <c r="D15" s="1418" t="s">
        <v>10812</v>
      </c>
      <c r="E15" s="1418" t="s">
        <v>10813</v>
      </c>
      <c r="F15" s="1418" t="s">
        <v>10814</v>
      </c>
      <c r="G15" s="1418" t="s">
        <v>10815</v>
      </c>
      <c r="H15" s="1418" t="s">
        <v>10816</v>
      </c>
      <c r="I15" s="1418" t="s">
        <v>10817</v>
      </c>
      <c r="J15" s="1418" t="s">
        <v>10818</v>
      </c>
      <c r="K15" s="1418" t="s">
        <v>8987</v>
      </c>
      <c r="L15" s="1418"/>
    </row>
    <row r="16" ht="15.75" customHeight="1">
      <c r="A16" s="1558" t="s">
        <v>6263</v>
      </c>
      <c r="B16" s="1397" t="s">
        <v>8311</v>
      </c>
      <c r="C16" s="1418" t="s">
        <v>10558</v>
      </c>
      <c r="D16" s="1418" t="s">
        <v>10819</v>
      </c>
      <c r="E16" s="1418" t="s">
        <v>10820</v>
      </c>
      <c r="F16" s="1418" t="s">
        <v>10821</v>
      </c>
      <c r="G16" s="1418" t="s">
        <v>10822</v>
      </c>
      <c r="H16" s="1418" t="s">
        <v>10823</v>
      </c>
      <c r="I16" s="1418" t="s">
        <v>10824</v>
      </c>
      <c r="J16" s="1418" t="s">
        <v>10825</v>
      </c>
      <c r="K16" s="1418" t="s">
        <v>8848</v>
      </c>
      <c r="L16" s="1418" t="s">
        <v>10826</v>
      </c>
    </row>
    <row r="17" ht="15.75" customHeight="1">
      <c r="A17" s="1627" t="s">
        <v>1415</v>
      </c>
      <c r="B17" s="1397" t="s">
        <v>8311</v>
      </c>
      <c r="C17" s="1418" t="s">
        <v>10827</v>
      </c>
      <c r="D17" s="1418" t="s">
        <v>10828</v>
      </c>
      <c r="E17" s="1418" t="s">
        <v>10829</v>
      </c>
      <c r="F17" s="1418" t="s">
        <v>10830</v>
      </c>
      <c r="G17" s="1418" t="s">
        <v>10831</v>
      </c>
      <c r="H17" s="1418" t="s">
        <v>10832</v>
      </c>
      <c r="I17" s="1418" t="s">
        <v>10833</v>
      </c>
      <c r="J17" s="1418" t="s">
        <v>10834</v>
      </c>
      <c r="K17" s="1418" t="s">
        <v>8824</v>
      </c>
      <c r="L17" s="1418"/>
    </row>
    <row r="18" ht="15.75" customHeight="1">
      <c r="A18" s="1558" t="s">
        <v>2245</v>
      </c>
      <c r="B18" s="1533" t="s">
        <v>8311</v>
      </c>
      <c r="C18" s="1705" t="s">
        <v>10702</v>
      </c>
      <c r="D18" s="1418" t="s">
        <v>10835</v>
      </c>
      <c r="E18" s="1418" t="s">
        <v>10836</v>
      </c>
      <c r="F18" s="1418" t="s">
        <v>10837</v>
      </c>
      <c r="G18" s="1418" t="s">
        <v>10838</v>
      </c>
      <c r="H18" s="1418" t="s">
        <v>10839</v>
      </c>
      <c r="I18" s="1418" t="s">
        <v>10840</v>
      </c>
      <c r="J18" s="1418" t="s">
        <v>10841</v>
      </c>
      <c r="K18" s="1418" t="s">
        <v>8722</v>
      </c>
      <c r="L18" s="1418" t="s">
        <v>10842</v>
      </c>
    </row>
    <row r="19" ht="15.75" customHeight="1">
      <c r="A19" s="1627" t="s">
        <v>826</v>
      </c>
      <c r="B19" s="1397" t="s">
        <v>8311</v>
      </c>
      <c r="C19" s="1418" t="s">
        <v>10843</v>
      </c>
      <c r="D19" s="1418" t="s">
        <v>10844</v>
      </c>
      <c r="E19" s="1418" t="s">
        <v>10845</v>
      </c>
      <c r="F19" s="1418" t="s">
        <v>10846</v>
      </c>
      <c r="G19" s="1418" t="s">
        <v>10847</v>
      </c>
      <c r="H19" s="1418" t="s">
        <v>10848</v>
      </c>
      <c r="I19" s="1418" t="s">
        <v>10849</v>
      </c>
      <c r="J19" s="1418" t="s">
        <v>10850</v>
      </c>
      <c r="K19" s="1418" t="s">
        <v>9141</v>
      </c>
      <c r="L19" s="1418"/>
    </row>
    <row r="20" ht="15.75" customHeight="1">
      <c r="A20" s="1558" t="s">
        <v>1725</v>
      </c>
      <c r="B20" s="1498" t="s">
        <v>8311</v>
      </c>
      <c r="C20" s="1418" t="s">
        <v>10851</v>
      </c>
      <c r="D20" s="1418" t="s">
        <v>10852</v>
      </c>
      <c r="E20" s="1656" t="s">
        <v>10853</v>
      </c>
      <c r="F20" s="1418" t="s">
        <v>10854</v>
      </c>
      <c r="G20" s="1418" t="s">
        <v>10855</v>
      </c>
      <c r="H20" s="1418" t="s">
        <v>10856</v>
      </c>
      <c r="I20" s="1418" t="s">
        <v>10857</v>
      </c>
      <c r="J20" s="1418" t="s">
        <v>10858</v>
      </c>
      <c r="K20" s="1418" t="s">
        <v>8873</v>
      </c>
      <c r="L20" s="1418"/>
    </row>
    <row r="21" ht="15.75" customHeight="1">
      <c r="A21" s="1590" t="s">
        <v>8724</v>
      </c>
      <c r="B21" s="1397" t="s">
        <v>8311</v>
      </c>
      <c r="C21" s="1418" t="s">
        <v>10568</v>
      </c>
      <c r="D21" s="1418" t="s">
        <v>10859</v>
      </c>
      <c r="E21" s="1418" t="s">
        <v>10860</v>
      </c>
      <c r="F21" s="1418" t="s">
        <v>10861</v>
      </c>
      <c r="G21" s="1418" t="s">
        <v>10862</v>
      </c>
      <c r="H21" s="1418" t="s">
        <v>10863</v>
      </c>
      <c r="I21" s="1418" t="s">
        <v>10864</v>
      </c>
      <c r="J21" s="1418" t="s">
        <v>10865</v>
      </c>
      <c r="K21" s="1418" t="s">
        <v>8740</v>
      </c>
      <c r="L21" s="1418"/>
    </row>
    <row r="22" ht="15.75" customHeight="1">
      <c r="A22" s="1558" t="s">
        <v>737</v>
      </c>
      <c r="B22" s="1498" t="s">
        <v>8339</v>
      </c>
      <c r="C22" s="1418" t="s">
        <v>10866</v>
      </c>
      <c r="D22" s="1641" t="s">
        <v>10726</v>
      </c>
      <c r="E22" s="1641" t="s">
        <v>10727</v>
      </c>
      <c r="F22" s="1641" t="s">
        <v>10728</v>
      </c>
      <c r="G22" s="1641" t="s">
        <v>10729</v>
      </c>
      <c r="H22" s="1641" t="s">
        <v>10730</v>
      </c>
      <c r="I22" s="1641" t="s">
        <v>10731</v>
      </c>
      <c r="J22" s="1641" t="s">
        <v>10732</v>
      </c>
      <c r="K22" s="1641" t="s">
        <v>8698</v>
      </c>
      <c r="L22" s="1418" t="s">
        <v>10867</v>
      </c>
    </row>
    <row r="23" ht="15.75" customHeight="1">
      <c r="A23" s="1517" t="s">
        <v>1254</v>
      </c>
      <c r="B23" s="1498" t="s">
        <v>8365</v>
      </c>
      <c r="C23" s="1526" t="s">
        <v>10618</v>
      </c>
      <c r="D23" s="1526" t="s">
        <v>10733</v>
      </c>
      <c r="E23" s="1526" t="s">
        <v>10734</v>
      </c>
      <c r="F23" s="1526" t="s">
        <v>10735</v>
      </c>
      <c r="G23" s="1526" t="s">
        <v>10736</v>
      </c>
      <c r="H23" s="1526" t="s">
        <v>10737</v>
      </c>
      <c r="I23" s="1526" t="s">
        <v>10738</v>
      </c>
      <c r="J23" s="1526" t="s">
        <v>10739</v>
      </c>
      <c r="K23" s="1526" t="s">
        <v>8698</v>
      </c>
      <c r="L23" s="1418"/>
    </row>
    <row r="24" ht="16.5" customHeight="1">
      <c r="A24" s="1517" t="s">
        <v>10868</v>
      </c>
      <c r="B24" s="1498" t="s">
        <v>8311</v>
      </c>
      <c r="C24" s="1649" t="s">
        <v>10593</v>
      </c>
      <c r="D24" s="1418" t="s">
        <v>10869</v>
      </c>
      <c r="E24" s="1418" t="s">
        <v>10870</v>
      </c>
      <c r="F24" s="1418" t="s">
        <v>10871</v>
      </c>
      <c r="G24" s="1418" t="s">
        <v>10862</v>
      </c>
      <c r="H24" s="1418" t="s">
        <v>10872</v>
      </c>
      <c r="I24" s="1418" t="s">
        <v>10873</v>
      </c>
      <c r="J24" s="1418" t="s">
        <v>10874</v>
      </c>
      <c r="K24" s="1418" t="s">
        <v>9332</v>
      </c>
      <c r="L24" s="1418"/>
    </row>
    <row r="25" ht="15.75" customHeight="1">
      <c r="A25" s="1558" t="s">
        <v>3250</v>
      </c>
      <c r="B25" s="1498" t="s">
        <v>8311</v>
      </c>
      <c r="C25" s="1705" t="s">
        <v>10602</v>
      </c>
      <c r="D25" s="1418" t="s">
        <v>10875</v>
      </c>
      <c r="E25" s="1418" t="s">
        <v>10876</v>
      </c>
      <c r="F25" s="1418" t="s">
        <v>10877</v>
      </c>
      <c r="G25" s="1418" t="s">
        <v>10878</v>
      </c>
      <c r="H25" s="1418" t="s">
        <v>10879</v>
      </c>
      <c r="I25" s="1418" t="s">
        <v>10880</v>
      </c>
      <c r="J25" s="1418" t="s">
        <v>10881</v>
      </c>
      <c r="K25" s="1418" t="s">
        <v>9235</v>
      </c>
      <c r="L25" s="1418"/>
    </row>
    <row r="26" ht="15.75" customHeight="1">
      <c r="A26" s="1517" t="s">
        <v>2893</v>
      </c>
      <c r="B26" s="1498" t="s">
        <v>8311</v>
      </c>
      <c r="C26" s="1418" t="s">
        <v>10882</v>
      </c>
      <c r="D26" s="1418" t="s">
        <v>10883</v>
      </c>
      <c r="E26" s="1418" t="s">
        <v>10884</v>
      </c>
      <c r="F26" s="1418" t="s">
        <v>10885</v>
      </c>
      <c r="G26" s="1418" t="s">
        <v>10886</v>
      </c>
      <c r="H26" s="1418" t="s">
        <v>10887</v>
      </c>
      <c r="I26" s="1418" t="s">
        <v>10888</v>
      </c>
      <c r="J26" s="1418" t="s">
        <v>10889</v>
      </c>
      <c r="K26" s="1418" t="s">
        <v>10890</v>
      </c>
      <c r="L26" s="1418" t="s">
        <v>10891</v>
      </c>
    </row>
    <row r="27">
      <c r="A27" s="1657" t="s">
        <v>2858</v>
      </c>
      <c r="B27" s="1634" t="s">
        <v>8339</v>
      </c>
      <c r="C27" s="1705" t="s">
        <v>10892</v>
      </c>
      <c r="D27" s="1418"/>
      <c r="E27" s="1418" t="s">
        <v>10893</v>
      </c>
      <c r="F27" s="1418" t="s">
        <v>10894</v>
      </c>
      <c r="G27" s="1418"/>
      <c r="H27" s="1418"/>
      <c r="I27" s="1418"/>
      <c r="J27" s="1418"/>
      <c r="K27" s="1418" t="s">
        <v>9421</v>
      </c>
      <c r="L27" s="1418"/>
    </row>
    <row r="28" ht="15.75" customHeight="1">
      <c r="A28" s="1558" t="s">
        <v>2526</v>
      </c>
      <c r="B28" s="1525" t="s">
        <v>8339</v>
      </c>
      <c r="C28" s="1641" t="s">
        <v>10626</v>
      </c>
      <c r="D28" s="1418" t="s">
        <v>10895</v>
      </c>
      <c r="E28" s="1418" t="s">
        <v>10896</v>
      </c>
      <c r="F28" s="1418" t="s">
        <v>10897</v>
      </c>
      <c r="G28" s="1418" t="s">
        <v>10898</v>
      </c>
      <c r="H28" s="1418" t="s">
        <v>10899</v>
      </c>
      <c r="I28" s="1418" t="s">
        <v>10900</v>
      </c>
      <c r="J28" s="1418" t="s">
        <v>10901</v>
      </c>
      <c r="K28" s="1418" t="s">
        <v>9309</v>
      </c>
      <c r="L28" s="1418"/>
    </row>
    <row r="29">
      <c r="A29" s="1644" t="s">
        <v>2214</v>
      </c>
      <c r="B29" s="1533" t="s">
        <v>8339</v>
      </c>
      <c r="C29" s="1418" t="s">
        <v>10712</v>
      </c>
      <c r="D29" s="1418" t="s">
        <v>10902</v>
      </c>
      <c r="E29" s="1418" t="s">
        <v>10903</v>
      </c>
      <c r="F29" s="1418" t="s">
        <v>10904</v>
      </c>
      <c r="G29" s="1418" t="s">
        <v>10905</v>
      </c>
      <c r="H29" s="1418" t="s">
        <v>10906</v>
      </c>
      <c r="I29" s="1418" t="s">
        <v>10907</v>
      </c>
      <c r="J29" s="1418" t="s">
        <v>10908</v>
      </c>
      <c r="K29" s="1418" t="s">
        <v>10909</v>
      </c>
      <c r="L29" s="1418" t="s">
        <v>10910</v>
      </c>
    </row>
    <row r="30" ht="15.75" customHeight="1">
      <c r="A30" s="1517" t="s">
        <v>5342</v>
      </c>
      <c r="B30" s="1498" t="s">
        <v>8311</v>
      </c>
      <c r="C30" s="1705" t="s">
        <v>10911</v>
      </c>
      <c r="D30" s="1418" t="s">
        <v>10912</v>
      </c>
      <c r="E30" s="1418" t="s">
        <v>10913</v>
      </c>
      <c r="F30" s="1418" t="s">
        <v>10914</v>
      </c>
      <c r="G30" s="1418" t="s">
        <v>10915</v>
      </c>
      <c r="H30" s="1418" t="s">
        <v>10916</v>
      </c>
      <c r="I30" s="1418" t="s">
        <v>10917</v>
      </c>
      <c r="J30" s="1418" t="s">
        <v>10918</v>
      </c>
      <c r="K30" s="1418" t="s">
        <v>10919</v>
      </c>
      <c r="L30" s="1418" t="s">
        <v>10920</v>
      </c>
    </row>
    <row r="31" ht="15.75" customHeight="1">
      <c r="A31" s="1517" t="s">
        <v>4822</v>
      </c>
      <c r="B31" s="1498" t="s">
        <v>8339</v>
      </c>
      <c r="C31" s="1705" t="s">
        <v>10694</v>
      </c>
      <c r="D31" s="1418" t="s">
        <v>10921</v>
      </c>
      <c r="E31" s="1418" t="s">
        <v>10922</v>
      </c>
      <c r="F31" s="1418" t="s">
        <v>10923</v>
      </c>
      <c r="G31" s="1418" t="s">
        <v>10924</v>
      </c>
      <c r="H31" s="1418" t="s">
        <v>10925</v>
      </c>
      <c r="I31" s="1418" t="s">
        <v>10926</v>
      </c>
      <c r="J31" s="1418" t="s">
        <v>10927</v>
      </c>
      <c r="K31" s="1418" t="s">
        <v>10385</v>
      </c>
      <c r="L31" s="1418" t="s">
        <v>10928</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10929</v>
      </c>
      <c r="C1" s="1710" t="s">
        <v>43</v>
      </c>
      <c r="D1" s="1711" t="s">
        <v>10930</v>
      </c>
      <c r="E1" s="1710" t="s">
        <v>10931</v>
      </c>
      <c r="F1" s="1712" t="s">
        <v>10932</v>
      </c>
    </row>
    <row r="2">
      <c r="A2" s="1713"/>
      <c r="B2" s="1714"/>
      <c r="C2" s="1714"/>
      <c r="D2" s="1714"/>
      <c r="E2" s="1714"/>
      <c r="F2" s="1714"/>
    </row>
    <row r="3">
      <c r="A3" s="1713"/>
      <c r="B3" s="1714"/>
      <c r="C3" s="1714"/>
      <c r="D3" s="1714"/>
      <c r="E3" s="1714"/>
      <c r="F3" s="1714"/>
    </row>
    <row r="4">
      <c r="A4" s="1715" t="s">
        <v>10933</v>
      </c>
      <c r="B4" s="1716" t="s">
        <v>10934</v>
      </c>
      <c r="C4" s="1717"/>
      <c r="D4" s="1717"/>
      <c r="E4" s="1717"/>
      <c r="F4" s="1718"/>
    </row>
    <row r="5">
      <c r="A5" s="1714"/>
      <c r="B5" s="1719"/>
      <c r="C5" s="1720"/>
      <c r="D5" s="1720"/>
      <c r="E5" s="1720"/>
      <c r="F5" s="1721"/>
    </row>
    <row r="6">
      <c r="A6" s="1722" t="s">
        <v>10934</v>
      </c>
      <c r="B6" s="1723" t="s">
        <v>10935</v>
      </c>
      <c r="C6" s="1724" t="s">
        <v>4145</v>
      </c>
      <c r="D6" s="1725" t="s">
        <v>10936</v>
      </c>
      <c r="E6" s="1724" t="s">
        <v>10937</v>
      </c>
      <c r="F6" s="1726">
        <v>44233.0</v>
      </c>
    </row>
    <row r="7">
      <c r="A7" s="1722" t="s">
        <v>10938</v>
      </c>
      <c r="B7" s="1727" t="s">
        <v>10939</v>
      </c>
      <c r="C7" s="1724" t="s">
        <v>826</v>
      </c>
      <c r="D7" s="1725" t="s">
        <v>10940</v>
      </c>
      <c r="E7" s="1724" t="s">
        <v>10937</v>
      </c>
      <c r="F7" s="1726">
        <v>43878.0</v>
      </c>
    </row>
    <row r="8">
      <c r="A8" s="1722" t="s">
        <v>10941</v>
      </c>
      <c r="B8" s="1728" t="s">
        <v>10942</v>
      </c>
      <c r="C8" s="1724" t="s">
        <v>329</v>
      </c>
      <c r="D8" s="1725" t="s">
        <v>10943</v>
      </c>
      <c r="E8" s="1724" t="s">
        <v>10937</v>
      </c>
      <c r="F8" s="1726">
        <v>43879.0</v>
      </c>
    </row>
    <row r="9">
      <c r="A9" s="1722" t="s">
        <v>10944</v>
      </c>
      <c r="B9" s="1729" t="s">
        <v>10945</v>
      </c>
      <c r="C9" s="1724" t="s">
        <v>3812</v>
      </c>
      <c r="D9" s="1725" t="s">
        <v>10946</v>
      </c>
      <c r="E9" s="1724" t="s">
        <v>10947</v>
      </c>
      <c r="F9" s="1726">
        <v>44084.0</v>
      </c>
    </row>
    <row r="10">
      <c r="A10" s="1722" t="s">
        <v>10948</v>
      </c>
      <c r="B10" s="1729" t="s">
        <v>10949</v>
      </c>
      <c r="C10" s="1730"/>
      <c r="D10" s="1731"/>
      <c r="E10" s="1730"/>
      <c r="F10" s="1730"/>
    </row>
    <row r="11">
      <c r="A11" s="1722" t="s">
        <v>10950</v>
      </c>
      <c r="B11" s="1716" t="s">
        <v>10938</v>
      </c>
      <c r="C11" s="1717"/>
      <c r="D11" s="1717"/>
      <c r="E11" s="1717"/>
      <c r="F11" s="1718"/>
    </row>
    <row r="12">
      <c r="A12" s="1722" t="s">
        <v>10951</v>
      </c>
      <c r="B12" s="1719"/>
      <c r="C12" s="1720"/>
      <c r="D12" s="1720"/>
      <c r="E12" s="1720"/>
      <c r="F12" s="1721"/>
    </row>
    <row r="13">
      <c r="A13" s="1722" t="s">
        <v>10952</v>
      </c>
      <c r="B13" s="1723" t="s">
        <v>10935</v>
      </c>
      <c r="C13" s="1724" t="s">
        <v>4145</v>
      </c>
      <c r="D13" s="1725" t="s">
        <v>10953</v>
      </c>
      <c r="E13" s="1724" t="s">
        <v>10937</v>
      </c>
      <c r="F13" s="1726">
        <v>44250.0</v>
      </c>
    </row>
    <row r="14" ht="15.75" customHeight="1">
      <c r="A14" s="1722" t="s">
        <v>10954</v>
      </c>
      <c r="B14" s="1727" t="s">
        <v>10939</v>
      </c>
      <c r="C14" s="1724" t="s">
        <v>4124</v>
      </c>
      <c r="D14" s="1725" t="s">
        <v>10955</v>
      </c>
      <c r="E14" s="1724" t="s">
        <v>10937</v>
      </c>
      <c r="F14" s="1726">
        <v>43364.0</v>
      </c>
    </row>
    <row r="15">
      <c r="A15" s="1722" t="s">
        <v>10956</v>
      </c>
      <c r="B15" s="1728" t="s">
        <v>10942</v>
      </c>
      <c r="C15" s="1724" t="s">
        <v>10957</v>
      </c>
      <c r="D15" s="1725" t="s">
        <v>10958</v>
      </c>
      <c r="E15" s="1724" t="s">
        <v>10947</v>
      </c>
      <c r="F15" s="1726">
        <v>43757.0</v>
      </c>
    </row>
    <row r="16">
      <c r="A16" s="1722" t="s">
        <v>10959</v>
      </c>
      <c r="B16" s="1729" t="s">
        <v>10945</v>
      </c>
      <c r="C16" s="1724" t="s">
        <v>10960</v>
      </c>
      <c r="D16" s="1725" t="s">
        <v>10961</v>
      </c>
      <c r="E16" s="1724" t="s">
        <v>10947</v>
      </c>
      <c r="F16" s="1726">
        <v>43438.0</v>
      </c>
    </row>
    <row r="17">
      <c r="A17" s="1722" t="s">
        <v>10962</v>
      </c>
      <c r="B17" s="1729" t="s">
        <v>10949</v>
      </c>
      <c r="C17" s="1730"/>
      <c r="D17" s="1731"/>
      <c r="E17" s="1730"/>
      <c r="F17" s="1730"/>
    </row>
    <row r="18">
      <c r="A18" s="1722" t="s">
        <v>10963</v>
      </c>
      <c r="B18" s="1732" t="s">
        <v>10941</v>
      </c>
      <c r="C18" s="1717"/>
      <c r="D18" s="1717"/>
      <c r="E18" s="1717"/>
      <c r="F18" s="1718"/>
    </row>
    <row r="19">
      <c r="A19" s="1722" t="s">
        <v>10964</v>
      </c>
      <c r="B19" s="1720"/>
      <c r="C19" s="1720"/>
      <c r="D19" s="1720"/>
      <c r="E19" s="1720"/>
      <c r="F19" s="1721"/>
    </row>
    <row r="20">
      <c r="A20" s="1733"/>
      <c r="B20" s="1723" t="s">
        <v>10935</v>
      </c>
      <c r="C20" s="1724" t="s">
        <v>10965</v>
      </c>
      <c r="D20" s="1725" t="s">
        <v>10966</v>
      </c>
      <c r="E20" s="1724" t="s">
        <v>10937</v>
      </c>
      <c r="F20" s="1726">
        <v>44021.0</v>
      </c>
    </row>
    <row r="21">
      <c r="A21" s="1733"/>
      <c r="B21" s="1727" t="s">
        <v>10939</v>
      </c>
      <c r="C21" s="1724" t="s">
        <v>5155</v>
      </c>
      <c r="D21" s="1725" t="s">
        <v>10967</v>
      </c>
      <c r="E21" s="1724" t="s">
        <v>10947</v>
      </c>
      <c r="F21" s="1726">
        <v>44022.0</v>
      </c>
    </row>
    <row r="22">
      <c r="A22" s="1734"/>
      <c r="B22" s="1728" t="s">
        <v>10942</v>
      </c>
      <c r="C22" s="1724" t="s">
        <v>10968</v>
      </c>
      <c r="D22" s="1725" t="s">
        <v>10969</v>
      </c>
      <c r="E22" s="1724" t="s">
        <v>10970</v>
      </c>
      <c r="F22" s="1726">
        <v>43884.0</v>
      </c>
    </row>
    <row r="23">
      <c r="A23" s="1734"/>
      <c r="B23" s="1729" t="s">
        <v>10945</v>
      </c>
      <c r="C23" s="1724" t="s">
        <v>5342</v>
      </c>
      <c r="D23" s="1725" t="s">
        <v>10971</v>
      </c>
      <c r="E23" s="1724" t="s">
        <v>10937</v>
      </c>
      <c r="F23" s="1726">
        <v>43892.0</v>
      </c>
    </row>
    <row r="24">
      <c r="A24" s="1734"/>
      <c r="B24" s="1729" t="s">
        <v>10949</v>
      </c>
      <c r="C24" s="1730"/>
      <c r="D24" s="1731"/>
      <c r="E24" s="1730"/>
      <c r="F24" s="1730"/>
    </row>
    <row r="25">
      <c r="A25" s="1734"/>
      <c r="B25" s="1716" t="s">
        <v>10944</v>
      </c>
      <c r="C25" s="1717"/>
      <c r="D25" s="1717"/>
      <c r="E25" s="1717"/>
      <c r="F25" s="1718"/>
    </row>
    <row r="26">
      <c r="A26" s="1734"/>
      <c r="B26" s="1719"/>
      <c r="C26" s="1720"/>
      <c r="D26" s="1720"/>
      <c r="E26" s="1720"/>
      <c r="F26" s="1721"/>
    </row>
    <row r="27">
      <c r="A27" s="1734"/>
      <c r="B27" s="1735" t="s">
        <v>10972</v>
      </c>
      <c r="C27" s="1717"/>
      <c r="D27" s="1717"/>
      <c r="E27" s="1717"/>
      <c r="F27" s="1718"/>
    </row>
    <row r="28">
      <c r="A28" s="1734"/>
      <c r="B28" s="1719"/>
      <c r="C28" s="1720"/>
      <c r="D28" s="1720"/>
      <c r="E28" s="1720"/>
      <c r="F28" s="1721"/>
    </row>
    <row r="29">
      <c r="A29" s="1734"/>
      <c r="B29" s="1723" t="s">
        <v>10935</v>
      </c>
      <c r="C29" s="1736" t="s">
        <v>435</v>
      </c>
      <c r="D29" s="1725" t="s">
        <v>10973</v>
      </c>
      <c r="E29" s="1724" t="s">
        <v>10937</v>
      </c>
      <c r="F29" s="1726">
        <v>43659.0</v>
      </c>
    </row>
    <row r="30">
      <c r="A30" s="1734"/>
      <c r="B30" s="1727" t="s">
        <v>10939</v>
      </c>
      <c r="C30" s="1724" t="s">
        <v>1555</v>
      </c>
      <c r="D30" s="1725" t="s">
        <v>10974</v>
      </c>
      <c r="E30" s="1724" t="s">
        <v>10937</v>
      </c>
      <c r="F30" s="1726">
        <v>43228.0</v>
      </c>
    </row>
    <row r="31">
      <c r="A31" s="1734"/>
      <c r="B31" s="1728" t="s">
        <v>10942</v>
      </c>
      <c r="C31" s="1730"/>
      <c r="D31" s="1737"/>
      <c r="E31" s="1730"/>
      <c r="F31" s="1730"/>
    </row>
    <row r="32">
      <c r="A32" s="1734"/>
      <c r="B32" s="1729" t="s">
        <v>10945</v>
      </c>
      <c r="C32" s="1730"/>
      <c r="D32" s="1737"/>
      <c r="E32" s="1730"/>
      <c r="F32" s="1730"/>
    </row>
    <row r="33">
      <c r="A33" s="1734"/>
      <c r="B33" s="1729" t="s">
        <v>10949</v>
      </c>
      <c r="C33" s="1730"/>
      <c r="D33" s="1737"/>
      <c r="E33" s="1730"/>
      <c r="F33" s="1730"/>
    </row>
    <row r="34">
      <c r="A34" s="1734"/>
      <c r="B34" s="1735" t="s">
        <v>10975</v>
      </c>
      <c r="C34" s="1717"/>
      <c r="D34" s="1717"/>
      <c r="E34" s="1717"/>
      <c r="F34" s="1718"/>
    </row>
    <row r="35">
      <c r="A35" s="1734"/>
      <c r="B35" s="1719"/>
      <c r="C35" s="1720"/>
      <c r="D35" s="1720"/>
      <c r="E35" s="1720"/>
      <c r="F35" s="1721"/>
    </row>
    <row r="36">
      <c r="A36" s="1734"/>
      <c r="B36" s="1723" t="s">
        <v>10935</v>
      </c>
      <c r="C36" s="1724" t="s">
        <v>1555</v>
      </c>
      <c r="D36" s="1725" t="s">
        <v>10976</v>
      </c>
      <c r="E36" s="1724" t="s">
        <v>10937</v>
      </c>
      <c r="F36" s="1726">
        <v>43352.0</v>
      </c>
    </row>
    <row r="37">
      <c r="A37" s="1734"/>
      <c r="B37" s="1727" t="s">
        <v>10939</v>
      </c>
      <c r="C37" s="1724" t="s">
        <v>10977</v>
      </c>
      <c r="D37" s="1725" t="s">
        <v>10978</v>
      </c>
      <c r="E37" s="1724" t="s">
        <v>10937</v>
      </c>
      <c r="F37" s="1726">
        <v>43799.0</v>
      </c>
    </row>
    <row r="38">
      <c r="A38" s="1734"/>
      <c r="B38" s="1728" t="s">
        <v>10942</v>
      </c>
      <c r="C38" s="1730"/>
      <c r="D38" s="1731"/>
      <c r="E38" s="1730"/>
      <c r="F38" s="1730"/>
    </row>
    <row r="39">
      <c r="A39" s="1734"/>
      <c r="B39" s="1729" t="s">
        <v>10945</v>
      </c>
      <c r="C39" s="1730"/>
      <c r="D39" s="1731"/>
      <c r="E39" s="1730"/>
      <c r="F39" s="1730"/>
    </row>
    <row r="40">
      <c r="A40" s="1734"/>
      <c r="B40" s="1729" t="s">
        <v>10949</v>
      </c>
      <c r="C40" s="1730"/>
      <c r="D40" s="1731"/>
      <c r="E40" s="1730"/>
      <c r="F40" s="1730"/>
    </row>
    <row r="41">
      <c r="A41" s="1734"/>
      <c r="B41" s="1716" t="s">
        <v>10948</v>
      </c>
      <c r="C41" s="1717"/>
      <c r="D41" s="1717"/>
      <c r="E41" s="1717"/>
      <c r="F41" s="1718"/>
    </row>
    <row r="42">
      <c r="A42" s="1734"/>
      <c r="B42" s="1719"/>
      <c r="C42" s="1720"/>
      <c r="D42" s="1720"/>
      <c r="E42" s="1720"/>
      <c r="F42" s="1721"/>
    </row>
    <row r="43">
      <c r="A43" s="1734"/>
      <c r="B43" s="1723" t="s">
        <v>10935</v>
      </c>
      <c r="C43" s="1724" t="s">
        <v>7010</v>
      </c>
      <c r="D43" s="1738" t="s">
        <v>10979</v>
      </c>
      <c r="E43" s="1724" t="s">
        <v>10937</v>
      </c>
      <c r="F43" s="1739">
        <v>44511.0</v>
      </c>
    </row>
    <row r="44">
      <c r="A44" s="1734"/>
      <c r="B44" s="1727" t="s">
        <v>10939</v>
      </c>
      <c r="C44" s="1724" t="s">
        <v>10977</v>
      </c>
      <c r="D44" s="1738" t="s">
        <v>10980</v>
      </c>
      <c r="E44" s="1724" t="s">
        <v>10937</v>
      </c>
      <c r="F44" s="1739">
        <v>43740.0</v>
      </c>
    </row>
    <row r="45">
      <c r="A45" s="1734"/>
      <c r="B45" s="1728" t="s">
        <v>10942</v>
      </c>
      <c r="C45" s="1724" t="s">
        <v>10072</v>
      </c>
      <c r="D45" s="1738" t="s">
        <v>10981</v>
      </c>
      <c r="E45" s="1724" t="s">
        <v>10937</v>
      </c>
      <c r="F45" s="1739">
        <v>42098.0</v>
      </c>
    </row>
    <row r="46">
      <c r="A46" s="1734"/>
      <c r="B46" s="1729" t="s">
        <v>10945</v>
      </c>
      <c r="C46" s="1724"/>
      <c r="D46" s="1738"/>
      <c r="E46" s="1724"/>
      <c r="F46" s="1739"/>
    </row>
    <row r="47">
      <c r="A47" s="1734"/>
      <c r="B47" s="1729" t="s">
        <v>10949</v>
      </c>
      <c r="C47" s="1730"/>
      <c r="D47" s="1740"/>
      <c r="E47" s="1730"/>
      <c r="F47" s="1734"/>
    </row>
    <row r="48">
      <c r="A48" s="1734"/>
      <c r="B48" s="1716" t="s">
        <v>10950</v>
      </c>
      <c r="C48" s="1717"/>
      <c r="D48" s="1717"/>
      <c r="E48" s="1717"/>
      <c r="F48" s="1718"/>
    </row>
    <row r="49">
      <c r="A49" s="1734"/>
      <c r="B49" s="1719"/>
      <c r="C49" s="1720"/>
      <c r="D49" s="1720"/>
      <c r="E49" s="1720"/>
      <c r="F49" s="1721"/>
    </row>
    <row r="50">
      <c r="A50" s="1734"/>
      <c r="B50" s="1723" t="s">
        <v>10935</v>
      </c>
      <c r="C50" s="1724" t="s">
        <v>10982</v>
      </c>
      <c r="D50" s="1738" t="s">
        <v>10983</v>
      </c>
      <c r="E50" s="1724" t="s">
        <v>10984</v>
      </c>
      <c r="F50" s="1739">
        <v>43395.0</v>
      </c>
    </row>
    <row r="51">
      <c r="A51" s="1734"/>
      <c r="B51" s="1727" t="s">
        <v>10939</v>
      </c>
      <c r="C51" s="1724" t="s">
        <v>2245</v>
      </c>
      <c r="D51" s="1738" t="s">
        <v>10985</v>
      </c>
      <c r="E51" s="1724" t="s">
        <v>10947</v>
      </c>
      <c r="F51" s="1739">
        <v>43376.0</v>
      </c>
    </row>
    <row r="52">
      <c r="A52" s="1734"/>
      <c r="B52" s="1728" t="s">
        <v>10942</v>
      </c>
      <c r="C52" s="1730"/>
      <c r="D52" s="1740"/>
      <c r="E52" s="1730"/>
      <c r="F52" s="1734"/>
    </row>
    <row r="53">
      <c r="A53" s="1734"/>
      <c r="B53" s="1729" t="s">
        <v>10945</v>
      </c>
      <c r="C53" s="1730"/>
      <c r="D53" s="1740"/>
      <c r="E53" s="1730"/>
      <c r="F53" s="1734"/>
    </row>
    <row r="54">
      <c r="A54" s="1734"/>
      <c r="B54" s="1729" t="s">
        <v>10949</v>
      </c>
      <c r="C54" s="1730"/>
      <c r="D54" s="1740"/>
      <c r="E54" s="1730"/>
      <c r="F54" s="1734"/>
    </row>
    <row r="55">
      <c r="A55" s="1734"/>
      <c r="B55" s="1716" t="s">
        <v>10951</v>
      </c>
      <c r="C55" s="1717"/>
      <c r="D55" s="1717"/>
      <c r="E55" s="1717"/>
      <c r="F55" s="1718"/>
    </row>
    <row r="56">
      <c r="A56" s="1734"/>
      <c r="B56" s="1719"/>
      <c r="C56" s="1720"/>
      <c r="D56" s="1720"/>
      <c r="E56" s="1720"/>
      <c r="F56" s="1721"/>
    </row>
    <row r="57">
      <c r="A57" s="1734"/>
      <c r="B57" s="1741" t="s">
        <v>10986</v>
      </c>
      <c r="C57" s="1717"/>
      <c r="D57" s="1717"/>
      <c r="E57" s="1717"/>
      <c r="F57" s="1718"/>
    </row>
    <row r="58">
      <c r="A58" s="1734"/>
      <c r="B58" s="1719"/>
      <c r="C58" s="1720"/>
      <c r="D58" s="1720"/>
      <c r="E58" s="1720"/>
      <c r="F58" s="1721"/>
    </row>
    <row r="59">
      <c r="A59" s="1734"/>
      <c r="B59" s="1723" t="s">
        <v>10935</v>
      </c>
      <c r="C59" s="1742" t="s">
        <v>435</v>
      </c>
      <c r="D59" s="1738" t="s">
        <v>10987</v>
      </c>
      <c r="E59" s="1724" t="s">
        <v>10937</v>
      </c>
      <c r="F59" s="1739">
        <v>43758.0</v>
      </c>
    </row>
    <row r="60">
      <c r="A60" s="1734"/>
      <c r="B60" s="1727" t="s">
        <v>10939</v>
      </c>
      <c r="C60" s="1730"/>
      <c r="D60" s="1740"/>
      <c r="E60" s="1730"/>
      <c r="F60" s="1734"/>
    </row>
    <row r="61">
      <c r="A61" s="1734"/>
      <c r="B61" s="1728" t="s">
        <v>10942</v>
      </c>
      <c r="C61" s="1730"/>
      <c r="D61" s="1740"/>
      <c r="E61" s="1730"/>
      <c r="F61" s="1734"/>
    </row>
    <row r="62">
      <c r="A62" s="1734"/>
      <c r="B62" s="1729" t="s">
        <v>10945</v>
      </c>
      <c r="C62" s="1730"/>
      <c r="D62" s="1740"/>
      <c r="E62" s="1730"/>
      <c r="F62" s="1734"/>
    </row>
    <row r="63">
      <c r="A63" s="1734"/>
      <c r="B63" s="1729" t="s">
        <v>10949</v>
      </c>
      <c r="C63" s="1730"/>
      <c r="D63" s="1740"/>
      <c r="E63" s="1730"/>
      <c r="F63" s="1734"/>
    </row>
    <row r="64">
      <c r="A64" s="1734"/>
      <c r="B64" s="1741" t="s">
        <v>10975</v>
      </c>
      <c r="C64" s="1717"/>
      <c r="D64" s="1717"/>
      <c r="E64" s="1717"/>
      <c r="F64" s="1718"/>
    </row>
    <row r="65">
      <c r="A65" s="1734"/>
      <c r="B65" s="1719"/>
      <c r="C65" s="1720"/>
      <c r="D65" s="1720"/>
      <c r="E65" s="1720"/>
      <c r="F65" s="1721"/>
    </row>
    <row r="66">
      <c r="A66" s="1734"/>
      <c r="B66" s="1723" t="s">
        <v>10935</v>
      </c>
      <c r="C66" s="1724" t="s">
        <v>10988</v>
      </c>
      <c r="D66" s="1743" t="s">
        <v>10989</v>
      </c>
      <c r="E66" s="1724" t="s">
        <v>10937</v>
      </c>
      <c r="F66" s="1739">
        <v>44805.0</v>
      </c>
    </row>
    <row r="67">
      <c r="A67" s="1734"/>
      <c r="B67" s="1727" t="s">
        <v>10939</v>
      </c>
      <c r="C67" s="1724" t="s">
        <v>10990</v>
      </c>
      <c r="D67" s="1738" t="s">
        <v>10991</v>
      </c>
      <c r="E67" s="1724" t="s">
        <v>10937</v>
      </c>
      <c r="F67" s="1739">
        <v>43307.0</v>
      </c>
    </row>
    <row r="68">
      <c r="A68" s="1734"/>
      <c r="B68" s="1728" t="s">
        <v>10942</v>
      </c>
      <c r="C68" s="1730"/>
      <c r="D68" s="1740"/>
      <c r="E68" s="1730"/>
      <c r="F68" s="1734"/>
    </row>
    <row r="69">
      <c r="A69" s="1734"/>
      <c r="B69" s="1729" t="s">
        <v>10945</v>
      </c>
      <c r="C69" s="1730"/>
      <c r="D69" s="1740"/>
      <c r="E69" s="1730"/>
      <c r="F69" s="1734"/>
    </row>
    <row r="70">
      <c r="A70" s="1734"/>
      <c r="B70" s="1729" t="s">
        <v>10949</v>
      </c>
      <c r="C70" s="1730"/>
      <c r="D70" s="1740"/>
      <c r="E70" s="1730"/>
      <c r="F70" s="1734"/>
    </row>
    <row r="71">
      <c r="A71" s="1734"/>
      <c r="B71" s="1716" t="s">
        <v>10952</v>
      </c>
      <c r="C71" s="1717"/>
      <c r="D71" s="1717"/>
      <c r="E71" s="1717"/>
      <c r="F71" s="1718"/>
    </row>
    <row r="72">
      <c r="A72" s="1734"/>
      <c r="B72" s="1719"/>
      <c r="C72" s="1720"/>
      <c r="D72" s="1720"/>
      <c r="E72" s="1720"/>
      <c r="F72" s="1721"/>
    </row>
    <row r="73">
      <c r="A73" s="1734"/>
      <c r="B73" s="1741" t="s">
        <v>10992</v>
      </c>
      <c r="C73" s="1717"/>
      <c r="D73" s="1717"/>
      <c r="E73" s="1717"/>
      <c r="F73" s="1718"/>
    </row>
    <row r="74">
      <c r="A74" s="1734"/>
      <c r="B74" s="1719"/>
      <c r="C74" s="1720"/>
      <c r="D74" s="1720"/>
      <c r="E74" s="1720"/>
      <c r="F74" s="1721"/>
    </row>
    <row r="75">
      <c r="A75" s="1734"/>
      <c r="B75" s="1723" t="s">
        <v>10935</v>
      </c>
      <c r="C75" s="1724" t="s">
        <v>4145</v>
      </c>
      <c r="D75" s="1738" t="s">
        <v>10993</v>
      </c>
      <c r="E75" s="1724" t="s">
        <v>10937</v>
      </c>
      <c r="F75" s="1739">
        <v>44246.0</v>
      </c>
    </row>
    <row r="76">
      <c r="A76" s="1734"/>
      <c r="B76" s="1727" t="s">
        <v>10939</v>
      </c>
      <c r="C76" s="1724" t="s">
        <v>10982</v>
      </c>
      <c r="D76" s="1738" t="s">
        <v>10994</v>
      </c>
      <c r="E76" s="1724" t="s">
        <v>10984</v>
      </c>
      <c r="F76" s="1739">
        <v>43637.0</v>
      </c>
    </row>
    <row r="77">
      <c r="A77" s="1734"/>
      <c r="B77" s="1728" t="s">
        <v>10942</v>
      </c>
      <c r="C77" s="1730"/>
      <c r="D77" s="1740"/>
      <c r="E77" s="1730"/>
      <c r="F77" s="1734"/>
    </row>
    <row r="78">
      <c r="A78" s="1734"/>
      <c r="B78" s="1729" t="s">
        <v>10945</v>
      </c>
      <c r="C78" s="1730"/>
      <c r="D78" s="1740"/>
      <c r="E78" s="1730"/>
      <c r="F78" s="1734"/>
    </row>
    <row r="79">
      <c r="A79" s="1734"/>
      <c r="B79" s="1729" t="s">
        <v>10949</v>
      </c>
      <c r="C79" s="1730"/>
      <c r="D79" s="1740"/>
      <c r="E79" s="1730"/>
      <c r="F79" s="1734"/>
    </row>
    <row r="80">
      <c r="A80" s="1734"/>
      <c r="B80" s="1741" t="s">
        <v>10995</v>
      </c>
      <c r="C80" s="1717"/>
      <c r="D80" s="1717"/>
      <c r="E80" s="1717"/>
      <c r="F80" s="1718"/>
    </row>
    <row r="81">
      <c r="A81" s="1734"/>
      <c r="B81" s="1719"/>
      <c r="C81" s="1720"/>
      <c r="D81" s="1720"/>
      <c r="E81" s="1720"/>
      <c r="F81" s="1721"/>
    </row>
    <row r="82">
      <c r="A82" s="1734"/>
      <c r="B82" s="1723" t="s">
        <v>10935</v>
      </c>
      <c r="C82" s="1724" t="s">
        <v>6031</v>
      </c>
      <c r="D82" s="1738" t="s">
        <v>10996</v>
      </c>
      <c r="E82" s="1724" t="s">
        <v>10937</v>
      </c>
      <c r="F82" s="1739">
        <v>43592.0</v>
      </c>
    </row>
    <row r="83">
      <c r="A83" s="1734"/>
      <c r="B83" s="1727" t="s">
        <v>10939</v>
      </c>
      <c r="C83" s="1724" t="s">
        <v>10997</v>
      </c>
      <c r="D83" s="1738" t="s">
        <v>10998</v>
      </c>
      <c r="E83" s="1724" t="s">
        <v>10937</v>
      </c>
      <c r="F83" s="1739">
        <v>43396.0</v>
      </c>
    </row>
    <row r="84">
      <c r="A84" s="1734"/>
      <c r="B84" s="1728" t="s">
        <v>10942</v>
      </c>
      <c r="C84" s="1730"/>
      <c r="D84" s="1740"/>
      <c r="E84" s="1730"/>
      <c r="F84" s="1734"/>
    </row>
    <row r="85">
      <c r="A85" s="1734"/>
      <c r="B85" s="1729" t="s">
        <v>10945</v>
      </c>
      <c r="C85" s="1730"/>
      <c r="D85" s="1740"/>
      <c r="E85" s="1730"/>
      <c r="F85" s="1734"/>
    </row>
    <row r="86">
      <c r="A86" s="1734"/>
      <c r="B86" s="1729" t="s">
        <v>10949</v>
      </c>
      <c r="C86" s="1730"/>
      <c r="D86" s="1740"/>
      <c r="E86" s="1730"/>
      <c r="F86" s="1734"/>
    </row>
    <row r="87">
      <c r="A87" s="1734"/>
      <c r="B87" s="1716" t="s">
        <v>10954</v>
      </c>
      <c r="C87" s="1717"/>
      <c r="D87" s="1717"/>
      <c r="E87" s="1717"/>
      <c r="F87" s="1718"/>
    </row>
    <row r="88">
      <c r="A88" s="1734"/>
      <c r="B88" s="1719"/>
      <c r="C88" s="1720"/>
      <c r="D88" s="1720"/>
      <c r="E88" s="1720"/>
      <c r="F88" s="1721"/>
    </row>
    <row r="89">
      <c r="A89" s="1734"/>
      <c r="B89" s="1723" t="s">
        <v>10935</v>
      </c>
      <c r="C89" s="1742" t="s">
        <v>435</v>
      </c>
      <c r="D89" s="1738" t="s">
        <v>10999</v>
      </c>
      <c r="E89" s="1724" t="s">
        <v>10937</v>
      </c>
      <c r="F89" s="1739">
        <v>43457.0</v>
      </c>
    </row>
    <row r="90">
      <c r="A90" s="1734"/>
      <c r="B90" s="1727" t="s">
        <v>10939</v>
      </c>
      <c r="C90" s="1724" t="s">
        <v>2444</v>
      </c>
      <c r="D90" s="1738" t="s">
        <v>11000</v>
      </c>
      <c r="E90" s="1724" t="s">
        <v>10937</v>
      </c>
      <c r="F90" s="1739">
        <v>43925.0</v>
      </c>
    </row>
    <row r="91">
      <c r="A91" s="1734"/>
      <c r="B91" s="1728" t="s">
        <v>10942</v>
      </c>
      <c r="C91" s="1724" t="s">
        <v>4650</v>
      </c>
      <c r="D91" s="1738" t="s">
        <v>11001</v>
      </c>
      <c r="E91" s="1724" t="s">
        <v>10970</v>
      </c>
      <c r="F91" s="1739">
        <v>43433.0</v>
      </c>
    </row>
    <row r="92">
      <c r="A92" s="1734"/>
      <c r="B92" s="1729" t="s">
        <v>10945</v>
      </c>
      <c r="C92" s="1730"/>
      <c r="D92" s="1740"/>
      <c r="E92" s="1730"/>
      <c r="F92" s="1734"/>
    </row>
    <row r="93">
      <c r="A93" s="1734"/>
      <c r="B93" s="1729" t="s">
        <v>10949</v>
      </c>
      <c r="C93" s="1730"/>
      <c r="D93" s="1740"/>
      <c r="E93" s="1730"/>
      <c r="F93" s="1734"/>
    </row>
    <row r="94">
      <c r="A94" s="1734"/>
      <c r="B94" s="1716" t="s">
        <v>10956</v>
      </c>
      <c r="C94" s="1717"/>
      <c r="D94" s="1717"/>
      <c r="E94" s="1717"/>
      <c r="F94" s="1718"/>
    </row>
    <row r="95">
      <c r="A95" s="1734"/>
      <c r="B95" s="1719"/>
      <c r="C95" s="1720"/>
      <c r="D95" s="1720"/>
      <c r="E95" s="1720"/>
      <c r="F95" s="1721"/>
    </row>
    <row r="96">
      <c r="A96" s="1734"/>
      <c r="B96" s="1741" t="s">
        <v>11002</v>
      </c>
      <c r="C96" s="1717"/>
      <c r="D96" s="1717"/>
      <c r="E96" s="1717"/>
      <c r="F96" s="1718"/>
    </row>
    <row r="97">
      <c r="A97" s="1734"/>
      <c r="B97" s="1719"/>
      <c r="C97" s="1720"/>
      <c r="D97" s="1720"/>
      <c r="E97" s="1720"/>
      <c r="F97" s="1721"/>
    </row>
    <row r="98">
      <c r="A98" s="1734"/>
      <c r="B98" s="1723" t="s">
        <v>10935</v>
      </c>
      <c r="C98" s="1724" t="s">
        <v>10977</v>
      </c>
      <c r="D98" s="1738" t="s">
        <v>11003</v>
      </c>
      <c r="E98" s="1724" t="s">
        <v>10937</v>
      </c>
      <c r="F98" s="1739">
        <v>43862.0</v>
      </c>
    </row>
    <row r="99">
      <c r="A99" s="1734"/>
      <c r="B99" s="1727" t="s">
        <v>10939</v>
      </c>
      <c r="C99" s="1730"/>
      <c r="D99" s="1740"/>
      <c r="E99" s="1730"/>
      <c r="F99" s="1734"/>
    </row>
    <row r="100">
      <c r="A100" s="1734"/>
      <c r="B100" s="1728" t="s">
        <v>10942</v>
      </c>
      <c r="C100" s="1730"/>
      <c r="D100" s="1740"/>
      <c r="E100" s="1730"/>
      <c r="F100" s="1734"/>
    </row>
    <row r="101">
      <c r="A101" s="1734"/>
      <c r="B101" s="1729" t="s">
        <v>10945</v>
      </c>
      <c r="C101" s="1730"/>
      <c r="D101" s="1740"/>
      <c r="E101" s="1730"/>
      <c r="F101" s="1734"/>
    </row>
    <row r="102">
      <c r="A102" s="1734"/>
      <c r="B102" s="1729" t="s">
        <v>10949</v>
      </c>
      <c r="C102" s="1730"/>
      <c r="D102" s="1740"/>
      <c r="E102" s="1730"/>
      <c r="F102" s="1734"/>
    </row>
    <row r="103">
      <c r="A103" s="1734"/>
      <c r="B103" s="1741" t="s">
        <v>11004</v>
      </c>
      <c r="C103" s="1717"/>
      <c r="D103" s="1717"/>
      <c r="E103" s="1717"/>
      <c r="F103" s="1718"/>
    </row>
    <row r="104">
      <c r="A104" s="1734"/>
      <c r="B104" s="1719"/>
      <c r="C104" s="1720"/>
      <c r="D104" s="1720"/>
      <c r="E104" s="1720"/>
      <c r="F104" s="1721"/>
    </row>
    <row r="105">
      <c r="A105" s="1734"/>
      <c r="B105" s="1723" t="s">
        <v>10935</v>
      </c>
      <c r="C105" s="1724" t="s">
        <v>10977</v>
      </c>
      <c r="D105" s="1738" t="s">
        <v>11005</v>
      </c>
      <c r="E105" s="1724" t="s">
        <v>10937</v>
      </c>
      <c r="F105" s="1739">
        <v>43862.0</v>
      </c>
    </row>
    <row r="106">
      <c r="A106" s="1734"/>
      <c r="B106" s="1727" t="s">
        <v>10939</v>
      </c>
      <c r="C106" s="1744" t="s">
        <v>5957</v>
      </c>
      <c r="D106" s="1738" t="s">
        <v>11006</v>
      </c>
      <c r="E106" s="1724" t="s">
        <v>10984</v>
      </c>
      <c r="F106" s="1739">
        <v>43630.0</v>
      </c>
    </row>
    <row r="107">
      <c r="A107" s="1734"/>
      <c r="B107" s="1728" t="s">
        <v>10942</v>
      </c>
      <c r="C107" s="1730"/>
      <c r="D107" s="1740"/>
      <c r="E107" s="1730"/>
      <c r="F107" s="1734"/>
    </row>
    <row r="108">
      <c r="A108" s="1734"/>
      <c r="B108" s="1729" t="s">
        <v>10945</v>
      </c>
      <c r="C108" s="1730"/>
      <c r="D108" s="1740"/>
      <c r="E108" s="1730"/>
      <c r="F108" s="1734"/>
    </row>
    <row r="109">
      <c r="A109" s="1734"/>
      <c r="B109" s="1729" t="s">
        <v>10949</v>
      </c>
      <c r="C109" s="1730"/>
      <c r="D109" s="1740"/>
      <c r="E109" s="1730"/>
      <c r="F109" s="1734"/>
    </row>
    <row r="110">
      <c r="A110" s="1734"/>
      <c r="B110" s="1716" t="s">
        <v>10959</v>
      </c>
      <c r="C110" s="1717"/>
      <c r="D110" s="1717"/>
      <c r="E110" s="1717"/>
      <c r="F110" s="1718"/>
    </row>
    <row r="111">
      <c r="A111" s="1734"/>
      <c r="B111" s="1719"/>
      <c r="C111" s="1720"/>
      <c r="D111" s="1720"/>
      <c r="E111" s="1720"/>
      <c r="F111" s="1721"/>
    </row>
    <row r="112">
      <c r="A112" s="1734"/>
      <c r="B112" s="1723" t="s">
        <v>10935</v>
      </c>
      <c r="C112" s="1724" t="s">
        <v>5155</v>
      </c>
      <c r="D112" s="1738" t="s">
        <v>11007</v>
      </c>
      <c r="E112" s="1724" t="s">
        <v>10947</v>
      </c>
      <c r="F112" s="1739">
        <v>44132.0</v>
      </c>
    </row>
    <row r="113">
      <c r="A113" s="1734"/>
      <c r="B113" s="1727" t="s">
        <v>10939</v>
      </c>
      <c r="C113" s="1730"/>
      <c r="D113" s="1740"/>
      <c r="E113" s="1730"/>
      <c r="F113" s="1734"/>
    </row>
    <row r="114">
      <c r="A114" s="1734"/>
      <c r="B114" s="1728" t="s">
        <v>10942</v>
      </c>
      <c r="C114" s="1730"/>
      <c r="D114" s="1740"/>
      <c r="E114" s="1730"/>
      <c r="F114" s="1734"/>
    </row>
    <row r="115">
      <c r="A115" s="1734"/>
      <c r="B115" s="1729" t="s">
        <v>10945</v>
      </c>
      <c r="C115" s="1730"/>
      <c r="D115" s="1740"/>
      <c r="E115" s="1730"/>
      <c r="F115" s="1734"/>
    </row>
    <row r="116">
      <c r="A116" s="1734"/>
      <c r="B116" s="1729" t="s">
        <v>10949</v>
      </c>
      <c r="C116" s="1730"/>
      <c r="D116" s="1740"/>
      <c r="E116" s="1730"/>
      <c r="F116" s="1734"/>
    </row>
    <row r="117">
      <c r="A117" s="1734"/>
      <c r="B117" s="1716" t="s">
        <v>10962</v>
      </c>
      <c r="C117" s="1717"/>
      <c r="D117" s="1717"/>
      <c r="E117" s="1717"/>
      <c r="F117" s="1718"/>
    </row>
    <row r="118">
      <c r="A118" s="1734"/>
      <c r="B118" s="1719"/>
      <c r="C118" s="1720"/>
      <c r="D118" s="1720"/>
      <c r="E118" s="1720"/>
      <c r="F118" s="1721"/>
    </row>
    <row r="119">
      <c r="A119" s="1734"/>
      <c r="B119" s="1723" t="s">
        <v>10935</v>
      </c>
      <c r="C119" s="1724" t="s">
        <v>5987</v>
      </c>
      <c r="D119" s="1738" t="s">
        <v>11008</v>
      </c>
      <c r="E119" s="1724" t="s">
        <v>10937</v>
      </c>
      <c r="F119" s="1739">
        <v>43741.0</v>
      </c>
    </row>
    <row r="120">
      <c r="A120" s="1734"/>
      <c r="B120" s="1727" t="s">
        <v>10939</v>
      </c>
      <c r="C120" s="1724" t="s">
        <v>11009</v>
      </c>
      <c r="D120" s="1738" t="s">
        <v>11010</v>
      </c>
      <c r="E120" s="1724" t="s">
        <v>10970</v>
      </c>
      <c r="F120" s="1739">
        <v>43748.0</v>
      </c>
    </row>
    <row r="121">
      <c r="A121" s="1734"/>
      <c r="B121" s="1728" t="s">
        <v>10942</v>
      </c>
      <c r="C121" s="1724" t="s">
        <v>2136</v>
      </c>
      <c r="D121" s="1738" t="s">
        <v>11011</v>
      </c>
      <c r="E121" s="1724" t="s">
        <v>10984</v>
      </c>
      <c r="F121" s="1739">
        <v>43729.0</v>
      </c>
    </row>
    <row r="122">
      <c r="A122" s="1734"/>
      <c r="B122" s="1729" t="s">
        <v>10945</v>
      </c>
      <c r="C122" s="1742" t="s">
        <v>435</v>
      </c>
      <c r="D122" s="1738" t="s">
        <v>11012</v>
      </c>
      <c r="E122" s="1724" t="s">
        <v>10937</v>
      </c>
      <c r="F122" s="1739">
        <v>44470.0</v>
      </c>
    </row>
    <row r="123">
      <c r="A123" s="1734"/>
      <c r="B123" s="1729" t="s">
        <v>10949</v>
      </c>
      <c r="C123" s="1724" t="s">
        <v>5155</v>
      </c>
      <c r="D123" s="1738" t="s">
        <v>11013</v>
      </c>
      <c r="E123" s="1724" t="s">
        <v>10947</v>
      </c>
      <c r="F123" s="1739">
        <v>44020.0</v>
      </c>
    </row>
    <row r="124">
      <c r="A124" s="1745" t="s">
        <v>11014</v>
      </c>
      <c r="B124" s="1716" t="s">
        <v>10963</v>
      </c>
      <c r="C124" s="1717"/>
      <c r="D124" s="1717"/>
      <c r="E124" s="1717"/>
      <c r="F124" s="1718"/>
    </row>
    <row r="125">
      <c r="A125" s="1745" t="s">
        <v>11015</v>
      </c>
      <c r="B125" s="1719"/>
      <c r="C125" s="1720"/>
      <c r="D125" s="1720"/>
      <c r="E125" s="1720"/>
      <c r="F125" s="1721"/>
    </row>
    <row r="126">
      <c r="A126" s="1746"/>
      <c r="B126" s="1723" t="s">
        <v>10935</v>
      </c>
      <c r="C126" s="1724" t="s">
        <v>986</v>
      </c>
      <c r="D126" s="1747">
        <v>0.06525462962962963</v>
      </c>
      <c r="E126" s="1724" t="s">
        <v>10947</v>
      </c>
      <c r="F126" s="1726">
        <v>44652.0</v>
      </c>
    </row>
    <row r="127">
      <c r="A127" s="1746"/>
      <c r="B127" s="1727" t="s">
        <v>10939</v>
      </c>
      <c r="C127" s="1724" t="s">
        <v>4006</v>
      </c>
      <c r="D127" s="1747">
        <v>0.06892361111111112</v>
      </c>
      <c r="E127" s="1724" t="s">
        <v>10947</v>
      </c>
      <c r="F127" s="1726">
        <v>44652.0</v>
      </c>
    </row>
    <row r="128">
      <c r="A128" s="1746"/>
      <c r="B128" s="1728" t="s">
        <v>10942</v>
      </c>
      <c r="C128" s="1733" t="s">
        <v>5292</v>
      </c>
      <c r="D128" s="1748">
        <v>0.07195601851851852</v>
      </c>
      <c r="E128" s="1733" t="s">
        <v>10947</v>
      </c>
      <c r="F128" s="1739">
        <v>44652.0</v>
      </c>
    </row>
    <row r="129">
      <c r="A129" s="1746"/>
      <c r="B129" s="1729" t="s">
        <v>10945</v>
      </c>
      <c r="C129" s="1730" t="s">
        <v>11016</v>
      </c>
      <c r="D129" s="1749">
        <v>0.07211805555555556</v>
      </c>
      <c r="E129" s="1750" t="s">
        <v>11017</v>
      </c>
      <c r="F129" s="1739">
        <v>44652.0</v>
      </c>
    </row>
    <row r="130">
      <c r="A130" s="1746"/>
      <c r="B130" s="1729" t="s">
        <v>10949</v>
      </c>
      <c r="C130" s="1730"/>
      <c r="D130" s="1730"/>
      <c r="E130" s="1730"/>
      <c r="F130" s="1730"/>
    </row>
    <row r="131">
      <c r="A131" s="1751" t="s">
        <v>10964</v>
      </c>
      <c r="B131" s="1716" t="s">
        <v>10964</v>
      </c>
      <c r="C131" s="1717"/>
      <c r="D131" s="1717"/>
      <c r="E131" s="1717"/>
      <c r="F131" s="1718"/>
    </row>
    <row r="132">
      <c r="A132" s="1746"/>
      <c r="B132" s="1719"/>
      <c r="C132" s="1720"/>
      <c r="D132" s="1720"/>
      <c r="E132" s="1720"/>
      <c r="F132" s="1721"/>
    </row>
    <row r="133">
      <c r="A133" s="1746"/>
      <c r="B133" s="1723" t="s">
        <v>10935</v>
      </c>
      <c r="C133" s="1724" t="s">
        <v>2444</v>
      </c>
      <c r="D133" s="1752" t="s">
        <v>11018</v>
      </c>
      <c r="E133" s="1724" t="s">
        <v>10937</v>
      </c>
      <c r="F133" s="1726">
        <v>45152.0</v>
      </c>
    </row>
    <row r="134">
      <c r="A134" s="1746"/>
      <c r="B134" s="1727" t="s">
        <v>10939</v>
      </c>
      <c r="C134" s="1724" t="s">
        <v>4124</v>
      </c>
      <c r="D134" s="1752" t="s">
        <v>11019</v>
      </c>
      <c r="E134" s="1724" t="s">
        <v>10937</v>
      </c>
      <c r="F134" s="1726">
        <v>44866.0</v>
      </c>
    </row>
    <row r="135">
      <c r="A135" s="1746"/>
      <c r="B135" s="1728" t="s">
        <v>10942</v>
      </c>
      <c r="C135" s="1730"/>
      <c r="D135" s="1749"/>
      <c r="E135" s="1750"/>
      <c r="F135" s="1739"/>
    </row>
    <row r="136">
      <c r="A136" s="1746"/>
      <c r="B136" s="1729" t="s">
        <v>10945</v>
      </c>
      <c r="C136" s="1730"/>
      <c r="D136" s="1749"/>
      <c r="E136" s="1750"/>
      <c r="F136" s="1739"/>
    </row>
    <row r="137">
      <c r="A137" s="1746"/>
      <c r="B137" s="1729" t="s">
        <v>10949</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