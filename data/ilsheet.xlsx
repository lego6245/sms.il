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<sst xmlns="http://schemas.openxmlformats.org/spreadsheetml/2006/main" count="27120" uniqueCount="11217">
  <si>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</si>
  <si>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</si>
  <si>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</si>
  <si>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</si>
  <si>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</si>
  <si>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</si>
  <si>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</si>
  <si>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</si>
  <si>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</si>
  <si>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</si>
  <si>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</si>
  <si>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</si>
  <si>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</si>
  <si>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</si>
  <si>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</si>
  <si>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</si>
  <si>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</si>
  <si>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</si>
  <si>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</si>
  <si>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</si>
  <si>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</si>
  <si>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</si>
  <si>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</si>
  <si>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</si>
  <si>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</si>
  <si>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</si>
  <si>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</si>
  <si>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</si>
  <si>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</si>
  <si>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</si>
  <si>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</si>
  <si>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</si>
  <si>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</si>
  <si>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</si>
  <si>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</si>
  <si>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</si>
  <si>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</si>
  <si>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</si>
  <si>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</si>
  <si>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</si>
  <si>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</si>
  <si>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</si>
  <si>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</si>
  <si>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</si>
  <si>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</si>
  <si>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</si>
  <si>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</si>
  <si>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</si>
  <si>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</si>
  <si>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</si>
  <si>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</si>
  <si>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</si>
  <si>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</si>
  <si>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</si>
  <si>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</si>
  <si>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</si>
  <si>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</si>
  <si>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</si>
  <si>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</si>
  <si>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</si>
  <si>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</si>
  <si>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</si>
  <si>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</si>
  <si>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</si>
  <si>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</si>
  <si>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</si>
  <si>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</si>
  <si>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</si>
  <si>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</si>
  <si>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</si>
  <si>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</si>
  <si>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</si>
  <si>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</si>
  <si>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</si>
  <si>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</si>
  <si>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</si>
  <si>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</si>
  <si>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</si>
  <si>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</si>
  <si>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</si>
  <si>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</si>
  <si>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</si>
  <si>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</si>
  <si>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</si>
  <si>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</si>
  <si>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</si>
  <si>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</si>
  <si>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</si>
  <si>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</si>
  <si>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</si>
  <si>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</si>
  <si>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</si>
  <si>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</si>
  <si>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</si>
  <si>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</si>
  <si>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</si>
  <si>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</si>
  <si>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</si>
  <si>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</si>
  <si>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</si>
  <si>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</si>
  <si>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</si>
  <si>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</si>
  <si>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</si>
  <si>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</si>
  <si>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</si>
  <si>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</si>
  <si>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</si>
  <si>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</si>
  <si>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</si>
  <si>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</si>
  <si>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</si>
  <si>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</si>
  <si>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</si>
  <si>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</si>
  <si>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</si>
  <si>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</si>
  <si>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</si>
  <si>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</si>
  <si>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</si>
  <si>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</si>
  <si>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</si>
  <si>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</si>
  <si>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</si>
  <si>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</si>
  <si>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</si>
  <si>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</si>
  <si>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</si>
  <si>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</si>
  <si>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</si>
  <si>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</si>
  <si>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</si>
  <si>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</si>
  <si>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</si>
  <si>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</si>
  <si>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</si>
  <si>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</si>
  <si>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</si>
  <si>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</si>
  <si>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</si>
  <si>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</si>
  <si>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</si>
  <si>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</si>
  <si>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</si>
  <si>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</si>
  <si>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</si>
  <si>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</si>
  <si>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</si>
  <si>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</si>
  <si>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</si>
  <si>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</si>
  <si>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</si>
  <si>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</si>
  <si>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</si>
  <si>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</si>
  <si>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</si>
  <si>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</si>
  <si>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</si>
  <si>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</si>
  <si>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</si>
  <si>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</si>
  <si>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</si>
  <si>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</si>
  <si>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</si>
  <si>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</si>
  <si>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</si>
  <si>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</si>
  <si>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</si>
  <si>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</si>
  <si>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</si>
  <si>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</si>
  <si>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</si>
  <si>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</si>
  <si>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</si>
  <si>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</si>
  <si>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</si>
  <si>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</si>
  <si>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</si>
  <si>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</si>
  <si>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</si>
  <si>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</si>
  <si>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</si>
  <si>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</si>
  <si>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</si>
  <si>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</si>
  <si>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</si>
  <si>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</si>
  <si>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</si>
  <si>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</si>
  <si>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</si>
  <si>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</si>
  <si>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</si>
  <si>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</si>
  <si>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</si>
  <si>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</si>
  <si>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</si>
  <si>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</si>
  <si>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</si>
  <si>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</si>
  <si>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</si>
  <si>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</si>
  <si>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</si>
  <si>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</si>
  <si>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</si>
  <si>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</si>
  <si>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</si>
  <si>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</si>
  <si>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</si>
  <si>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</si>
  <si>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</si>
  <si>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</si>
  <si>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</si>
  <si>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</si>
  <si>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</si>
  <si>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</si>
  <si>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</si>
  <si>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</si>
  <si>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</si>
  <si>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</si>
  <si>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</si>
  <si>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</si>
  <si>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</si>
  <si>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</si>
  <si>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</si>
  <si>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</si>
  <si>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</si>
  <si>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</si>
  <si>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</si>
  <si>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</si>
  <si>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</si>
  <si>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</si>
  <si>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</si>
  <si>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</si>
  <si>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</si>
  <si>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</si>
  <si>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</si>
  <si>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</si>
  <si>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</si>
  <si>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</si>
  <si>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</si>
  <si>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</si>
  <si>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</si>
  <si>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</si>
  <si>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</si>
  <si>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</si>
  <si>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</si>
  <si>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</si>
  <si>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</si>
  <si>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</si>
  <si>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</si>
  <si>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</si>
  <si>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</si>
  <si>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</si>
  <si>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</si>
  <si>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</si>
  <si>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</si>
  <si>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</si>
  <si>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</si>
  <si>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</si>
  <si>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</si>
  <si>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</si>
  <si>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</si>
  <si>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</si>
  <si>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</si>
  <si>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</si>
  <si>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</si>
  <si>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</si>
  <si>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</si>
  <si>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</si>
  <si>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</si>
  <si>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</si>
  <si>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</si>
  <si>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</si>
  <si>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</si>
  <si>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</si>
  <si>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</si>
  <si>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</si>
  <si>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</si>
  <si>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</si>
  <si>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</si>
  <si>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</si>
  <si>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</si>
  <si>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</si>
  <si>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</si>
  <si>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</si>
  <si>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</si>
  <si>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</si>
  <si>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</si>
  <si>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</si>
  <si>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</si>
  <si>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</si>
  <si>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</si>
  <si>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</si>
  <si>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</si>
  <si>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</si>
  <si>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</si>
  <si>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</si>
  <si>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</si>
  <si>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</si>
  <si>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</si>
  <si>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</si>
  <si>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</si>
  <si>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</si>
  <si>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</si>
  <si>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</si>
  <si>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</si>
  <si>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</si>
  <si>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</si>
  <si>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</si>
  <si>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</si>
  <si>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</si>
  <si>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</si>
  <si>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</si>
  <si>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</si>
  <si>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</si>
  <si>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</si>
  <si>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</si>
  <si>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</si>
  <si>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</si>
  <si>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</si>
  <si>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</si>
  <si>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</si>
  <si>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</si>
  <si>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</si>
  <si>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</si>
  <si>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</si>
  <si>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</si>
  <si>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</si>
  <si>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</si>
  <si>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</si>
  <si>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</si>
  <si>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</si>
  <si>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</si>
  <si>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</si>
  <si>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</si>
  <si>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</si>
  <si>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</si>
  <si>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</si>
  <si>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</si>
  <si>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</si>
  <si>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</si>
  <si>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</si>
  <si>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</si>
  <si>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</si>
  <si>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</si>
  <si>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</si>
  <si>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</si>
  <si>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</si>
  <si>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</si>
  <si>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</si>
  <si>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</si>
  <si>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</si>
  <si>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</si>
  <si>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</si>
  <si>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</si>
  <si>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</si>
  <si>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</si>
  <si>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</si>
  <si>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</si>
  <si>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</si>
  <si>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</si>
  <si>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</si>
  <si>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</si>
  <si>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</si>
  <si>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</si>
  <si>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</si>
  <si>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</si>
  <si>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</si>
  <si>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</si>
  <si>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</si>
  <si>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</si>
  <si>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</si>
  <si>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</si>
  <si>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</si>
  <si>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</si>
  <si>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</si>
  <si>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</si>
  <si>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</si>
  <si>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</si>
  <si>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</si>
  <si>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</si>
  <si>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</si>
  <si>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</si>
  <si>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</si>
  <si>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</si>
  <si>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</si>
  <si>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</si>
  <si>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</si>
  <si>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</si>
  <si>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</si>
  <si>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</si>
  <si>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</si>
  <si>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</si>
  <si>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</si>
  <si>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</si>
  <si>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</si>
  <si>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</si>
  <si>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</si>
  <si>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</si>
  <si>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</si>
  <si>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</si>
  <si>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</si>
  <si>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</si>
  <si>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</si>
  <si>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</si>
  <si>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</si>
  <si>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</si>
  <si>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</si>
  <si>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</si>
  <si>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</si>
  <si>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</si>
  <si>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</si>
  <si>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</si>
  <si>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</si>
  <si>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</si>
  <si>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</si>
  <si>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</si>
  <si>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</si>
  <si>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</si>
  <si>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</si>
  <si>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</si>
  <si>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</si>
  <si>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</si>
  <si>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</si>
  <si>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</si>
  <si>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</si>
  <si>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</si>
  <si>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</si>
  <si>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</si>
  <si>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</si>
  <si>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</si>
  <si>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</si>
  <si>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</si>
  <si>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</si>
  <si>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</si>
  <si>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</si>
  <si>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</si>
  <si>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</si>
  <si>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</si>
  <si>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</si>
  <si>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</si>
  <si>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</si>
  <si>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</si>
  <si>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</si>
  <si>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</si>
  <si>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</si>
  <si>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</si>
  <si>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</si>
  <si>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</si>
  <si>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</si>
  <si>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</si>
  <si>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</si>
  <si>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</si>
  <si>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</si>
  <si>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</si>
  <si>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</si>
  <si>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</si>
  <si>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</si>
  <si>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</si>
  <si>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</si>
  <si>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</si>
  <si>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</si>
  <si>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</si>
  <si>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</si>
  <si>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</si>
  <si>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</si>
  <si>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</si>
  <si>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</si>
  <si>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</si>
  <si>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</si>
  <si>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</si>
  <si>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</si>
  <si>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</si>
  <si>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</si>
  <si>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</si>
  <si>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</si>
  <si>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</si>
  <si>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</si>
  <si>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</si>
  <si>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</si>
  <si>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</si>
  <si>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</si>
  <si>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</si>
  <si>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</si>
  <si>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</si>
  <si>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</si>
  <si>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</si>
  <si>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</si>
  <si>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</si>
  <si>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</si>
  <si>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</si>
  <si>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</si>
  <si>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</si>
  <si>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</si>
  <si>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</si>
  <si>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</si>
  <si>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</si>
  <si>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</si>
  <si>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</si>
  <si>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</si>
  <si>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</si>
  <si>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</si>
  <si>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</si>
  <si>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</si>
  <si>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</si>
  <si>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</si>
  <si>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</si>
  <si>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</si>
  <si>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</si>
  <si>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</si>
  <si>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</si>
  <si>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</si>
  <si>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</si>
  <si>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</si>
  <si>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</si>
  <si>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</si>
  <si>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</si>
  <si>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</si>
  <si>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</si>
  <si>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</si>
  <si>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</si>
  <si>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</si>
  <si>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</si>
  <si>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</si>
  <si>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</si>
  <si>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</si>
  <si>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</si>
  <si>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</si>
  <si>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</si>
  <si>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</si>
  <si>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</si>
  <si>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</si>
  <si>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</si>
  <si>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</si>
  <si>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</si>
  <si>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</si>
  <si>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</si>
  <si>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</si>
  <si>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</si>
  <si>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</si>
  <si>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</si>
  <si>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</si>
  <si>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</si>
  <si>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</si>
  <si>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</si>
  <si>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</si>
  <si>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</si>
  <si>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</si>
  <si>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</si>
  <si>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</si>
  <si>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</si>
  <si>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</si>
  <si>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</si>
  <si>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</si>
  <si>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</si>
  <si>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</si>
  <si>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</si>
  <si>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</si>
  <si>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</si>
  <si>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</si>
  <si>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</si>
  <si>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</si>
  <si>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</si>
  <si>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</si>
  <si>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</si>
  <si>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</si>
  <si>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</si>
  <si>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</si>
  <si>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</si>
  <si>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</si>
  <si>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</si>
  <si>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</si>
  <si>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</si>
  <si>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</si>
  <si>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</si>
  <si>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</si>
  <si>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</si>
  <si>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</si>
  <si>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</si>
  <si>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</si>
  <si>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</si>
  <si>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</si>
  <si>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</si>
  <si>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</si>
  <si>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</si>
  <si>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</si>
  <si>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</si>
  <si>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</si>
  <si>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</si>
  <si>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</si>
  <si>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</si>
  <si>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</si>
  <si>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</si>
  <si>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</si>
  <si>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</si>
  <si>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</si>
  <si>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</si>
  <si>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</si>
  <si>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</si>
  <si>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</si>
  <si>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</si>
  <si>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</si>
  <si>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</si>
  <si>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</si>
  <si>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</si>
  <si>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</si>
  <si>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</si>
  <si>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</si>
  <si>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</si>
  <si>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</si>
  <si>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</si>
  <si>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</si>
  <si>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</si>
  <si>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</si>
  <si>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</si>
  <si>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</si>
  <si>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</si>
  <si>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</si>
  <si>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</si>
  <si>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</si>
  <si>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</si>
  <si>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</si>
  <si>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</si>
  <si>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</si>
  <si>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</si>
  <si>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</si>
  <si>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</si>
  <si>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</si>
  <si>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</si>
  <si>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</si>
  <si>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</si>
  <si>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</si>
  <si>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</si>
  <si>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</si>
  <si>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</si>
  <si>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</si>
  <si>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</si>
  <si>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</si>
  <si>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</si>
  <si>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</si>
  <si>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</si>
  <si>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</si>
  <si>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</si>
  <si>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</si>
  <si>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</si>
  <si>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</si>
  <si>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</si>
  <si>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</si>
  <si>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</si>
  <si>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</si>
  <si>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</si>
  <si>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</si>
  <si>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</si>
  <si>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</si>
  <si>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</si>
  <si>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</si>
  <si>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</si>
  <si>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</si>
  <si>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</si>
  <si>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</si>
  <si>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</si>
  <si>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</si>
  <si>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</si>
  <si>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</si>
  <si>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</si>
  <si>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</si>
  <si>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</si>
  <si>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</si>
  <si>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</si>
  <si>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</si>
  <si>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</si>
  <si>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</si>
  <si>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</si>
  <si>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</si>
  <si>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</si>
  <si>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</si>
  <si>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</si>
  <si>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</si>
  <si>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</si>
  <si>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</si>
  <si>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</si>
  <si>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</si>
  <si>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</si>
  <si>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</si>
  <si>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</si>
  <si>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</si>
  <si>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</si>
  <si>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</si>
  <si>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</si>
  <si>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</si>
  <si>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</si>
  <si>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</si>
  <si>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</si>
  <si>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</si>
  <si>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</si>
  <si>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</si>
  <si>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</si>
  <si>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</si>
  <si>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</si>
  <si>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</si>
  <si>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</si>
  <si>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</si>
  <si>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</si>
  <si>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</si>
  <si>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</si>
  <si>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</si>
  <si>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</si>
  <si>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</si>
  <si>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</si>
  <si>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</si>
  <si>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</si>
  <si>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</si>
  <si>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</si>
  <si>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</si>
  <si>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</si>
  <si>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</si>
  <si>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</si>
  <si>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</si>
  <si>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</si>
  <si>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</si>
  <si>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</si>
  <si>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</si>
  <si>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</si>
  <si>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</si>
  <si>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</si>
  <si>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</si>
  <si>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</si>
  <si>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</si>
  <si>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</si>
  <si>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</si>
  <si>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</si>
  <si>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</si>
  <si>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</si>
  <si>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</si>
  <si>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</si>
  <si>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</si>
  <si>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</si>
  <si>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</si>
  <si>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</si>
  <si>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</si>
  <si>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</si>
  <si>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</si>
  <si>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</si>
  <si>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</si>
  <si>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</si>
  <si>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</si>
  <si>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</si>
  <si>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</si>
  <si>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</si>
  <si>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</si>
  <si>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</si>
  <si>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</si>
  <si>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</si>
  <si>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</si>
  <si>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</si>
  <si>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</si>
  <si>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</si>
  <si>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</si>
  <si>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</si>
  <si>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</si>
  <si>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</si>
  <si>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</si>
  <si>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</si>
  <si>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</si>
  <si>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</si>
  <si>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</si>
  <si>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</si>
  <si>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</si>
  <si>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</si>
  <si>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</si>
  <si>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</si>
  <si>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</si>
  <si>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</si>
  <si>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</si>
  <si>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</si>
  <si>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</si>
  <si>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</si>
  <si>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</si>
  <si>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</si>
  <si>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</si>
  <si>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</si>
  <si>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</si>
  <si>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</si>
  <si>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</si>
  <si>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</si>
  <si>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</si>
  <si>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</si>
  <si>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</si>
  <si>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</si>
  <si>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</si>
  <si>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</si>
  <si>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</si>
  <si>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</si>
  <si>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</si>
  <si>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</si>
  <si>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</si>
  <si>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</si>
  <si>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</si>
  <si>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</si>
  <si>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</si>
  <si>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</si>
  <si>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</si>
  <si>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</si>
  <si>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</si>
  <si>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</si>
  <si>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</si>
  <si>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</si>
  <si>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</si>
  <si>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</si>
  <si>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</si>
  <si>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</si>
  <si>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</si>
  <si>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</si>
  <si>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</si>
  <si>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</si>
  <si>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</si>
  <si>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</si>
  <si>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</si>
  <si>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</si>
  <si>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</si>
  <si>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</si>
  <si>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</si>
  <si>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</si>
  <si>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</si>
  <si>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</si>
  <si>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</si>
  <si>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</si>
  <si>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</si>
  <si>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</si>
  <si>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</si>
  <si>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</si>
  <si>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</si>
  <si>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</si>
  <si>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</si>
  <si>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</si>
  <si>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</si>
  <si>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</si>
  <si>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</si>
  <si>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</si>
  <si>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</si>
  <si>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</si>
  <si>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</si>
  <si>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</si>
  <si>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</si>
  <si>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</si>
  <si>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</si>
  <si>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</si>
  <si>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</si>
  <si>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</si>
  <si>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</si>
  <si>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</si>
  <si>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</si>
  <si>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</si>
  <si>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</si>
  <si>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</si>
  <si>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</si>
  <si>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</si>
  <si>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</si>
  <si>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</si>
  <si>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</si>
  <si>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</si>
  <si>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</si>
  <si>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</si>
  <si>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</si>
  <si>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</si>
  <si>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</si>
  <si>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</si>
  <si>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</si>
  <si>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</si>
  <si>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</si>
  <si>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</si>
  <si>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</si>
  <si>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</si>
  <si>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</si>
  <si>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</si>
  <si>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</si>
  <si>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</si>
  <si>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</si>
  <si>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</si>
  <si>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</si>
  <si>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</si>
  <si>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</si>
  <si>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</si>
  <si>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</si>
  <si>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</si>
  <si>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</si>
  <si>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</si>
  <si>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</si>
  <si>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</si>
  <si>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</si>
  <si>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</si>
  <si>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</si>
  <si>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</si>
  <si>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</si>
  <si>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</si>
  <si>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</si>
  <si>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</si>
  <si>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</si>
  <si>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</si>
  <si>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</si>
  <si>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</si>
  <si>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</si>
  <si>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</si>
  <si>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</si>
  <si>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</si>
  <si>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</si>
  <si>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</si>
  <si>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</si>
  <si>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</si>
  <si>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</si>
  <si>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</si>
  <si>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</si>
  <si>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</si>
  <si>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</si>
  <si>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</si>
  <si>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</si>
  <si>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</si>
  <si>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</si>
  <si>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</si>
  <si>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</si>
  <si>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</si>
  <si>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</si>
  <si>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</si>
  <si>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</si>
  <si>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</si>
  <si>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</si>
  <si>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</si>
  <si>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</si>
  <si>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</si>
  <si>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</si>
  <si>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</si>
  <si>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</si>
  <si>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</si>
  <si>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</si>
  <si>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</si>
  <si>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</si>
  <si>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</si>
  <si>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</si>
  <si>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</si>
  <si>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</si>
  <si>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</si>
  <si>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</si>
  <si>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</si>
  <si>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</si>
  <si>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</si>
  <si>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</si>
  <si>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</si>
  <si>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</si>
  <si>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</si>
  <si>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</si>
  <si>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</si>
  <si>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</si>
  <si>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</si>
  <si>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</si>
  <si>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</si>
  <si>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</si>
  <si>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</si>
  <si>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</si>
  <si>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</si>
  <si>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</si>
  <si>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</si>
  <si>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</si>
  <si>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</si>
  <si>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</si>
  <si>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</si>
  <si>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</si>
  <si>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</si>
  <si>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</si>
  <si>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</si>
  <si>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</si>
  <si>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</si>
  <si>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</si>
  <si>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</si>
  <si>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</si>
  <si>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</si>
  <si>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</si>
  <si>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</si>
  <si>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</si>
  <si>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</si>
  <si>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</si>
  <si>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</si>
  <si>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</si>
  <si>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</si>
  <si>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</si>
  <si>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</si>
  <si>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</si>
  <si>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</si>
  <si>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</si>
  <si>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</si>
  <si>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</si>
  <si>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</si>
  <si>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</si>
  <si>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</si>
  <si>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</si>
  <si>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</si>
  <si>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</si>
  <si>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</si>
  <si>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</si>
  <si>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</si>
  <si>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</si>
  <si>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</si>
  <si>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</si>
  <si>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</si>
  <si>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</si>
  <si>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</si>
  <si>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</si>
  <si>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</si>
  <si>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</si>
  <si>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</si>
  <si>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</si>
  <si>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</si>
  <si>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</si>
  <si>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</si>
  <si>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</si>
  <si>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</si>
  <si>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</si>
  <si>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</si>
  <si>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</si>
  <si>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</si>
  <si>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</si>
  <si>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</si>
  <si>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</si>
  <si>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</si>
  <si>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</si>
  <si>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</si>
  <si>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</si>
  <si>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</si>
  <si>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</si>
  <si>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</si>
  <si>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</si>
  <si>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</si>
  <si>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</si>
  <si>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</si>
  <si>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</si>
  <si>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</si>
  <si>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</si>
  <si>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</si>
  <si>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</si>
  <si>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</si>
  <si>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</si>
  <si>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</si>
  <si>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</si>
  <si>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</si>
  <si>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</si>
  <si>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</si>
  <si>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</si>
  <si>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</si>
  <si>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</si>
  <si>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</si>
  <si>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</si>
  <si>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</si>
  <si>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</si>
  <si>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</si>
  <si>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</si>
  <si>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</si>
  <si>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</si>
  <si>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</si>
  <si>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</si>
  <si>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</si>
  <si>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</si>
  <si>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</si>
  <si>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</si>
  <si>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</si>
  <si>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</si>
  <si>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</si>
  <si>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</si>
  <si>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</si>
  <si>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</si>
  <si>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</si>
  <si>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</si>
  <si>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</si>
  <si>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</si>
  <si>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</si>
  <si>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</si>
  <si>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</si>
  <si>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</si>
  <si>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</si>
  <si>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</si>
  <si>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</si>
  <si>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</si>
  <si>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</si>
  <si>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</si>
  <si>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</si>
  <si>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</si>
  <si>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</si>
  <si>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</si>
  <si>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</si>
  <si>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</si>
  <si>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</si>
  <si>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</si>
  <si>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</si>
  <si>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</si>
  <si>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</si>
  <si>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</si>
  <si>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</si>
  <si>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</si>
  <si>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</si>
  <si>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</si>
  <si>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</si>
  <si>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</si>
  <si>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</si>
  <si>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</si>
  <si>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</si>
  <si>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</si>
  <si>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</si>
  <si>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</si>
  <si>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</si>
  <si>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</si>
  <si>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</si>
  <si>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</si>
  <si>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</si>
  <si>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</si>
  <si>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</si>
  <si>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</si>
  <si>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</si>
  <si>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</si>
  <si>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</si>
  <si>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</si>
  <si>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</si>
  <si>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</si>
  <si>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</si>
  <si>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</si>
  <si>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</si>
  <si>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</si>
  <si>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</si>
  <si>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</si>
  <si>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</si>
  <si>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</si>
  <si>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</si>
  <si>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</si>
  <si>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</si>
  <si>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</si>
  <si>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</si>
  <si>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</si>
  <si>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</si>
  <si>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</si>
  <si>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</si>
  <si>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</si>
  <si>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</si>
  <si>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</si>
  <si>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</si>
  <si>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</si>
  <si>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</si>
  <si>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</si>
  <si>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</si>
  <si>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</si>
  <si>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</si>
  <si>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</si>
  <si>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</si>
  <si>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</si>
  <si>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</si>
  <si>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</si>
  <si>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</si>
  <si>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</si>
  <si>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</si>
  <si>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</si>
  <si>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</si>
  <si>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</si>
  <si>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</si>
  <si>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</si>
  <si>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</si>
  <si>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</si>
  <si>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</si>
  <si>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</si>
  <si>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</si>
  <si>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</si>
  <si>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</si>
  <si>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</si>
  <si>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</si>
  <si>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</si>
  <si>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</si>
  <si>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</si>
  <si>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</si>
  <si>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</si>
  <si>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</si>
  <si>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</si>
  <si>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</si>
  <si>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</si>
  <si>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</si>
  <si>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</si>
  <si>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</si>
  <si>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</si>
  <si>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</si>
  <si>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</si>
  <si>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</si>
  <si>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</si>
  <si>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</si>
  <si>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</si>
  <si>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</si>
  <si>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</si>
  <si>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</si>
  <si>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</si>
  <si>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</si>
  <si>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</si>
  <si>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</si>
  <si>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</si>
  <si>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</si>
  <si>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</si>
  <si>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</si>
  <si>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</si>
  <si>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</si>
  <si>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</si>
  <si>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</si>
  <si>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</si>
  <si>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</si>
  <si>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</si>
  <si>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</si>
  <si>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</si>
  <si>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</si>
  <si>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</si>
  <si>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</si>
  <si>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</si>
  <si>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</si>
  <si>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</si>
  <si>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</si>
  <si>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</si>
  <si>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</si>
  <si>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</si>
  <si>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</si>
  <si>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</si>
  <si>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</si>
  <si>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</si>
  <si>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</si>
  <si>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</si>
  <si>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</si>
  <si>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</si>
  <si>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</si>
  <si>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</si>
  <si>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</si>
  <si>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</si>
  <si>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</si>
  <si>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</si>
  <si>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</si>
  <si>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</si>
  <si>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</si>
  <si>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</si>
  <si>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</si>
  <si>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</si>
  <si>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</si>
  <si>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</si>
  <si>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</si>
  <si>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</si>
  <si>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</si>
  <si>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</si>
  <si>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</si>
  <si>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</si>
  <si>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</si>
  <si>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</si>
  <si>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</si>
  <si>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</si>
  <si>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</si>
  <si>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</si>
  <si>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</si>
  <si>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</si>
  <si>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</si>
  <si>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</si>
  <si>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</si>
  <si>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</si>
  <si>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</si>
  <si>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</si>
  <si>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</si>
  <si>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</si>
  <si>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</si>
  <si>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</si>
  <si>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</si>
  <si>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</si>
  <si>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</si>
  <si>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</si>
  <si>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</si>
  <si>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</si>
  <si>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</si>
  <si>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</si>
  <si>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</si>
  <si>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</si>
  <si>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</si>
  <si>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</si>
  <si>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</si>
  <si>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</si>
  <si>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</si>
  <si>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</si>
  <si>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</si>
  <si>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</si>
  <si>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</si>
  <si>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</si>
  <si>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</si>
  <si>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</si>
  <si>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</si>
  <si>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</si>
  <si>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</si>
  <si>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</si>
  <si>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</si>
  <si>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</si>
  <si>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</si>
  <si>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</si>
  <si>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</si>
  <si>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</si>
  <si>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</si>
  <si>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</si>
  <si>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</si>
  <si>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</si>
  <si>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</si>
  <si>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</si>
  <si>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</si>
  <si>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</si>
  <si>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</si>
  <si>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</si>
  <si>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</si>
  <si>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</si>
  <si>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</si>
  <si>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</si>
  <si>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</si>
  <si>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</si>
  <si>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</si>
  <si>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</si>
  <si>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</si>
  <si>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</si>
  <si>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</si>
  <si>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</si>
  <si>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</si>
  <si>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</si>
  <si>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</si>
  <si>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</si>
  <si>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</si>
  <si>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</si>
  <si>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</si>
  <si>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</si>
  <si>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</si>
  <si>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</si>
  <si>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</si>
  <si>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</si>
  <si>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</si>
  <si>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</si>
  <si>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</si>
  <si>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</si>
  <si>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</si>
  <si>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</si>
  <si>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</si>
  <si>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</si>
  <si>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</si>
  <si>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</si>
  <si>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</si>
  <si>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</si>
  <si>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</si>
  <si>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</si>
  <si>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</si>
  <si>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</si>
  <si>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</si>
  <si>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</si>
  <si>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</si>
  <si>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</si>
  <si>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</si>
  <si>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</si>
  <si>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</si>
  <si>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</si>
  <si>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</si>
  <si>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</si>
  <si>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</si>
  <si>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</si>
  <si>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</si>
  <si>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</si>
  <si>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</si>
  <si>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</si>
  <si>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</si>
  <si>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</si>
  <si>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</si>
  <si>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</si>
  <si>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</si>
  <si>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</si>
  <si>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</si>
  <si>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</si>
  <si>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</si>
  <si>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</si>
  <si>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</si>
  <si>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</si>
  <si>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</si>
  <si>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</si>
  <si>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</si>
  <si>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</si>
  <si>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</si>
  <si>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</si>
  <si>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</si>
  <si>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</si>
  <si>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</si>
  <si>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</si>
  <si>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</si>
  <si>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</si>
  <si>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</si>
  <si>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</si>
  <si>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</si>
  <si>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</si>
  <si>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</si>
  <si>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</si>
  <si>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</si>
  <si>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</si>
  <si>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</si>
  <si>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</si>
  <si>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</si>
  <si>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</si>
  <si>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</si>
  <si>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</si>
  <si>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</si>
  <si>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</si>
  <si>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</si>
  <si>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</si>
  <si>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</si>
  <si>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</si>
  <si>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</si>
  <si>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</si>
  <si>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</si>
  <si>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</si>
  <si>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</si>
  <si>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</si>
  <si>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</si>
  <si>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</si>
  <si>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</si>
  <si>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</si>
  <si>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</si>
  <si>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</si>
  <si>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</si>
  <si>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</si>
  <si>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</si>
  <si>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</si>
  <si>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</si>
  <si>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</si>
  <si>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</si>
  <si>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</si>
  <si>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</si>
  <si>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</si>
  <si>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</si>
  <si>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</si>
  <si>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</si>
  <si>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</si>
  <si>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</si>
  <si>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</si>
  <si>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</si>
  <si>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</si>
  <si>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</si>
  <si>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</si>
  <si>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</si>
  <si>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</si>
  <si>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</si>
  <si>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</si>
  <si>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</si>
  <si>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</si>
  <si>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</si>
  <si>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</si>
  <si>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</si>
  <si>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</si>
  <si>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</si>
  <si>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</si>
  <si>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</si>
  <si>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</si>
  <si>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</si>
  <si>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</si>
  <si>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</si>
  <si>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</si>
  <si>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</si>
  <si>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</si>
  <si>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</si>
  <si>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</si>
  <si>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</si>
  <si>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</si>
  <si>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</si>
  <si>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</si>
  <si>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</si>
  <si>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</si>
  <si>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</si>
  <si>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</si>
  <si>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</si>
  <si>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</si>
  <si>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</si>
  <si>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</si>
  <si>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</si>
  <si>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</si>
  <si>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</si>
  <si>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</si>
  <si>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</si>
  <si>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</si>
  <si>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</si>
  <si>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</si>
  <si>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</si>
  <si>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</si>
  <si>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</si>
  <si>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</si>
  <si>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</si>
  <si>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</si>
  <si>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</si>
  <si>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</si>
  <si>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</si>
  <si>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</si>
  <si>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</si>
  <si>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</si>
  <si>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</si>
  <si>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</si>
  <si>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</si>
  <si>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</si>
  <si>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</si>
  <si>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</si>
  <si>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</si>
  <si>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</si>
  <si>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</si>
  <si>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</si>
  <si>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</si>
  <si>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</si>
  <si>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</si>
  <si>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</si>
  <si>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</si>
  <si>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</si>
  <si>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</si>
  <si>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</si>
  <si>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</si>
  <si>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</si>
  <si>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</si>
  <si>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</si>
  <si>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</si>
  <si>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</si>
  <si>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</si>
  <si>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</si>
  <si>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</si>
  <si>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</si>
  <si>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</si>
  <si>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</si>
  <si>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</si>
  <si>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</si>
  <si>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</si>
  <si>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</si>
  <si>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</si>
  <si>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</si>
  <si>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</si>
  <si>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</si>
  <si>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</si>
  <si>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</si>
  <si>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</si>
  <si>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</si>
  <si>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</si>
  <si>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</si>
  <si>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</si>
  <si>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</si>
  <si>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</si>
  <si>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</si>
  <si>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</si>
  <si>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</si>
  <si>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</si>
  <si>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</si>
  <si>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</si>
  <si>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</si>
  <si>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</si>
  <si>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</si>
  <si>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</si>
  <si>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</si>
  <si>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</si>
  <si>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</si>
  <si>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</si>
  <si>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</si>
  <si>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</si>
  <si>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</si>
  <si>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</si>
  <si>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</si>
  <si>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</si>
  <si>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</si>
  <si>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</si>
  <si>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</si>
  <si>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</si>
  <si>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</si>
  <si>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</si>
  <si>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</si>
  <si>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</si>
  <si>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</si>
  <si>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</si>
  <si>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</si>
  <si>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</si>
  <si>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</si>
  <si>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</si>
  <si>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</si>
  <si>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</si>
  <si>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</si>
  <si>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</si>
  <si>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</si>
  <si>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</si>
  <si>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</si>
  <si>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</si>
  <si>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</si>
  <si>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</si>
  <si>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</si>
  <si>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</si>
  <si>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</si>
  <si>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</si>
  <si>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</si>
  <si>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</si>
  <si>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</si>
  <si>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</si>
  <si>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</si>
  <si>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</si>
  <si>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</si>
  <si>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</si>
  <si>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</si>
  <si>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</si>
  <si>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</si>
  <si>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</si>
  <si>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</si>
  <si>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</si>
  <si>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</si>
  <si>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</si>
  <si>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</si>
  <si>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</si>
  <si>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</si>
  <si>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</si>
  <si>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</si>
  <si>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</si>
  <si>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</si>
  <si>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</si>
  <si>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</si>
  <si>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</si>
  <si>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</si>
  <si>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</si>
  <si>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</si>
  <si>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</si>
  <si>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</si>
  <si>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</si>
  <si>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</si>
  <si>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</si>
  <si>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</si>
  <si>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</si>
  <si>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</si>
  <si>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</si>
  <si>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</si>
  <si>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</si>
  <si>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</si>
  <si>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</si>
  <si>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</si>
  <si>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</si>
  <si>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</si>
  <si>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</si>
  <si>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</si>
  <si>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</si>
  <si>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</si>
  <si>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</si>
  <si>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</si>
  <si>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</si>
  <si>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</si>
  <si>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</si>
  <si>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</si>
  <si>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</si>
  <si>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</si>
  <si>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</si>
  <si>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</si>
  <si>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</si>
  <si>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</si>
  <si>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</si>
  <si>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</si>
  <si>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</si>
  <si>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</si>
  <si>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</si>
  <si>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</si>
  <si>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</si>
  <si>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</si>
  <si>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</si>
  <si>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</si>
  <si>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</si>
  <si>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</si>
  <si>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</si>
  <si>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</si>
  <si>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</si>
  <si>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</si>
  <si>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</si>
  <si>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</si>
  <si>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</si>
  <si>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</si>
  <si>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</si>
  <si>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</si>
  <si>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</si>
  <si>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</si>
  <si>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</si>
  <si>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</si>
  <si>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</si>
  <si>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</si>
  <si>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</si>
  <si>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</si>
  <si>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</si>
  <si>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</si>
  <si>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</si>
  <si>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</si>
  <si>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</si>
  <si>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</si>
  <si>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</si>
  <si>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</si>
  <si>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</si>
  <si>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</si>
  <si>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</si>
  <si>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</si>
  <si>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</si>
  <si>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</si>
  <si>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</si>
  <si>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</si>
  <si>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</si>
  <si>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</si>
  <si>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</si>
  <si>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</si>
  <si>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</si>
  <si>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</si>
  <si>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</si>
  <si>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</si>
  <si>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</si>
  <si>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</si>
  <si>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</si>
  <si>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</si>
  <si>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</si>
  <si>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</si>
  <si>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</si>
  <si>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</si>
  <si>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</si>
  <si>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</si>
  <si>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</si>
  <si>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</si>
  <si>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</si>
  <si>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</si>
  <si>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</si>
  <si>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</si>
  <si>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</si>
  <si>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</si>
  <si>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</si>
  <si>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</si>
  <si>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</si>
  <si>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</si>
  <si>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</si>
  <si>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</si>
  <si>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</si>
  <si>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</si>
  <si>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</si>
  <si>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</si>
  <si>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</si>
  <si>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</si>
  <si>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</si>
  <si>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</si>
  <si>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</si>
  <si>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</si>
  <si>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</si>
  <si>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</si>
  <si>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</si>
  <si>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</si>
  <si>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</si>
  <si>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</si>
  <si>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</si>
  <si>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</si>
  <si>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</si>
  <si>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</si>
  <si>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</si>
  <si>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</si>
  <si>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</si>
  <si>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</si>
  <si>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</si>
  <si>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</si>
  <si>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</si>
  <si>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</si>
  <si>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</si>
  <si>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</si>
  <si>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</si>
  <si>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</si>
  <si>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</si>
  <si>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</si>
  <si>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</si>
  <si>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</si>
  <si>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</si>
  <si>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</si>
  <si>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</si>
  <si>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</si>
  <si>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</si>
  <si>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</si>
  <si>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</si>
  <si>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</si>
  <si>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</si>
  <si>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</si>
  <si>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</si>
  <si>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</si>
  <si>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</si>
  <si>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</si>
  <si>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</si>
  <si>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</si>
  <si>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</si>
  <si>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</si>
  <si>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</si>
  <si>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</si>
  <si>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</si>
  <si>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</si>
  <si>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</si>
  <si>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</si>
  <si>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</si>
  <si>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</si>
  <si>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</si>
  <si>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</si>
  <si>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</si>
  <si>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</si>
  <si>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</si>
  <si>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</si>
  <si>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</si>
  <si>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</si>
  <si>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</si>
  <si>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</si>
  <si>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</si>
  <si>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</si>
  <si>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</si>
  <si>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</si>
  <si>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</si>
  <si>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</si>
  <si>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</si>
  <si>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</si>
  <si>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</si>
  <si>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</si>
  <si>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</si>
  <si>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</si>
  <si>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</si>
  <si>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</si>
  <si>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</si>
  <si>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</si>
  <si>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</si>
  <si>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</si>
  <si>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</si>
  <si>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</si>
  <si>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</si>
  <si>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</si>
  <si>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</si>
  <si>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</si>
  <si>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</si>
  <si>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</si>
  <si>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</si>
  <si>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</si>
  <si>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</si>
  <si>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</si>
  <si>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</si>
  <si>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</si>
  <si>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</si>
  <si>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</si>
  <si>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</si>
  <si>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</si>
  <si>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</si>
  <si>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</si>
  <si>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</si>
  <si>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</si>
  <si>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</si>
  <si>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</si>
  <si>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</si>
  <si>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</si>
  <si>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</si>
  <si>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</si>
  <si>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</si>
  <si>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</si>
  <si>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</si>
  <si>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</si>
  <si>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</si>
  <si>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</si>
  <si>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</si>
  <si>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</si>
  <si>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</si>
  <si>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</si>
  <si>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</si>
  <si>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</si>
  <si>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</si>
  <si>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</si>
  <si>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</si>
  <si>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</si>
  <si>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</si>
  <si>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</si>
  <si>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</si>
  <si>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</si>
  <si>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</si>
  <si>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</si>
  <si>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</si>
  <si>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</si>
  <si>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</si>
  <si>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</si>
  <si>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</si>
  <si>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</si>
  <si>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</si>
  <si>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</si>
  <si>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</si>
  <si>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</si>
  <si>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</si>
  <si>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</si>
  <si>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</si>
  <si>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</si>
  <si>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</si>
  <si>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</si>
  <si>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</si>
  <si>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</si>
  <si>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</si>
  <si>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</si>
  <si>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</si>
  <si>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</si>
  <si>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</si>
  <si>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</si>
  <si>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</si>
  <si>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</si>
  <si>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</si>
  <si>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</si>
  <si>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</si>
  <si>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</si>
  <si>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</si>
  <si>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</si>
  <si>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</si>
  <si>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</si>
  <si>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</si>
  <si>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</si>
  <si>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</si>
  <si>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</si>
  <si>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</si>
  <si>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</si>
  <si>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</si>
  <si>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</si>
  <si>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</si>
  <si>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</si>
  <si>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</si>
  <si>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</si>
  <si>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</si>
  <si>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</si>
  <si>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</si>
  <si>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</si>
  <si>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</si>
  <si>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</si>
  <si>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</si>
  <si>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</si>
  <si>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</si>
  <si>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</si>
  <si>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</si>
  <si>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</si>
  <si>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</si>
  <si>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</si>
  <si>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</si>
  <si>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</si>
  <si>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</si>
  <si>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</si>
  <si>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</si>
  <si>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</si>
  <si>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</si>
  <si>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</si>
  <si>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</si>
  <si>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</si>
  <si>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</si>
  <si>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</si>
  <si>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</si>
  <si>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</si>
  <si>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</si>
  <si>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</si>
  <si>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</si>
  <si>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</si>
  <si>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</si>
  <si>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</si>
  <si>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</si>
  <si>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</si>
  <si>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</si>
  <si>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</si>
  <si>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</si>
  <si>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</si>
  <si>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</si>
  <si>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</si>
  <si>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</si>
  <si>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</si>
  <si>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</si>
  <si>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</si>
  <si>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</si>
  <si>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</si>
  <si>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</si>
  <si>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</si>
  <si>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</si>
  <si>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</si>
  <si>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</si>
  <si>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</si>
  <si>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</si>
  <si>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</si>
  <si>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</si>
  <si>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</si>
  <si>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</si>
  <si>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</si>
  <si>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</si>
  <si>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</si>
  <si>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</si>
  <si>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</si>
  <si>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</si>
  <si>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</si>
  <si>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</si>
  <si>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</si>
  <si>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</si>
  <si>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</si>
  <si>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</si>
  <si>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</si>
  <si>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</si>
  <si>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</si>
  <si>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</si>
  <si>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</si>
  <si>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</si>
  <si>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</si>
  <si>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</si>
  <si>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</si>
  <si>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</si>
  <si>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</si>
  <si>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</si>
  <si>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</si>
  <si>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</si>
  <si>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</si>
  <si>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</si>
  <si>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</si>
  <si>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</si>
  <si>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</si>
  <si>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</si>
  <si>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</si>
  <si>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</si>
  <si>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</si>
  <si>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</si>
  <si>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</si>
  <si>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</si>
  <si>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</si>
  <si>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</si>
  <si>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</si>
  <si>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</si>
  <si>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</si>
  <si>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46</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</si>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</sst>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5xt1Y5DP1I" TargetMode="External"/><Relationship Id="rId3512" Type="http://schemas.openxmlformats.org/officeDocument/2006/relationships/hyperlink" Target="https://clips.twitch.tv/TenaciousThankfulPeachTinyFa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LaconicSaltyJackalDAESupp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t0zyR9tMF0" TargetMode="External"/><Relationship Id="rId44" Type="http://schemas.openxmlformats.org/officeDocument/2006/relationships/hyperlink" Target="https://youtu.be/qQGN1qDjyGc" TargetMode="External"/><Relationship Id="rId3517" Type="http://schemas.openxmlformats.org/officeDocument/2006/relationships/hyperlink" Target="https://youtu.be/_vlhzyWD5T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I7D7nA__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NNPXltghmL4" TargetMode="External"/><Relationship Id="rId45" Type="http://schemas.openxmlformats.org/officeDocument/2006/relationships/hyperlink" Target="https://youtu.be/HuZ6b_Zl2s8" TargetMode="External"/><Relationship Id="rId3518" Type="http://schemas.openxmlformats.org/officeDocument/2006/relationships/hyperlink" Target="https://youtu.be/oFa9Fham62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WanderingHonestBeaverPupper" TargetMode="External"/><Relationship Id="rId3510" Type="http://schemas.openxmlformats.org/officeDocument/2006/relationships/hyperlink" Target="https://clips.twitch.tv/AthleticVibrantLobsterNomNom" TargetMode="External"/><Relationship Id="rId3502" Type="http://schemas.openxmlformats.org/officeDocument/2006/relationships/hyperlink" Target="https://youtu.be/6dC2qWCsfig" TargetMode="External"/><Relationship Id="rId3501" Type="http://schemas.openxmlformats.org/officeDocument/2006/relationships/hyperlink" Target="https://youtu.be/K1nCKnWMVR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YAakrWfQx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reamyCharmingMoonOpieOP"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867911473"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istinctOilyPlumberBlargNaut"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epressedSweetCattleTheTarF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CautiousTemperedBottleYouWHY" TargetMode="External"/><Relationship Id="rId3509" Type="http://schemas.openxmlformats.org/officeDocument/2006/relationships/hyperlink" Target="https://youtu.be/ztgKfdQDd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86791147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IjKpEs-Dc7c" TargetMode="External"/><Relationship Id="rId2204" Type="http://schemas.openxmlformats.org/officeDocument/2006/relationships/hyperlink" Target="https://youtu.be/3xXcJ2B6gHc" TargetMode="External"/><Relationship Id="rId3534" Type="http://schemas.openxmlformats.org/officeDocument/2006/relationships/hyperlink" Target="https://youtu.be/7tM1xblhUA4"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clips.twitch.tv/CautiousIcyPancakeYouDontSay-tVFKCYCSjaOHFQpQ"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Cr7xNueJcf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FyY79WUdWI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61ZIILT3Bz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KawaiiSeductiveSandstormCoolStoryBob"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zwKYh5fIKiE"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lIdj4uOQerg?t=10630"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wLgBafrMgHI" TargetMode="External"/><Relationship Id="rId3524" Type="http://schemas.openxmlformats.org/officeDocument/2006/relationships/hyperlink" Target="https://youtu.be/-6-6Nekn-zE" TargetMode="External"/><Relationship Id="rId3523" Type="http://schemas.openxmlformats.org/officeDocument/2006/relationships/hyperlink" Target="https://youtu.be/zNgWybAwmKA" TargetMode="External"/><Relationship Id="rId3526" Type="http://schemas.openxmlformats.org/officeDocument/2006/relationships/hyperlink" Target="https://youtu.be/C_2rljFQ2w4?t=11052" TargetMode="External"/><Relationship Id="rId3525" Type="http://schemas.openxmlformats.org/officeDocument/2006/relationships/hyperlink" Target="https://youtu.be/lIdj4uOQerg?t=11699"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AbstruseDullYogurtVoHiYo" TargetMode="External"/><Relationship Id="rId10" Type="http://schemas.openxmlformats.org/officeDocument/2006/relationships/hyperlink" Target="https://youtu.be/DPw4qWhC6vI" TargetMode="External"/><Relationship Id="rId3527" Type="http://schemas.openxmlformats.org/officeDocument/2006/relationships/hyperlink" Target="https://youtu.be/45_DhuJsqO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Mbc7M7uEm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Y_eB2PGdc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8BDWIz596o" TargetMode="External"/><Relationship Id="rId3521" Type="http://schemas.openxmlformats.org/officeDocument/2006/relationships/hyperlink" Target="https://clips.twitch.tv/TenaciousAnnoyingHerringWO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jqxed1-LkF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z2lvlGEOHn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_3JPlL3Pmj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MNHwaZl1-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L0pX0kEFF2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S4oGlzAKWF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xcxhZO7BvJ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60ATcpC4rT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FJKfE_oi77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kKfeqwrHHg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hUwyAk-T4H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yvjAOvKZA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NI_eFWO8vcE"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4a9t8QQ8Hpc"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H7bFpLcD-W0"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bd8BstfzLK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ZrfhNe_zS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gFM20J1B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6dazNb50Dc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steRzjHmiE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1009373326" TargetMode="External"/><Relationship Id="rId2226" Type="http://schemas.openxmlformats.org/officeDocument/2006/relationships/hyperlink" Target="https://youtu.be/86a8fv-ljhw" TargetMode="External"/><Relationship Id="rId3556" Type="http://schemas.openxmlformats.org/officeDocument/2006/relationships/hyperlink" Target="https://youtu.be/RrJQMEHIAq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haGMhM9u6a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35lpY0B2fh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ncernedBoxyOkapiLitty-If_2beSNl1Blwg-q" TargetMode="External"/><Relationship Id="rId2220" Type="http://schemas.openxmlformats.org/officeDocument/2006/relationships/hyperlink" Target="https://youtu.be/SMsD3PoVZ8w" TargetMode="External"/><Relationship Id="rId3550" Type="http://schemas.openxmlformats.org/officeDocument/2006/relationships/hyperlink" Target="https://youtu.be/tfA20ORFXO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www.twitch.tv/videos/215385240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k5RDI6nw79U"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WiTRLXuuPTk"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940-hmnF3bc"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2pTWUr4GnDk"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3065418860646407"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IOQId00skqE"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XCkL-zmJurc"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YpXg5eonyBw" TargetMode="External"/><Relationship Id="rId3540" Type="http://schemas.openxmlformats.org/officeDocument/2006/relationships/hyperlink" Target="https://youtu.be/eBRChBIMd2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WHLT219rsvU" TargetMode="External"/><Relationship Id="rId2211" Type="http://schemas.openxmlformats.org/officeDocument/2006/relationships/hyperlink" Target="https://youtu.be/heIYVyxaiZY" TargetMode="External"/><Relationship Id="rId3541" Type="http://schemas.openxmlformats.org/officeDocument/2006/relationships/hyperlink" Target="https://twitter.com/tomato_modest/status/1457519468427501568"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36192421247950849"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clips.twitch.tv/TacitAbstemiousSquidPeanutButterJellyTime-rOXXsBM6dkX7u0oS"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TNON8fY4oy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XfqPu5IyiKk"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ltwagdpYLDc"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953100776"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X3T9ZZSIzjI"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p6j_MUKckJ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nPgTV1Ndmn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vbdvMNZFF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J4L2ABVkS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6DNL3nIer-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SmKBzl3ASwY"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yZBt7K60eA"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09905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modest_tomato/clip/AmazonianSincereChinchillaSSSsss-XG84eIbLtaW8n4cA?filter=clips&amp;range=all&amp;sort=time"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hgBVDdP5o"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iGJSHz1BA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videos/216240957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akrSPU-0bW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120198941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2SbVn5Coi2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www.twitch.tv/videos/1240610069"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youtu.be/6maFSYyONMI"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LnokC0JcIX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ZBw8HgqmYE4"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yBPrzGu9iRs"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8lvROe5a3F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GPTfLN1gvcA"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DXznlVPmok" TargetMode="External"/><Relationship Id="rId3623" Type="http://schemas.openxmlformats.org/officeDocument/2006/relationships/hyperlink" Target="https://youtu.be/NMknFeDydcs" TargetMode="External"/><Relationship Id="rId3622" Type="http://schemas.openxmlformats.org/officeDocument/2006/relationships/hyperlink" Target="https://www.twitch.tv/videos/2178361669" TargetMode="External"/><Relationship Id="rId3625" Type="http://schemas.openxmlformats.org/officeDocument/2006/relationships/hyperlink" Target="https://youtu.be/F-2Vza5NDCs" TargetMode="External"/><Relationship Id="rId3624" Type="http://schemas.openxmlformats.org/officeDocument/2006/relationships/hyperlink" Target="https://youtu.be/wt9CAUQPahc" TargetMode="External"/><Relationship Id="rId3627" Type="http://schemas.openxmlformats.org/officeDocument/2006/relationships/hyperlink" Target="https://youtu.be/DUApekPqVx0" TargetMode="External"/><Relationship Id="rId3626" Type="http://schemas.openxmlformats.org/officeDocument/2006/relationships/hyperlink" Target="https://youtu.be/xB7KPQD_bs8"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youtu.be/BRbu8H2UIhE" TargetMode="External"/><Relationship Id="rId3620" Type="http://schemas.openxmlformats.org/officeDocument/2006/relationships/hyperlink" Target="https://youtu.be/hI8M3QDI7Ys"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youtu.be/1X1H4tLcTuE"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lyWm_9LlYOQ"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bINNm5Aceek"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www.twitch.tv/videos/1249387882"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youtu.be/2V-E1Ry_EdM"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6mI4Vok80os"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COIMShAaKdw"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www.twitch.tv/videos/1564290677"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youtu.be/o3BJ9s8uUxw"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www.twitch.tv/videos/1239274480"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WH0jcgZhuSk"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www.twitch.tv/videos/1221315070"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youtu.be/NL7okSeY5iY"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XTDyoF4Y4nU"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b5xLagqBHMs"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VRHX3pgBvAQ"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youtu.be/HPS5N1Vmy6Q"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IOuZLjDgZX0"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OKOvNxVhYhg" TargetMode="External"/><Relationship Id="rId3611" Type="http://schemas.openxmlformats.org/officeDocument/2006/relationships/hyperlink" Target="https://www.youtube.com/watch?v=RkeXZsAEZAw" TargetMode="External"/><Relationship Id="rId3614" Type="http://schemas.openxmlformats.org/officeDocument/2006/relationships/hyperlink" Target="https://www.youtube.com/watch?v=3fqRcGfUd40" TargetMode="External"/><Relationship Id="rId3613" Type="http://schemas.openxmlformats.org/officeDocument/2006/relationships/hyperlink" Target="https://www.youtube.com/watch?v=MUPo8htAg-g" TargetMode="External"/><Relationship Id="rId3616" Type="http://schemas.openxmlformats.org/officeDocument/2006/relationships/hyperlink" Target="https://www.youtube.com/watch?v=rWfGIEVvzDo" TargetMode="External"/><Relationship Id="rId3615" Type="http://schemas.openxmlformats.org/officeDocument/2006/relationships/hyperlink" Target="https://www.youtube.com/watch?v=e8w0PEk24j4" TargetMode="External"/><Relationship Id="rId3618" Type="http://schemas.openxmlformats.org/officeDocument/2006/relationships/hyperlink" Target="https://www.youtube.com/watch?v=_-vCzJ7BwD0" TargetMode="External"/><Relationship Id="rId3617" Type="http://schemas.openxmlformats.org/officeDocument/2006/relationships/hyperlink" Target="https://www.youtube.com/watch?v=QrmFMoWKslE" TargetMode="External"/><Relationship Id="rId3619" Type="http://schemas.openxmlformats.org/officeDocument/2006/relationships/hyperlink" Target="https://www.twitch.tv/videos/2154404870?t=00h13m35s" TargetMode="External"/><Relationship Id="rId3610" Type="http://schemas.openxmlformats.org/officeDocument/2006/relationships/hyperlink" Target="https://www.youtube.com/watch?v=bLjbsRbEWJo" TargetMode="External"/><Relationship Id="rId3601" Type="http://schemas.openxmlformats.org/officeDocument/2006/relationships/hyperlink" Target="https://www.youtube.com/watch?v=8-PbKF3qQeA" TargetMode="External"/><Relationship Id="rId3600" Type="http://schemas.openxmlformats.org/officeDocument/2006/relationships/hyperlink" Target="https://www.youtube.com/watch?v=40nfD6pREm0" TargetMode="External"/><Relationship Id="rId3603" Type="http://schemas.openxmlformats.org/officeDocument/2006/relationships/hyperlink" Target="https://youtube.com/watch?v=FSlD443aJsk" TargetMode="External"/><Relationship Id="rId3602" Type="http://schemas.openxmlformats.org/officeDocument/2006/relationships/hyperlink" Target="https://www.youtube.com/watch?v=B2f5gogIPSY" TargetMode="External"/><Relationship Id="rId3605" Type="http://schemas.openxmlformats.org/officeDocument/2006/relationships/hyperlink" Target="https://www.youtube.com/watch?v=mTXUY9xpRFg" TargetMode="External"/><Relationship Id="rId3604" Type="http://schemas.openxmlformats.org/officeDocument/2006/relationships/hyperlink" Target="https://www.youtube.com/watch?v=QxWPg7mdDfE" TargetMode="External"/><Relationship Id="rId3607" Type="http://schemas.openxmlformats.org/officeDocument/2006/relationships/hyperlink" Target="https://www.youtube.com/watch?v=JHBjmXQeIW4" TargetMode="External"/><Relationship Id="rId3606" Type="http://schemas.openxmlformats.org/officeDocument/2006/relationships/hyperlink" Target="https://www.youtube.com/watch?v=CXysMP8sBxs" TargetMode="External"/><Relationship Id="rId3609" Type="http://schemas.openxmlformats.org/officeDocument/2006/relationships/hyperlink" Target="https://www.youtube.com/watch?v=gEIyUeIBVcE" TargetMode="External"/><Relationship Id="rId3608" Type="http://schemas.openxmlformats.org/officeDocument/2006/relationships/hyperlink" Target="https://www.youtube.com/watch?v=JSK0YPuxw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efinedSmallBobaOhMyDo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SassyBeautifulShrewSMOrc"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WealthyIcyNeanderthalFreakinStinkin"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5jM0EgimauY"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FilthyTalentedQuailStinkyCheese"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youtu.be/8lQ-ZQlB5qI"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is_vY-GrcvA" TargetMode="External"/><Relationship Id="rId2424" Type="http://schemas.openxmlformats.org/officeDocument/2006/relationships/hyperlink" Target="https://youtu.be/oOnV-NlfnIE" TargetMode="External"/><Relationship Id="rId3754" Type="http://schemas.openxmlformats.org/officeDocument/2006/relationships/hyperlink" Target="https://youtu.be/I7ZgVTZnK5E" TargetMode="External"/><Relationship Id="rId2425" Type="http://schemas.openxmlformats.org/officeDocument/2006/relationships/hyperlink" Target="https://youtu.be/yAHDhaOU8Q8" TargetMode="External"/><Relationship Id="rId3757" Type="http://schemas.openxmlformats.org/officeDocument/2006/relationships/hyperlink" Target="https://youtu.be/69ic33AvIaQ" TargetMode="External"/><Relationship Id="rId2426" Type="http://schemas.openxmlformats.org/officeDocument/2006/relationships/hyperlink" Target="https://youtu.be/VnNU1Ms6HXw" TargetMode="External"/><Relationship Id="rId3756" Type="http://schemas.openxmlformats.org/officeDocument/2006/relationships/hyperlink" Target="https://youtu.be/L3JP_GvYE7c" TargetMode="External"/><Relationship Id="rId2427" Type="http://schemas.openxmlformats.org/officeDocument/2006/relationships/hyperlink" Target="https://youtu.be/TLVlIuyOwrI" TargetMode="External"/><Relationship Id="rId3759" Type="http://schemas.openxmlformats.org/officeDocument/2006/relationships/hyperlink" Target="https://youtu.be/UbE6nG94rbc" TargetMode="External"/><Relationship Id="rId2428" Type="http://schemas.openxmlformats.org/officeDocument/2006/relationships/hyperlink" Target="https://youtu.be/0Ad-hocDWwg" TargetMode="External"/><Relationship Id="rId3758" Type="http://schemas.openxmlformats.org/officeDocument/2006/relationships/hyperlink" Target="https://youtu.be/S2-pKof3drs"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cqSvG8RrCo" TargetMode="External"/><Relationship Id="rId2420" Type="http://schemas.openxmlformats.org/officeDocument/2006/relationships/hyperlink" Target="https://youtu.be/bVIluirGDYk" TargetMode="External"/><Relationship Id="rId3750" Type="http://schemas.openxmlformats.org/officeDocument/2006/relationships/hyperlink" Target="https://youtu.be/q-qecF2b-PI" TargetMode="External"/><Relationship Id="rId2421" Type="http://schemas.openxmlformats.org/officeDocument/2006/relationships/hyperlink" Target="https://youtu.be/giKr74OQdto" TargetMode="External"/><Relationship Id="rId3753" Type="http://schemas.openxmlformats.org/officeDocument/2006/relationships/hyperlink" Target="https://youtu.be/nggxOuqniqE" TargetMode="External"/><Relationship Id="rId2422" Type="http://schemas.openxmlformats.org/officeDocument/2006/relationships/hyperlink" Target="https://youtu.be/00710huXVlk" TargetMode="External"/><Relationship Id="rId3752" Type="http://schemas.openxmlformats.org/officeDocument/2006/relationships/hyperlink" Target="https://youtu.be/P1zYoS5W0-o" TargetMode="External"/><Relationship Id="rId2412" Type="http://schemas.openxmlformats.org/officeDocument/2006/relationships/hyperlink" Target="https://youtu.be/4piPovOx8O4" TargetMode="External"/><Relationship Id="rId3744" Type="http://schemas.openxmlformats.org/officeDocument/2006/relationships/hyperlink" Target="https://youtu.be/74H20Y0ruuk" TargetMode="External"/><Relationship Id="rId2413" Type="http://schemas.openxmlformats.org/officeDocument/2006/relationships/hyperlink" Target="https://youtu.be/7PV_sbgZrbk" TargetMode="External"/><Relationship Id="rId3743" Type="http://schemas.openxmlformats.org/officeDocument/2006/relationships/hyperlink" Target="https://youtu.be/NqCh1AR43cg" TargetMode="External"/><Relationship Id="rId2414" Type="http://schemas.openxmlformats.org/officeDocument/2006/relationships/hyperlink" Target="https://youtu.be/Lun8aJPbx0M" TargetMode="External"/><Relationship Id="rId3746" Type="http://schemas.openxmlformats.org/officeDocument/2006/relationships/hyperlink" Target="https://youtu.be/Cr_xP8bgJec" TargetMode="External"/><Relationship Id="rId2415" Type="http://schemas.openxmlformats.org/officeDocument/2006/relationships/hyperlink" Target="https://youtu.be/vtQd6-gbOy0" TargetMode="External"/><Relationship Id="rId3745" Type="http://schemas.openxmlformats.org/officeDocument/2006/relationships/hyperlink" Target="https://youtu.be/ixBwATUne_8"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u-0TbF-x-ys" TargetMode="External"/><Relationship Id="rId2417" Type="http://schemas.openxmlformats.org/officeDocument/2006/relationships/hyperlink" Target="https://youtu.be/VKdpuTD0_0I" TargetMode="External"/><Relationship Id="rId3747" Type="http://schemas.openxmlformats.org/officeDocument/2006/relationships/hyperlink" Target="https://youtu.be/Fwi1P8hhbEM"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chTeu9FixQo" TargetMode="External"/><Relationship Id="rId3742" Type="http://schemas.openxmlformats.org/officeDocument/2006/relationships/hyperlink" Target="https://youtu.be/zlsxUCl28VA" TargetMode="External"/><Relationship Id="rId2411" Type="http://schemas.openxmlformats.org/officeDocument/2006/relationships/hyperlink" Target="https://youtu.be/KA4asInrEtg"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IA9rZ_hatPE"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clips.twitch.tv/IgnorantInexpensiveWhaleAMPEnergyCherry-0_APFnMlwRxp93Up"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3Ovu89Qc6hc"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npPbGmcpwTg"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c2vKpA4W0o" TargetMode="External"/><Relationship Id="rId2440" Type="http://schemas.openxmlformats.org/officeDocument/2006/relationships/hyperlink" Target="https://youtu.be/cpjM9d2bBow" TargetMode="External"/><Relationship Id="rId3770" Type="http://schemas.openxmlformats.org/officeDocument/2006/relationships/hyperlink" Target="https://youtu.be/pTOrGSUJHW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www.youtube.com/watch?v=xILNN4X1Su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youtu.be/gl9c1qhsTTo"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www.youtube.com/watch?v=WYCGplnVh4A"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youtu.be/_5EE7piEfd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6in2eMbJ0ow"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K9g9bFufOg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cMWcL3kLKVs"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oJ7uiss0Fa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HhrXXa3_6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6T_sN1V7s"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Oc0mzisGZgM"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qKz5kBAucjo"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_yyE2bJP2Bk"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5awgm4vADLQ"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www.twitch.tv/videos/1864132423"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youtube.com/watch?v=-tGRQrXio5s"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clips.twitch.tv/SavoryFrailDillRiPepperonis-_a-yQIVP6RrToBfk"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youtu.be/Y0Oq8wetDt4" TargetMode="External"/><Relationship Id="rId3733" Type="http://schemas.openxmlformats.org/officeDocument/2006/relationships/hyperlink" Target="https://youtu.be/oDxj7CTWpxg" TargetMode="External"/><Relationship Id="rId2402" Type="http://schemas.openxmlformats.org/officeDocument/2006/relationships/hyperlink" Target="https://www.twitch.tv/videos/143059739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kicCQw8zeIk" TargetMode="External"/><Relationship Id="rId3735" Type="http://schemas.openxmlformats.org/officeDocument/2006/relationships/hyperlink" Target="https://youtu.be/aI2boBx2egA" TargetMode="External"/><Relationship Id="rId2404" Type="http://schemas.openxmlformats.org/officeDocument/2006/relationships/hyperlink" Target="https://youtu.be/etT618o-CpA" TargetMode="External"/><Relationship Id="rId3734" Type="http://schemas.openxmlformats.org/officeDocument/2006/relationships/hyperlink" Target="https://youtu.be/HW54mM9GIV0" TargetMode="External"/><Relationship Id="rId2405" Type="http://schemas.openxmlformats.org/officeDocument/2006/relationships/hyperlink" Target="https://youtu.be/W4uFo7Mb2SU" TargetMode="External"/><Relationship Id="rId3737" Type="http://schemas.openxmlformats.org/officeDocument/2006/relationships/hyperlink" Target="https://youtu.be/Df8m_IV4vrA" TargetMode="External"/><Relationship Id="rId2406" Type="http://schemas.openxmlformats.org/officeDocument/2006/relationships/hyperlink" Target="https://youtu.be/Adhau5NCsCQ"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edbcwsAJJdQ" TargetMode="External"/><Relationship Id="rId3739" Type="http://schemas.openxmlformats.org/officeDocument/2006/relationships/hyperlink" Target="https://youtu.be/fNVSKf4AXPg" TargetMode="External"/><Relationship Id="rId2408" Type="http://schemas.openxmlformats.org/officeDocument/2006/relationships/hyperlink" Target="https://youtu.be/t9drpBX9klU" TargetMode="External"/><Relationship Id="rId3738" Type="http://schemas.openxmlformats.org/officeDocument/2006/relationships/hyperlink" Target="https://youtu.be/S2yDCubR2o4"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fVvehheK9_Q?si=JCqDHGURTBuXBpo6" TargetMode="External"/><Relationship Id="rId3721" Type="http://schemas.openxmlformats.org/officeDocument/2006/relationships/hyperlink" Target="https://www.twitch.tv/videos/1839324675" TargetMode="External"/><Relationship Id="rId3724" Type="http://schemas.openxmlformats.org/officeDocument/2006/relationships/hyperlink" Target="https://www.youtube.com/watch?v=BlTsOFlPgME" TargetMode="External"/><Relationship Id="rId3723" Type="http://schemas.openxmlformats.org/officeDocument/2006/relationships/hyperlink" Target="https://www.twitch.tv/videos/1815831888" TargetMode="External"/><Relationship Id="rId3726" Type="http://schemas.openxmlformats.org/officeDocument/2006/relationships/hyperlink" Target="https://www.youtube.com/watch?v=LLV-ujq1ytc" TargetMode="External"/><Relationship Id="rId3725" Type="http://schemas.openxmlformats.org/officeDocument/2006/relationships/hyperlink" Target="https://www.twitch.tv/videos/923267417"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BYOcecJcsY" TargetMode="External"/><Relationship Id="rId1160" Type="http://schemas.openxmlformats.org/officeDocument/2006/relationships/hyperlink" Target="https://youtu.be/YD-o9RHPZWo" TargetMode="External"/><Relationship Id="rId2491" Type="http://schemas.openxmlformats.org/officeDocument/2006/relationships/hyperlink" Target="https://youtu.be/XoPmdZTF3zA"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DqMZapAWS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81MGVbA1u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hBmRe8j_sI" TargetMode="External"/><Relationship Id="rId1164" Type="http://schemas.openxmlformats.org/officeDocument/2006/relationships/hyperlink" Target="https://youtu.be/rNfnEd8D4rc" TargetMode="External"/><Relationship Id="rId2495" Type="http://schemas.openxmlformats.org/officeDocument/2006/relationships/hyperlink" Target="https://youtu.be/zrrBfrw-Ex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syuy89sCW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AyTZSvuP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WbXQ-OvZS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szWsI47Y8h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XFv2JXpwzP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www.youtube.com/watch?v=5ezTSko_BOU"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jpRgtYWDDw" TargetMode="External"/><Relationship Id="rId2460" Type="http://schemas.openxmlformats.org/officeDocument/2006/relationships/hyperlink" Target="https://youtu.be/TKK51XFEscs" TargetMode="External"/><Relationship Id="rId3790" Type="http://schemas.openxmlformats.org/officeDocument/2006/relationships/hyperlink" Target="https://youtu.be/YAMDglE01Tg"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www.youtube.com/watch?v=odXAa6vbdas"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NBnUp-T3fhc"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CgWCSuJ5jn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youtu.be/gsTC2weC5O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youtu.be/-X-8cgwjxb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www.youtube.com/watch?v=dRTrvAdi71A"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_BiWC77BP3o"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hfxXpN4iAks"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PW3RefbTtj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SNXTmoonnM" TargetMode="External"/><Relationship Id="rId2450" Type="http://schemas.openxmlformats.org/officeDocument/2006/relationships/hyperlink" Target="https://youtu.be/-Y-wPWqxIEI" TargetMode="External"/><Relationship Id="rId3782" Type="http://schemas.openxmlformats.org/officeDocument/2006/relationships/hyperlink" Target="https://youtu.be/mEmDaTtNmi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YQQ0q65ToQ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BzPxFP5PIp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MMo3ZBMPIr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x4wUe8VzFL4"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ewGQiYOg6F4"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HandsomeExcitedDillBudStar-TLzF1iin6MQb_Uq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EeDCWtEVYa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clips.twitch.tv/CarelessFilthyOctopusDxCat-khFT2LpSO1L4vmdD"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V1romHWcAkI" TargetMode="External"/><Relationship Id="rId1152" Type="http://schemas.openxmlformats.org/officeDocument/2006/relationships/hyperlink" Target="https://youtu.be/jN9gfTx_UA4" TargetMode="External"/><Relationship Id="rId2483" Type="http://schemas.openxmlformats.org/officeDocument/2006/relationships/hyperlink" Target="https://youtu.be/nv7vfokEAtg"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bX74dFmmPF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FurryFragileButterBIRB-3eTXc5x4GKdfvTdB"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212627759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pxKp362mZG4"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SassyDepressedBubbleteaBudStar-0xLanv-uQFzxhaoW"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HyperVibrantYakSeemsGood-_lLej0SHz3UTvAiG"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YEtGP6xY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64996095" TargetMode="External"/><Relationship Id="rId3812" Type="http://schemas.openxmlformats.org/officeDocument/2006/relationships/hyperlink" Target="https://youtu.be/zwrAxg51_j8" TargetMode="External"/><Relationship Id="rId3811" Type="http://schemas.openxmlformats.org/officeDocument/2006/relationships/hyperlink" Target="https://www.twitch.tv/videos/1252488021" TargetMode="External"/><Relationship Id="rId3814" Type="http://schemas.openxmlformats.org/officeDocument/2006/relationships/hyperlink" Target="https://youtu.be/-EuPHAugnvU" TargetMode="External"/><Relationship Id="rId3813" Type="http://schemas.openxmlformats.org/officeDocument/2006/relationships/hyperlink" Target="https://youtu.be/lURSmO_AyEw"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youtu.be/FxAyf0hf3S4" TargetMode="External"/><Relationship Id="rId3801" Type="http://schemas.openxmlformats.org/officeDocument/2006/relationships/hyperlink" Target="https://youtu.be/H3JDwX7khMg" TargetMode="External"/><Relationship Id="rId3800" Type="http://schemas.openxmlformats.org/officeDocument/2006/relationships/hyperlink" Target="https://youtu.be/APN1OdPY83o" TargetMode="External"/><Relationship Id="rId3803" Type="http://schemas.openxmlformats.org/officeDocument/2006/relationships/hyperlink" Target="https://clips.twitch.tv/OpenSwissHorseradishPlanking-F6U4Rdie9N3lGJTB" TargetMode="External"/><Relationship Id="rId3802" Type="http://schemas.openxmlformats.org/officeDocument/2006/relationships/hyperlink" Target="https://youtu.be/AlDJUqcUgNE" TargetMode="External"/><Relationship Id="rId3805" Type="http://schemas.openxmlformats.org/officeDocument/2006/relationships/hyperlink" Target="https://clips.twitch.tv/AmericanTardyDugongSpicyBoy-u5HRN4Pv98XlV4QZ" TargetMode="External"/><Relationship Id="rId3804" Type="http://schemas.openxmlformats.org/officeDocument/2006/relationships/hyperlink" Target="https://clips.twitch.tv/AdorableAuspiciousPonyOMGScoots-cOHUPAy5-HX8cTlY" TargetMode="External"/><Relationship Id="rId3807" Type="http://schemas.openxmlformats.org/officeDocument/2006/relationships/hyperlink" Target="https://www.twitch.tv/videos/1224432075" TargetMode="External"/><Relationship Id="rId3806" Type="http://schemas.openxmlformats.org/officeDocument/2006/relationships/hyperlink" Target="https://www.twitch.tv/videos/1230321696" TargetMode="External"/><Relationship Id="rId3809" Type="http://schemas.openxmlformats.org/officeDocument/2006/relationships/hyperlink" Target="https://clips.twitch.tv/SarcasticJoyousMacaroniSaltBae-7jY8PhjdTlVbfUri" TargetMode="External"/><Relationship Id="rId3808" Type="http://schemas.openxmlformats.org/officeDocument/2006/relationships/hyperlink" Target="https://clips.twitch.tv/UnsightlyObservantCrabsKappaClaus-1ZkgEyeYp8b3WKgQ" TargetMode="External"/><Relationship Id="rId1213" Type="http://schemas.openxmlformats.org/officeDocument/2006/relationships/hyperlink" Target="https://youtu.be/fPaVpR5NAlE" TargetMode="External"/><Relationship Id="rId2544" Type="http://schemas.openxmlformats.org/officeDocument/2006/relationships/hyperlink" Target="https://youtu.be/AyHBkIG0MSY" TargetMode="External"/><Relationship Id="rId3876" Type="http://schemas.openxmlformats.org/officeDocument/2006/relationships/hyperlink" Target="https://youtu.be/hNY2YLYWw0A" TargetMode="External"/><Relationship Id="rId1214" Type="http://schemas.openxmlformats.org/officeDocument/2006/relationships/hyperlink" Target="https://youtu.be/W7VZLhWhTy0" TargetMode="External"/><Relationship Id="rId2545" Type="http://schemas.openxmlformats.org/officeDocument/2006/relationships/hyperlink" Target="https://youtu.be/z6UWwsVT2_g" TargetMode="External"/><Relationship Id="rId3875" Type="http://schemas.openxmlformats.org/officeDocument/2006/relationships/hyperlink" Target="https://youtu.be/sY5sBSU2oXc" TargetMode="External"/><Relationship Id="rId1215" Type="http://schemas.openxmlformats.org/officeDocument/2006/relationships/hyperlink" Target="https://youtu.be/ib-P1DOL8Uo" TargetMode="External"/><Relationship Id="rId2546" Type="http://schemas.openxmlformats.org/officeDocument/2006/relationships/hyperlink" Target="https://youtu.be/1bYjGQdaTQ8" TargetMode="External"/><Relationship Id="rId3878" Type="http://schemas.openxmlformats.org/officeDocument/2006/relationships/hyperlink" Target="https://www.youtube.com/watch?v=SIiCoZ2Xvrk"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HotBadHornetSMOrc-t1Ay2e8ytR447XE-" TargetMode="External"/><Relationship Id="rId3877" Type="http://schemas.openxmlformats.org/officeDocument/2006/relationships/hyperlink" Target="https://youtu.be/U6dEEcEm8Kg" TargetMode="External"/><Relationship Id="rId1217" Type="http://schemas.openxmlformats.org/officeDocument/2006/relationships/hyperlink" Target="https://youtu.be/hJQ5RHVM3J0" TargetMode="External"/><Relationship Id="rId2548" Type="http://schemas.openxmlformats.org/officeDocument/2006/relationships/hyperlink" Target="https://youtu.be/Bn7k3tpxw3w" TargetMode="External"/><Relationship Id="rId1218" Type="http://schemas.openxmlformats.org/officeDocument/2006/relationships/hyperlink" Target="https://youtu.be/Rxq9Laa02sM" TargetMode="External"/><Relationship Id="rId2549" Type="http://schemas.openxmlformats.org/officeDocument/2006/relationships/hyperlink" Target="https://youtu.be/GehcU0SiNIs" TargetMode="External"/><Relationship Id="rId3879" Type="http://schemas.openxmlformats.org/officeDocument/2006/relationships/hyperlink" Target="https://www.youtube.com/watch?v=Di70vEjIigs"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r_HuXdZOnmI" TargetMode="External"/><Relationship Id="rId2540" Type="http://schemas.openxmlformats.org/officeDocument/2006/relationships/hyperlink" Target="https://youtu.be/06D7QFhkGHU" TargetMode="External"/><Relationship Id="rId3872" Type="http://schemas.openxmlformats.org/officeDocument/2006/relationships/hyperlink" Target="https://www.youtube.com/watch?v=6EsFfnuEY4Q" TargetMode="External"/><Relationship Id="rId1210" Type="http://schemas.openxmlformats.org/officeDocument/2006/relationships/hyperlink" Target="https://youtu.be/UGMz5zXortQ" TargetMode="External"/><Relationship Id="rId2541" Type="http://schemas.openxmlformats.org/officeDocument/2006/relationships/hyperlink" Target="https://youtu.be/vOUimux5Dxg" TargetMode="External"/><Relationship Id="rId3871" Type="http://schemas.openxmlformats.org/officeDocument/2006/relationships/hyperlink" Target="https://youtu.be/LUwqtTI4T1k" TargetMode="External"/><Relationship Id="rId1211" Type="http://schemas.openxmlformats.org/officeDocument/2006/relationships/hyperlink" Target="https://youtu.be/XTt9Vf88slg" TargetMode="External"/><Relationship Id="rId2542" Type="http://schemas.openxmlformats.org/officeDocument/2006/relationships/hyperlink" Target="https://youtu.be/FYOsFHCjsT8" TargetMode="External"/><Relationship Id="rId3874" Type="http://schemas.openxmlformats.org/officeDocument/2006/relationships/hyperlink" Target="https://youtu.be/o57m9Wl80TA" TargetMode="External"/><Relationship Id="rId1212" Type="http://schemas.openxmlformats.org/officeDocument/2006/relationships/hyperlink" Target="https://youtu.be/m62tB20oA_g" TargetMode="External"/><Relationship Id="rId2543" Type="http://schemas.openxmlformats.org/officeDocument/2006/relationships/hyperlink" Target="https://youtu.be/mTxJrOFB-dw" TargetMode="External"/><Relationship Id="rId3873" Type="http://schemas.openxmlformats.org/officeDocument/2006/relationships/hyperlink" Target="https://www.youtube.com/watch?v=ztk8dAiWwug" TargetMode="External"/><Relationship Id="rId1202" Type="http://schemas.openxmlformats.org/officeDocument/2006/relationships/hyperlink" Target="https://youtu.be/NdyFOs0CNzA" TargetMode="External"/><Relationship Id="rId2533" Type="http://schemas.openxmlformats.org/officeDocument/2006/relationships/hyperlink" Target="https://youtu.be/HiHXN6lvgTc" TargetMode="External"/><Relationship Id="rId3865" Type="http://schemas.openxmlformats.org/officeDocument/2006/relationships/hyperlink" Target="https://youtu.be/HZnBxf4JU_E" TargetMode="External"/><Relationship Id="rId1203" Type="http://schemas.openxmlformats.org/officeDocument/2006/relationships/hyperlink" Target="https://youtu.be/moFnwT-luBE" TargetMode="External"/><Relationship Id="rId2534" Type="http://schemas.openxmlformats.org/officeDocument/2006/relationships/hyperlink" Target="https://youtu.be/Bz_l6_86h-Q" TargetMode="External"/><Relationship Id="rId3864" Type="http://schemas.openxmlformats.org/officeDocument/2006/relationships/hyperlink" Target="https://youtu.be/Qym3rnWucfc" TargetMode="External"/><Relationship Id="rId1204" Type="http://schemas.openxmlformats.org/officeDocument/2006/relationships/hyperlink" Target="https://youtu.be/pXkmcZIsCgA" TargetMode="External"/><Relationship Id="rId2535" Type="http://schemas.openxmlformats.org/officeDocument/2006/relationships/hyperlink" Target="https://youtu.be/DpbmS4DrZ0s" TargetMode="External"/><Relationship Id="rId3867" Type="http://schemas.openxmlformats.org/officeDocument/2006/relationships/hyperlink" Target="https://x.com/iusu_966/status/1897265624499544490" TargetMode="External"/><Relationship Id="rId1205" Type="http://schemas.openxmlformats.org/officeDocument/2006/relationships/hyperlink" Target="https://youtu.be/xhMkjpPpaXI" TargetMode="External"/><Relationship Id="rId2536" Type="http://schemas.openxmlformats.org/officeDocument/2006/relationships/hyperlink" Target="https://youtu.be/0DuI0wesCj4" TargetMode="External"/><Relationship Id="rId3866" Type="http://schemas.openxmlformats.org/officeDocument/2006/relationships/hyperlink" Target="https://x.com/iusu_966/status/1895097147999297822" TargetMode="External"/><Relationship Id="rId1206" Type="http://schemas.openxmlformats.org/officeDocument/2006/relationships/hyperlink" Target="https://youtu.be/dpYU8IDFLKY" TargetMode="External"/><Relationship Id="rId2537" Type="http://schemas.openxmlformats.org/officeDocument/2006/relationships/hyperlink" Target="https://youtu.be/jEPmfzafuis" TargetMode="External"/><Relationship Id="rId3869" Type="http://schemas.openxmlformats.org/officeDocument/2006/relationships/hyperlink" Target="https://www.youtube.com/watch?v=HDY6lt3F9U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PBVoTJCkHhI" TargetMode="External"/><Relationship Id="rId3868" Type="http://schemas.openxmlformats.org/officeDocument/2006/relationships/hyperlink" Target="https://x.com/iusu_966/status/1897701737529831677" TargetMode="External"/><Relationship Id="rId1208" Type="http://schemas.openxmlformats.org/officeDocument/2006/relationships/hyperlink" Target="https://youtu.be/BnHhD0LrPMw" TargetMode="External"/><Relationship Id="rId2539" Type="http://schemas.openxmlformats.org/officeDocument/2006/relationships/hyperlink" Target="https://youtu.be/kUORjvVr6AI" TargetMode="External"/><Relationship Id="rId1209" Type="http://schemas.openxmlformats.org/officeDocument/2006/relationships/hyperlink" Target="https://youtu.be/WpmrZiHdUmg" TargetMode="External"/><Relationship Id="rId3861" Type="http://schemas.openxmlformats.org/officeDocument/2006/relationships/hyperlink" Target="https://youtu.be/4MSMADxISLE" TargetMode="External"/><Relationship Id="rId2530" Type="http://schemas.openxmlformats.org/officeDocument/2006/relationships/hyperlink" Target="https://youtu.be/Q3Ehm55nvik" TargetMode="External"/><Relationship Id="rId3860" Type="http://schemas.openxmlformats.org/officeDocument/2006/relationships/hyperlink" Target="https://youtu.be/SlWniPyjlmc" TargetMode="External"/><Relationship Id="rId1200" Type="http://schemas.openxmlformats.org/officeDocument/2006/relationships/hyperlink" Target="https://youtu.be/BIwB8aMG3fk" TargetMode="External"/><Relationship Id="rId2531" Type="http://schemas.openxmlformats.org/officeDocument/2006/relationships/hyperlink" Target="https://youtu.be/fKJtOX5VTVs" TargetMode="External"/><Relationship Id="rId3863" Type="http://schemas.openxmlformats.org/officeDocument/2006/relationships/hyperlink" Target="https://youtu.be/HtBNhb-7Umg" TargetMode="External"/><Relationship Id="rId1201" Type="http://schemas.openxmlformats.org/officeDocument/2006/relationships/hyperlink" Target="https://youtu.be/vhC33um_174" TargetMode="External"/><Relationship Id="rId2532" Type="http://schemas.openxmlformats.org/officeDocument/2006/relationships/hyperlink" Target="https://youtu.be/xMNY-4KA8TA?feature=shared" TargetMode="External"/><Relationship Id="rId3862" Type="http://schemas.openxmlformats.org/officeDocument/2006/relationships/hyperlink" Target="https://youtu.be/4rPxyleozv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HappyKathishArugulaBIRB-K2GZKAGmdJYAloW9"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ntsyTameSoybeanArsonNoSexy-vpEo3NKSJxXoNw99"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icklyColdThymeCorgiDerp-SUTqk3NQDKfAmSO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quisitiveCrypticClipsdadRickroll-pHeKwbvj7KGD3ZQ4"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ece2zm" TargetMode="External"/><Relationship Id="rId2560" Type="http://schemas.openxmlformats.org/officeDocument/2006/relationships/hyperlink" Target="https://clips.twitch.tv/AgilePolishedSandpiperPanicVis-hpDyLscw0z6nWIpE" TargetMode="External"/><Relationship Id="rId3892" Type="http://schemas.openxmlformats.org/officeDocument/2006/relationships/hyperlink" Target="https://www.twitch.tv/pksmg2_/clip/DoubtfulAmusedKleeSeemsGood-aazgfPoXoD59ojT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SuperSnappyNewtSSSsss-hXI7Oc-7fKR2TiKN" TargetMode="External"/><Relationship Id="rId3891" Type="http://schemas.openxmlformats.org/officeDocument/2006/relationships/hyperlink" Target="https://streamable.com/fsx42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615516252" TargetMode="External"/><Relationship Id="rId3894" Type="http://schemas.openxmlformats.org/officeDocument/2006/relationships/hyperlink" Target="https://www.twitch.tv/videos/1038648534"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5Oz9i6mgu6w" TargetMode="External"/><Relationship Id="rId3893" Type="http://schemas.openxmlformats.org/officeDocument/2006/relationships/hyperlink" Target="https://youtu.be/PbuzEBssXK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f1sS4UiBaw"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oudDeafWallabyTakeNRG-tfE4zNXqRc1xKP_K"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FantasticTermiteLeeroyJenkins-_NqtQfUNLcCYlSba" TargetMode="External"/><Relationship Id="rId3887" Type="http://schemas.openxmlformats.org/officeDocument/2006/relationships/hyperlink" Target="https://www.youtube.com/watch?v=n6t3ryt15_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FragileSmoggyEaglePeteZarollTie-EahUmDAbRKOeXQPe" TargetMode="External"/><Relationship Id="rId3886" Type="http://schemas.openxmlformats.org/officeDocument/2006/relationships/hyperlink" Target="https://www.youtube.com/watch?v=lGYLythfgV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GeniusDignifiedFrogPhilosoraptor-QBL8guokQfmf4voo" TargetMode="External"/><Relationship Id="rId3889" Type="http://schemas.openxmlformats.org/officeDocument/2006/relationships/hyperlink" Target="https://www.youtube.com/watch?v=4lOtCb_Aoz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PopularConfidentOilPermaSmug-fwtuyLN51a5V-UHg" TargetMode="External"/><Relationship Id="rId3888" Type="http://schemas.openxmlformats.org/officeDocument/2006/relationships/hyperlink" Target="https://www.youtube.com/watch?v=dbu2Wi9biH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ffluentFlirtyCasetteChefFrank-RBIiiGQ1ss5ucRk8" TargetMode="External"/><Relationship Id="rId1229" Type="http://schemas.openxmlformats.org/officeDocument/2006/relationships/hyperlink" Target="https://youtu.be/kFzU1c-L21g" TargetMode="External"/><Relationship Id="rId3881" Type="http://schemas.openxmlformats.org/officeDocument/2006/relationships/hyperlink" Target="https://youtu.be/ulLGhaW70TY" TargetMode="External"/><Relationship Id="rId2550" Type="http://schemas.openxmlformats.org/officeDocument/2006/relationships/hyperlink" Target="https://clips.twitch.tv/SuperZanyPieKeepo-Ebg6fn6EX7ykQnDV" TargetMode="External"/><Relationship Id="rId3880" Type="http://schemas.openxmlformats.org/officeDocument/2006/relationships/hyperlink" Target="https://www.youtube.com/watch?v=vhL6kN-JE8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TriangularObliviousMonitorBatChest-eqBHvfKfQfrebKfL" TargetMode="External"/><Relationship Id="rId3883" Type="http://schemas.openxmlformats.org/officeDocument/2006/relationships/hyperlink" Target="https://youtu.be/_JChUmIMzx8"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hortUnsightlyPistachioChefFrank-IfQ-BytSOfBolo4o" TargetMode="External"/><Relationship Id="rId3882" Type="http://schemas.openxmlformats.org/officeDocument/2006/relationships/hyperlink" Target="https://www.youtube.com/watch?v=GQMa4hZZBy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NiceKindCoffeePrimeMe-Vz1GgZlWIpDJSyK-" TargetMode="External"/><Relationship Id="rId3885" Type="http://schemas.openxmlformats.org/officeDocument/2006/relationships/hyperlink" Target="https://youtu.be/5H6ttD7tFYo" TargetMode="External"/><Relationship Id="rId1223" Type="http://schemas.openxmlformats.org/officeDocument/2006/relationships/hyperlink" Target="https://youtu.be/CTRzm_ygkeA" TargetMode="External"/><Relationship Id="rId2554" Type="http://schemas.openxmlformats.org/officeDocument/2006/relationships/hyperlink" Target="https://youtu.be/r_t9k5DrB0c" TargetMode="External"/><Relationship Id="rId3884" Type="http://schemas.openxmlformats.org/officeDocument/2006/relationships/hyperlink" Target="https://www.youtube.com/watch?v=UkTxsy8QDIE" TargetMode="External"/><Relationship Id="rId2500" Type="http://schemas.openxmlformats.org/officeDocument/2006/relationships/hyperlink" Target="https://youtu.be/V6gNDjItdW8" TargetMode="External"/><Relationship Id="rId3832" Type="http://schemas.openxmlformats.org/officeDocument/2006/relationships/hyperlink" Target="https://youtu.be/1dW06SPmkiU" TargetMode="External"/><Relationship Id="rId2501" Type="http://schemas.openxmlformats.org/officeDocument/2006/relationships/hyperlink" Target="https://youtu.be/U5KmgSgoDdI" TargetMode="External"/><Relationship Id="rId3831" Type="http://schemas.openxmlformats.org/officeDocument/2006/relationships/hyperlink" Target="https://youtu.be/qhvHHeJ6c_8" TargetMode="External"/><Relationship Id="rId2502" Type="http://schemas.openxmlformats.org/officeDocument/2006/relationships/hyperlink" Target="https://youtu.be/TkDvOMK9hNQ" TargetMode="External"/><Relationship Id="rId3834" Type="http://schemas.openxmlformats.org/officeDocument/2006/relationships/hyperlink" Target="https://youtu.be/aROk5J96rU0" TargetMode="External"/><Relationship Id="rId2503" Type="http://schemas.openxmlformats.org/officeDocument/2006/relationships/hyperlink" Target="https://youtu.be/l4mBbm8ur1s" TargetMode="External"/><Relationship Id="rId3833" Type="http://schemas.openxmlformats.org/officeDocument/2006/relationships/hyperlink" Target="https://youtu.be/WEi5En16ras" TargetMode="External"/><Relationship Id="rId2504" Type="http://schemas.openxmlformats.org/officeDocument/2006/relationships/hyperlink" Target="https://youtu.be/QsvQk0xADQ8" TargetMode="External"/><Relationship Id="rId3836" Type="http://schemas.openxmlformats.org/officeDocument/2006/relationships/hyperlink" Target="https://youtu.be/zLRiS54kMLo" TargetMode="External"/><Relationship Id="rId2505" Type="http://schemas.openxmlformats.org/officeDocument/2006/relationships/hyperlink" Target="https://youtu.be/81KtAn-zj3g" TargetMode="External"/><Relationship Id="rId3835" Type="http://schemas.openxmlformats.org/officeDocument/2006/relationships/hyperlink" Target="https://youtu.be/P9VWSfZRdZ8" TargetMode="External"/><Relationship Id="rId2506" Type="http://schemas.openxmlformats.org/officeDocument/2006/relationships/hyperlink" Target="https://youtu.be/KAw299EzsTw" TargetMode="External"/><Relationship Id="rId3838" Type="http://schemas.openxmlformats.org/officeDocument/2006/relationships/hyperlink" Target="https://youtu.be/2pdrTGGpy2s" TargetMode="External"/><Relationship Id="rId2507" Type="http://schemas.openxmlformats.org/officeDocument/2006/relationships/hyperlink" Target="https://youtu.be/YcJpUsoYMk8" TargetMode="External"/><Relationship Id="rId3837" Type="http://schemas.openxmlformats.org/officeDocument/2006/relationships/hyperlink" Target="https://youtu.be/M0zcfBzYqS0" TargetMode="External"/><Relationship Id="rId2508" Type="http://schemas.openxmlformats.org/officeDocument/2006/relationships/hyperlink" Target="https://youtu.be/0-HI7a6tNPI" TargetMode="External"/><Relationship Id="rId2509" Type="http://schemas.openxmlformats.org/officeDocument/2006/relationships/hyperlink" Target="https://youtu.be/4SFPJQOfmYE" TargetMode="External"/><Relationship Id="rId3839" Type="http://schemas.openxmlformats.org/officeDocument/2006/relationships/hyperlink" Target="https://youtu.be/XECoTk_c05M" TargetMode="External"/><Relationship Id="rId3830" Type="http://schemas.openxmlformats.org/officeDocument/2006/relationships/hyperlink" Target="https://youtu.be/qo_9Tt8brsI" TargetMode="External"/><Relationship Id="rId3821" Type="http://schemas.openxmlformats.org/officeDocument/2006/relationships/hyperlink" Target="https://youtu.be/PAuCtRTeOZQ" TargetMode="External"/><Relationship Id="rId3820" Type="http://schemas.openxmlformats.org/officeDocument/2006/relationships/hyperlink" Target="https://www.youtube.com/watch?v=traHO3RCMFc" TargetMode="External"/><Relationship Id="rId3823" Type="http://schemas.openxmlformats.org/officeDocument/2006/relationships/hyperlink" Target="https://youtu.be/2fhIenEkLlY" TargetMode="External"/><Relationship Id="rId3822" Type="http://schemas.openxmlformats.org/officeDocument/2006/relationships/hyperlink" Target="https://youtu.be/qgluFqR_tLI" TargetMode="External"/><Relationship Id="rId3825" Type="http://schemas.openxmlformats.org/officeDocument/2006/relationships/hyperlink" Target="https://youtu.be/0XUpJc8IzRk" TargetMode="External"/><Relationship Id="rId3824" Type="http://schemas.openxmlformats.org/officeDocument/2006/relationships/hyperlink" Target="https://youtu.be/YB9LQDhmWDY" TargetMode="External"/><Relationship Id="rId3827" Type="http://schemas.openxmlformats.org/officeDocument/2006/relationships/hyperlink" Target="https://youtu.be/HLtLqTHqXYA" TargetMode="External"/><Relationship Id="rId3826" Type="http://schemas.openxmlformats.org/officeDocument/2006/relationships/hyperlink" Target="https://youtu.be/ADxHxNj6HV0" TargetMode="External"/><Relationship Id="rId3829" Type="http://schemas.openxmlformats.org/officeDocument/2006/relationships/hyperlink" Target="https://youtu.be/v_H6xRBJa_g" TargetMode="External"/><Relationship Id="rId3828" Type="http://schemas.openxmlformats.org/officeDocument/2006/relationships/hyperlink" Target="https://youtu.be/_iXBKQwq-Ys" TargetMode="External"/><Relationship Id="rId2522" Type="http://schemas.openxmlformats.org/officeDocument/2006/relationships/hyperlink" Target="https://youtu.be/gNJLECLDVjk" TargetMode="External"/><Relationship Id="rId3854" Type="http://schemas.openxmlformats.org/officeDocument/2006/relationships/hyperlink" Target="https://youtu.be/JNGeEHSpy7M" TargetMode="External"/><Relationship Id="rId2523" Type="http://schemas.openxmlformats.org/officeDocument/2006/relationships/hyperlink" Target="https://youtu.be/dnDmz1u2LYE" TargetMode="External"/><Relationship Id="rId3853" Type="http://schemas.openxmlformats.org/officeDocument/2006/relationships/hyperlink" Target="https://youtu.be/RqUNHa6gnVg" TargetMode="External"/><Relationship Id="rId2524" Type="http://schemas.openxmlformats.org/officeDocument/2006/relationships/hyperlink" Target="https://youtu.be/_NBS1W67eMY" TargetMode="External"/><Relationship Id="rId3856" Type="http://schemas.openxmlformats.org/officeDocument/2006/relationships/hyperlink" Target="https://youtu.be/y0NuMK8xHqg" TargetMode="External"/><Relationship Id="rId2525" Type="http://schemas.openxmlformats.org/officeDocument/2006/relationships/hyperlink" Target="https://youtu.be/mJvMf_fd9KQ" TargetMode="External"/><Relationship Id="rId3855" Type="http://schemas.openxmlformats.org/officeDocument/2006/relationships/hyperlink" Target="https://youtu.be/v8KAMn60AmI" TargetMode="External"/><Relationship Id="rId2526" Type="http://schemas.openxmlformats.org/officeDocument/2006/relationships/hyperlink" Target="https://youtu.be/POYw2vVA-vY" TargetMode="External"/><Relationship Id="rId3858" Type="http://schemas.openxmlformats.org/officeDocument/2006/relationships/hyperlink" Target="https://youtu.be/5DZ8BfAN4cI" TargetMode="External"/><Relationship Id="rId2527" Type="http://schemas.openxmlformats.org/officeDocument/2006/relationships/hyperlink" Target="https://youtu.be/nhppQav2wck" TargetMode="External"/><Relationship Id="rId3857" Type="http://schemas.openxmlformats.org/officeDocument/2006/relationships/hyperlink" Target="https://youtu.be/wrHqU3R3n8s" TargetMode="External"/><Relationship Id="rId2528" Type="http://schemas.openxmlformats.org/officeDocument/2006/relationships/hyperlink" Target="https://youtu.be/E5XzeYWCq6E" TargetMode="External"/><Relationship Id="rId2529" Type="http://schemas.openxmlformats.org/officeDocument/2006/relationships/hyperlink" Target="https://youtu.be/zOqbOMmR9u4" TargetMode="External"/><Relationship Id="rId3859" Type="http://schemas.openxmlformats.org/officeDocument/2006/relationships/hyperlink" Target="https://youtu.be/5-gF0Swsi3g" TargetMode="External"/><Relationship Id="rId3850" Type="http://schemas.openxmlformats.org/officeDocument/2006/relationships/hyperlink" Target="https://youtu.be/dOp5piQQYqg" TargetMode="External"/><Relationship Id="rId2520" Type="http://schemas.openxmlformats.org/officeDocument/2006/relationships/hyperlink" Target="https://youtu.be/Rzv2gd5JAB4" TargetMode="External"/><Relationship Id="rId3852" Type="http://schemas.openxmlformats.org/officeDocument/2006/relationships/hyperlink" Target="https://youtu.be/YkHffV7svTc" TargetMode="External"/><Relationship Id="rId2521" Type="http://schemas.openxmlformats.org/officeDocument/2006/relationships/hyperlink" Target="https://youtu.be/aJGijbUbd54" TargetMode="External"/><Relationship Id="rId3851" Type="http://schemas.openxmlformats.org/officeDocument/2006/relationships/hyperlink" Target="https://youtu.be/CfDEkDG5HFI" TargetMode="External"/><Relationship Id="rId2511" Type="http://schemas.openxmlformats.org/officeDocument/2006/relationships/hyperlink" Target="https://youtu.be/NxQd1sOvgPg" TargetMode="External"/><Relationship Id="rId3843" Type="http://schemas.openxmlformats.org/officeDocument/2006/relationships/hyperlink" Target="https://www.twitch.tv/videos/1562978554" TargetMode="External"/><Relationship Id="rId2512" Type="http://schemas.openxmlformats.org/officeDocument/2006/relationships/hyperlink" Target="https://youtu.be/TS0U7Mhv004" TargetMode="External"/><Relationship Id="rId3842" Type="http://schemas.openxmlformats.org/officeDocument/2006/relationships/hyperlink" Target="https://youtu.be/IH-4uKm6isI" TargetMode="External"/><Relationship Id="rId2513" Type="http://schemas.openxmlformats.org/officeDocument/2006/relationships/hyperlink" Target="https://youtu.be/VM8_lqlADB0" TargetMode="External"/><Relationship Id="rId3845" Type="http://schemas.openxmlformats.org/officeDocument/2006/relationships/hyperlink" Target="https://youtu.be/3UNx_t8T6EY" TargetMode="External"/><Relationship Id="rId2514" Type="http://schemas.openxmlformats.org/officeDocument/2006/relationships/hyperlink" Target="https://youtu.be/BrYWarX8tuI" TargetMode="External"/><Relationship Id="rId3844" Type="http://schemas.openxmlformats.org/officeDocument/2006/relationships/hyperlink" Target="https://youtu.be/HZezdHtroIM" TargetMode="External"/><Relationship Id="rId2515" Type="http://schemas.openxmlformats.org/officeDocument/2006/relationships/hyperlink" Target="https://youtu.be/J1J56aATSTk" TargetMode="External"/><Relationship Id="rId3847" Type="http://schemas.openxmlformats.org/officeDocument/2006/relationships/hyperlink" Target="https://youtu.be/D0Oc-Q4O40A" TargetMode="External"/><Relationship Id="rId2516" Type="http://schemas.openxmlformats.org/officeDocument/2006/relationships/hyperlink" Target="https://youtu.be/CcVDWThATUM" TargetMode="External"/><Relationship Id="rId3846" Type="http://schemas.openxmlformats.org/officeDocument/2006/relationships/hyperlink" Target="https://www.twitch.tv/videos/1638636950" TargetMode="External"/><Relationship Id="rId2517" Type="http://schemas.openxmlformats.org/officeDocument/2006/relationships/hyperlink" Target="https://youtu.be/vr1swYWXvk8" TargetMode="External"/><Relationship Id="rId3849" Type="http://schemas.openxmlformats.org/officeDocument/2006/relationships/hyperlink" Target="https://youtu.be/X-ta1hc2wpQ" TargetMode="External"/><Relationship Id="rId2518" Type="http://schemas.openxmlformats.org/officeDocument/2006/relationships/hyperlink" Target="https://youtu.be/8M2NdnP8RZg" TargetMode="External"/><Relationship Id="rId3848" Type="http://schemas.openxmlformats.org/officeDocument/2006/relationships/hyperlink" Target="https://youtu.be/BZgjhNOo-go" TargetMode="External"/><Relationship Id="rId2519" Type="http://schemas.openxmlformats.org/officeDocument/2006/relationships/hyperlink" Target="https://youtu.be/QE1MXNcBJD4" TargetMode="External"/><Relationship Id="rId3841" Type="http://schemas.openxmlformats.org/officeDocument/2006/relationships/hyperlink" Target="https://youtu.be/umgWlwQvLlg" TargetMode="External"/><Relationship Id="rId2510" Type="http://schemas.openxmlformats.org/officeDocument/2006/relationships/hyperlink" Target="https://youtu.be/2ED26P-b1Nw" TargetMode="External"/><Relationship Id="rId3840" Type="http://schemas.openxmlformats.org/officeDocument/2006/relationships/hyperlink" Target="https://youtu.be/7DKS_xqCH8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k97_U7SbEM" TargetMode="External"/><Relationship Id="rId3017" Type="http://schemas.openxmlformats.org/officeDocument/2006/relationships/hyperlink" Target="https://youtu.be/2w_O0zyHFmY" TargetMode="External"/><Relationship Id="rId3019" Type="http://schemas.openxmlformats.org/officeDocument/2006/relationships/hyperlink" Target="https://youtu.be/GKyOB2A6rI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EnticingGoldenCroquetteANEL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hudCn3r08_8" TargetMode="External"/><Relationship Id="rId481" Type="http://schemas.openxmlformats.org/officeDocument/2006/relationships/hyperlink" Target="https://youtu.be/svZiPOWaCGY" TargetMode="External"/><Relationship Id="rId3011" Type="http://schemas.openxmlformats.org/officeDocument/2006/relationships/hyperlink" Target="https://youtu.be/pcjir39OTP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nerousBlindingRedpandaAMPEnergy" TargetMode="External"/><Relationship Id="rId487" Type="http://schemas.openxmlformats.org/officeDocument/2006/relationships/hyperlink" Target="https://youtu.be/WHv3_aF_TJ8" TargetMode="External"/><Relationship Id="rId3013" Type="http://schemas.openxmlformats.org/officeDocument/2006/relationships/hyperlink" Target="https://youtu.be/dMj6gcrcCN0" TargetMode="External"/><Relationship Id="rId486" Type="http://schemas.openxmlformats.org/officeDocument/2006/relationships/hyperlink" Target="https://youtu.be/31FVGYQKd5c" TargetMode="External"/><Relationship Id="rId3016" Type="http://schemas.openxmlformats.org/officeDocument/2006/relationships/hyperlink" Target="https://youtu.be/hobNE1dk8yc" TargetMode="External"/><Relationship Id="rId485" Type="http://schemas.openxmlformats.org/officeDocument/2006/relationships/hyperlink" Target="https://youtu.be/UFf6EQk8YfQ" TargetMode="External"/><Relationship Id="rId3015" Type="http://schemas.openxmlformats.org/officeDocument/2006/relationships/hyperlink" Target="https://youtu.be/Ee2Kgonkzns" TargetMode="External"/><Relationship Id="rId3007" Type="http://schemas.openxmlformats.org/officeDocument/2006/relationships/hyperlink" Target="https://youtu.be/c36kW3uIxsg" TargetMode="External"/><Relationship Id="rId3006" Type="http://schemas.openxmlformats.org/officeDocument/2006/relationships/hyperlink" Target="https://youtu.be/StU5PipHn_M" TargetMode="External"/><Relationship Id="rId3009" Type="http://schemas.openxmlformats.org/officeDocument/2006/relationships/hyperlink" Target="https://youtu.be/zbchXOsKbPY" TargetMode="External"/><Relationship Id="rId3008" Type="http://schemas.openxmlformats.org/officeDocument/2006/relationships/hyperlink" Target="https://youtu.be/ZD0CMju73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OXWCYtAuHCc" TargetMode="External"/><Relationship Id="rId470" Type="http://schemas.openxmlformats.org/officeDocument/2006/relationships/hyperlink" Target="https://youtu.be/JYz4Xj32GW8" TargetMode="External"/><Relationship Id="rId3000" Type="http://schemas.openxmlformats.org/officeDocument/2006/relationships/hyperlink" Target="https://youtu.be/Wh0PiWdcdO8" TargetMode="External"/><Relationship Id="rId477" Type="http://schemas.openxmlformats.org/officeDocument/2006/relationships/hyperlink" Target="https://youtu.be/BJdlguZNd-k" TargetMode="External"/><Relationship Id="rId3003" Type="http://schemas.openxmlformats.org/officeDocument/2006/relationships/hyperlink" Target="https://youtu.be/u1o--hzlyjU" TargetMode="External"/><Relationship Id="rId476" Type="http://schemas.openxmlformats.org/officeDocument/2006/relationships/hyperlink" Target="https://youtu.be/YtdEkYNexcY" TargetMode="External"/><Relationship Id="rId3002" Type="http://schemas.openxmlformats.org/officeDocument/2006/relationships/hyperlink" Target="https://youtu.be/h4hEoYBsvtw" TargetMode="External"/><Relationship Id="rId475" Type="http://schemas.openxmlformats.org/officeDocument/2006/relationships/hyperlink" Target="https://youtu.be/sBE9NRXFNnM" TargetMode="External"/><Relationship Id="rId3005" Type="http://schemas.openxmlformats.org/officeDocument/2006/relationships/hyperlink" Target="https://youtu.be/6Gihf30Odtc" TargetMode="External"/><Relationship Id="rId474" Type="http://schemas.openxmlformats.org/officeDocument/2006/relationships/hyperlink" Target="https://youtu.be/qE_7LVSJ_dY" TargetMode="External"/><Relationship Id="rId3004" Type="http://schemas.openxmlformats.org/officeDocument/2006/relationships/hyperlink" Target="https://youtu.be/7AQWRYux8P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CMor1vJAChU"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n463LInD2Yg"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ObedientSavagePicklesDxCat-PXYV7wE6gbM1tmz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69324064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pwrbxu1YX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6lJoisIyH6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I61oVT9V2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kYXMQMUqQ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KINanq0aHt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149boANUIhE"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F7hcihsAc7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CaringCorrectJamPeteZarollTie-SesxGbMXkYUtp2v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urHh8oG1Jf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spiringTrustworthyAlmondSwiftRage-48RK218yc4lPYK8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WanderingWealthyTigerSSSsss-jux4zciScDnZdVbV"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6dZGaGMo8g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RoXi6F89g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oYfQLra6H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SweetExpensiveDiscKlappa-rjyO0L4ThHLZFm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iMt-wdR0Ub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bZfdJB_tYQ"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p3VF8pRF70"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FOSANZ3-eu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hiTwu9EL3A"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ExWs_nsjiyE"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IZtnv1QUIi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XmPcOAAQU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63n1YG_RNt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3YtmQbkiTV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555345196" TargetMode="External"/><Relationship Id="rId3070" Type="http://schemas.openxmlformats.org/officeDocument/2006/relationships/hyperlink" Target="https://www.youtube.com/watch?v=NQMRGPpGdTg" TargetMode="External"/><Relationship Id="rId3072" Type="http://schemas.openxmlformats.org/officeDocument/2006/relationships/hyperlink" Target="https://www.youtube.com/watch?v=3Vvsqm1-AoI" TargetMode="External"/><Relationship Id="rId3071" Type="http://schemas.openxmlformats.org/officeDocument/2006/relationships/hyperlink" Target="https://youtu.be/uHA-DoZezcw" TargetMode="External"/><Relationship Id="rId3074" Type="http://schemas.openxmlformats.org/officeDocument/2006/relationships/hyperlink" Target="https://youtu.be/-1oMjQNtFSg" TargetMode="External"/><Relationship Id="rId3073" Type="http://schemas.openxmlformats.org/officeDocument/2006/relationships/hyperlink" Target="https://www.twitch.tv/videos/1709849831" TargetMode="External"/><Relationship Id="rId3076" Type="http://schemas.openxmlformats.org/officeDocument/2006/relationships/hyperlink" Target="https://youtu.be/O68ilJdATyE" TargetMode="External"/><Relationship Id="rId3075" Type="http://schemas.openxmlformats.org/officeDocument/2006/relationships/hyperlink" Target="https://youtu.be/wiRCuPHQdaY" TargetMode="External"/><Relationship Id="rId3078" Type="http://schemas.openxmlformats.org/officeDocument/2006/relationships/hyperlink" Target="https://youtu.be/58eP_cmK3YQ" TargetMode="External"/><Relationship Id="rId3077" Type="http://schemas.openxmlformats.org/officeDocument/2006/relationships/hyperlink" Target="https://clips.twitch.tv/ShyReliableSardineJKanStyle-c_PKpvtmTIXWFn94" TargetMode="External"/><Relationship Id="rId3079" Type="http://schemas.openxmlformats.org/officeDocument/2006/relationships/hyperlink" Target="https://youtu.be/Joa1eB6_E5o" TargetMode="External"/><Relationship Id="rId3061" Type="http://schemas.openxmlformats.org/officeDocument/2006/relationships/hyperlink" Target="https://www.twitch.tv/videos/1066268738" TargetMode="External"/><Relationship Id="rId3060" Type="http://schemas.openxmlformats.org/officeDocument/2006/relationships/hyperlink" Target="https://youtu.be/IQe3b27CW74" TargetMode="External"/><Relationship Id="rId3063" Type="http://schemas.openxmlformats.org/officeDocument/2006/relationships/hyperlink" Target="https://youtu.be/qFIl_UHXJ1E" TargetMode="External"/><Relationship Id="rId3062" Type="http://schemas.openxmlformats.org/officeDocument/2006/relationships/hyperlink" Target="https://youtu.be/1P2ntoFf21s" TargetMode="External"/><Relationship Id="rId3065" Type="http://schemas.openxmlformats.org/officeDocument/2006/relationships/hyperlink" Target="https://youtu.be/ZAZFU88_2tQ" TargetMode="External"/><Relationship Id="rId3064" Type="http://schemas.openxmlformats.org/officeDocument/2006/relationships/hyperlink" Target="https://clips.twitch.tv/WanderingConcernedSnailBloodTrail-QHkJlgTjCL40IQXI" TargetMode="External"/><Relationship Id="rId3067" Type="http://schemas.openxmlformats.org/officeDocument/2006/relationships/hyperlink" Target="https://www.youtube.com/watch?v=CyEeG21zo3w" TargetMode="External"/><Relationship Id="rId3066" Type="http://schemas.openxmlformats.org/officeDocument/2006/relationships/hyperlink" Target="https://www.youtube.com/watch?v=RJ0DSI0rRFQ" TargetMode="External"/><Relationship Id="rId3069" Type="http://schemas.openxmlformats.org/officeDocument/2006/relationships/hyperlink" Target="https://www.twitch.tv/videos/1755175101" TargetMode="External"/><Relationship Id="rId3068" Type="http://schemas.openxmlformats.org/officeDocument/2006/relationships/hyperlink" Target="https://www.youtube.com/watch?v=UA-X8_hh7vg" TargetMode="External"/><Relationship Id="rId3090" Type="http://schemas.openxmlformats.org/officeDocument/2006/relationships/hyperlink" Target="https://youtu.be/gz34-kpuR84" TargetMode="External"/><Relationship Id="rId3092" Type="http://schemas.openxmlformats.org/officeDocument/2006/relationships/hyperlink" Target="https://youtu.be/vnxCm164M-4" TargetMode="External"/><Relationship Id="rId3091" Type="http://schemas.openxmlformats.org/officeDocument/2006/relationships/hyperlink" Target="https://youtu.be/UmwGM4VFmLI" TargetMode="External"/><Relationship Id="rId3094" Type="http://schemas.openxmlformats.org/officeDocument/2006/relationships/hyperlink" Target="https://youtu.be/Rvub1wrT2wc" TargetMode="External"/><Relationship Id="rId3093" Type="http://schemas.openxmlformats.org/officeDocument/2006/relationships/hyperlink" Target="https://youtu.be/2v0HEK6dxOU" TargetMode="External"/><Relationship Id="rId3096" Type="http://schemas.openxmlformats.org/officeDocument/2006/relationships/hyperlink" Target="https://youtu.be/4nNC7K7PtAY" TargetMode="External"/><Relationship Id="rId3095" Type="http://schemas.openxmlformats.org/officeDocument/2006/relationships/hyperlink" Target="https://youtu.be/dj05sSh1pgc" TargetMode="External"/><Relationship Id="rId3098" Type="http://schemas.openxmlformats.org/officeDocument/2006/relationships/hyperlink" Target="https://youtu.be/WJ1IZ_vrD1g" TargetMode="External"/><Relationship Id="rId3097" Type="http://schemas.openxmlformats.org/officeDocument/2006/relationships/hyperlink" Target="https://youtu.be/nY-Rcxy9cU8" TargetMode="External"/><Relationship Id="rId3099" Type="http://schemas.openxmlformats.org/officeDocument/2006/relationships/hyperlink" Target="https://youtu.be/KO-uV-a2Lc8" TargetMode="External"/><Relationship Id="rId3081" Type="http://schemas.openxmlformats.org/officeDocument/2006/relationships/hyperlink" Target="https://youtu.be/ZpziCD-3Ssg" TargetMode="External"/><Relationship Id="rId3080" Type="http://schemas.openxmlformats.org/officeDocument/2006/relationships/hyperlink" Target="https://youtu.be/9ShLlVG0pfc" TargetMode="External"/><Relationship Id="rId3083" Type="http://schemas.openxmlformats.org/officeDocument/2006/relationships/hyperlink" Target="https://youtu.be/oqnUAc-eCOQ" TargetMode="External"/><Relationship Id="rId3082" Type="http://schemas.openxmlformats.org/officeDocument/2006/relationships/hyperlink" Target="https://youtu.be/NDZ498hO4ps" TargetMode="External"/><Relationship Id="rId3085" Type="http://schemas.openxmlformats.org/officeDocument/2006/relationships/hyperlink" Target="https://youtu.be/ut2EL2pR3q4" TargetMode="External"/><Relationship Id="rId3084" Type="http://schemas.openxmlformats.org/officeDocument/2006/relationships/hyperlink" Target="https://youtu.be/3Mna_6YKMV0" TargetMode="External"/><Relationship Id="rId3087" Type="http://schemas.openxmlformats.org/officeDocument/2006/relationships/hyperlink" Target="https://youtu.be/YxpK9Nc-PAc" TargetMode="External"/><Relationship Id="rId3086" Type="http://schemas.openxmlformats.org/officeDocument/2006/relationships/hyperlink" Target="https://youtu.be/uePJ0EltjPY" TargetMode="External"/><Relationship Id="rId3089" Type="http://schemas.openxmlformats.org/officeDocument/2006/relationships/hyperlink" Target="https://youtu.be/YEFaOcnCTJc" TargetMode="External"/><Relationship Id="rId3088" Type="http://schemas.openxmlformats.org/officeDocument/2006/relationships/hyperlink" Target="https://youtu.be/ZAZZPqkBtMg" TargetMode="External"/><Relationship Id="rId3039" Type="http://schemas.openxmlformats.org/officeDocument/2006/relationships/hyperlink" Target="https://www.twitch.tv/videos/91823623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0837320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BashfulBumblingGuanacoPastaThat-z5cyWFvHAyO-9oOq" TargetMode="External"/><Relationship Id="rId3031" Type="http://schemas.openxmlformats.org/officeDocument/2006/relationships/hyperlink" Target="https://clips.twitch.tv/UnusualCooperativeFerretYouWHY-bBNeMoXxZGJzEQus" TargetMode="External"/><Relationship Id="rId3034" Type="http://schemas.openxmlformats.org/officeDocument/2006/relationships/hyperlink" Target="https://clips.twitch.tv/GeniusCuriousBeeFloof-wUpHUgAU3iHCY-pW" TargetMode="External"/><Relationship Id="rId3033" Type="http://schemas.openxmlformats.org/officeDocument/2006/relationships/hyperlink" Target="https://clips.twitch.tv/UgliestGoodCasetteRedCoat-1P1yZwQfLboRz9C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leepyMoralDogeDuDudu-Y_xr_ueYZqGH7D_Z"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heerfulVibrantSardineM4xHeh-_0MBEMmJtPaD7FKp"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526595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1472618" TargetMode="External"/><Relationship Id="rId3029" Type="http://schemas.openxmlformats.org/officeDocument/2006/relationships/hyperlink" Target="https://clips.twitch.tv/GentleNurturingTaroStinkyCheese-9V_4eUy0yyQSX58D" TargetMode="External"/><Relationship Id="rId3028" Type="http://schemas.openxmlformats.org/officeDocument/2006/relationships/hyperlink" Target="https://clips.twitch.tv/CrispySwissSkunkBatChest-y0rF0fHrJQEZNKn2" TargetMode="External"/><Relationship Id="rId3021" Type="http://schemas.openxmlformats.org/officeDocument/2006/relationships/hyperlink" Target="https://youtu.be/odNZqs6N5oA" TargetMode="External"/><Relationship Id="rId3020" Type="http://schemas.openxmlformats.org/officeDocument/2006/relationships/hyperlink" Target="https://youtu.be/yLG7eoGL-7A" TargetMode="External"/><Relationship Id="rId3023" Type="http://schemas.openxmlformats.org/officeDocument/2006/relationships/hyperlink" Target="https://youtu.be/YZg4WEuElJI" TargetMode="External"/><Relationship Id="rId3022" Type="http://schemas.openxmlformats.org/officeDocument/2006/relationships/hyperlink" Target="https://youtu.be/iXRFMomp1lw" TargetMode="External"/><Relationship Id="rId3025" Type="http://schemas.openxmlformats.org/officeDocument/2006/relationships/hyperlink" Target="https://www.twitch.tv/videos/1252282582" TargetMode="External"/><Relationship Id="rId3024" Type="http://schemas.openxmlformats.org/officeDocument/2006/relationships/hyperlink" Target="https://clips.twitch.tv/CuteSneakyAlfalfaTheThing-iXlaNo_eDeWR9qah" TargetMode="External"/><Relationship Id="rId3027" Type="http://schemas.openxmlformats.org/officeDocument/2006/relationships/hyperlink" Target="https://clips.twitch.tv/MagnificentSuccessfulSnoodWutFace-QhoH5irvAm5q48Xt" TargetMode="External"/><Relationship Id="rId3026" Type="http://schemas.openxmlformats.org/officeDocument/2006/relationships/hyperlink" Target="https://clips.twitch.tv/PopularCrowdedAniseSSSsss-X8fwlzMOHVsqztE1"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www.youtube.com/watch?v=RWYJCk_yCAU"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www.youtube.com/watch?v=4xRCkacQ3yU" TargetMode="External"/><Relationship Id="rId3057" Type="http://schemas.openxmlformats.org/officeDocument/2006/relationships/hyperlink" Target="https://youtu.be/kSvxV93VTqc" TargetMode="External"/><Relationship Id="rId3059" Type="http://schemas.openxmlformats.org/officeDocument/2006/relationships/hyperlink" Target="https://youtu.be/tkGTKD19NpU" TargetMode="External"/><Relationship Id="rId3041" Type="http://schemas.openxmlformats.org/officeDocument/2006/relationships/hyperlink" Target="https://clips.twitch.tv/CooperativeToughClamKeyboardCat-WMqqrTRLaI53Tf0e" TargetMode="External"/><Relationship Id="rId3040" Type="http://schemas.openxmlformats.org/officeDocument/2006/relationships/hyperlink" Target="https://clips.twitch.tv/FitPrettyHerdBibleThump-vDZWtqjwrPASP1r-" TargetMode="External"/><Relationship Id="rId3043" Type="http://schemas.openxmlformats.org/officeDocument/2006/relationships/hyperlink" Target="https://www.twitch.tv/videos/1676931693" TargetMode="External"/><Relationship Id="rId3042" Type="http://schemas.openxmlformats.org/officeDocument/2006/relationships/hyperlink" Target="https://youtu.be/Ngat0aiNqB8" TargetMode="External"/><Relationship Id="rId3045" Type="http://schemas.openxmlformats.org/officeDocument/2006/relationships/hyperlink" Target="https://clips.twitch.tv/DirtyRenownedSnailJonCarnage-vZ4T4UskQ8t0-qTx" TargetMode="External"/><Relationship Id="rId3044" Type="http://schemas.openxmlformats.org/officeDocument/2006/relationships/hyperlink" Target="https://clips.twitch.tv/TangentialPrettyMartenFUNgineer-JujlITh1bGg2iakw"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clips.twitch.tv/PricklyHelpfulOrangeRlyTho-klp6JQH6Wt_q38gr"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MRWKcNQGTvM" TargetMode="External"/><Relationship Id="rId3912" Type="http://schemas.openxmlformats.org/officeDocument/2006/relationships/hyperlink" Target="https://www.youtube.com/watch?v=nZYcDtlRvM8" TargetMode="External"/><Relationship Id="rId3915" Type="http://schemas.openxmlformats.org/officeDocument/2006/relationships/hyperlink" Target="https://youtu.be/FYglbuzFuu4" TargetMode="External"/><Relationship Id="rId3914" Type="http://schemas.openxmlformats.org/officeDocument/2006/relationships/hyperlink" Target="https://youtu.be/bIGrU1syHDY" TargetMode="External"/><Relationship Id="rId3917" Type="http://schemas.openxmlformats.org/officeDocument/2006/relationships/hyperlink" Target="https://youtu.be/RYYp3oKODso" TargetMode="External"/><Relationship Id="rId3916" Type="http://schemas.openxmlformats.org/officeDocument/2006/relationships/hyperlink" Target="https://youtu.be/V5dg32r_sOg" TargetMode="External"/><Relationship Id="rId3919" Type="http://schemas.openxmlformats.org/officeDocument/2006/relationships/hyperlink" Target="https://youtu.be/kySJxVHeP0U" TargetMode="External"/><Relationship Id="rId3918" Type="http://schemas.openxmlformats.org/officeDocument/2006/relationships/hyperlink" Target="https://youtu.be/314rWkYHf6A"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ebTMHKAw-uM" TargetMode="External"/><Relationship Id="rId3907" Type="http://schemas.openxmlformats.org/officeDocument/2006/relationships/hyperlink" Target="https://youtu.be/H2EFLjh19V8" TargetMode="External"/><Relationship Id="rId3909" Type="http://schemas.openxmlformats.org/officeDocument/2006/relationships/hyperlink" Target="https://www.youtube.com/watch?v=xJuhZoiiATI" TargetMode="External"/><Relationship Id="rId3931" Type="http://schemas.openxmlformats.org/officeDocument/2006/relationships/hyperlink" Target="https://www.youtube.com/watch?v=zXqDdDpJsaY" TargetMode="External"/><Relationship Id="rId2600" Type="http://schemas.openxmlformats.org/officeDocument/2006/relationships/hyperlink" Target="https://youtu.be/T_knGg5IcRY" TargetMode="External"/><Relationship Id="rId3930" Type="http://schemas.openxmlformats.org/officeDocument/2006/relationships/hyperlink" Target="https://www.youtube.com/watch?v=Yd8E5eorTcc&amp;feature=youtu.be" TargetMode="External"/><Relationship Id="rId2601" Type="http://schemas.openxmlformats.org/officeDocument/2006/relationships/hyperlink" Target="https://youtu.be/wXNk5xmg6kg" TargetMode="External"/><Relationship Id="rId3933" Type="http://schemas.openxmlformats.org/officeDocument/2006/relationships/hyperlink" Target="https://youtu.be/LR7-pLYq8ms" TargetMode="External"/><Relationship Id="rId2602" Type="http://schemas.openxmlformats.org/officeDocument/2006/relationships/hyperlink" Target="https://youtu.be/pHhJIhtpLLk" TargetMode="External"/><Relationship Id="rId3932" Type="http://schemas.openxmlformats.org/officeDocument/2006/relationships/hyperlink" Target="https://youtu.be/iZi92oX7OFc" TargetMode="External"/><Relationship Id="rId2603" Type="http://schemas.openxmlformats.org/officeDocument/2006/relationships/hyperlink" Target="https://youtu.be/F8xItJ0i2OQ" TargetMode="External"/><Relationship Id="rId3935" Type="http://schemas.openxmlformats.org/officeDocument/2006/relationships/hyperlink" Target="https://www.youtube.com/watch?v=-VZeV5aR2Gc" TargetMode="External"/><Relationship Id="rId2604" Type="http://schemas.openxmlformats.org/officeDocument/2006/relationships/hyperlink" Target="https://youtu.be/CkaxWZ7Wezw" TargetMode="External"/><Relationship Id="rId3934" Type="http://schemas.openxmlformats.org/officeDocument/2006/relationships/hyperlink" Target="https://www.youtube.com/watch?v=4txGCrw2IKU&amp;feature=youtu.be" TargetMode="External"/><Relationship Id="rId2605" Type="http://schemas.openxmlformats.org/officeDocument/2006/relationships/hyperlink" Target="https://youtu.be/ZpdtVeVUsHI" TargetMode="External"/><Relationship Id="rId3937" Type="http://schemas.openxmlformats.org/officeDocument/2006/relationships/hyperlink" Target="https://www.youtube.com/watch?v=f17gzDXlYEI" TargetMode="External"/><Relationship Id="rId2606" Type="http://schemas.openxmlformats.org/officeDocument/2006/relationships/hyperlink" Target="https://youtu.be/-Ohqisa88zk" TargetMode="External"/><Relationship Id="rId3936" Type="http://schemas.openxmlformats.org/officeDocument/2006/relationships/hyperlink" Target="https://www.youtube.com/watch?v=k-c9j9gTfWI" TargetMode="External"/><Relationship Id="rId808" Type="http://schemas.openxmlformats.org/officeDocument/2006/relationships/hyperlink" Target="https://youtu.be/dt0nPEhw_28" TargetMode="External"/><Relationship Id="rId2607" Type="http://schemas.openxmlformats.org/officeDocument/2006/relationships/hyperlink" Target="https://youtu.be/8pgc62ldBtA" TargetMode="External"/><Relationship Id="rId3939" Type="http://schemas.openxmlformats.org/officeDocument/2006/relationships/hyperlink" Target="https://www.youtube.com/watch?v=gzUXXtTt4nU" TargetMode="External"/><Relationship Id="rId807" Type="http://schemas.openxmlformats.org/officeDocument/2006/relationships/hyperlink" Target="https://youtu.be/8ptLDQFudnE" TargetMode="External"/><Relationship Id="rId2608" Type="http://schemas.openxmlformats.org/officeDocument/2006/relationships/hyperlink" Target="https://youtu.be/gA3Sy_9pfM0" TargetMode="External"/><Relationship Id="rId3938" Type="http://schemas.openxmlformats.org/officeDocument/2006/relationships/hyperlink" Target="https://www.youtube.com/watch?v=ABGOgReoYkg" TargetMode="External"/><Relationship Id="rId806" Type="http://schemas.openxmlformats.org/officeDocument/2006/relationships/hyperlink" Target="https://youtu.be/UgoWmGFAS9M" TargetMode="External"/><Relationship Id="rId2609" Type="http://schemas.openxmlformats.org/officeDocument/2006/relationships/hyperlink" Target="https://youtu.be/eHK33N7Slqo"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1xe-zs2KVf0" TargetMode="External"/><Relationship Id="rId3922" Type="http://schemas.openxmlformats.org/officeDocument/2006/relationships/hyperlink" Target="https://youtu.be/A8KjkBjUfOk" TargetMode="External"/><Relationship Id="rId3921" Type="http://schemas.openxmlformats.org/officeDocument/2006/relationships/hyperlink" Target="https://youtu.be/3TQw0AW_aJU" TargetMode="External"/><Relationship Id="rId3924" Type="http://schemas.openxmlformats.org/officeDocument/2006/relationships/hyperlink" Target="https://www.youtube.com/watch?v=YKJ05njeDNs" TargetMode="External"/><Relationship Id="rId3923" Type="http://schemas.openxmlformats.org/officeDocument/2006/relationships/hyperlink" Target="https://youtu.be/vRD_ott4DpA" TargetMode="External"/><Relationship Id="rId3926" Type="http://schemas.openxmlformats.org/officeDocument/2006/relationships/hyperlink" Target="https://youtu.be/AwP6a85z6TM" TargetMode="External"/><Relationship Id="rId3925" Type="http://schemas.openxmlformats.org/officeDocument/2006/relationships/hyperlink" Target="https://youtu.be/27CxZIOvcHM" TargetMode="External"/><Relationship Id="rId3928" Type="http://schemas.openxmlformats.org/officeDocument/2006/relationships/hyperlink" Target="https://www.youtube.com/watch?v=nFAborGQoIQ" TargetMode="External"/><Relationship Id="rId3927" Type="http://schemas.openxmlformats.org/officeDocument/2006/relationships/hyperlink" Target="https://youtu.be/q-NdD4rXL5M" TargetMode="External"/><Relationship Id="rId3929" Type="http://schemas.openxmlformats.org/officeDocument/2006/relationships/hyperlink" Target="https://youtu.be/yZc7PHqxRO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Z-9-A8DC3o"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IGhmJh-b9c"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RUgqny8h0sQ"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4Sx88Rrlk"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qFyGDuNYB1Y"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lU2If--gTt8"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5YcZAJjZ90"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mWGB66c0oLo"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fE1xT61W8s"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YO-FLXpQqj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OILKxKXzsug"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F95VAgZVlE"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TwStcD_xn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Q8y9nC5zGU"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jM5FPGlhp2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ZxwjwidcM2s"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O5-I1f_Syo" TargetMode="External"/><Relationship Id="rId730" Type="http://schemas.openxmlformats.org/officeDocument/2006/relationships/hyperlink" Target="https://youtu.be/VothfM_dpLQ" TargetMode="External"/><Relationship Id="rId2650" Type="http://schemas.openxmlformats.org/officeDocument/2006/relationships/hyperlink" Target="https://youtu.be/z2--2js6cFI"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ztA53CG6TI"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lzr3d1YV0"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EvPbbAPOAE"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4m0sL4iBh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IpqsOaHaN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LW_CzIdUod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gCtUuDALAN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vCWp4nv7kP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yqMLlzyocdY"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dnAwvPi6i-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XCuw2OQP0g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luNlaIztNoo"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tyXEh8FK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_ca5My7vuk"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jtk5aQl9r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3tyzNFoalX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OVLOMgv4lH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sdKMRYr52Z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OWSgC9zUa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C4fgstw2I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YfAbzNBvR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INddbETCx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_HULD2HMJ-o" TargetMode="External"/><Relationship Id="rId2621" Type="http://schemas.openxmlformats.org/officeDocument/2006/relationships/hyperlink" Target="https://www.youtube.com/watch?v=02MTZSsaoQU&amp;feature=youtu.be&amp;ab_channel=SMSArchives" TargetMode="External"/><Relationship Id="rId3953" Type="http://schemas.openxmlformats.org/officeDocument/2006/relationships/hyperlink" Target="https://youtu.be/T172n9katVs" TargetMode="External"/><Relationship Id="rId2622" Type="http://schemas.openxmlformats.org/officeDocument/2006/relationships/hyperlink" Target="https://www.youtube.com/watch?v=6um-iIt4i04&amp;feature=youtu.be&amp;ab_channel=SMSArchives" TargetMode="External"/><Relationship Id="rId3952" Type="http://schemas.openxmlformats.org/officeDocument/2006/relationships/hyperlink" Target="https://youtu.be/tLn-L60oldc"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xhKc7g3aQfs" TargetMode="External"/><Relationship Id="rId2624" Type="http://schemas.openxmlformats.org/officeDocument/2006/relationships/hyperlink" Target="https://www.youtube.com/watch?v=pL9qamyXGDU&amp;feature=youtu.be&amp;ab_channel=SMSArchives" TargetMode="External"/><Relationship Id="rId3954" Type="http://schemas.openxmlformats.org/officeDocument/2006/relationships/hyperlink" Target="https://youtu.be/I82YHDawBUY" TargetMode="External"/><Relationship Id="rId2625" Type="http://schemas.openxmlformats.org/officeDocument/2006/relationships/hyperlink" Target="https://youtu.be/mSxlnpIew64" TargetMode="External"/><Relationship Id="rId3957" Type="http://schemas.openxmlformats.org/officeDocument/2006/relationships/hyperlink" Target="https://youtu.be/V682eytimfE" TargetMode="External"/><Relationship Id="rId2626" Type="http://schemas.openxmlformats.org/officeDocument/2006/relationships/hyperlink" Target="https://youtu.be/yIz9wnY5hAg" TargetMode="External"/><Relationship Id="rId3956" Type="http://schemas.openxmlformats.org/officeDocument/2006/relationships/hyperlink" Target="https://youtu.be/11T2RxMR4c4" TargetMode="External"/><Relationship Id="rId2627" Type="http://schemas.openxmlformats.org/officeDocument/2006/relationships/hyperlink" Target="https://youtu.be/MT9EJFRcn0I" TargetMode="External"/><Relationship Id="rId3959" Type="http://schemas.openxmlformats.org/officeDocument/2006/relationships/hyperlink" Target="https://youtu.be/EMggK1KuBRk" TargetMode="External"/><Relationship Id="rId2628" Type="http://schemas.openxmlformats.org/officeDocument/2006/relationships/hyperlink" Target="https://youtu.be/7r31kGgJA3U" TargetMode="External"/><Relationship Id="rId3958" Type="http://schemas.openxmlformats.org/officeDocument/2006/relationships/hyperlink" Target="https://youtu.be/sI8AmN2MCtU" TargetMode="External"/><Relationship Id="rId709" Type="http://schemas.openxmlformats.org/officeDocument/2006/relationships/hyperlink" Target="https://youtu.be/tX9e_nfZM68" TargetMode="External"/><Relationship Id="rId2629" Type="http://schemas.openxmlformats.org/officeDocument/2006/relationships/hyperlink" Target="https://youtu.be/xVEgIQtLGG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m3di6ACAgl4" TargetMode="External"/><Relationship Id="rId2620" Type="http://schemas.openxmlformats.org/officeDocument/2006/relationships/hyperlink" Target="https://www.youtube.com/watch?v=-2rOzPdQKmc&amp;feature=youtu.be&amp;ab_channel=SMSArchives" TargetMode="External"/><Relationship Id="rId3950" Type="http://schemas.openxmlformats.org/officeDocument/2006/relationships/hyperlink" Target="https://www.youtube.com/watch?v=DFSFi_y42_4" TargetMode="External"/><Relationship Id="rId2610" Type="http://schemas.openxmlformats.org/officeDocument/2006/relationships/hyperlink" Target="https://youtu.be/VKv-IpsEzRA" TargetMode="External"/><Relationship Id="rId3942" Type="http://schemas.openxmlformats.org/officeDocument/2006/relationships/hyperlink" Target="https://www.youtube.com/watch?v=qXYDyZM1szs" TargetMode="External"/><Relationship Id="rId2611" Type="http://schemas.openxmlformats.org/officeDocument/2006/relationships/hyperlink" Target="https://youtu.be/TyQ7-3gowfM" TargetMode="External"/><Relationship Id="rId3941" Type="http://schemas.openxmlformats.org/officeDocument/2006/relationships/hyperlink" Target="https://www.youtube.com/watch?v=djpYdinwdWs" TargetMode="External"/><Relationship Id="rId2612" Type="http://schemas.openxmlformats.org/officeDocument/2006/relationships/hyperlink" Target="https://youtu.be/StdVPvFpuLM" TargetMode="External"/><Relationship Id="rId3944" Type="http://schemas.openxmlformats.org/officeDocument/2006/relationships/hyperlink" Target="https://www.twitch.tv/videos/856216849" TargetMode="External"/><Relationship Id="rId2613" Type="http://schemas.openxmlformats.org/officeDocument/2006/relationships/hyperlink" Target="https://youtu.be/GiiCAj_mvOA" TargetMode="External"/><Relationship Id="rId3943" Type="http://schemas.openxmlformats.org/officeDocument/2006/relationships/hyperlink" Target="https://www.twitch.tv/videos/924471122" TargetMode="External"/><Relationship Id="rId2614" Type="http://schemas.openxmlformats.org/officeDocument/2006/relationships/hyperlink" Target="https://www.youtube.com/watch?v=CO-u3GCGLkU&amp;feature=youtu.be&amp;ab_channel=SMSArchives" TargetMode="External"/><Relationship Id="rId3946" Type="http://schemas.openxmlformats.org/officeDocument/2006/relationships/hyperlink" Target="https://www.twitch.tv/videos/1623676612"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youtu.be/_m4RGK97kEg" TargetMode="External"/><Relationship Id="rId2616" Type="http://schemas.openxmlformats.org/officeDocument/2006/relationships/hyperlink" Target="https://www.youtube.com/watch?v=KpJrVeP5Kzk&amp;feature=youtu.be&amp;ab_channel=SMSArchives" TargetMode="External"/><Relationship Id="rId3948" Type="http://schemas.openxmlformats.org/officeDocument/2006/relationships/hyperlink" Target="https://www.youtube.com/watch?v=YgcVpECSav8" TargetMode="External"/><Relationship Id="rId2617" Type="http://schemas.openxmlformats.org/officeDocument/2006/relationships/hyperlink" Target="https://www.youtube.com/watch?v=qe1RNDoMCnc&amp;feature=youtu.be&amp;ab_channel=SMSArchives" TargetMode="External"/><Relationship Id="rId3947" Type="http://schemas.openxmlformats.org/officeDocument/2006/relationships/hyperlink" Target="https://youtu.be/bGDn8Xgn3_4" TargetMode="External"/><Relationship Id="rId2618" Type="http://schemas.openxmlformats.org/officeDocument/2006/relationships/hyperlink" Target="https://www.youtube.com/watch?v=TfTsNySlGTo&amp;ab_channel=SMSArchives" TargetMode="External"/><Relationship Id="rId2619" Type="http://schemas.openxmlformats.org/officeDocument/2006/relationships/hyperlink" Target="https://www.youtube.com/watch?v=LV0XVYhIv-4&amp;feature=youtu.be&amp;ab_channel=SMSArchives" TargetMode="External"/><Relationship Id="rId3949" Type="http://schemas.openxmlformats.org/officeDocument/2006/relationships/hyperlink" Target="https://youtu.be/Jnv7ihiQs6o?si=p089VCWihnt2eD8h" TargetMode="External"/><Relationship Id="rId3940" Type="http://schemas.openxmlformats.org/officeDocument/2006/relationships/hyperlink" Target="https://www.youtube.com/watch?v=LvIg-evunV8"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8AnrEjVlYs" TargetMode="External"/><Relationship Id="rId3975" Type="http://schemas.openxmlformats.org/officeDocument/2006/relationships/hyperlink" Target="https://www.youtube.com/watch?v=JVJuFsqyJ7Q"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I4eOXX5VQ" TargetMode="External"/><Relationship Id="rId3974" Type="http://schemas.openxmlformats.org/officeDocument/2006/relationships/hyperlink" Target="https://www.youtube.com/watch?v=m-e9xTt4F-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CEmbGtaZss" TargetMode="External"/><Relationship Id="rId3977" Type="http://schemas.openxmlformats.org/officeDocument/2006/relationships/hyperlink" Target="https://www.youtube.com/watch?v=R4IxK2k5dl0&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5K95t5A5-E" TargetMode="External"/><Relationship Id="rId3976" Type="http://schemas.openxmlformats.org/officeDocument/2006/relationships/hyperlink" Target="https://www.youtube.com/watch?v=HPXO9760duU&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3hOLl_ROl-8" TargetMode="External"/><Relationship Id="rId3979" Type="http://schemas.openxmlformats.org/officeDocument/2006/relationships/hyperlink" Target="https://www.youtube.com/watch?v=xWCGegw2Yq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q9NqTu4doho" TargetMode="External"/><Relationship Id="rId3978" Type="http://schemas.openxmlformats.org/officeDocument/2006/relationships/hyperlink" Target="https://www.youtube.com/watch?v=PCcI6CIPGqk"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0AYKxeDyQH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BoredGrossSageResidentSleeper-RoadRockbjIdqeRh" TargetMode="External"/><Relationship Id="rId2640" Type="http://schemas.openxmlformats.org/officeDocument/2006/relationships/hyperlink" Target="https://youtu.be/Yp6Usy3bgz0" TargetMode="External"/><Relationship Id="rId3970" Type="http://schemas.openxmlformats.org/officeDocument/2006/relationships/hyperlink" Target="https://youtu.be/nQi7dVuuIY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1kYsikf7eM" TargetMode="External"/><Relationship Id="rId3973" Type="http://schemas.openxmlformats.org/officeDocument/2006/relationships/hyperlink" Target="https://youtu.be/7o-futAzyc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ZdwWMYy0a4" TargetMode="External"/><Relationship Id="rId3972" Type="http://schemas.openxmlformats.org/officeDocument/2006/relationships/hyperlink" Target="https://youtu.be/hOM8hYJoj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Mprl48ulxI" TargetMode="External"/><Relationship Id="rId3964" Type="http://schemas.openxmlformats.org/officeDocument/2006/relationships/hyperlink" Target="https://youtu.be/7poMkEIrBQ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LIbKYXmnMo" TargetMode="External"/><Relationship Id="rId3963" Type="http://schemas.openxmlformats.org/officeDocument/2006/relationships/hyperlink" Target="https://youtu.be/UDpWtF1_Rh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c14W4AdIfUc" TargetMode="External"/><Relationship Id="rId3966" Type="http://schemas.openxmlformats.org/officeDocument/2006/relationships/hyperlink" Target="https://youtu.be/Qaftswy-p9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XnT5NwVdVc" TargetMode="External"/><Relationship Id="rId3965" Type="http://schemas.openxmlformats.org/officeDocument/2006/relationships/hyperlink" Target="https://youtu.be/UG1hF1Pxxf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dajLg_JxREI" TargetMode="External"/><Relationship Id="rId3968" Type="http://schemas.openxmlformats.org/officeDocument/2006/relationships/hyperlink" Target="https://youtu.be/kTJKRd7VrR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S00EfXv8nc" TargetMode="External"/><Relationship Id="rId3967" Type="http://schemas.openxmlformats.org/officeDocument/2006/relationships/hyperlink" Target="https://youtu.be/_ZTj66kE9q0"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KjdAydNEmF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9Txs-AKZ3pM" TargetMode="External"/><Relationship Id="rId3969" Type="http://schemas.openxmlformats.org/officeDocument/2006/relationships/hyperlink" Target="https://youtu.be/48fx2mCGyU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ZU0E_xCaDSw" TargetMode="External"/><Relationship Id="rId2630" Type="http://schemas.openxmlformats.org/officeDocument/2006/relationships/hyperlink" Target="https://youtu.be/5cjt7pGohwM" TargetMode="External"/><Relationship Id="rId3962" Type="http://schemas.openxmlformats.org/officeDocument/2006/relationships/hyperlink" Target="https://youtu.be/BS3eh-Ra93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4lc9-IVck8" TargetMode="External"/><Relationship Id="rId3961" Type="http://schemas.openxmlformats.org/officeDocument/2006/relationships/hyperlink" Target="https://youtu.be/4KOdeg6-Eo8"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youtu.be/fcjGRlbwJFs" TargetMode="External"/><Relationship Id="rId3110" Type="http://schemas.openxmlformats.org/officeDocument/2006/relationships/hyperlink" Target="https://youtu.be/eFN7WguO3DU" TargetMode="External"/><Relationship Id="rId3113" Type="http://schemas.openxmlformats.org/officeDocument/2006/relationships/hyperlink" Target="https://youtu.be/YmB2FTJid2Q" TargetMode="External"/><Relationship Id="rId3112" Type="http://schemas.openxmlformats.org/officeDocument/2006/relationships/hyperlink" Target="https://youtu.be/8lSIo8FbQls" TargetMode="External"/><Relationship Id="rId3115" Type="http://schemas.openxmlformats.org/officeDocument/2006/relationships/hyperlink" Target="https://www.youtube.com/watch?v=I5OBY9P4kfk"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xqGdtKz3vWg" TargetMode="External"/><Relationship Id="rId3105" Type="http://schemas.openxmlformats.org/officeDocument/2006/relationships/hyperlink" Target="https://youtu.be/wU6hfjRrSxo" TargetMode="External"/><Relationship Id="rId3108" Type="http://schemas.openxmlformats.org/officeDocument/2006/relationships/hyperlink" Target="https://youtu.be/R9wP8ND1I6s" TargetMode="External"/><Relationship Id="rId3107" Type="http://schemas.openxmlformats.org/officeDocument/2006/relationships/hyperlink" Target="https://youtu.be/V87CeEi0AsQ" TargetMode="External"/><Relationship Id="rId3109" Type="http://schemas.openxmlformats.org/officeDocument/2006/relationships/hyperlink" Target="https://youtu.be/t5hXpPGKNyA" TargetMode="External"/><Relationship Id="rId3100" Type="http://schemas.openxmlformats.org/officeDocument/2006/relationships/hyperlink" Target="https://youtu.be/RI5AcY84MEo" TargetMode="External"/><Relationship Id="rId3102" Type="http://schemas.openxmlformats.org/officeDocument/2006/relationships/hyperlink" Target="https://youtu.be/ZPR9oUIQeEA" TargetMode="External"/><Relationship Id="rId3101" Type="http://schemas.openxmlformats.org/officeDocument/2006/relationships/hyperlink" Target="https://youtu.be/Xp9IP1lZ7LU" TargetMode="External"/><Relationship Id="rId3104" Type="http://schemas.openxmlformats.org/officeDocument/2006/relationships/hyperlink" Target="https://youtu.be/loNcgSec9fw" TargetMode="External"/><Relationship Id="rId3103" Type="http://schemas.openxmlformats.org/officeDocument/2006/relationships/hyperlink" Target="https://youtu.be/gHoGodHBYmM" TargetMode="External"/><Relationship Id="rId3139" Type="http://schemas.openxmlformats.org/officeDocument/2006/relationships/hyperlink" Target="https://www.twitch.tv/videos/1632818182" TargetMode="External"/><Relationship Id="rId3138" Type="http://schemas.openxmlformats.org/officeDocument/2006/relationships/hyperlink" Target="https://www.twitch.tv/videos/1623880272"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youtu.be/c89HaUk4nbc" TargetMode="External"/><Relationship Id="rId3133" Type="http://schemas.openxmlformats.org/officeDocument/2006/relationships/hyperlink" Target="https://youtu.be/Vgx0hz9TNAs" TargetMode="External"/><Relationship Id="rId3132" Type="http://schemas.openxmlformats.org/officeDocument/2006/relationships/hyperlink" Target="https://youtu.be/tvihn2dsyqA" TargetMode="External"/><Relationship Id="rId3135" Type="http://schemas.openxmlformats.org/officeDocument/2006/relationships/hyperlink" Target="https://youtu.be/XEgNHXLHfkQ" TargetMode="External"/><Relationship Id="rId3134" Type="http://schemas.openxmlformats.org/officeDocument/2006/relationships/hyperlink" Target="https://youtu.be/1cOuRzVzcE8" TargetMode="External"/><Relationship Id="rId3137" Type="http://schemas.openxmlformats.org/officeDocument/2006/relationships/hyperlink" Target="https://youtu.be/ordp-uT82Ag" TargetMode="External"/><Relationship Id="rId3136" Type="http://schemas.openxmlformats.org/officeDocument/2006/relationships/hyperlink" Target="https://youtu.be/nEeLpTRXpvo"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youtu.be/vVuEmcaLh3c"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youtu.be/_qc8NXWCj14"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uuLyEqTcAk"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2ywF9Yg3vI"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wD5Smci8K2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uzlELasL6r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8NGezkLAl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Mk2iafTJME"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4ItpBSNA8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wT0G0Js7b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awyESzE27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vt6rjp33-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gXXxm7tPaRE" TargetMode="External"/><Relationship Id="rId3190" Type="http://schemas.openxmlformats.org/officeDocument/2006/relationships/hyperlink" Target="https://youtu.be/_5AETbvKx1Y" TargetMode="External"/><Relationship Id="rId3193" Type="http://schemas.openxmlformats.org/officeDocument/2006/relationships/hyperlink" Target="https://youtu.be/e6rJY421L1Q" TargetMode="External"/><Relationship Id="rId3192" Type="http://schemas.openxmlformats.org/officeDocument/2006/relationships/hyperlink" Target="https://youtu.be/NZ9lpNZBN6k" TargetMode="External"/><Relationship Id="rId3195" Type="http://schemas.openxmlformats.org/officeDocument/2006/relationships/hyperlink" Target="https://youtu.be/9P-SfT1elNo" TargetMode="External"/><Relationship Id="rId3194" Type="http://schemas.openxmlformats.org/officeDocument/2006/relationships/hyperlink" Target="https://youtu.be/u8pIVg9rCkc" TargetMode="External"/><Relationship Id="rId3197" Type="http://schemas.openxmlformats.org/officeDocument/2006/relationships/hyperlink" Target="https://youtu.be/BHsY7fDItdY" TargetMode="External"/><Relationship Id="rId3196" Type="http://schemas.openxmlformats.org/officeDocument/2006/relationships/hyperlink" Target="https://youtu.be/1LyYCvfR7Fk" TargetMode="External"/><Relationship Id="rId3199" Type="http://schemas.openxmlformats.org/officeDocument/2006/relationships/hyperlink" Target="https://youtu.be/FNvAjb6gfYc" TargetMode="External"/><Relationship Id="rId3198" Type="http://schemas.openxmlformats.org/officeDocument/2006/relationships/hyperlink" Target="https://youtu.be/qS2AEjLfcD8" TargetMode="External"/><Relationship Id="rId3180" Type="http://schemas.openxmlformats.org/officeDocument/2006/relationships/hyperlink" Target="https://youtu.be/X7rJV7KOVYQ" TargetMode="External"/><Relationship Id="rId3182" Type="http://schemas.openxmlformats.org/officeDocument/2006/relationships/hyperlink" Target="https://youtu.be/L0kwtUs8tjs" TargetMode="External"/><Relationship Id="rId3181" Type="http://schemas.openxmlformats.org/officeDocument/2006/relationships/hyperlink" Target="https://youtu.be/5Us0VMAHyDM" TargetMode="External"/><Relationship Id="rId3184" Type="http://schemas.openxmlformats.org/officeDocument/2006/relationships/hyperlink" Target="https://youtu.be/hZTfAUGA5eU" TargetMode="External"/><Relationship Id="rId3183" Type="http://schemas.openxmlformats.org/officeDocument/2006/relationships/hyperlink" Target="https://youtu.be/QjvRF9dDu7Q" TargetMode="External"/><Relationship Id="rId3186" Type="http://schemas.openxmlformats.org/officeDocument/2006/relationships/hyperlink" Target="https://youtu.be/0UhBlgNLJ4k" TargetMode="External"/><Relationship Id="rId3185" Type="http://schemas.openxmlformats.org/officeDocument/2006/relationships/hyperlink" Target="https://youtu.be/rwx07fh8Tf0" TargetMode="External"/><Relationship Id="rId3188" Type="http://schemas.openxmlformats.org/officeDocument/2006/relationships/hyperlink" Target="https://youtu.be/sJku-3yPlDc" TargetMode="External"/><Relationship Id="rId3187" Type="http://schemas.openxmlformats.org/officeDocument/2006/relationships/hyperlink" Target="https://youtu.be/HP3O4N-AQZc" TargetMode="External"/><Relationship Id="rId3189" Type="http://schemas.openxmlformats.org/officeDocument/2006/relationships/hyperlink" Target="https://youtu.be/-tRSlbW-NAw" TargetMode="External"/><Relationship Id="rId3151" Type="http://schemas.openxmlformats.org/officeDocument/2006/relationships/hyperlink" Target="https://clips.twitch.tv/FurryThirstyGaurUncleNox-62xsKc6hM-iBI_O-" TargetMode="External"/><Relationship Id="rId3150" Type="http://schemas.openxmlformats.org/officeDocument/2006/relationships/hyperlink" Target="https://youtu.be/gRTZT1WzcVU" TargetMode="External"/><Relationship Id="rId3153" Type="http://schemas.openxmlformats.org/officeDocument/2006/relationships/hyperlink" Target="https://clips.twitch.tv/TiredScrumptiousMouseBloodTrail-2UTmo4ATFSKQ1Vnu" TargetMode="External"/><Relationship Id="rId3152" Type="http://schemas.openxmlformats.org/officeDocument/2006/relationships/hyperlink" Target="https://clips.twitch.tv/SpotlessArborealEndiveFeelsBadMan-BCfu6nu5bvpma3Q4" TargetMode="External"/><Relationship Id="rId3155" Type="http://schemas.openxmlformats.org/officeDocument/2006/relationships/hyperlink" Target="https://clips.twitch.tv/FunnyLongSrirachaAllenHuhu-OHfAcLfBuxqFU0Fk" TargetMode="External"/><Relationship Id="rId3154" Type="http://schemas.openxmlformats.org/officeDocument/2006/relationships/hyperlink" Target="https://clips.twitch.tv/GoldenAnimatedCroquettePeteZaroll-R7KWvyl2Ft5SHI8d" TargetMode="External"/><Relationship Id="rId3157" Type="http://schemas.openxmlformats.org/officeDocument/2006/relationships/hyperlink" Target="https://clips.twitch.tv/OutstandingDeterminedTeaKeepo-6m4Av8CnB9LhyfSI" TargetMode="External"/><Relationship Id="rId3156" Type="http://schemas.openxmlformats.org/officeDocument/2006/relationships/hyperlink" Target="https://clips.twitch.tv/KindEnchantingParrotKreygasm-JSg4-rheFF4hNMQQ" TargetMode="External"/><Relationship Id="rId3159" Type="http://schemas.openxmlformats.org/officeDocument/2006/relationships/hyperlink" Target="https://youtu.be/VEWojbDRB5g" TargetMode="External"/><Relationship Id="rId3158" Type="http://schemas.openxmlformats.org/officeDocument/2006/relationships/hyperlink" Target="https://clips.twitch.tv/MotionlessPlayfulVampireTooSpicy-8ogNVwiH68dCLs-p" TargetMode="External"/><Relationship Id="rId3149" Type="http://schemas.openxmlformats.org/officeDocument/2006/relationships/hyperlink" Target="https://clips.twitch.tv/DrabAmazingAardvarkPrimeMe-uUJBm66ZI1HMLKVh" TargetMode="External"/><Relationship Id="rId3140" Type="http://schemas.openxmlformats.org/officeDocument/2006/relationships/hyperlink" Target="https://www.twitch.tv/videos/1623882210" TargetMode="External"/><Relationship Id="rId3142" Type="http://schemas.openxmlformats.org/officeDocument/2006/relationships/hyperlink" Target="https://www.twitch.tv/videos/1624405057" TargetMode="External"/><Relationship Id="rId3141" Type="http://schemas.openxmlformats.org/officeDocument/2006/relationships/hyperlink" Target="https://www.twitch.tv/videos/1624073687" TargetMode="External"/><Relationship Id="rId3144" Type="http://schemas.openxmlformats.org/officeDocument/2006/relationships/hyperlink" Target="https://www.twitch.tv/videos/1632815303" TargetMode="External"/><Relationship Id="rId3143" Type="http://schemas.openxmlformats.org/officeDocument/2006/relationships/hyperlink" Target="https://youtu.be/xDvK9BajRjc" TargetMode="External"/><Relationship Id="rId3146" Type="http://schemas.openxmlformats.org/officeDocument/2006/relationships/hyperlink" Target="https://www.twitch.tv/videos/1780302978" TargetMode="External"/><Relationship Id="rId3145" Type="http://schemas.openxmlformats.org/officeDocument/2006/relationships/hyperlink" Target="https://www.youtube.com/watch?v=S2yri_1-_YA" TargetMode="External"/><Relationship Id="rId3148" Type="http://schemas.openxmlformats.org/officeDocument/2006/relationships/hyperlink" Target="https://clips.twitch.tv/ColorfulKindSalmonOptimizePrime-tj72s6jVvWGJqwc9" TargetMode="External"/><Relationship Id="rId3147" Type="http://schemas.openxmlformats.org/officeDocument/2006/relationships/hyperlink" Target="https://clips.twitch.tv/WimpyFilthyWrenchStinkyCheese-B3XE-70fD1bF9W8_" TargetMode="External"/><Relationship Id="rId3171" Type="http://schemas.openxmlformats.org/officeDocument/2006/relationships/hyperlink" Target="https://youtu.be/wA8kiGbhfZE" TargetMode="External"/><Relationship Id="rId3170" Type="http://schemas.openxmlformats.org/officeDocument/2006/relationships/hyperlink" Target="https://youtu.be/pJGbyLD9QYA" TargetMode="External"/><Relationship Id="rId3173" Type="http://schemas.openxmlformats.org/officeDocument/2006/relationships/hyperlink" Target="https://youtu.be/HvP3lvkcZGw" TargetMode="External"/><Relationship Id="rId3172" Type="http://schemas.openxmlformats.org/officeDocument/2006/relationships/hyperlink" Target="https://youtu.be/dlmjF1JKAwg" TargetMode="External"/><Relationship Id="rId3175" Type="http://schemas.openxmlformats.org/officeDocument/2006/relationships/hyperlink" Target="https://youtu.be/y3Ad_ddcjhc" TargetMode="External"/><Relationship Id="rId3174" Type="http://schemas.openxmlformats.org/officeDocument/2006/relationships/hyperlink" Target="https://youtu.be/Nh3rB0QfbIE" TargetMode="External"/><Relationship Id="rId3177" Type="http://schemas.openxmlformats.org/officeDocument/2006/relationships/hyperlink" Target="https://youtu.be/z_We7WPUtVw" TargetMode="External"/><Relationship Id="rId3176" Type="http://schemas.openxmlformats.org/officeDocument/2006/relationships/hyperlink" Target="https://youtu.be/bvygfLAU1AU" TargetMode="External"/><Relationship Id="rId3179" Type="http://schemas.openxmlformats.org/officeDocument/2006/relationships/hyperlink" Target="https://youtu.be/K4Bpa4J7Sc0" TargetMode="External"/><Relationship Id="rId3178" Type="http://schemas.openxmlformats.org/officeDocument/2006/relationships/hyperlink" Target="https://youtu.be/bqKTMlMmr2c" TargetMode="External"/><Relationship Id="rId3160" Type="http://schemas.openxmlformats.org/officeDocument/2006/relationships/hyperlink" Target="https://youtu.be/kaGzTfzwFJE" TargetMode="External"/><Relationship Id="rId3162" Type="http://schemas.openxmlformats.org/officeDocument/2006/relationships/hyperlink" Target="https://youtu.be/WvBLxMdbnes" TargetMode="External"/><Relationship Id="rId3161" Type="http://schemas.openxmlformats.org/officeDocument/2006/relationships/hyperlink" Target="https://youtu.be/jm7cQ1q_Ev8" TargetMode="External"/><Relationship Id="rId3164" Type="http://schemas.openxmlformats.org/officeDocument/2006/relationships/hyperlink" Target="https://youtu.be/_HO24zetxpY" TargetMode="External"/><Relationship Id="rId3163" Type="http://schemas.openxmlformats.org/officeDocument/2006/relationships/hyperlink" Target="https://youtu.be/pdL09gCEx0o" TargetMode="External"/><Relationship Id="rId3166" Type="http://schemas.openxmlformats.org/officeDocument/2006/relationships/hyperlink" Target="https://youtu.be/hJOFOIdXjeY" TargetMode="External"/><Relationship Id="rId3165" Type="http://schemas.openxmlformats.org/officeDocument/2006/relationships/hyperlink" Target="https://youtu.be/vOrhzrLsIhs" TargetMode="External"/><Relationship Id="rId3168" Type="http://schemas.openxmlformats.org/officeDocument/2006/relationships/hyperlink" Target="https://youtu.be/nlrPDrjW3lQ" TargetMode="External"/><Relationship Id="rId3167" Type="http://schemas.openxmlformats.org/officeDocument/2006/relationships/hyperlink" Target="https://youtu.be/elOuhLU-n_c" TargetMode="External"/><Relationship Id="rId3169" Type="http://schemas.openxmlformats.org/officeDocument/2006/relationships/hyperlink" Target="https://youtu.be/a0bnPVCnIRc" TargetMode="External"/><Relationship Id="rId2700" Type="http://schemas.openxmlformats.org/officeDocument/2006/relationships/hyperlink" Target="https://youtu.be/poD_AfiGwrg" TargetMode="External"/><Relationship Id="rId2701" Type="http://schemas.openxmlformats.org/officeDocument/2006/relationships/hyperlink" Target="https://youtu.be/jPlakIEhZds" TargetMode="External"/><Relationship Id="rId2702" Type="http://schemas.openxmlformats.org/officeDocument/2006/relationships/hyperlink" Target="https://youtu.be/bSNMjwz7kZ8" TargetMode="External"/><Relationship Id="rId2703" Type="http://schemas.openxmlformats.org/officeDocument/2006/relationships/hyperlink" Target="https://youtu.be/AgcwcZyCSfI" TargetMode="External"/><Relationship Id="rId2704" Type="http://schemas.openxmlformats.org/officeDocument/2006/relationships/hyperlink" Target="https://youtu.be/GdLrIFLMKmE" TargetMode="External"/><Relationship Id="rId2705" Type="http://schemas.openxmlformats.org/officeDocument/2006/relationships/hyperlink" Target="https://youtu.be/mzqUfdUISr8" TargetMode="External"/><Relationship Id="rId2706" Type="http://schemas.openxmlformats.org/officeDocument/2006/relationships/hyperlink" Target="https://youtu.be/P2Ljvh9ZW7o" TargetMode="External"/><Relationship Id="rId2707" Type="http://schemas.openxmlformats.org/officeDocument/2006/relationships/hyperlink" Target="https://youtu.be/k6JbP64JkNs" TargetMode="External"/><Relationship Id="rId2708" Type="http://schemas.openxmlformats.org/officeDocument/2006/relationships/hyperlink" Target="https://youtu.be/uY90PjWR_MQ" TargetMode="External"/><Relationship Id="rId2709" Type="http://schemas.openxmlformats.org/officeDocument/2006/relationships/hyperlink" Target="https://youtu.be/nFaEIKzyhAc" TargetMode="External"/><Relationship Id="rId2720" Type="http://schemas.openxmlformats.org/officeDocument/2006/relationships/hyperlink" Target="https://youtu.be/7nND3fN067c" TargetMode="External"/><Relationship Id="rId2721" Type="http://schemas.openxmlformats.org/officeDocument/2006/relationships/hyperlink" Target="https://youtu.be/7VV4yzQV6B8" TargetMode="External"/><Relationship Id="rId2722" Type="http://schemas.openxmlformats.org/officeDocument/2006/relationships/hyperlink" Target="https://youtu.be/yYgJO43PiR0" TargetMode="External"/><Relationship Id="rId2723" Type="http://schemas.openxmlformats.org/officeDocument/2006/relationships/hyperlink" Target="https://youtu.be/AaZj0nu2fB4" TargetMode="External"/><Relationship Id="rId2724" Type="http://schemas.openxmlformats.org/officeDocument/2006/relationships/hyperlink" Target="https://youtu.be/fsLuR8sk6wo" TargetMode="External"/><Relationship Id="rId2725" Type="http://schemas.openxmlformats.org/officeDocument/2006/relationships/hyperlink" Target="https://youtu.be/ieajwFpfUXo" TargetMode="External"/><Relationship Id="rId2726" Type="http://schemas.openxmlformats.org/officeDocument/2006/relationships/hyperlink" Target="https://www.youtube.com/watch?v=Y9vn9Y_h5BA" TargetMode="External"/><Relationship Id="rId2727" Type="http://schemas.openxmlformats.org/officeDocument/2006/relationships/hyperlink" Target="https://www.youtube.com/watch?v=18yP13y__jk" TargetMode="External"/><Relationship Id="rId2728" Type="http://schemas.openxmlformats.org/officeDocument/2006/relationships/hyperlink" Target="https://youtu.be/KlGDPvfEacw" TargetMode="External"/><Relationship Id="rId2729" Type="http://schemas.openxmlformats.org/officeDocument/2006/relationships/hyperlink" Target="https://youtu.be/XjR4DYaI_gA" TargetMode="External"/><Relationship Id="rId2710" Type="http://schemas.openxmlformats.org/officeDocument/2006/relationships/hyperlink" Target="https://youtu.be/A9P2CMHF3Ys" TargetMode="External"/><Relationship Id="rId2711" Type="http://schemas.openxmlformats.org/officeDocument/2006/relationships/hyperlink" Target="https://youtu.be/WbMLO7CBi38" TargetMode="External"/><Relationship Id="rId2712" Type="http://schemas.openxmlformats.org/officeDocument/2006/relationships/hyperlink" Target="https://youtu.be/ohMgslKKLzg" TargetMode="External"/><Relationship Id="rId2713" Type="http://schemas.openxmlformats.org/officeDocument/2006/relationships/hyperlink" Target="https://youtu.be/6LUCAOmDMOM" TargetMode="External"/><Relationship Id="rId2714" Type="http://schemas.openxmlformats.org/officeDocument/2006/relationships/hyperlink" Target="https://youtu.be/Q9zO6Ey-tuY" TargetMode="External"/><Relationship Id="rId2715" Type="http://schemas.openxmlformats.org/officeDocument/2006/relationships/hyperlink" Target="https://youtu.be/CA9si0gN3zQ" TargetMode="External"/><Relationship Id="rId2716" Type="http://schemas.openxmlformats.org/officeDocument/2006/relationships/hyperlink" Target="https://youtu.be/qCn2ckp3j1Q" TargetMode="External"/><Relationship Id="rId2717" Type="http://schemas.openxmlformats.org/officeDocument/2006/relationships/hyperlink" Target="https://youtu.be/mnPxRyeakV0" TargetMode="External"/><Relationship Id="rId2718" Type="http://schemas.openxmlformats.org/officeDocument/2006/relationships/hyperlink" Target="https://youtu.be/tpGBiGHZxK0" TargetMode="External"/><Relationship Id="rId2719" Type="http://schemas.openxmlformats.org/officeDocument/2006/relationships/hyperlink" Target="https://youtu.be/nvZHnEp3KP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ejAD7XyDiSQ"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SLXLOZVtVZY"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6D0CmdR4vvA"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LuRZ0G12E-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7XFn4XL8B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HandsomeHotSardineKeyboardCat-d5m03tlMt9kIhJ92"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buvh--DbEL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TbM8qvfhQ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0pX-41Nby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7IzSZLsf5TI"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SpineyConsiderateLadiesOneHand-DdJcYa04uXIMUw1b"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lKWhqixgpO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vBOwbhgREek"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InN6JrMrD1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oxoWIcEabdM"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MOiAslVHMw"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wzGIZS_G-k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YBDWO0cjl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b8CKxMG-vf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Kbev06F3m8" TargetMode="External"/><Relationship Id="rId1433" Type="http://schemas.openxmlformats.org/officeDocument/2006/relationships/hyperlink" Target="https://youtu.be/tPMViYriHd0" TargetMode="External"/><Relationship Id="rId2764" Type="http://schemas.openxmlformats.org/officeDocument/2006/relationships/hyperlink" Target="http://youtu.be/HYHGcPg6j0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hpfsFt_GiI"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SeCxvExFJWI" TargetMode="External"/><Relationship Id="rId1436" Type="http://schemas.openxmlformats.org/officeDocument/2006/relationships/hyperlink" Target="https://youtu.be/AA8mL8WCmkg" TargetMode="External"/><Relationship Id="rId2767" Type="http://schemas.openxmlformats.org/officeDocument/2006/relationships/hyperlink" Target="https://youtu.be/Gyu9gUc51c0" TargetMode="External"/><Relationship Id="rId1437" Type="http://schemas.openxmlformats.org/officeDocument/2006/relationships/hyperlink" Target="https://youtu.be/wGxpUlj4izo" TargetMode="External"/><Relationship Id="rId2768" Type="http://schemas.openxmlformats.org/officeDocument/2006/relationships/hyperlink" Target="http://youtu.be/AsODTUrJJCM"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jLH0jO_ZNU"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MTzkGoZVGHA" TargetMode="External"/><Relationship Id="rId1431" Type="http://schemas.openxmlformats.org/officeDocument/2006/relationships/hyperlink" Target="https://youtu.be/7uT0yfrrF-Q" TargetMode="External"/><Relationship Id="rId2762" Type="http://schemas.openxmlformats.org/officeDocument/2006/relationships/hyperlink" Target="https://youtu.be/fgyU-y5uHPQ"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bG4hb_A3akM"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Eio6nqV0hJ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mG_ufd4rR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bzafOWDrI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K0te8fzGEN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gdsQmPSTi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SpunkyBlatantTubersPermaSmug-k4XiZoJWp5f4FqUo"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5pdTqWazwu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wOOJs_3BKA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BL9pD0D86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O4qFXg4PBRo" TargetMode="External"/><Relationship Id="rId3238" Type="http://schemas.openxmlformats.org/officeDocument/2006/relationships/hyperlink" Target="https://youtu.be/ikqJGmbTIGo?si=noiMjO8uoHoLtR0i" TargetMode="External"/><Relationship Id="rId3237" Type="http://schemas.openxmlformats.org/officeDocument/2006/relationships/hyperlink" Target="https://clips.twitch.tv/AnnoyingThoughtfulAmazonDuDudu-wqpqPbwlm3aK78kS" TargetMode="External"/><Relationship Id="rId3239" Type="http://schemas.openxmlformats.org/officeDocument/2006/relationships/hyperlink" Target="https://youtu.be/Log8qYsdK6g" TargetMode="External"/><Relationship Id="rId3230" Type="http://schemas.openxmlformats.org/officeDocument/2006/relationships/hyperlink" Target="https://youtu.be/pD9XOt8-FZo" TargetMode="External"/><Relationship Id="rId3232" Type="http://schemas.openxmlformats.org/officeDocument/2006/relationships/hyperlink" Target="https://youtu.be/_bDKS86UQO0" TargetMode="External"/><Relationship Id="rId3231" Type="http://schemas.openxmlformats.org/officeDocument/2006/relationships/hyperlink" Target="https://youtu.be/ezanPCJ5kWg?si=ME5jIl7NApvolsxb" TargetMode="External"/><Relationship Id="rId3234" Type="http://schemas.openxmlformats.org/officeDocument/2006/relationships/hyperlink" Target="https://www.twitch.tv/videos/1253747682" TargetMode="External"/><Relationship Id="rId3233" Type="http://schemas.openxmlformats.org/officeDocument/2006/relationships/hyperlink" Target="https://youtu.be/y7jpX_C0uXw?si=-mcc5p9x3XqxzUBc" TargetMode="External"/><Relationship Id="rId3236" Type="http://schemas.openxmlformats.org/officeDocument/2006/relationships/hyperlink" Target="https://youtu.be/7PUaYJbrA9s" TargetMode="External"/><Relationship Id="rId3235" Type="http://schemas.openxmlformats.org/officeDocument/2006/relationships/hyperlink" Target="https://youtu.be/tCxfGJ-WQmU" TargetMode="External"/><Relationship Id="rId3227" Type="http://schemas.openxmlformats.org/officeDocument/2006/relationships/hyperlink" Target="https://www.twitch.tv/videos/1460806233" TargetMode="External"/><Relationship Id="rId3226" Type="http://schemas.openxmlformats.org/officeDocument/2006/relationships/hyperlink" Target="https://youtu.be/8kAPcI0sVo4" TargetMode="External"/><Relationship Id="rId3229" Type="http://schemas.openxmlformats.org/officeDocument/2006/relationships/hyperlink" Target="https://youtu.be/tnqOox8OBB0" TargetMode="External"/><Relationship Id="rId3228" Type="http://schemas.openxmlformats.org/officeDocument/2006/relationships/hyperlink" Target="https://youtu.be/qlmCdJa-I5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T23JDdPU5Y" TargetMode="External"/><Relationship Id="rId690" Type="http://schemas.openxmlformats.org/officeDocument/2006/relationships/hyperlink" Target="https://youtu.be/Kk8g_-PNVdk" TargetMode="External"/><Relationship Id="rId3220" Type="http://schemas.openxmlformats.org/officeDocument/2006/relationships/hyperlink" Target="https://youtu.be/ceF49l7ToEM" TargetMode="External"/><Relationship Id="rId697" Type="http://schemas.openxmlformats.org/officeDocument/2006/relationships/hyperlink" Target="https://youtu.be/k1QHkUSMwsc" TargetMode="External"/><Relationship Id="rId3223" Type="http://schemas.openxmlformats.org/officeDocument/2006/relationships/hyperlink" Target="https://youtu.be/cBNsS10llbg" TargetMode="External"/><Relationship Id="rId696" Type="http://schemas.openxmlformats.org/officeDocument/2006/relationships/hyperlink" Target="https://youtu.be/6vaydf2PmLA" TargetMode="External"/><Relationship Id="rId3222" Type="http://schemas.openxmlformats.org/officeDocument/2006/relationships/hyperlink" Target="https://youtu.be/T9E3KVuY3nk" TargetMode="External"/><Relationship Id="rId695" Type="http://schemas.openxmlformats.org/officeDocument/2006/relationships/hyperlink" Target="https://youtu.be/OvW9VYHZHGM" TargetMode="External"/><Relationship Id="rId3225" Type="http://schemas.openxmlformats.org/officeDocument/2006/relationships/hyperlink" Target="https://youtu.be/PIcAVkxTJkM" TargetMode="External"/><Relationship Id="rId694" Type="http://schemas.openxmlformats.org/officeDocument/2006/relationships/hyperlink" Target="https://youtu.be/cg5uwoWfURQ" TargetMode="External"/><Relationship Id="rId3224" Type="http://schemas.openxmlformats.org/officeDocument/2006/relationships/hyperlink" Target="https://youtu.be/L5KFF_6302E"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WDlXk90u5Bc?si=feDmgRohE1PGPIN1" TargetMode="External"/><Relationship Id="rId3252" Type="http://schemas.openxmlformats.org/officeDocument/2006/relationships/hyperlink" Target="https://clips.twitch.tv/CleanSpeedySquirrelNerfRedBlaster-wAymz7ty7RNzWK-2" TargetMode="External"/><Relationship Id="rId3251" Type="http://schemas.openxmlformats.org/officeDocument/2006/relationships/hyperlink" Target="https://youtu.be/wgmqieTlGak"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35sqFsfXVkc?si=HuA9S44PmDCJ62gm"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U87gdhTxhAM?si=4avAylyFpFk6KlNC" TargetMode="External"/><Relationship Id="rId3248" Type="http://schemas.openxmlformats.org/officeDocument/2006/relationships/hyperlink" Target="https://youtu.be/QdeI18gsMZU?si=qLdoR9t8JoucZN2e" TargetMode="External"/><Relationship Id="rId3241" Type="http://schemas.openxmlformats.org/officeDocument/2006/relationships/hyperlink" Target="https://clips.twitch.tv/ExuberantBoxyAsteriskHassanChop-Gt1dcfITEwf4leaE" TargetMode="External"/><Relationship Id="rId3240" Type="http://schemas.openxmlformats.org/officeDocument/2006/relationships/hyperlink" Target="https://youtu.be/96nVi2MEUxY" TargetMode="External"/><Relationship Id="rId3243" Type="http://schemas.openxmlformats.org/officeDocument/2006/relationships/hyperlink" Target="https://www.twitch.tv/videos/1207701165" TargetMode="External"/><Relationship Id="rId3242" Type="http://schemas.openxmlformats.org/officeDocument/2006/relationships/hyperlink" Target="https://youtu.be/PsCQX0aROzc?si=EETnGn84DMJgpG4K" TargetMode="External"/><Relationship Id="rId3245" Type="http://schemas.openxmlformats.org/officeDocument/2006/relationships/hyperlink" Target="https://youtu.be/OZGCU7a4RPY" TargetMode="External"/><Relationship Id="rId3244" Type="http://schemas.openxmlformats.org/officeDocument/2006/relationships/hyperlink" Target="https://youtu.be/ETYZi1vWOyw?si=DjSt60DiCGudvec1" TargetMode="External"/><Relationship Id="rId3247" Type="http://schemas.openxmlformats.org/officeDocument/2006/relationships/hyperlink" Target="https://youtu.be/ckqGSQqnSbQ?si=8Iy5YvFP2dGI8Mkn" TargetMode="External"/><Relationship Id="rId3246" Type="http://schemas.openxmlformats.org/officeDocument/2006/relationships/hyperlink" Target="https://youtu.be/g8xqA7r4r_s?si=IE64A5KdncBZpH0_"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_ZwMDatTD4" TargetMode="External"/><Relationship Id="rId3215" Type="http://schemas.openxmlformats.org/officeDocument/2006/relationships/hyperlink" Target="https://youtu.be/2k_uSmCXMAs" TargetMode="External"/><Relationship Id="rId3218" Type="http://schemas.openxmlformats.org/officeDocument/2006/relationships/hyperlink" Target="https://youtu.be/Fbj8d2_w-Lg" TargetMode="External"/><Relationship Id="rId3217" Type="http://schemas.openxmlformats.org/officeDocument/2006/relationships/hyperlink" Target="https://youtu.be/FuJwJXH4fBc" TargetMode="External"/><Relationship Id="rId3219" Type="http://schemas.openxmlformats.org/officeDocument/2006/relationships/hyperlink" Target="https://youtu.be/qsMq1e98Vq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0KsmRlkm06g" TargetMode="External"/><Relationship Id="rId686" Type="http://schemas.openxmlformats.org/officeDocument/2006/relationships/hyperlink" Target="https://youtu.be/wJXpqcpjJlw" TargetMode="External"/><Relationship Id="rId3212" Type="http://schemas.openxmlformats.org/officeDocument/2006/relationships/hyperlink" Target="https://youtu.be/pzNVImszI5A"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Pq4Fkezf9o" TargetMode="External"/><Relationship Id="rId684" Type="http://schemas.openxmlformats.org/officeDocument/2006/relationships/hyperlink" Target="https://youtu.be/xgJaj07Wfoc" TargetMode="External"/><Relationship Id="rId3214" Type="http://schemas.openxmlformats.org/officeDocument/2006/relationships/hyperlink" Target="https://youtu.be/og-NgPQ62Pk" TargetMode="External"/><Relationship Id="rId683" Type="http://schemas.openxmlformats.org/officeDocument/2006/relationships/hyperlink" Target="https://youtu.be/5M9BYr-7SRo" TargetMode="External"/><Relationship Id="rId3213" Type="http://schemas.openxmlformats.org/officeDocument/2006/relationships/hyperlink" Target="https://youtu.be/heRgxUjOxr4" TargetMode="External"/><Relationship Id="rId3205" Type="http://schemas.openxmlformats.org/officeDocument/2006/relationships/hyperlink" Target="https://youtu.be/uatrSwIUKDc" TargetMode="External"/><Relationship Id="rId3204" Type="http://schemas.openxmlformats.org/officeDocument/2006/relationships/hyperlink" Target="https://youtu.be/InsBFCrFdLQ" TargetMode="External"/><Relationship Id="rId3207" Type="http://schemas.openxmlformats.org/officeDocument/2006/relationships/hyperlink" Target="https://youtu.be/9vSa36-LDQw" TargetMode="External"/><Relationship Id="rId3206" Type="http://schemas.openxmlformats.org/officeDocument/2006/relationships/hyperlink" Target="https://youtu.be/ZYluNBhBo9A" TargetMode="External"/><Relationship Id="rId3209" Type="http://schemas.openxmlformats.org/officeDocument/2006/relationships/hyperlink" Target="https://youtu.be/IOkYplnaPzo" TargetMode="External"/><Relationship Id="rId3208" Type="http://schemas.openxmlformats.org/officeDocument/2006/relationships/hyperlink" Target="https://youtu.be/110gjjURfvI"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JE-MOlrG9rQ" TargetMode="External"/><Relationship Id="rId674" Type="http://schemas.openxmlformats.org/officeDocument/2006/relationships/hyperlink" Target="https://youtu.be/ncwLZhBr8GE" TargetMode="External"/><Relationship Id="rId3200" Type="http://schemas.openxmlformats.org/officeDocument/2006/relationships/hyperlink" Target="https://youtu.be/BFC8g-DaB4A" TargetMode="External"/><Relationship Id="rId673" Type="http://schemas.openxmlformats.org/officeDocument/2006/relationships/hyperlink" Target="https://youtu.be/IWT8MTtc_bY" TargetMode="External"/><Relationship Id="rId3203" Type="http://schemas.openxmlformats.org/officeDocument/2006/relationships/hyperlink" Target="https://youtu.be/O-YOfvZs49o" TargetMode="External"/><Relationship Id="rId672" Type="http://schemas.openxmlformats.org/officeDocument/2006/relationships/hyperlink" Target="https://youtu.be/BscO6fEkknM" TargetMode="External"/><Relationship Id="rId3202" Type="http://schemas.openxmlformats.org/officeDocument/2006/relationships/hyperlink" Target="https://youtu.be/CPj2_3SQQH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5Fb7NyRAVR4?si=TMfJuFsN97uy6mIt"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twitter.com/Samura1man/status/1271734162496516096"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DIcjtHJf4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PNwdDX3Bp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tnLI_wStCw?si=k-z3vEjId3Z7qKfB"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Qb2vYe8YII" TargetMode="External"/><Relationship Id="rId3292" Type="http://schemas.openxmlformats.org/officeDocument/2006/relationships/hyperlink" Target="https://youtu.be/mYzJU-sWJSo" TargetMode="External"/><Relationship Id="rId3291" Type="http://schemas.openxmlformats.org/officeDocument/2006/relationships/hyperlink" Target="https://youtu.be/QWmK3VCxdP8"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zwc5nX4nvk" TargetMode="External"/><Relationship Id="rId3280" Type="http://schemas.openxmlformats.org/officeDocument/2006/relationships/hyperlink" Target="https://youtu.be/iKTeySuLwAI" TargetMode="External"/><Relationship Id="rId3283" Type="http://schemas.openxmlformats.org/officeDocument/2006/relationships/hyperlink" Target="https://youtu.be/5VwqykDW0oQ" TargetMode="External"/><Relationship Id="rId3282" Type="http://schemas.openxmlformats.org/officeDocument/2006/relationships/hyperlink" Target="https://youtu.be/ZmY_5WSb6yM" TargetMode="External"/><Relationship Id="rId154" Type="http://schemas.openxmlformats.org/officeDocument/2006/relationships/hyperlink" Target="https://youtu.be/5-9l1rH9mEw" TargetMode="External"/><Relationship Id="rId3285" Type="http://schemas.openxmlformats.org/officeDocument/2006/relationships/hyperlink" Target="https://youtu.be/mF124RG60nQ" TargetMode="External"/><Relationship Id="rId153" Type="http://schemas.openxmlformats.org/officeDocument/2006/relationships/hyperlink" Target="https://youtu.be/31FQiJUFINE" TargetMode="External"/><Relationship Id="rId3284" Type="http://schemas.openxmlformats.org/officeDocument/2006/relationships/hyperlink" Target="https://youtu.be/prEpqvZQgL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tePd1cjfoQ" TargetMode="External"/><Relationship Id="rId151" Type="http://schemas.openxmlformats.org/officeDocument/2006/relationships/hyperlink" Target="https://youtu.be/IcMp1u1HA7U" TargetMode="External"/><Relationship Id="rId3286" Type="http://schemas.openxmlformats.org/officeDocument/2006/relationships/hyperlink" Target="https://youtu.be/_DhWYRq0LwA" TargetMode="External"/><Relationship Id="rId158" Type="http://schemas.openxmlformats.org/officeDocument/2006/relationships/hyperlink" Target="https://youtu.be/UNibrH7ZgHQ" TargetMode="External"/><Relationship Id="rId3289" Type="http://schemas.openxmlformats.org/officeDocument/2006/relationships/hyperlink" Target="https://youtu.be/gzOBWrCUX4g" TargetMode="External"/><Relationship Id="rId157" Type="http://schemas.openxmlformats.org/officeDocument/2006/relationships/hyperlink" Target="https://youtu.be/0KK1hD5i0r8" TargetMode="External"/><Relationship Id="rId3288" Type="http://schemas.openxmlformats.org/officeDocument/2006/relationships/hyperlink" Target="https://youtu.be/9oaIhANWD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fpEEA8nWq0Q" TargetMode="External"/><Relationship Id="rId2845" Type="http://schemas.openxmlformats.org/officeDocument/2006/relationships/hyperlink" Target="https://www.twitch.tv/videos/1113071263"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youtu.be/X--ZqeRpwpk" TargetMode="External"/><Relationship Id="rId2849" Type="http://schemas.openxmlformats.org/officeDocument/2006/relationships/hyperlink" Target="https://youtu.be/CBwzmfxQE4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48"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iBxubJeUng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UkJdOKDmTO4" TargetMode="External"/><Relationship Id="rId2855" Type="http://schemas.openxmlformats.org/officeDocument/2006/relationships/hyperlink" Target="https://youtu.be/5pEbV8f4Eyg"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cglmrOESoXw" TargetMode="External"/><Relationship Id="rId2857" Type="http://schemas.openxmlformats.org/officeDocument/2006/relationships/hyperlink" Target="https://youtu.be/m8uNFFWGXs8"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5kwser_j2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Qfi7qNj_BI" TargetMode="External"/><Relationship Id="rId2020" Type="http://schemas.openxmlformats.org/officeDocument/2006/relationships/hyperlink" Target="https://youtu.be/UElhts5cLgE" TargetMode="External"/><Relationship Id="rId3350" Type="http://schemas.openxmlformats.org/officeDocument/2006/relationships/hyperlink" Target="https://youtu.be/AhrASTid91E" TargetMode="External"/><Relationship Id="rId2021" Type="http://schemas.openxmlformats.org/officeDocument/2006/relationships/hyperlink" Target="https://youtu.be/BijQPe2xCBA" TargetMode="External"/><Relationship Id="rId3353" Type="http://schemas.openxmlformats.org/officeDocument/2006/relationships/hyperlink" Target="https://youtu.be/M6YztZoaTSc"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rUQqqvBx88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WbEtprLGID0"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2O1PA2iX0zY"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clips.twitch.tv/OilyResoluteWrenWo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SparklyCallousCheeseHassaanChop"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mJxnxexXk1w"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1i_AVBjJUxM"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14XtK7BAy94" TargetMode="External"/><Relationship Id="rId3340" Type="http://schemas.openxmlformats.org/officeDocument/2006/relationships/hyperlink" Target="https://youtu.be/R6qJaEgyXcs" TargetMode="External"/><Relationship Id="rId2010" Type="http://schemas.openxmlformats.org/officeDocument/2006/relationships/hyperlink" Target="https://youtu.be/O4NTBfuxH50" TargetMode="External"/><Relationship Id="rId3342" Type="http://schemas.openxmlformats.org/officeDocument/2006/relationships/hyperlink" Target="https://youtu.be/qHrR4WiaAvE" TargetMode="External"/><Relationship Id="rId2011" Type="http://schemas.openxmlformats.org/officeDocument/2006/relationships/hyperlink" Target="https://youtu.be/9TAfsuf72sw" TargetMode="External"/><Relationship Id="rId3341" Type="http://schemas.openxmlformats.org/officeDocument/2006/relationships/hyperlink" Target="https://youtu.be/j7-8YNFT0co" TargetMode="External"/><Relationship Id="rId2012" Type="http://schemas.openxmlformats.org/officeDocument/2006/relationships/hyperlink" Target="https://youtu.be/KlyoH2fSpAY" TargetMode="External"/><Relationship Id="rId3344" Type="http://schemas.openxmlformats.org/officeDocument/2006/relationships/hyperlink" Target="https://youtu.be/KonmYHL9k-I" TargetMode="External"/><Relationship Id="rId2013" Type="http://schemas.openxmlformats.org/officeDocument/2006/relationships/hyperlink" Target="https://youtu.be/-D5SqQbUgxs" TargetMode="External"/><Relationship Id="rId3343" Type="http://schemas.openxmlformats.org/officeDocument/2006/relationships/hyperlink" Target="https://youtu.be/Bsr_tRNbUK0" TargetMode="External"/><Relationship Id="rId2014" Type="http://schemas.openxmlformats.org/officeDocument/2006/relationships/hyperlink" Target="https://youtu.be/2NQ0u11b-iM" TargetMode="External"/><Relationship Id="rId3346" Type="http://schemas.openxmlformats.org/officeDocument/2006/relationships/hyperlink" Target="https://youtu.be/7K-re3OdSN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hVgd3hos45M"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p6taesLvQnI"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QaWlWaT7l7k" TargetMode="External"/><Relationship Id="rId3314" Type="http://schemas.openxmlformats.org/officeDocument/2006/relationships/hyperlink" Target="https://youtu.be/2Yd9N52a0y4" TargetMode="External"/><Relationship Id="rId3317" Type="http://schemas.openxmlformats.org/officeDocument/2006/relationships/hyperlink" Target="https://youtu.be/7OAvWxNTvOI" TargetMode="External"/><Relationship Id="rId3316" Type="http://schemas.openxmlformats.org/officeDocument/2006/relationships/hyperlink" Target="https://youtu.be/IBrNUCftk2g" TargetMode="External"/><Relationship Id="rId3319" Type="http://schemas.openxmlformats.org/officeDocument/2006/relationships/hyperlink" Target="https://youtu.be/qz7q29iw0_A" TargetMode="External"/><Relationship Id="rId3318" Type="http://schemas.openxmlformats.org/officeDocument/2006/relationships/hyperlink" Target="https://youtu.be/2p8Y3AU75vY" TargetMode="External"/><Relationship Id="rId3311" Type="http://schemas.openxmlformats.org/officeDocument/2006/relationships/hyperlink" Target="https://youtu.be/RIzlArMTv18" TargetMode="External"/><Relationship Id="rId3310" Type="http://schemas.openxmlformats.org/officeDocument/2006/relationships/hyperlink" Target="https://youtu.be/gYAsKhAbCIw" TargetMode="External"/><Relationship Id="rId3313" Type="http://schemas.openxmlformats.org/officeDocument/2006/relationships/hyperlink" Target="https://youtu.be/iMMzhLJFgX4" TargetMode="External"/><Relationship Id="rId3312" Type="http://schemas.openxmlformats.org/officeDocument/2006/relationships/hyperlink" Target="https://youtu.be/THguJsZpdGg"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www.twitch.tv/videos/1875864310" TargetMode="External"/><Relationship Id="rId3305" Type="http://schemas.openxmlformats.org/officeDocument/2006/relationships/hyperlink" Target="https://youtu.be/2t3V_BAcyNg" TargetMode="External"/><Relationship Id="rId3308" Type="http://schemas.openxmlformats.org/officeDocument/2006/relationships/hyperlink" Target="https://youtu.be/QCZ15YXP7O0" TargetMode="External"/><Relationship Id="rId3307" Type="http://schemas.openxmlformats.org/officeDocument/2006/relationships/hyperlink" Target="https://www.twitch.tv/videos/1961406996" TargetMode="External"/><Relationship Id="rId3309" Type="http://schemas.openxmlformats.org/officeDocument/2006/relationships/hyperlink" Target="https://youtu.be/Sc_oJ7DMHOk"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BEkZKPxC6Ys" TargetMode="External"/><Relationship Id="rId3337" Type="http://schemas.openxmlformats.org/officeDocument/2006/relationships/hyperlink" Target="https://youtu.be/Sp05l_QXKZg" TargetMode="External"/><Relationship Id="rId2006" Type="http://schemas.openxmlformats.org/officeDocument/2006/relationships/hyperlink" Target="https://youtu.be/fmEsMKFQZQM" TargetMode="External"/><Relationship Id="rId3336" Type="http://schemas.openxmlformats.org/officeDocument/2006/relationships/hyperlink" Target="https://youtu.be/wnb2S-ZM6U4"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dk2mn7vS6Kk" TargetMode="External"/><Relationship Id="rId2008" Type="http://schemas.openxmlformats.org/officeDocument/2006/relationships/hyperlink" Target="https://youtu.be/yGm7u16MJfI" TargetMode="External"/><Relationship Id="rId3338" Type="http://schemas.openxmlformats.org/officeDocument/2006/relationships/hyperlink" Target="https://youtu.be/c8LC4B9Vvkg"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UpiYpqjSf4" TargetMode="External"/><Relationship Id="rId2000" Type="http://schemas.openxmlformats.org/officeDocument/2006/relationships/hyperlink" Target="https://youtu.be/69lCotuQa4k" TargetMode="External"/><Relationship Id="rId3330" Type="http://schemas.openxmlformats.org/officeDocument/2006/relationships/hyperlink" Target="https://youtu.be/jGysVsWZTkg" TargetMode="External"/><Relationship Id="rId2001" Type="http://schemas.openxmlformats.org/officeDocument/2006/relationships/hyperlink" Target="https://youtu.be/acZe8eIx2f8" TargetMode="External"/><Relationship Id="rId3333" Type="http://schemas.openxmlformats.org/officeDocument/2006/relationships/hyperlink" Target="https://youtu.be/bXwkS_c6hb0" TargetMode="External"/><Relationship Id="rId2002" Type="http://schemas.openxmlformats.org/officeDocument/2006/relationships/hyperlink" Target="https://youtu.be/Qb_xZappa9E" TargetMode="External"/><Relationship Id="rId3332" Type="http://schemas.openxmlformats.org/officeDocument/2006/relationships/hyperlink" Target="https://youtu.be/5ItCib67nd4" TargetMode="External"/><Relationship Id="rId2003" Type="http://schemas.openxmlformats.org/officeDocument/2006/relationships/hyperlink" Target="https://youtu.be/HLTflWd81wU" TargetMode="External"/><Relationship Id="rId3335" Type="http://schemas.openxmlformats.org/officeDocument/2006/relationships/hyperlink" Target="https://youtu.be/ludIvyZW0sw"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MQ4431xDyKg" TargetMode="External"/><Relationship Id="rId3326" Type="http://schemas.openxmlformats.org/officeDocument/2006/relationships/hyperlink" Target="https://youtu.be/c1nqEpTKr0E" TargetMode="External"/><Relationship Id="rId3325" Type="http://schemas.openxmlformats.org/officeDocument/2006/relationships/hyperlink" Target="https://youtu.be/5sBu6lUT9RE" TargetMode="External"/><Relationship Id="rId3328" Type="http://schemas.openxmlformats.org/officeDocument/2006/relationships/hyperlink" Target="https://youtu.be/kbMDUx7MwXE" TargetMode="External"/><Relationship Id="rId3327" Type="http://schemas.openxmlformats.org/officeDocument/2006/relationships/hyperlink" Target="https://youtu.be/sp1sPQlZ4J0" TargetMode="External"/><Relationship Id="rId3329" Type="http://schemas.openxmlformats.org/officeDocument/2006/relationships/hyperlink" Target="https://youtu.be/kbMDUx7MwXE" TargetMode="External"/><Relationship Id="rId3320" Type="http://schemas.openxmlformats.org/officeDocument/2006/relationships/hyperlink" Target="https://youtu.be/KpqQOIm_K_g" TargetMode="External"/><Relationship Id="rId3322" Type="http://schemas.openxmlformats.org/officeDocument/2006/relationships/hyperlink" Target="https://youtu.be/KtqbanHvemo" TargetMode="External"/><Relationship Id="rId3321" Type="http://schemas.openxmlformats.org/officeDocument/2006/relationships/hyperlink" Target="https://youtu.be/01NeQiQX0LU" TargetMode="External"/><Relationship Id="rId3324" Type="http://schemas.openxmlformats.org/officeDocument/2006/relationships/hyperlink" Target="https://youtu.be/HIeVgcy-xtw" TargetMode="External"/><Relationship Id="rId3323" Type="http://schemas.openxmlformats.org/officeDocument/2006/relationships/hyperlink" Target="https://youtu.be/YPMd_F15dOM"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RDsRdHr1gAQ"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KTs7U9JQWUQ?si=QFHu95RaAirHTAj9" TargetMode="External"/><Relationship Id="rId2061" Type="http://schemas.openxmlformats.org/officeDocument/2006/relationships/hyperlink" Target="https://youtu.be/UvWYrs7a1P8" TargetMode="External"/><Relationship Id="rId3393" Type="http://schemas.openxmlformats.org/officeDocument/2006/relationships/hyperlink" Target="https://youtu.be/kKohsYQtOI8?si=WaezbMXeoMihLmh9" TargetMode="External"/><Relationship Id="rId2062" Type="http://schemas.openxmlformats.org/officeDocument/2006/relationships/hyperlink" Target="https://youtu.be/LD5cXx40AIs" TargetMode="External"/><Relationship Id="rId3392" Type="http://schemas.openxmlformats.org/officeDocument/2006/relationships/hyperlink" Target="https://youtu.be/fYOzE2sUK7I?si=36DhlFlsnkhUEboh" TargetMode="External"/><Relationship Id="rId2063" Type="http://schemas.openxmlformats.org/officeDocument/2006/relationships/hyperlink" Target="https://youtu.be/_ay0-XMIuGI" TargetMode="External"/><Relationship Id="rId3395" Type="http://schemas.openxmlformats.org/officeDocument/2006/relationships/hyperlink" Target="https://youtu.be/HAcEFJYINY0" TargetMode="External"/><Relationship Id="rId2064" Type="http://schemas.openxmlformats.org/officeDocument/2006/relationships/hyperlink" Target="https://youtu.be/E7duJnxjEgk" TargetMode="External"/><Relationship Id="rId3394" Type="http://schemas.openxmlformats.org/officeDocument/2006/relationships/hyperlink" Target="https://youtu.be/rlmKfMAgx1M?si=Pq7OiHYp9COtPfGa" TargetMode="External"/><Relationship Id="rId2065" Type="http://schemas.openxmlformats.org/officeDocument/2006/relationships/hyperlink" Target="https://youtu.be/oIuzjQeQ2A4" TargetMode="External"/><Relationship Id="rId3397" Type="http://schemas.openxmlformats.org/officeDocument/2006/relationships/hyperlink" Target="https://youtu.be/w__8xHsdb0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NrpDqUoT6ug?si=TRQrCZbTwenZq-nX"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www.twitch.tv/quartersno/clip/BenevolentGloriousCobblerRaccAttack-lfzdzl96PqrPSqnP"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394xFxpvkYw"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q0wfTMcrG2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38594607461592678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44760779601538252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www.youtube.com/watch?v=IA2OoXn2Kv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96303661921484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twitch.tv/videos/117632707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ProductiveSmallTofuPrimeMe-BiqUcXrrRzLE_GF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oFQGYiycIQ?si=guM2fGz7XAv1O3b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olidPerfectSandwichDerp-865AbQlAGdrhQIL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0_Qn58QJhQk?si=vlJv9gNolv46yWn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U39IMkm8w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YuiSZnk7wx4"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rAB7TqLFJuw?si=Ev9AlvQZ03To222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p6FtdE57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BetterSmallPoxTheThing-WaS8ZgfSeycrHOAP"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NastyImpossibleCrabAMPEnergyCherry-g2mwU33oKy1EP3f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8-dOiebvy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6ckMTVhUsz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7r_qOr_cXg"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e_fjYfcBFxI?t=91"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V4eSfU-5U5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lgfKEVg8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s9T8WWTGj0"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lc3xwtARF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rxoTM4Ywv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0nszH_OsVFY?si=1vZmdoRbmBpyNqgd" TargetMode="External"/><Relationship Id="rId2921" Type="http://schemas.openxmlformats.org/officeDocument/2006/relationships/hyperlink" Target="https://youtu.be/2t1Cu_wtBX4?si=5LRBisijQNk5iFS8" TargetMode="External"/><Relationship Id="rId2922" Type="http://schemas.openxmlformats.org/officeDocument/2006/relationships/hyperlink" Target="https://youtu.be/1CbHc28eZeg" TargetMode="External"/><Relationship Id="rId2923" Type="http://schemas.openxmlformats.org/officeDocument/2006/relationships/hyperlink" Target="https://youtu.be/pLwKgRC1wcQ?si=F_ChIDkfJj31zCsE" TargetMode="External"/><Relationship Id="rId2924" Type="http://schemas.openxmlformats.org/officeDocument/2006/relationships/hyperlink" Target="https://youtu.be/S6I-VumPqKc?si=B7eN9ym4YIx2FcaW" TargetMode="External"/><Relationship Id="rId2925" Type="http://schemas.openxmlformats.org/officeDocument/2006/relationships/hyperlink" Target="https://clips.twitch.tv/ObliviousRacyElkSpicyBoy-NUc0Yura40wdJzKf" TargetMode="External"/><Relationship Id="rId2926" Type="http://schemas.openxmlformats.org/officeDocument/2006/relationships/hyperlink" Target="https://youtu.be/DnONET1FjZw" TargetMode="External"/><Relationship Id="rId2927" Type="http://schemas.openxmlformats.org/officeDocument/2006/relationships/hyperlink" Target="https://clips.twitch.tv/SparklySnappyWasabiPJSalt-YOvVC1bGidPY76WI" TargetMode="External"/><Relationship Id="rId2928" Type="http://schemas.openxmlformats.org/officeDocument/2006/relationships/hyperlink" Target="https://youtu.be/Un8GBYhUU3E?si=cB-vRJOczh6bhO1B" TargetMode="External"/><Relationship Id="rId2929" Type="http://schemas.openxmlformats.org/officeDocument/2006/relationships/hyperlink" Target="https://youtu.be/zbdC7rooh2Y"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clips.twitch.tv/JollyHeartlessRadicchioYouDontSay-DnTtZQb3yYj2G9y0" TargetMode="External"/><Relationship Id="rId2916" Type="http://schemas.openxmlformats.org/officeDocument/2006/relationships/hyperlink" Target="https://youtu.be/6izRodRG-Jo" TargetMode="External"/><Relationship Id="rId2917" Type="http://schemas.openxmlformats.org/officeDocument/2006/relationships/hyperlink" Target="https://youtu.be/5YzyXaJq0VM?si=hl2fllQr8hqFvDJr" TargetMode="External"/><Relationship Id="rId2918" Type="http://schemas.openxmlformats.org/officeDocument/2006/relationships/hyperlink" Target="https://youtu.be/78cQOXD-8mc" TargetMode="External"/><Relationship Id="rId2919" Type="http://schemas.openxmlformats.org/officeDocument/2006/relationships/hyperlink" Target="https://youtu.be/Vcj1iQUY7L4"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WvWKSKObs?si=RXUdnHNrM_cH1mv9" TargetMode="External"/><Relationship Id="rId3413" Type="http://schemas.openxmlformats.org/officeDocument/2006/relationships/hyperlink" Target="https://youtu.be/R_WzW5NJHNg" TargetMode="External"/><Relationship Id="rId3416" Type="http://schemas.openxmlformats.org/officeDocument/2006/relationships/hyperlink" Target="https://youtu.be/lIQjwqRKvAo?si=ITqOmv3zXj5gLfh9" TargetMode="External"/><Relationship Id="rId3415" Type="http://schemas.openxmlformats.org/officeDocument/2006/relationships/hyperlink" Target="https://www.twitch.tv/quartersno/clip/DignifiedInnocentElkJKanStyle-AnstJT0Ztir81U23" TargetMode="External"/><Relationship Id="rId3418" Type="http://schemas.openxmlformats.org/officeDocument/2006/relationships/hyperlink" Target="https://www.twitch.tv/quartersno/clip/ReliableEagerSpindleRedCoat-pbWdbU3W8X-Xc-zx" TargetMode="External"/><Relationship Id="rId3417" Type="http://schemas.openxmlformats.org/officeDocument/2006/relationships/hyperlink" Target="https://www.twitch.tv/quarters_no/clip/ResilientCalmPancake4Head-74KL9EEE9YwD_kv7" TargetMode="External"/><Relationship Id="rId3419" Type="http://schemas.openxmlformats.org/officeDocument/2006/relationships/hyperlink" Target="https://youtu.be/5-Rq_orWQl8?si=1B5vLbFOUr8GZrAJ"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kcpgliFaA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ZAinYSFi65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9fnwieEZ7E?t=6" TargetMode="External"/><Relationship Id="rId3403" Type="http://schemas.openxmlformats.org/officeDocument/2006/relationships/hyperlink" Target="https://youtu.be/wLlMPVmnSJQ?si=ivdMiMV6r6mPAq48" TargetMode="External"/><Relationship Id="rId3402" Type="http://schemas.openxmlformats.org/officeDocument/2006/relationships/hyperlink" Target="https://youtu.be/BRJoIrstX68" TargetMode="External"/><Relationship Id="rId3405" Type="http://schemas.openxmlformats.org/officeDocument/2006/relationships/hyperlink" Target="https://youtu.be/AkwOvcjPAek?si=SA1gnny5ro0CgERi" TargetMode="External"/><Relationship Id="rId3404" Type="http://schemas.openxmlformats.org/officeDocument/2006/relationships/hyperlink" Target="https://youtu.be/LY9deOtKS9c" TargetMode="External"/><Relationship Id="rId3407" Type="http://schemas.openxmlformats.org/officeDocument/2006/relationships/hyperlink" Target="https://youtu.be/7M6KJaNmgjs" TargetMode="External"/><Relationship Id="rId3406" Type="http://schemas.openxmlformats.org/officeDocument/2006/relationships/hyperlink" Target="https://youtu.be/fdLppy_NAmk" TargetMode="External"/><Relationship Id="rId3409" Type="http://schemas.openxmlformats.org/officeDocument/2006/relationships/hyperlink" Target="https://www.twitch.tv/quartersno/clip/EnjoyableThirstyDragonflyMVGame-4U8fHfrvNfUVxiSW" TargetMode="External"/><Relationship Id="rId3408" Type="http://schemas.openxmlformats.org/officeDocument/2006/relationships/hyperlink" Target="https://youtu.be/s9ujpa-YSnc?si=ZcvXd6-ZJSVuO48u"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RAW1TjecBxE?t=6" TargetMode="External"/><Relationship Id="rId870" Type="http://schemas.openxmlformats.org/officeDocument/2006/relationships/hyperlink" Target="https://youtu.be/_U3-cnpmxZg" TargetMode="External"/><Relationship Id="rId3400" Type="http://schemas.openxmlformats.org/officeDocument/2006/relationships/hyperlink" Target="https://youtu.be/cOth8i2Z9Jg"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fq4ZAr7ero" TargetMode="External"/><Relationship Id="rId1654" Type="http://schemas.openxmlformats.org/officeDocument/2006/relationships/hyperlink" Target="https://youtu.be/03iDs8Ajosw" TargetMode="External"/><Relationship Id="rId2985" Type="http://schemas.openxmlformats.org/officeDocument/2006/relationships/hyperlink" Target="https://youtu.be/gzdnV0_HfsY" TargetMode="External"/><Relationship Id="rId1655" Type="http://schemas.openxmlformats.org/officeDocument/2006/relationships/hyperlink" Target="https://youtu.be/CVxNfJLH3Ys" TargetMode="External"/><Relationship Id="rId2986" Type="http://schemas.openxmlformats.org/officeDocument/2006/relationships/hyperlink" Target="https://youtu.be/ZZg3OSmQkzw" TargetMode="External"/><Relationship Id="rId1656" Type="http://schemas.openxmlformats.org/officeDocument/2006/relationships/hyperlink" Target="https://youtu.be/nzAydYYQitQ" TargetMode="External"/><Relationship Id="rId2987" Type="http://schemas.openxmlformats.org/officeDocument/2006/relationships/hyperlink" Target="https://youtu.be/ioQWDuOmghs" TargetMode="External"/><Relationship Id="rId1657" Type="http://schemas.openxmlformats.org/officeDocument/2006/relationships/hyperlink" Target="https://youtu.be/Uirbw05oUPg" TargetMode="External"/><Relationship Id="rId2988" Type="http://schemas.openxmlformats.org/officeDocument/2006/relationships/hyperlink" Target="https://youtu.be/TmQAiow0Rn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IronicSmallBaconPastaThat"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01y64a7M2G8" TargetMode="External"/><Relationship Id="rId1650" Type="http://schemas.openxmlformats.org/officeDocument/2006/relationships/hyperlink" Target="https://youtu.be/mahJ2Kepn44" TargetMode="External"/><Relationship Id="rId2981" Type="http://schemas.openxmlformats.org/officeDocument/2006/relationships/hyperlink" Target="https://youtu.be/oa8lLdUH5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tDkTt7K0W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_eafUtJ3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tBrVNSkt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mMhiRc3TJ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GwS8wf3Pw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AN8TAOiDrSg"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sZuBiufTY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Ame1dyHAj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bHiXNrq-O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jUYJKy7kPJ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HotKnottyTurnipDerp" TargetMode="External"/><Relationship Id="rId1667" Type="http://schemas.openxmlformats.org/officeDocument/2006/relationships/hyperlink" Target="https://youtu.be/mPrS2dBqP3U" TargetMode="External"/><Relationship Id="rId2998" Type="http://schemas.openxmlformats.org/officeDocument/2006/relationships/hyperlink" Target="https://youtu.be/sgGbpZD7NYE" TargetMode="External"/><Relationship Id="rId1668" Type="http://schemas.openxmlformats.org/officeDocument/2006/relationships/hyperlink" Target="https://youtu.be/Pk6P6JQlZwI" TargetMode="External"/><Relationship Id="rId2999" Type="http://schemas.openxmlformats.org/officeDocument/2006/relationships/hyperlink" Target="https://youtu.be/FX3sCjSeE_o"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ETwbMGnjhUs" TargetMode="External"/><Relationship Id="rId1660" Type="http://schemas.openxmlformats.org/officeDocument/2006/relationships/hyperlink" Target="https://youtu.be/2sRu4sA8Uj8" TargetMode="External"/><Relationship Id="rId2991" Type="http://schemas.openxmlformats.org/officeDocument/2006/relationships/hyperlink" Target="https://youtu.be/wT9TpExoWKc" TargetMode="External"/><Relationship Id="rId1661" Type="http://schemas.openxmlformats.org/officeDocument/2006/relationships/hyperlink" Target="https://youtu.be/JxaktrK2KTM" TargetMode="External"/><Relationship Id="rId2992" Type="http://schemas.openxmlformats.org/officeDocument/2006/relationships/hyperlink" Target="https://youtu.be/nNaIS70Vl_I" TargetMode="External"/><Relationship Id="rId1662" Type="http://schemas.openxmlformats.org/officeDocument/2006/relationships/hyperlink" Target="https://youtu.be/5QxvGVBxe-4" TargetMode="External"/><Relationship Id="rId2993" Type="http://schemas.openxmlformats.org/officeDocument/2006/relationships/hyperlink" Target="https://youtu.be/qr647GdRJB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jwdmmdBQQ0"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rw0W3BpcbK0"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t6_KpZu2V4"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RY2K8CVPLYo"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Fv0GlUdCWLA"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43QwNfvtpd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PuOsxOKZETM"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sIo2yh0HbEQ"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7TnlhMZVrAE"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_26rl5qmXvE"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mCCIXSfa0k"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yZNmINgE6po"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6QfuRdE1v30"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youtu.be/kBysVz24GJc" TargetMode="External"/><Relationship Id="rId3496" Type="http://schemas.openxmlformats.org/officeDocument/2006/relationships/hyperlink" Target="https://youtu.be/z9Ko2MsTTb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cEVs027alRU"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yzAIJNz9yeQ"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7RwpSqYaoG4"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8G37-1EDDPc"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hnIxEsuDI" TargetMode="External"/><Relationship Id="rId3436" Type="http://schemas.openxmlformats.org/officeDocument/2006/relationships/hyperlink" Target="https://youtu.be/QnKXrjvJcW8"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BLi_QcGdq6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www.youtube.com/watch?v=3m97t6tp29M"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pag5OgFa-20"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OkpJ8_cW35c" TargetMode="External"/><Relationship Id="rId3430" Type="http://schemas.openxmlformats.org/officeDocument/2006/relationships/hyperlink" Target="https://youtu.be/lPkvTZpTvMI?t=8"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xuC6ejNPnCo?t=10"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wP71syAMx4g" TargetMode="External"/><Relationship Id="rId2102" Type="http://schemas.openxmlformats.org/officeDocument/2006/relationships/hyperlink" Target="https://youtu.be/KmL-3iPAzN0" TargetMode="External"/><Relationship Id="rId3434" Type="http://schemas.openxmlformats.org/officeDocument/2006/relationships/hyperlink" Target="https://youtu.be/EvC-eEXii6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1DaDpONiHIE" TargetMode="External"/><Relationship Id="rId3425" Type="http://schemas.openxmlformats.org/officeDocument/2006/relationships/hyperlink" Target="https://youtu.be/0VoHWs-0TQw" TargetMode="External"/><Relationship Id="rId3424" Type="http://schemas.openxmlformats.org/officeDocument/2006/relationships/hyperlink" Target="https://youtu.be/UcKJoqxU3e0?si=VQQ2deEi6_Zyh6Hz" TargetMode="External"/><Relationship Id="rId3427" Type="http://schemas.openxmlformats.org/officeDocument/2006/relationships/hyperlink" Target="https://youtu.be/s7KwjQLw1kU" TargetMode="External"/><Relationship Id="rId3426" Type="http://schemas.openxmlformats.org/officeDocument/2006/relationships/hyperlink" Target="https://youtu.be/JA8zPb_sJUI" TargetMode="External"/><Relationship Id="rId3429" Type="http://schemas.openxmlformats.org/officeDocument/2006/relationships/hyperlink" Target="https://youtu.be/T9JOn5dgSlg?t=6" TargetMode="External"/><Relationship Id="rId3428" Type="http://schemas.openxmlformats.org/officeDocument/2006/relationships/hyperlink" Target="https://youtu.be/MGFeKWE-Rk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x4u9dM-1WIo?si=3h3YYaB-NzObFQ1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QJJjwl-vh1Y?si=zvE4fVP63m5sUtBD" TargetMode="External"/><Relationship Id="rId893" Type="http://schemas.openxmlformats.org/officeDocument/2006/relationships/hyperlink" Target="https://youtu.be/6a5CR-Xmpio" TargetMode="External"/><Relationship Id="rId3423" Type="http://schemas.openxmlformats.org/officeDocument/2006/relationships/hyperlink" Target="https://youtu.be/3qz5HLTgw3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LazyArborealSushiDoritosChip-RDX8quQAsxY2eJ_7"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bdjwNG4SOD4"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Ogs8AESDOGI"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a-ov8VvP0fA" TargetMode="External"/><Relationship Id="rId3450" Type="http://schemas.openxmlformats.org/officeDocument/2006/relationships/hyperlink" Target="https://twitter.com/HiyokoVideo/status/1447109177495621635"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twitter.com/HiyokoVideo/status/1386655995112288256"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5998782345613317"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500345171943432"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clips.twitch.tv/SincereFrailKiwiMcaT-cll-Z5LVUleWSJQj"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x9mjutITnto"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twitter.com/HiyokoVideo/status/1392120536860303360"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388496092182941700"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92518044539244554"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60578448959623177"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73273538799091723"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clips.twitch.tv/BrainyEncouragingGrassBudStar-2D1zGgy3xj8nr8wJ"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FJ-n-TcDIfk" TargetMode="External"/><Relationship Id="rId2111" Type="http://schemas.openxmlformats.org/officeDocument/2006/relationships/hyperlink" Target="https://www.twitch.tv/videos/2086180287" TargetMode="External"/><Relationship Id="rId3443" Type="http://schemas.openxmlformats.org/officeDocument/2006/relationships/hyperlink" Target="https://twitter.com/hiyoko_gaming/status/1374359061391581191"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Video/status/1395036836762816515"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462006974032273409"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clips.twitch.tv/MagnificentSavageLionResidentSleeper-iqxh7JjaEGn-6K9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105</v>
      </c>
      <c r="O33" s="88" t="s">
        <v>2036</v>
      </c>
      <c r="P33" s="88" t="s">
        <v>107</v>
      </c>
      <c r="Q33" s="88" t="s">
        <v>2340</v>
      </c>
      <c r="R33" s="98"/>
      <c r="S33" s="88" t="s">
        <v>2104</v>
      </c>
      <c r="T33" s="98"/>
      <c r="U33" s="98"/>
      <c r="V33" s="98"/>
      <c r="W33" s="92"/>
      <c r="X33" s="88" t="s">
        <v>2341</v>
      </c>
      <c r="Y33" s="88" t="s">
        <v>562</v>
      </c>
      <c r="Z33" s="88" t="s">
        <v>2342</v>
      </c>
      <c r="AA33" s="88" t="s">
        <v>564</v>
      </c>
      <c r="AB33" s="88" t="s">
        <v>1832</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1765</v>
      </c>
      <c r="BS33" s="88" t="s">
        <v>2330</v>
      </c>
      <c r="BT33" s="88" t="s">
        <v>1767</v>
      </c>
      <c r="BU33" s="88" t="s">
        <v>1660</v>
      </c>
      <c r="BV33" s="88" t="s">
        <v>2352</v>
      </c>
      <c r="BW33" s="98"/>
      <c r="BX33" s="98"/>
      <c r="BY33" s="88" t="s">
        <v>2353</v>
      </c>
      <c r="BZ33" s="88" t="s">
        <v>1772</v>
      </c>
      <c r="CA33" s="88" t="s">
        <v>2354</v>
      </c>
      <c r="CB33" s="98"/>
      <c r="CC33" s="98"/>
      <c r="CD33" s="98"/>
      <c r="CE33" s="257"/>
      <c r="CF33" s="87" t="s">
        <v>2039</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1819</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391" t="s">
        <v>2365</v>
      </c>
      <c r="B34" s="103" t="s">
        <v>2366</v>
      </c>
      <c r="C34" s="104" t="s">
        <v>1259</v>
      </c>
      <c r="D34" s="105" t="s">
        <v>1259</v>
      </c>
      <c r="E34" s="106" t="s">
        <v>1259</v>
      </c>
      <c r="F34" s="107" t="s">
        <v>2367</v>
      </c>
      <c r="G34" s="103" t="s">
        <v>2336</v>
      </c>
      <c r="H34" s="111" t="s">
        <v>2368</v>
      </c>
      <c r="I34" s="111" t="s">
        <v>2369</v>
      </c>
      <c r="J34" s="111" t="s">
        <v>1889</v>
      </c>
      <c r="K34" s="111" t="s">
        <v>443</v>
      </c>
      <c r="L34" s="111" t="s">
        <v>2370</v>
      </c>
      <c r="M34" s="163" t="s">
        <v>2371</v>
      </c>
      <c r="N34" s="111" t="s">
        <v>2372</v>
      </c>
      <c r="O34" s="111" t="s">
        <v>447</v>
      </c>
      <c r="P34" s="111" t="s">
        <v>555</v>
      </c>
      <c r="Q34" s="163"/>
      <c r="R34" s="219"/>
      <c r="S34" s="163" t="s">
        <v>922</v>
      </c>
      <c r="T34" s="219"/>
      <c r="U34" s="163" t="s">
        <v>2373</v>
      </c>
      <c r="V34" s="219"/>
      <c r="W34" s="92"/>
      <c r="X34" s="114" t="s">
        <v>2268</v>
      </c>
      <c r="Y34" s="113" t="s">
        <v>1141</v>
      </c>
      <c r="Z34" s="114" t="s">
        <v>563</v>
      </c>
      <c r="AA34" s="114" t="s">
        <v>2374</v>
      </c>
      <c r="AB34" s="114" t="s">
        <v>1832</v>
      </c>
      <c r="AC34" s="114" t="s">
        <v>2375</v>
      </c>
      <c r="AD34" s="194" t="s">
        <v>2376</v>
      </c>
      <c r="AE34" s="114" t="s">
        <v>1075</v>
      </c>
      <c r="AF34" s="114" t="s">
        <v>122</v>
      </c>
      <c r="AG34" s="266"/>
      <c r="AH34" s="266"/>
      <c r="AI34" s="266"/>
      <c r="AJ34" s="266"/>
      <c r="AK34" s="96"/>
      <c r="AL34" s="119" t="s">
        <v>2377</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2378</v>
      </c>
      <c r="BE34" s="124" t="s">
        <v>1327</v>
      </c>
      <c r="BF34" s="169"/>
      <c r="BG34" s="169"/>
      <c r="BH34" s="124" t="s">
        <v>148</v>
      </c>
      <c r="BI34" s="169"/>
      <c r="BJ34" s="170" t="s">
        <v>2379</v>
      </c>
      <c r="BK34" s="124" t="s">
        <v>2380</v>
      </c>
      <c r="BL34" s="169"/>
      <c r="BM34" s="169"/>
      <c r="BN34" s="169"/>
      <c r="BO34" s="169"/>
      <c r="BP34" s="269"/>
      <c r="BQ34" s="171" t="s">
        <v>2381</v>
      </c>
      <c r="BR34" s="127" t="s">
        <v>2382</v>
      </c>
      <c r="BS34" s="127" t="s">
        <v>1387</v>
      </c>
      <c r="BT34" s="127" t="s">
        <v>2182</v>
      </c>
      <c r="BU34" s="127" t="s">
        <v>2383</v>
      </c>
      <c r="BV34" s="127" t="s">
        <v>2384</v>
      </c>
      <c r="BW34" s="171" t="s">
        <v>2385</v>
      </c>
      <c r="BX34" s="171" t="s">
        <v>2386</v>
      </c>
      <c r="BY34" s="127" t="s">
        <v>2387</v>
      </c>
      <c r="BZ34" s="127" t="s">
        <v>165</v>
      </c>
      <c r="CA34" s="272"/>
      <c r="CB34" s="272"/>
      <c r="CC34" s="272"/>
      <c r="CD34" s="272"/>
      <c r="CE34" s="273"/>
      <c r="CF34" s="132" t="s">
        <v>565</v>
      </c>
      <c r="CG34" s="132" t="s">
        <v>1926</v>
      </c>
      <c r="CH34" s="132" t="s">
        <v>2388</v>
      </c>
      <c r="CI34" s="173" t="s">
        <v>2389</v>
      </c>
      <c r="CJ34" s="173" t="s">
        <v>1324</v>
      </c>
      <c r="CK34" s="132" t="s">
        <v>849</v>
      </c>
      <c r="CL34" s="132" t="s">
        <v>2390</v>
      </c>
      <c r="CM34" s="132" t="s">
        <v>1537</v>
      </c>
      <c r="CN34" s="275"/>
      <c r="CO34" s="275"/>
      <c r="CP34" s="275"/>
      <c r="CQ34" s="275"/>
      <c r="CR34" s="275"/>
      <c r="CS34" s="92"/>
      <c r="CT34" s="137" t="s">
        <v>1736</v>
      </c>
      <c r="CU34" s="137" t="s">
        <v>2391</v>
      </c>
      <c r="CV34" s="137" t="s">
        <v>967</v>
      </c>
      <c r="CW34" s="137" t="s">
        <v>568</v>
      </c>
      <c r="CX34" s="137" t="s">
        <v>1183</v>
      </c>
      <c r="CY34" s="137" t="s">
        <v>2392</v>
      </c>
      <c r="CZ34" s="137" t="s">
        <v>2393</v>
      </c>
      <c r="DA34" s="137" t="s">
        <v>2394</v>
      </c>
      <c r="DB34" s="276"/>
      <c r="DC34" s="276"/>
      <c r="DD34" s="276"/>
      <c r="DE34" s="276"/>
      <c r="DF34" s="277"/>
      <c r="DG34" s="142" t="s">
        <v>1334</v>
      </c>
      <c r="DH34" s="278"/>
      <c r="DI34" s="248"/>
      <c r="DJ34" s="278"/>
      <c r="DK34" s="278"/>
      <c r="DL34" s="278"/>
      <c r="DM34" s="278"/>
      <c r="DN34" s="278"/>
      <c r="DO34" s="278"/>
      <c r="DP34" s="142" t="s">
        <v>815</v>
      </c>
      <c r="DQ34" s="142" t="s">
        <v>2395</v>
      </c>
      <c r="DR34" s="278"/>
      <c r="DS34" s="278"/>
      <c r="DT34" s="278"/>
      <c r="DU34" s="142" t="s">
        <v>320</v>
      </c>
      <c r="DV34" s="278"/>
      <c r="DW34" s="278"/>
      <c r="DX34" s="278"/>
      <c r="DY34" s="278"/>
      <c r="DZ34" s="278"/>
      <c r="EA34" s="278"/>
      <c r="EB34" s="312"/>
    </row>
    <row r="35">
      <c r="A35" s="81" t="s">
        <v>2396</v>
      </c>
      <c r="B35" s="82" t="s">
        <v>2366</v>
      </c>
      <c r="C35" s="83" t="s">
        <v>1259</v>
      </c>
      <c r="D35" s="84" t="s">
        <v>436</v>
      </c>
      <c r="E35" s="85" t="s">
        <v>1259</v>
      </c>
      <c r="F35" s="86" t="s">
        <v>2397</v>
      </c>
      <c r="G35" s="82" t="s">
        <v>915</v>
      </c>
      <c r="H35" s="93" t="s">
        <v>2398</v>
      </c>
      <c r="I35" s="93" t="s">
        <v>2399</v>
      </c>
      <c r="J35" s="88" t="s">
        <v>2400</v>
      </c>
      <c r="K35" s="88" t="s">
        <v>2401</v>
      </c>
      <c r="L35" s="88" t="s">
        <v>2402</v>
      </c>
      <c r="M35" s="88" t="s">
        <v>2403</v>
      </c>
      <c r="N35" s="93" t="s">
        <v>2404</v>
      </c>
      <c r="O35" s="93" t="s">
        <v>2036</v>
      </c>
      <c r="P35" s="88" t="s">
        <v>652</v>
      </c>
      <c r="Q35" s="98"/>
      <c r="R35" s="98"/>
      <c r="S35" s="88" t="s">
        <v>1205</v>
      </c>
      <c r="T35" s="88" t="s">
        <v>1870</v>
      </c>
      <c r="U35" s="93" t="s">
        <v>2405</v>
      </c>
      <c r="V35" s="98"/>
      <c r="W35" s="92"/>
      <c r="X35" s="88" t="s">
        <v>2406</v>
      </c>
      <c r="Y35" s="88" t="s">
        <v>2407</v>
      </c>
      <c r="Z35" s="88" t="s">
        <v>2408</v>
      </c>
      <c r="AA35" s="93" t="s">
        <v>2409</v>
      </c>
      <c r="AB35" s="88" t="s">
        <v>1832</v>
      </c>
      <c r="AC35" s="88" t="s">
        <v>2410</v>
      </c>
      <c r="AD35" s="98"/>
      <c r="AE35" s="88" t="s">
        <v>2411</v>
      </c>
      <c r="AF35" s="88" t="s">
        <v>567</v>
      </c>
      <c r="AG35" s="98"/>
      <c r="AH35" s="90" t="s">
        <v>2412</v>
      </c>
      <c r="AI35" s="88" t="s">
        <v>2413</v>
      </c>
      <c r="AJ35" s="98"/>
      <c r="AK35" s="96"/>
      <c r="AL35" s="93" t="s">
        <v>2414</v>
      </c>
      <c r="AM35" s="88" t="s">
        <v>2415</v>
      </c>
      <c r="AN35" s="93" t="s">
        <v>2416</v>
      </c>
      <c r="AO35" s="98"/>
      <c r="AP35" s="98"/>
      <c r="AQ35" s="98"/>
      <c r="AR35" s="88" t="s">
        <v>2417</v>
      </c>
      <c r="AS35" s="98"/>
      <c r="AT35" s="286" t="s">
        <v>2418</v>
      </c>
      <c r="AU35" s="286" t="s">
        <v>1451</v>
      </c>
      <c r="AV35" s="93" t="s">
        <v>1086</v>
      </c>
      <c r="AW35" s="98"/>
      <c r="AX35" s="98"/>
      <c r="AY35" s="98"/>
      <c r="AZ35" s="98"/>
      <c r="BA35" s="88" t="s">
        <v>2419</v>
      </c>
      <c r="BB35" s="93" t="s">
        <v>2420</v>
      </c>
      <c r="BC35" s="88" t="s">
        <v>2317</v>
      </c>
      <c r="BD35" s="93" t="s">
        <v>1846</v>
      </c>
      <c r="BE35" s="93" t="s">
        <v>241</v>
      </c>
      <c r="BF35" s="93" t="s">
        <v>1326</v>
      </c>
      <c r="BG35" s="98"/>
      <c r="BH35" s="93" t="s">
        <v>2421</v>
      </c>
      <c r="BI35" s="93" t="s">
        <v>2422</v>
      </c>
      <c r="BJ35" s="93"/>
      <c r="BK35" s="93" t="s">
        <v>2423</v>
      </c>
      <c r="BL35" s="93" t="s">
        <v>2424</v>
      </c>
      <c r="BM35" s="88" t="s">
        <v>2425</v>
      </c>
      <c r="BN35" s="93" t="s">
        <v>2426</v>
      </c>
      <c r="BO35" s="93" t="s">
        <v>1981</v>
      </c>
      <c r="BP35" s="257"/>
      <c r="BQ35" s="93" t="s">
        <v>2427</v>
      </c>
      <c r="BR35" s="93" t="s">
        <v>2428</v>
      </c>
      <c r="BS35" s="88" t="s">
        <v>2122</v>
      </c>
      <c r="BT35" s="88" t="s">
        <v>208</v>
      </c>
      <c r="BU35" s="88" t="s">
        <v>2429</v>
      </c>
      <c r="BV35" s="88" t="s">
        <v>1309</v>
      </c>
      <c r="BW35" s="93" t="s">
        <v>2430</v>
      </c>
      <c r="BX35" s="93" t="s">
        <v>2431</v>
      </c>
      <c r="BY35" s="93" t="s">
        <v>2432</v>
      </c>
      <c r="BZ35" s="88" t="s">
        <v>1710</v>
      </c>
      <c r="CA35" s="93" t="s">
        <v>2433</v>
      </c>
      <c r="CB35" s="93" t="s">
        <v>2434</v>
      </c>
      <c r="CC35" s="88" t="s">
        <v>1447</v>
      </c>
      <c r="CD35" s="98"/>
      <c r="CE35" s="257"/>
      <c r="CF35" s="93" t="s">
        <v>2025</v>
      </c>
      <c r="CG35" s="93" t="s">
        <v>2309</v>
      </c>
      <c r="CH35" s="88" t="s">
        <v>1242</v>
      </c>
      <c r="CI35" s="88" t="s">
        <v>2435</v>
      </c>
      <c r="CJ35" s="206"/>
      <c r="CK35" s="88" t="s">
        <v>134</v>
      </c>
      <c r="CL35" s="88" t="s">
        <v>2436</v>
      </c>
      <c r="CM35" s="88" t="s">
        <v>2194</v>
      </c>
      <c r="CN35" s="98"/>
      <c r="CO35" s="88" t="s">
        <v>633</v>
      </c>
      <c r="CP35" s="98"/>
      <c r="CQ35" s="98"/>
      <c r="CR35" s="98"/>
      <c r="CS35" s="92"/>
      <c r="CT35" s="88" t="s">
        <v>449</v>
      </c>
      <c r="CU35" s="93" t="s">
        <v>1607</v>
      </c>
      <c r="CV35" s="98"/>
      <c r="CW35" s="93" t="s">
        <v>2437</v>
      </c>
      <c r="CX35" s="93" t="s">
        <v>1622</v>
      </c>
      <c r="CY35" s="88" t="s">
        <v>2438</v>
      </c>
      <c r="CZ35" s="93" t="s">
        <v>2439</v>
      </c>
      <c r="DA35" s="93" t="s">
        <v>2440</v>
      </c>
      <c r="DB35" s="98"/>
      <c r="DC35" s="88" t="s">
        <v>2441</v>
      </c>
      <c r="DD35" s="93" t="s">
        <v>2442</v>
      </c>
      <c r="DE35" s="98"/>
      <c r="DF35" s="257"/>
      <c r="DG35" s="88" t="s">
        <v>974</v>
      </c>
      <c r="DH35" s="98"/>
      <c r="DI35" s="93" t="s">
        <v>2443</v>
      </c>
      <c r="DJ35" s="98"/>
      <c r="DK35" s="90" t="s">
        <v>177</v>
      </c>
      <c r="DL35" s="98"/>
      <c r="DM35" s="93" t="s">
        <v>874</v>
      </c>
      <c r="DN35" s="98"/>
      <c r="DO35" s="98"/>
      <c r="DP35" s="97" t="s">
        <v>2444</v>
      </c>
      <c r="DQ35" s="88" t="s">
        <v>1625</v>
      </c>
      <c r="DR35" s="88" t="s">
        <v>2445</v>
      </c>
      <c r="DS35" s="88" t="s">
        <v>2446</v>
      </c>
      <c r="DT35" s="88" t="s">
        <v>2447</v>
      </c>
      <c r="DU35" s="88" t="s">
        <v>200</v>
      </c>
      <c r="DV35" s="98"/>
      <c r="DW35" s="98"/>
      <c r="DX35" s="88" t="s">
        <v>1019</v>
      </c>
      <c r="DY35" s="93" t="s">
        <v>1978</v>
      </c>
      <c r="DZ35" s="88" t="s">
        <v>2448</v>
      </c>
      <c r="EA35" s="88" t="s">
        <v>2449</v>
      </c>
      <c r="EB35" s="97" t="s">
        <v>1805</v>
      </c>
    </row>
    <row r="36">
      <c r="A36" s="162" t="s">
        <v>2450</v>
      </c>
      <c r="B36" s="103" t="s">
        <v>2451</v>
      </c>
      <c r="C36" s="104" t="s">
        <v>1259</v>
      </c>
      <c r="D36" s="105" t="s">
        <v>1259</v>
      </c>
      <c r="E36" s="106" t="s">
        <v>1259</v>
      </c>
      <c r="F36" s="107" t="s">
        <v>2336</v>
      </c>
      <c r="G36" s="103" t="s">
        <v>1636</v>
      </c>
      <c r="H36" s="111" t="s">
        <v>2452</v>
      </c>
      <c r="I36" s="297" t="s">
        <v>2453</v>
      </c>
      <c r="J36" s="111" t="s">
        <v>2454</v>
      </c>
      <c r="K36" s="111" t="s">
        <v>1812</v>
      </c>
      <c r="L36" s="111" t="s">
        <v>2292</v>
      </c>
      <c r="M36" s="111" t="s">
        <v>2455</v>
      </c>
      <c r="N36" s="111" t="s">
        <v>2456</v>
      </c>
      <c r="O36" s="109" t="s">
        <v>2226</v>
      </c>
      <c r="P36" s="295" t="s">
        <v>555</v>
      </c>
      <c r="Q36" s="392" t="s">
        <v>2457</v>
      </c>
      <c r="R36" s="111" t="s">
        <v>2458</v>
      </c>
      <c r="S36" s="392" t="s">
        <v>996</v>
      </c>
      <c r="T36" s="111" t="s">
        <v>2459</v>
      </c>
      <c r="U36" s="109" t="s">
        <v>2460</v>
      </c>
      <c r="V36" s="297" t="s">
        <v>2461</v>
      </c>
      <c r="W36" s="207"/>
      <c r="X36" s="299" t="s">
        <v>1859</v>
      </c>
      <c r="Y36" s="113" t="s">
        <v>1571</v>
      </c>
      <c r="Z36" s="193" t="s">
        <v>2462</v>
      </c>
      <c r="AA36" s="114" t="s">
        <v>1669</v>
      </c>
      <c r="AB36" s="114" t="s">
        <v>2463</v>
      </c>
      <c r="AC36" s="114" t="s">
        <v>2464</v>
      </c>
      <c r="AD36" s="114" t="s">
        <v>2465</v>
      </c>
      <c r="AE36" s="194" t="s">
        <v>2319</v>
      </c>
      <c r="AF36" s="114" t="s">
        <v>2466</v>
      </c>
      <c r="AG36" s="393" t="s">
        <v>2467</v>
      </c>
      <c r="AH36" s="113" t="s">
        <v>2468</v>
      </c>
      <c r="AI36" s="393" t="s">
        <v>2469</v>
      </c>
      <c r="AJ36" s="299" t="s">
        <v>2470</v>
      </c>
      <c r="AK36" s="96"/>
      <c r="AL36" s="164" t="s">
        <v>2471</v>
      </c>
      <c r="AM36" s="164" t="s">
        <v>2472</v>
      </c>
      <c r="AN36" s="118" t="s">
        <v>2473</v>
      </c>
      <c r="AO36" s="119" t="s">
        <v>1842</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1396</v>
      </c>
      <c r="BD36" s="170" t="s">
        <v>1754</v>
      </c>
      <c r="BE36" s="170" t="s">
        <v>2483</v>
      </c>
      <c r="BF36" s="124" t="s">
        <v>2484</v>
      </c>
      <c r="BG36" s="170" t="s">
        <v>2485</v>
      </c>
      <c r="BH36" s="123" t="s">
        <v>604</v>
      </c>
      <c r="BI36" s="169" t="s">
        <v>2486</v>
      </c>
      <c r="BJ36" s="170" t="s">
        <v>2487</v>
      </c>
      <c r="BK36" s="170" t="s">
        <v>2488</v>
      </c>
      <c r="BL36" s="170" t="s">
        <v>2489</v>
      </c>
      <c r="BM36" s="124" t="s">
        <v>2020</v>
      </c>
      <c r="BN36" s="170" t="s">
        <v>2490</v>
      </c>
      <c r="BO36" s="170" t="s">
        <v>2491</v>
      </c>
      <c r="BP36" s="317"/>
      <c r="BQ36" s="126" t="s">
        <v>2492</v>
      </c>
      <c r="BR36" s="171" t="s">
        <v>145</v>
      </c>
      <c r="BS36" s="127" t="s">
        <v>2493</v>
      </c>
      <c r="BT36" s="171" t="s">
        <v>2494</v>
      </c>
      <c r="BU36" s="172" t="s">
        <v>503</v>
      </c>
      <c r="BV36" s="127" t="s">
        <v>161</v>
      </c>
      <c r="BW36" s="126" t="s">
        <v>2495</v>
      </c>
      <c r="BX36" s="171" t="s">
        <v>2496</v>
      </c>
      <c r="BY36" s="394" t="str">
        <f>HYPERLINK("https://clips.twitch.tv/RamshackleBlindingCaribouPupper", "2:21.41")</f>
        <v>2:21.41</v>
      </c>
      <c r="BZ36" s="172" t="s">
        <v>2497</v>
      </c>
      <c r="CA36" s="171" t="s">
        <v>875</v>
      </c>
      <c r="CB36" s="395" t="s">
        <v>2498</v>
      </c>
      <c r="CC36" s="304" t="s">
        <v>2499</v>
      </c>
      <c r="CD36" s="171" t="s">
        <v>2500</v>
      </c>
      <c r="CE36" s="318"/>
      <c r="CF36" s="132" t="s">
        <v>2501</v>
      </c>
      <c r="CG36" s="306" t="s">
        <v>2502</v>
      </c>
      <c r="CH36" s="307" t="s">
        <v>2503</v>
      </c>
      <c r="CI36" s="307" t="s">
        <v>2504</v>
      </c>
      <c r="CJ36" s="307" t="s">
        <v>1991</v>
      </c>
      <c r="CK36" s="132" t="s">
        <v>2505</v>
      </c>
      <c r="CL36" s="132" t="s">
        <v>1609</v>
      </c>
      <c r="CM36" s="132" t="s">
        <v>1993</v>
      </c>
      <c r="CN36" s="307" t="s">
        <v>2506</v>
      </c>
      <c r="CO36" s="130" t="s">
        <v>1054</v>
      </c>
      <c r="CP36" s="132" t="s">
        <v>2507</v>
      </c>
      <c r="CQ36" s="132" t="s">
        <v>2508</v>
      </c>
      <c r="CR36" s="173" t="s">
        <v>2509</v>
      </c>
      <c r="CS36" s="92"/>
      <c r="CT36" s="396" t="s">
        <v>2510</v>
      </c>
      <c r="CU36" s="202" t="s">
        <v>1991</v>
      </c>
      <c r="CV36" s="134" t="s">
        <v>2511</v>
      </c>
      <c r="CW36" s="396" t="s">
        <v>2512</v>
      </c>
      <c r="CX36" s="396" t="s">
        <v>2513</v>
      </c>
      <c r="CY36" s="137" t="s">
        <v>2514</v>
      </c>
      <c r="CZ36" s="396" t="s">
        <v>786</v>
      </c>
      <c r="DA36" s="134" t="s">
        <v>1786</v>
      </c>
      <c r="DB36" s="309" t="s">
        <v>2515</v>
      </c>
      <c r="DC36" s="397" t="s">
        <v>2516</v>
      </c>
      <c r="DD36" s="134" t="s">
        <v>2388</v>
      </c>
      <c r="DE36" s="134" t="str">
        <f>HYPERLINK("https://www.twitch.tv/videos/445329616","1:59.77")</f>
        <v>1:59.77</v>
      </c>
      <c r="DF36" s="134"/>
      <c r="DG36" s="203" t="s">
        <v>2517</v>
      </c>
      <c r="DH36" s="142" t="s">
        <v>2518</v>
      </c>
      <c r="DI36" s="203" t="s">
        <v>1762</v>
      </c>
      <c r="DJ36" s="142" t="s">
        <v>2519</v>
      </c>
      <c r="DK36" s="142" t="s">
        <v>1691</v>
      </c>
      <c r="DL36" s="205" t="s">
        <v>2520</v>
      </c>
      <c r="DM36" s="205" t="s">
        <v>494</v>
      </c>
      <c r="DN36" s="142" t="s">
        <v>2521</v>
      </c>
      <c r="DO36" s="142" t="s">
        <v>1254</v>
      </c>
      <c r="DP36" s="203" t="s">
        <v>2522</v>
      </c>
      <c r="DQ36" s="142" t="s">
        <v>2523</v>
      </c>
      <c r="DR36" s="142" t="s">
        <v>2524</v>
      </c>
      <c r="DS36" s="142" t="s">
        <v>2525</v>
      </c>
      <c r="DT36" s="142" t="s">
        <v>2526</v>
      </c>
      <c r="DU36" s="142" t="s">
        <v>1711</v>
      </c>
      <c r="DV36" s="142" t="s">
        <v>2527</v>
      </c>
      <c r="DW36" s="142" t="s">
        <v>2528</v>
      </c>
      <c r="DX36" s="142" t="s">
        <v>582</v>
      </c>
      <c r="DY36" s="142" t="s">
        <v>2529</v>
      </c>
      <c r="DZ36" s="142" t="s">
        <v>904</v>
      </c>
      <c r="EA36" s="142" t="s">
        <v>2530</v>
      </c>
      <c r="EB36" s="139" t="s">
        <v>2531</v>
      </c>
    </row>
    <row r="37">
      <c r="A37" s="398" t="s">
        <v>2532</v>
      </c>
      <c r="B37" s="82" t="s">
        <v>2533</v>
      </c>
      <c r="C37" s="83" t="s">
        <v>330</v>
      </c>
      <c r="D37" s="84" t="s">
        <v>436</v>
      </c>
      <c r="E37" s="85" t="s">
        <v>1259</v>
      </c>
      <c r="F37" s="86" t="s">
        <v>2097</v>
      </c>
      <c r="G37" s="82" t="s">
        <v>1130</v>
      </c>
      <c r="H37" s="88" t="s">
        <v>1715</v>
      </c>
      <c r="I37" s="97" t="s">
        <v>2534</v>
      </c>
      <c r="J37" s="286" t="s">
        <v>2535</v>
      </c>
      <c r="K37" s="97" t="s">
        <v>2536</v>
      </c>
      <c r="L37" s="88" t="s">
        <v>2537</v>
      </c>
      <c r="M37" s="97" t="s">
        <v>2538</v>
      </c>
      <c r="N37" s="88" t="s">
        <v>2539</v>
      </c>
      <c r="O37" s="88" t="s">
        <v>2540</v>
      </c>
      <c r="P37" s="88" t="s">
        <v>1000</v>
      </c>
      <c r="Q37" s="97" t="str">
        <f>HYPERLINK("https://twitter.com/Qbe_Root/status/1254604046691860480","1:09.56")</f>
        <v>1:09.56</v>
      </c>
      <c r="R37" s="93"/>
      <c r="S37" s="88" t="s">
        <v>2541</v>
      </c>
      <c r="T37" s="98"/>
      <c r="U37" s="88" t="s">
        <v>401</v>
      </c>
      <c r="V37" s="93" t="s">
        <v>2542</v>
      </c>
      <c r="W37" s="112"/>
      <c r="X37" s="97" t="s">
        <v>2543</v>
      </c>
      <c r="Y37" s="97" t="s">
        <v>1430</v>
      </c>
      <c r="Z37" s="88" t="s">
        <v>2194</v>
      </c>
      <c r="AA37" s="88" t="s">
        <v>2544</v>
      </c>
      <c r="AB37" s="88" t="s">
        <v>1253</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86" t="s">
        <v>1280</v>
      </c>
      <c r="AJ37" s="98"/>
      <c r="AK37" s="96"/>
      <c r="AL37" s="206"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424</v>
      </c>
      <c r="AW37" s="98"/>
      <c r="AX37" s="88" t="s">
        <v>2555</v>
      </c>
      <c r="AY37" s="98"/>
      <c r="AZ37" s="98"/>
      <c r="BA37" s="88" t="s">
        <v>2556</v>
      </c>
      <c r="BB37" s="88" t="s">
        <v>2557</v>
      </c>
      <c r="BC37" s="88" t="s">
        <v>1082</v>
      </c>
      <c r="BD37" s="88" t="s">
        <v>2558</v>
      </c>
      <c r="BE37" s="88" t="s">
        <v>565</v>
      </c>
      <c r="BF37" s="88" t="s">
        <v>2559</v>
      </c>
      <c r="BG37" s="93" t="s">
        <v>2560</v>
      </c>
      <c r="BH37" s="88" t="s">
        <v>324</v>
      </c>
      <c r="BI37" s="87" t="s">
        <v>2561</v>
      </c>
      <c r="BJ37" s="101"/>
      <c r="BK37" s="88" t="s">
        <v>2562</v>
      </c>
      <c r="BL37" s="88" t="s">
        <v>2563</v>
      </c>
      <c r="BM37" s="93" t="s">
        <v>2564</v>
      </c>
      <c r="BN37" s="88" t="s">
        <v>1594</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58" t="s">
        <v>2573</v>
      </c>
      <c r="CB37" s="88" t="s">
        <v>1101</v>
      </c>
      <c r="CC37" s="88" t="s">
        <v>2574</v>
      </c>
      <c r="CD37" s="98"/>
      <c r="CE37" s="257"/>
      <c r="CF37" s="88" t="s">
        <v>2575</v>
      </c>
      <c r="CG37" s="88" t="s">
        <v>2035</v>
      </c>
      <c r="CH37" s="93" t="s">
        <v>2576</v>
      </c>
      <c r="CI37" s="88" t="s">
        <v>2577</v>
      </c>
      <c r="CJ37" s="88" t="s">
        <v>2578</v>
      </c>
      <c r="CK37" s="88" t="s">
        <v>2109</v>
      </c>
      <c r="CL37" s="88" t="s">
        <v>2579</v>
      </c>
      <c r="CM37" s="88" t="s">
        <v>1947</v>
      </c>
      <c r="CN37" s="87" t="s">
        <v>2580</v>
      </c>
      <c r="CO37" s="93" t="s">
        <v>2581</v>
      </c>
      <c r="CP37" s="93"/>
      <c r="CQ37" s="88" t="s">
        <v>2582</v>
      </c>
      <c r="CR37" s="98"/>
      <c r="CS37" s="92"/>
      <c r="CT37" s="88" t="s">
        <v>2583</v>
      </c>
      <c r="CU37" s="97" t="s">
        <v>2536</v>
      </c>
      <c r="CV37" s="97" t="s">
        <v>118</v>
      </c>
      <c r="CW37" s="88" t="s">
        <v>427</v>
      </c>
      <c r="CX37" s="88" t="s">
        <v>2584</v>
      </c>
      <c r="CY37" s="88" t="s">
        <v>2346</v>
      </c>
      <c r="CZ37" s="97" t="s">
        <v>2585</v>
      </c>
      <c r="DA37" s="93" t="s">
        <v>2586</v>
      </c>
      <c r="DB37" s="399" t="str">
        <f>HYPERLINK("https://twitter.com/Qbe_Root/status/1400138849058275330", "1:53.21")</f>
        <v>1:53.21</v>
      </c>
      <c r="DC37" s="88" t="s">
        <v>2587</v>
      </c>
      <c r="DD37" s="88" t="s">
        <v>2588</v>
      </c>
      <c r="DE37" s="93" t="s">
        <v>2589</v>
      </c>
      <c r="DF37" s="93"/>
      <c r="DG37" s="97" t="s">
        <v>1334</v>
      </c>
      <c r="DH37" s="90" t="s">
        <v>2590</v>
      </c>
      <c r="DI37" s="98"/>
      <c r="DJ37" s="88" t="s">
        <v>2591</v>
      </c>
      <c r="DK37" s="97" t="s">
        <v>2592</v>
      </c>
      <c r="DL37" s="93" t="s">
        <v>2593</v>
      </c>
      <c r="DM37" s="98"/>
      <c r="DN37" s="98"/>
      <c r="DO37" s="98"/>
      <c r="DP37" s="88" t="s">
        <v>2594</v>
      </c>
      <c r="DQ37" s="281" t="s">
        <v>1798</v>
      </c>
      <c r="DR37" s="400" t="str">
        <f>HYPERLINK("https://twitter.com/Qbe_Root/status/1241798344797798402","11.27")</f>
        <v>11.27</v>
      </c>
      <c r="DS37" s="93" t="s">
        <v>2595</v>
      </c>
      <c r="DT37" s="88" t="s">
        <v>2596</v>
      </c>
      <c r="DU37" s="98"/>
      <c r="DV37" s="88" t="s">
        <v>1767</v>
      </c>
      <c r="DW37" s="93" t="s">
        <v>1926</v>
      </c>
      <c r="DX37" s="93" t="s">
        <v>2597</v>
      </c>
      <c r="DY37" s="88" t="s">
        <v>2598</v>
      </c>
      <c r="DZ37" s="93" t="s">
        <v>378</v>
      </c>
      <c r="EA37" s="93" t="s">
        <v>1048</v>
      </c>
      <c r="EB37" s="281" t="s">
        <v>2599</v>
      </c>
    </row>
    <row r="38">
      <c r="A38" s="162" t="s">
        <v>2600</v>
      </c>
      <c r="B38" s="103" t="s">
        <v>2601</v>
      </c>
      <c r="C38" s="104" t="s">
        <v>1259</v>
      </c>
      <c r="D38" s="105" t="s">
        <v>1259</v>
      </c>
      <c r="E38" s="106" t="s">
        <v>1259</v>
      </c>
      <c r="F38" s="107" t="s">
        <v>2602</v>
      </c>
      <c r="G38" s="103" t="s">
        <v>2603</v>
      </c>
      <c r="H38" s="163" t="s">
        <v>346</v>
      </c>
      <c r="I38" s="111" t="s">
        <v>2604</v>
      </c>
      <c r="J38" s="163" t="s">
        <v>2605</v>
      </c>
      <c r="K38" s="163" t="s">
        <v>1562</v>
      </c>
      <c r="L38" s="163" t="s">
        <v>2606</v>
      </c>
      <c r="M38" s="111" t="s">
        <v>2607</v>
      </c>
      <c r="N38" s="163" t="s">
        <v>2608</v>
      </c>
      <c r="O38" s="163" t="s">
        <v>2609</v>
      </c>
      <c r="P38" s="111" t="s">
        <v>107</v>
      </c>
      <c r="Q38" s="219"/>
      <c r="R38" s="219"/>
      <c r="S38" s="219"/>
      <c r="T38" s="219"/>
      <c r="U38" s="219"/>
      <c r="V38" s="219"/>
      <c r="W38" s="92"/>
      <c r="X38" s="194" t="s">
        <v>2610</v>
      </c>
      <c r="Y38" s="194" t="s">
        <v>2407</v>
      </c>
      <c r="Z38" s="114" t="s">
        <v>753</v>
      </c>
      <c r="AA38" s="194" t="s">
        <v>251</v>
      </c>
      <c r="AB38" s="194" t="s">
        <v>2328</v>
      </c>
      <c r="AC38" s="114" t="s">
        <v>2611</v>
      </c>
      <c r="AD38" s="194" t="s">
        <v>2612</v>
      </c>
      <c r="AE38" s="194" t="s">
        <v>896</v>
      </c>
      <c r="AF38" s="194" t="s">
        <v>567</v>
      </c>
      <c r="AG38" s="194" t="s">
        <v>2613</v>
      </c>
      <c r="AH38" s="266"/>
      <c r="AI38" s="194" t="s">
        <v>2614</v>
      </c>
      <c r="AJ38" s="194" t="s">
        <v>2615</v>
      </c>
      <c r="AK38" s="96"/>
      <c r="AL38" s="267"/>
      <c r="AM38" s="267"/>
      <c r="AN38" s="267"/>
      <c r="AO38" s="267"/>
      <c r="AP38" s="267"/>
      <c r="AQ38" s="267"/>
      <c r="AR38" s="267"/>
      <c r="AS38" s="267"/>
      <c r="AT38" s="164" t="s">
        <v>135</v>
      </c>
      <c r="AU38" s="164" t="s">
        <v>2616</v>
      </c>
      <c r="AV38" s="267"/>
      <c r="AW38" s="267"/>
      <c r="AX38" s="267"/>
      <c r="AY38" s="267"/>
      <c r="AZ38" s="267"/>
      <c r="BA38" s="124" t="s">
        <v>260</v>
      </c>
      <c r="BB38" s="170" t="s">
        <v>2617</v>
      </c>
      <c r="BC38" s="170" t="s">
        <v>2190</v>
      </c>
      <c r="BD38" s="170" t="s">
        <v>2618</v>
      </c>
      <c r="BE38" s="124" t="s">
        <v>2619</v>
      </c>
      <c r="BF38" s="169"/>
      <c r="BG38" s="169"/>
      <c r="BH38" s="170" t="s">
        <v>1590</v>
      </c>
      <c r="BI38" s="124" t="s">
        <v>149</v>
      </c>
      <c r="BJ38" s="170" t="s">
        <v>2620</v>
      </c>
      <c r="BK38" s="170" t="s">
        <v>2621</v>
      </c>
      <c r="BL38" s="169"/>
      <c r="BM38" s="169"/>
      <c r="BN38" s="169"/>
      <c r="BO38" s="169"/>
      <c r="BP38" s="269"/>
      <c r="BQ38" s="127" t="s">
        <v>2622</v>
      </c>
      <c r="BR38" s="171" t="s">
        <v>2623</v>
      </c>
      <c r="BS38" s="171" t="s">
        <v>2624</v>
      </c>
      <c r="BT38" s="171" t="s">
        <v>2625</v>
      </c>
      <c r="BU38" s="171" t="s">
        <v>454</v>
      </c>
      <c r="BV38" s="127" t="s">
        <v>1166</v>
      </c>
      <c r="BW38" s="127" t="s">
        <v>2626</v>
      </c>
      <c r="BX38" s="171" t="s">
        <v>2627</v>
      </c>
      <c r="BY38" s="272"/>
      <c r="BZ38" s="171" t="s">
        <v>2628</v>
      </c>
      <c r="CA38" s="272"/>
      <c r="CB38" s="272"/>
      <c r="CC38" s="272"/>
      <c r="CD38" s="272"/>
      <c r="CE38" s="273"/>
      <c r="CF38" s="173" t="s">
        <v>2483</v>
      </c>
      <c r="CG38" s="173" t="s">
        <v>2629</v>
      </c>
      <c r="CH38" s="173" t="s">
        <v>2630</v>
      </c>
      <c r="CI38" s="132" t="s">
        <v>2631</v>
      </c>
      <c r="CJ38" s="133" t="s">
        <v>1933</v>
      </c>
      <c r="CK38" s="173" t="s">
        <v>857</v>
      </c>
      <c r="CL38" s="173" t="s">
        <v>2316</v>
      </c>
      <c r="CM38" s="173" t="s">
        <v>1993</v>
      </c>
      <c r="CN38" s="275"/>
      <c r="CO38" s="275"/>
      <c r="CP38" s="275"/>
      <c r="CQ38" s="275"/>
      <c r="CR38" s="275"/>
      <c r="CS38" s="92"/>
      <c r="CT38" s="137" t="s">
        <v>2632</v>
      </c>
      <c r="CU38" s="202" t="s">
        <v>2633</v>
      </c>
      <c r="CV38" s="202" t="s">
        <v>240</v>
      </c>
      <c r="CW38" s="202" t="s">
        <v>2634</v>
      </c>
      <c r="CX38" s="202" t="s">
        <v>1481</v>
      </c>
      <c r="CY38" s="202" t="s">
        <v>1974</v>
      </c>
      <c r="CZ38" s="137" t="s">
        <v>2635</v>
      </c>
      <c r="DA38" s="202" t="s">
        <v>248</v>
      </c>
      <c r="DB38" s="276"/>
      <c r="DC38" s="276"/>
      <c r="DD38" s="276"/>
      <c r="DE38" s="276"/>
      <c r="DF38" s="277"/>
      <c r="DG38" s="203" t="s">
        <v>943</v>
      </c>
      <c r="DH38" s="278"/>
      <c r="DI38" s="278"/>
      <c r="DJ38" s="278"/>
      <c r="DK38" s="278"/>
      <c r="DL38" s="278"/>
      <c r="DM38" s="278"/>
      <c r="DN38" s="278"/>
      <c r="DO38" s="278"/>
      <c r="DP38" s="142" t="s">
        <v>2636</v>
      </c>
      <c r="DQ38" s="203" t="s">
        <v>633</v>
      </c>
      <c r="DR38" s="278"/>
      <c r="DS38" s="278"/>
      <c r="DT38" s="278"/>
      <c r="DU38" s="278"/>
      <c r="DV38" s="278"/>
      <c r="DW38" s="278"/>
      <c r="DX38" s="278"/>
      <c r="DY38" s="203" t="s">
        <v>958</v>
      </c>
      <c r="DZ38" s="278"/>
      <c r="EA38" s="278"/>
      <c r="EB38" s="312"/>
    </row>
    <row r="39">
      <c r="A39" s="313" t="s">
        <v>2637</v>
      </c>
      <c r="B39" s="82" t="s">
        <v>2638</v>
      </c>
      <c r="C39" s="83" t="s">
        <v>1259</v>
      </c>
      <c r="D39" s="84" t="s">
        <v>1259</v>
      </c>
      <c r="E39" s="85" t="s">
        <v>1259</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1280</v>
      </c>
      <c r="U39" s="98"/>
      <c r="V39" s="98"/>
      <c r="W39" s="92"/>
      <c r="X39" s="158" t="s">
        <v>1107</v>
      </c>
      <c r="Y39" s="93" t="s">
        <v>2648</v>
      </c>
      <c r="Z39" s="93" t="s">
        <v>2156</v>
      </c>
      <c r="AA39" s="93" t="s">
        <v>718</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1754</v>
      </c>
      <c r="AY39" s="93" t="s">
        <v>2657</v>
      </c>
      <c r="AZ39" s="93"/>
      <c r="BA39" s="98"/>
      <c r="BB39" s="93"/>
      <c r="BC39" s="93" t="s">
        <v>2658</v>
      </c>
      <c r="BD39" s="93" t="s">
        <v>2659</v>
      </c>
      <c r="BE39" s="93" t="s">
        <v>2660</v>
      </c>
      <c r="BF39" s="93" t="s">
        <v>2661</v>
      </c>
      <c r="BG39" s="93"/>
      <c r="BH39" s="93" t="s">
        <v>2242</v>
      </c>
      <c r="BI39" s="98"/>
      <c r="BJ39" s="88" t="s">
        <v>2662</v>
      </c>
      <c r="BK39" s="93" t="s">
        <v>799</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6" t="s">
        <v>2670</v>
      </c>
      <c r="CE39" s="401"/>
      <c r="CF39" s="88" t="s">
        <v>791</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1567</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2" t="s">
        <v>2688</v>
      </c>
      <c r="B40" s="103" t="s">
        <v>2689</v>
      </c>
      <c r="C40" s="104" t="s">
        <v>1259</v>
      </c>
      <c r="D40" s="105" t="s">
        <v>1259</v>
      </c>
      <c r="E40" s="106" t="s">
        <v>545</v>
      </c>
      <c r="F40" s="107" t="s">
        <v>2690</v>
      </c>
      <c r="G40" s="103" t="s">
        <v>2691</v>
      </c>
      <c r="H40" s="163" t="s">
        <v>2055</v>
      </c>
      <c r="I40" s="403" t="s">
        <v>2692</v>
      </c>
      <c r="J40" s="404" t="s">
        <v>2693</v>
      </c>
      <c r="K40" s="403" t="s">
        <v>2694</v>
      </c>
      <c r="L40" s="403" t="s">
        <v>2695</v>
      </c>
      <c r="M40" s="163" t="s">
        <v>2696</v>
      </c>
      <c r="N40" s="403" t="s">
        <v>2697</v>
      </c>
      <c r="O40" s="404" t="s">
        <v>2698</v>
      </c>
      <c r="P40" s="405" t="str">
        <f>HYPERLINK("https://clips.twitch.tv/BetterEnticingWatercressDancingBaby","16.08")</f>
        <v>16.08</v>
      </c>
      <c r="Q40" s="406" t="s">
        <v>2699</v>
      </c>
      <c r="R40" s="332"/>
      <c r="S40" s="406" t="s">
        <v>806</v>
      </c>
      <c r="T40" s="163" t="s">
        <v>2700</v>
      </c>
      <c r="U40" s="405" t="str">
        <f>HYPERLINK("https://youtu.be/HHFrEbWlPX4","50.03")</f>
        <v>50.03</v>
      </c>
      <c r="V40" s="407" t="s">
        <v>2701</v>
      </c>
      <c r="W40" s="151"/>
      <c r="X40" s="408" t="s">
        <v>2702</v>
      </c>
      <c r="Y40" s="408" t="s">
        <v>2703</v>
      </c>
      <c r="Z40" s="408" t="s">
        <v>2704</v>
      </c>
      <c r="AA40" s="408" t="s">
        <v>2705</v>
      </c>
      <c r="AB40" s="408" t="s">
        <v>2579</v>
      </c>
      <c r="AC40" s="408" t="s">
        <v>2706</v>
      </c>
      <c r="AD40" s="335"/>
      <c r="AE40" s="409" t="s">
        <v>2707</v>
      </c>
      <c r="AF40" s="409" t="s">
        <v>2708</v>
      </c>
      <c r="AG40" s="410" t="str">
        <f>HYPERLINK("https://youtu.be/N6tkTf4Wb68","53.04")</f>
        <v>53.04</v>
      </c>
      <c r="AH40" s="409"/>
      <c r="AI40" s="409" t="s">
        <v>1228</v>
      </c>
      <c r="AJ40" s="411" t="s">
        <v>2709</v>
      </c>
      <c r="AK40" s="155"/>
      <c r="AL40" s="164" t="s">
        <v>2710</v>
      </c>
      <c r="AM40" s="412" t="s">
        <v>2711</v>
      </c>
      <c r="AN40" s="164" t="s">
        <v>2712</v>
      </c>
      <c r="AO40" s="413" t="s">
        <v>2713</v>
      </c>
      <c r="AP40" s="341"/>
      <c r="AQ40" s="341"/>
      <c r="AR40" s="413" t="s">
        <v>1012</v>
      </c>
      <c r="AS40" s="412" t="s">
        <v>748</v>
      </c>
      <c r="AT40" s="164" t="s">
        <v>1214</v>
      </c>
      <c r="AU40" s="414" t="str">
        <f>HYPERLINK("https://www.youtube.com/watch?v=I53jRzHVHbs","25.78")</f>
        <v>25.78</v>
      </c>
      <c r="AV40" s="413" t="s">
        <v>979</v>
      </c>
      <c r="AW40" s="341"/>
      <c r="AX40" s="413" t="s">
        <v>2714</v>
      </c>
      <c r="AY40" s="415" t="s">
        <v>2715</v>
      </c>
      <c r="AZ40" s="416"/>
      <c r="BA40" s="170" t="s">
        <v>2716</v>
      </c>
      <c r="BB40" s="417" t="s">
        <v>2717</v>
      </c>
      <c r="BC40" s="417" t="s">
        <v>1289</v>
      </c>
      <c r="BD40" s="418" t="s">
        <v>2525</v>
      </c>
      <c r="BE40" s="419" t="s">
        <v>2718</v>
      </c>
      <c r="BF40" s="417" t="s">
        <v>1784</v>
      </c>
      <c r="BG40" s="170" t="s">
        <v>2719</v>
      </c>
      <c r="BH40" s="417" t="s">
        <v>408</v>
      </c>
      <c r="BI40" s="169"/>
      <c r="BJ40" s="418" t="s">
        <v>2720</v>
      </c>
      <c r="BK40" s="417" t="s">
        <v>2721</v>
      </c>
      <c r="BL40" s="197" t="s">
        <v>2722</v>
      </c>
      <c r="BM40" s="420" t="str">
        <f>HYPERLINK("https://youtu.be/PNHoaVHANBk","42.06")</f>
        <v>42.06</v>
      </c>
      <c r="BN40" s="417" t="s">
        <v>973</v>
      </c>
      <c r="BO40" s="421" t="s">
        <v>2723</v>
      </c>
      <c r="BP40" s="421"/>
      <c r="BQ40" s="422"/>
      <c r="BR40" s="423" t="s">
        <v>2724</v>
      </c>
      <c r="BS40" s="423" t="s">
        <v>2725</v>
      </c>
      <c r="BT40" s="424" t="s">
        <v>2726</v>
      </c>
      <c r="BU40" s="171" t="s">
        <v>401</v>
      </c>
      <c r="BV40" s="424" t="s">
        <v>2727</v>
      </c>
      <c r="BW40" s="171"/>
      <c r="BX40" s="171"/>
      <c r="BY40" s="424" t="s">
        <v>2728</v>
      </c>
      <c r="BZ40" s="423" t="s">
        <v>2729</v>
      </c>
      <c r="CA40" s="424" t="s">
        <v>2730</v>
      </c>
      <c r="CB40" s="425" t="s">
        <v>713</v>
      </c>
      <c r="CC40" s="426" t="s">
        <v>1092</v>
      </c>
      <c r="CD40" s="427" t="s">
        <v>169</v>
      </c>
      <c r="CE40" s="428"/>
      <c r="CF40" s="429" t="s">
        <v>1650</v>
      </c>
      <c r="CG40" s="430" t="s">
        <v>2731</v>
      </c>
      <c r="CH40" s="431" t="str">
        <f>HYPERLINK("https://www.twitch.tv/videos/374407941","34.88")</f>
        <v>34.88</v>
      </c>
      <c r="CI40" s="429" t="s">
        <v>2732</v>
      </c>
      <c r="CJ40" s="429" t="s">
        <v>2733</v>
      </c>
      <c r="CK40" s="429" t="s">
        <v>2734</v>
      </c>
      <c r="CL40" s="430" t="s">
        <v>2735</v>
      </c>
      <c r="CM40" s="430" t="s">
        <v>2736</v>
      </c>
      <c r="CN40" s="173" t="s">
        <v>2737</v>
      </c>
      <c r="CO40" s="431" t="str">
        <f>HYPERLINK("https://youtu.be/ZVAfoGn-JTw","30.96")</f>
        <v>30.96</v>
      </c>
      <c r="CP40" s="432"/>
      <c r="CQ40" s="431" t="str">
        <f>HYPERLINK("https://youtu.be/AxEHpGTONpA","1:09.12")</f>
        <v>1:09.12</v>
      </c>
      <c r="CR40" s="433" t="s">
        <v>2738</v>
      </c>
      <c r="CS40" s="151"/>
      <c r="CT40" s="434" t="str">
        <f>HYPERLINK("https://clips.twitch.tv/BillowingGiftedGullMcaT","46.17")</f>
        <v>46.17</v>
      </c>
      <c r="CU40" s="202" t="s">
        <v>2248</v>
      </c>
      <c r="CV40" s="434" t="str">
        <f>HYPERLINK("https://clips.twitch.tv/TsundereNastyAntFailFish","30.86")</f>
        <v>30.86</v>
      </c>
      <c r="CW40" s="202" t="s">
        <v>2739</v>
      </c>
      <c r="CX40" s="202" t="s">
        <v>2740</v>
      </c>
      <c r="CY40" s="202" t="s">
        <v>2741</v>
      </c>
      <c r="CZ40" s="435" t="s">
        <v>2742</v>
      </c>
      <c r="DA40" s="436" t="s">
        <v>2743</v>
      </c>
      <c r="DB40" s="437" t="s">
        <v>2744</v>
      </c>
      <c r="DC40" s="436" t="s">
        <v>2745</v>
      </c>
      <c r="DD40" s="436" t="s">
        <v>2746</v>
      </c>
      <c r="DE40" s="438" t="s">
        <v>2747</v>
      </c>
      <c r="DF40" s="438"/>
      <c r="DG40" s="360"/>
      <c r="DH40" s="203"/>
      <c r="DI40" s="139" t="str">
        <f>HYPERLINK("https://youtu.be/l69gUy8HYfU","1:30.11")</f>
        <v>1:30.11</v>
      </c>
      <c r="DJ40" s="439"/>
      <c r="DK40" s="439" t="s">
        <v>2748</v>
      </c>
      <c r="DL40" s="439" t="s">
        <v>2749</v>
      </c>
      <c r="DM40" s="360"/>
      <c r="DN40" s="360"/>
      <c r="DO40" s="360"/>
      <c r="DP40" s="440" t="s">
        <v>2369</v>
      </c>
      <c r="DQ40" s="440"/>
      <c r="DR40" s="440" t="s">
        <v>1875</v>
      </c>
      <c r="DS40" s="439" t="s">
        <v>2750</v>
      </c>
      <c r="DT40" s="440" t="s">
        <v>2751</v>
      </c>
      <c r="DU40" s="440" t="s">
        <v>2752</v>
      </c>
      <c r="DV40" s="360"/>
      <c r="DW40" s="439" t="s">
        <v>2753</v>
      </c>
      <c r="DX40" s="439" t="s">
        <v>2754</v>
      </c>
      <c r="DY40" s="439" t="s">
        <v>2755</v>
      </c>
      <c r="DZ40" s="439" t="s">
        <v>1941</v>
      </c>
      <c r="EA40" s="439" t="s">
        <v>1496</v>
      </c>
      <c r="EB40" s="312" t="s">
        <v>2756</v>
      </c>
    </row>
    <row r="41">
      <c r="A41" s="313" t="s">
        <v>2757</v>
      </c>
      <c r="B41" s="82" t="s">
        <v>2758</v>
      </c>
      <c r="C41" s="83" t="s">
        <v>1259</v>
      </c>
      <c r="D41" s="84" t="s">
        <v>330</v>
      </c>
      <c r="E41" s="85" t="s">
        <v>332</v>
      </c>
      <c r="F41" s="86" t="s">
        <v>2759</v>
      </c>
      <c r="G41" s="82" t="s">
        <v>1351</v>
      </c>
      <c r="H41" s="93" t="s">
        <v>2079</v>
      </c>
      <c r="I41" s="93" t="s">
        <v>2760</v>
      </c>
      <c r="J41" s="93" t="s">
        <v>2761</v>
      </c>
      <c r="K41" s="93" t="s">
        <v>2227</v>
      </c>
      <c r="L41" s="206" t="s">
        <v>1925</v>
      </c>
      <c r="M41" s="98"/>
      <c r="N41" s="98"/>
      <c r="O41" s="206" t="s">
        <v>2762</v>
      </c>
      <c r="P41" s="93" t="s">
        <v>2763</v>
      </c>
      <c r="Q41" s="89" t="s">
        <v>2611</v>
      </c>
      <c r="R41" s="93"/>
      <c r="S41" s="93" t="s">
        <v>996</v>
      </c>
      <c r="T41" s="206"/>
      <c r="U41" s="206" t="s">
        <v>2764</v>
      </c>
      <c r="V41" s="90" t="s">
        <v>2765</v>
      </c>
      <c r="W41" s="207"/>
      <c r="X41" s="93" t="s">
        <v>2766</v>
      </c>
      <c r="Y41" s="93" t="s">
        <v>2767</v>
      </c>
      <c r="Z41" s="93" t="s">
        <v>1964</v>
      </c>
      <c r="AA41" s="93" t="s">
        <v>2768</v>
      </c>
      <c r="AB41" s="93" t="s">
        <v>2769</v>
      </c>
      <c r="AC41" s="93" t="s">
        <v>2770</v>
      </c>
      <c r="AD41" s="93"/>
      <c r="AE41" s="93" t="s">
        <v>809</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963</v>
      </c>
      <c r="AV41" s="93" t="s">
        <v>2779</v>
      </c>
      <c r="AW41" s="88" t="s">
        <v>1189</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1684</v>
      </c>
      <c r="CC41" s="93" t="s">
        <v>715</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1398</v>
      </c>
      <c r="CP41" s="101"/>
      <c r="CQ41" s="89" t="s">
        <v>2803</v>
      </c>
      <c r="CR41" s="97" t="s">
        <v>2804</v>
      </c>
      <c r="CS41" s="92"/>
      <c r="CT41" s="98"/>
      <c r="CU41" s="93" t="s">
        <v>2733</v>
      </c>
      <c r="CV41" s="206" t="s">
        <v>1144</v>
      </c>
      <c r="CW41" s="93" t="s">
        <v>2805</v>
      </c>
      <c r="CX41" s="93" t="s">
        <v>2806</v>
      </c>
      <c r="CY41" s="93" t="s">
        <v>735</v>
      </c>
      <c r="CZ41" s="93" t="s">
        <v>2807</v>
      </c>
      <c r="DA41" s="93" t="s">
        <v>2418</v>
      </c>
      <c r="DB41" s="97" t="str">
        <f>HYPERLINK("https://youtu.be/BJNJgSLnXTM","1:18.10")</f>
        <v>1:18.10</v>
      </c>
      <c r="DC41" s="93" t="s">
        <v>2808</v>
      </c>
      <c r="DD41" s="206" t="s">
        <v>2750</v>
      </c>
      <c r="DE41" s="97" t="s">
        <v>1843</v>
      </c>
      <c r="DF41" s="91"/>
      <c r="DG41" s="98"/>
      <c r="DH41" s="93" t="s">
        <v>2809</v>
      </c>
      <c r="DI41" s="98"/>
      <c r="DJ41" s="89" t="s">
        <v>2810</v>
      </c>
      <c r="DK41" s="93" t="s">
        <v>2592</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1" t="s">
        <v>2815</v>
      </c>
      <c r="B42" s="103" t="s">
        <v>2816</v>
      </c>
      <c r="C42" s="104" t="s">
        <v>1259</v>
      </c>
      <c r="D42" s="105" t="s">
        <v>1259</v>
      </c>
      <c r="E42" s="106" t="s">
        <v>1259</v>
      </c>
      <c r="F42" s="107" t="s">
        <v>2817</v>
      </c>
      <c r="G42" s="103" t="s">
        <v>2818</v>
      </c>
      <c r="H42" s="219"/>
      <c r="I42" s="111" t="s">
        <v>2819</v>
      </c>
      <c r="J42" s="111" t="s">
        <v>2820</v>
      </c>
      <c r="K42" s="111" t="s">
        <v>1562</v>
      </c>
      <c r="L42" s="111" t="s">
        <v>2821</v>
      </c>
      <c r="M42" s="111" t="s">
        <v>2822</v>
      </c>
      <c r="N42" s="111" t="s">
        <v>2823</v>
      </c>
      <c r="O42" s="111" t="s">
        <v>2824</v>
      </c>
      <c r="P42" s="111" t="s">
        <v>2825</v>
      </c>
      <c r="Q42" s="219"/>
      <c r="R42" s="111" t="s">
        <v>2826</v>
      </c>
      <c r="S42" s="111" t="s">
        <v>1368</v>
      </c>
      <c r="T42" s="219"/>
      <c r="U42" s="219"/>
      <c r="V42" s="111" t="s">
        <v>2827</v>
      </c>
      <c r="W42" s="92"/>
      <c r="X42" s="114" t="s">
        <v>2828</v>
      </c>
      <c r="Y42" s="114" t="s">
        <v>2829</v>
      </c>
      <c r="Z42" s="114" t="s">
        <v>2830</v>
      </c>
      <c r="AA42" s="114" t="s">
        <v>2831</v>
      </c>
      <c r="AB42" s="114" t="s">
        <v>2527</v>
      </c>
      <c r="AC42" s="114" t="s">
        <v>2832</v>
      </c>
      <c r="AD42" s="266"/>
      <c r="AE42" s="114" t="s">
        <v>2707</v>
      </c>
      <c r="AF42" s="114" t="s">
        <v>2708</v>
      </c>
      <c r="AG42" s="266"/>
      <c r="AH42" s="266"/>
      <c r="AI42" s="194" t="s">
        <v>1703</v>
      </c>
      <c r="AJ42" s="114" t="s">
        <v>2833</v>
      </c>
      <c r="AK42" s="96"/>
      <c r="AL42" s="267"/>
      <c r="AM42" s="119" t="s">
        <v>2834</v>
      </c>
      <c r="AN42" s="267"/>
      <c r="AO42" s="267"/>
      <c r="AP42" s="267"/>
      <c r="AQ42" s="267"/>
      <c r="AR42" s="267"/>
      <c r="AS42" s="267"/>
      <c r="AT42" s="119" t="s">
        <v>361</v>
      </c>
      <c r="AU42" s="119" t="s">
        <v>2835</v>
      </c>
      <c r="AV42" s="119" t="s">
        <v>2112</v>
      </c>
      <c r="AW42" s="267"/>
      <c r="AX42" s="119" t="s">
        <v>1427</v>
      </c>
      <c r="AY42" s="267"/>
      <c r="AZ42" s="267"/>
      <c r="BA42" s="124" t="s">
        <v>2836</v>
      </c>
      <c r="BB42" s="124" t="s">
        <v>2420</v>
      </c>
      <c r="BC42" s="124" t="s">
        <v>2837</v>
      </c>
      <c r="BD42" s="124" t="s">
        <v>1164</v>
      </c>
      <c r="BE42" s="124" t="s">
        <v>2838</v>
      </c>
      <c r="BF42" s="124" t="s">
        <v>257</v>
      </c>
      <c r="BG42" s="169"/>
      <c r="BH42" s="170" t="s">
        <v>2242</v>
      </c>
      <c r="BI42" s="170" t="s">
        <v>2839</v>
      </c>
      <c r="BJ42" s="170"/>
      <c r="BK42" s="124" t="s">
        <v>2840</v>
      </c>
      <c r="BL42" s="169"/>
      <c r="BM42" s="169"/>
      <c r="BN42" s="169"/>
      <c r="BO42" s="124" t="s">
        <v>2841</v>
      </c>
      <c r="BP42" s="269"/>
      <c r="BQ42" s="127" t="s">
        <v>2842</v>
      </c>
      <c r="BR42" s="127" t="s">
        <v>776</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2618</v>
      </c>
      <c r="CI42" s="132" t="s">
        <v>2852</v>
      </c>
      <c r="CJ42" s="132" t="s">
        <v>2853</v>
      </c>
      <c r="CK42" s="132" t="s">
        <v>1686</v>
      </c>
      <c r="CL42" s="132" t="s">
        <v>2854</v>
      </c>
      <c r="CM42" s="132" t="s">
        <v>2855</v>
      </c>
      <c r="CN42" s="275"/>
      <c r="CO42" s="132" t="s">
        <v>2395</v>
      </c>
      <c r="CP42" s="275"/>
      <c r="CQ42" s="132" t="s">
        <v>2856</v>
      </c>
      <c r="CR42" s="275"/>
      <c r="CS42" s="92"/>
      <c r="CT42" s="137" t="s">
        <v>2857</v>
      </c>
      <c r="CU42" s="137" t="s">
        <v>184</v>
      </c>
      <c r="CV42" s="308" t="s">
        <v>609</v>
      </c>
      <c r="CW42" s="137" t="s">
        <v>1323</v>
      </c>
      <c r="CX42" s="137" t="s">
        <v>2090</v>
      </c>
      <c r="CY42" s="137" t="s">
        <v>2329</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1086</v>
      </c>
      <c r="DY42" s="278"/>
      <c r="DZ42" s="278"/>
      <c r="EA42" s="142" t="s">
        <v>2332</v>
      </c>
      <c r="EB42" s="312"/>
    </row>
    <row r="43">
      <c r="A43" s="81" t="s">
        <v>2864</v>
      </c>
      <c r="B43" s="82" t="s">
        <v>2865</v>
      </c>
      <c r="C43" s="83" t="s">
        <v>1259</v>
      </c>
      <c r="D43" s="84" t="s">
        <v>1259</v>
      </c>
      <c r="E43" s="85" t="s">
        <v>1259</v>
      </c>
      <c r="F43" s="86" t="s">
        <v>2866</v>
      </c>
      <c r="G43" s="82" t="s">
        <v>2367</v>
      </c>
      <c r="H43" s="98"/>
      <c r="I43" s="93" t="s">
        <v>1201</v>
      </c>
      <c r="J43" s="88" t="s">
        <v>2867</v>
      </c>
      <c r="K43" s="286" t="s">
        <v>1728</v>
      </c>
      <c r="L43" s="88" t="s">
        <v>625</v>
      </c>
      <c r="M43" s="93" t="s">
        <v>2868</v>
      </c>
      <c r="N43" s="88" t="s">
        <v>2869</v>
      </c>
      <c r="O43" s="88" t="s">
        <v>106</v>
      </c>
      <c r="P43" s="286" t="s">
        <v>2825</v>
      </c>
      <c r="Q43" s="98"/>
      <c r="R43" s="98"/>
      <c r="S43" s="98"/>
      <c r="T43" s="98"/>
      <c r="U43" s="98"/>
      <c r="V43" s="98"/>
      <c r="W43" s="92"/>
      <c r="X43" s="88" t="s">
        <v>454</v>
      </c>
      <c r="Y43" s="158" t="s">
        <v>2870</v>
      </c>
      <c r="Z43" s="88" t="s">
        <v>2871</v>
      </c>
      <c r="AA43" s="88" t="s">
        <v>2315</v>
      </c>
      <c r="AB43" s="88" t="s">
        <v>2070</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2316</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2367</v>
      </c>
      <c r="G44" s="103" t="s">
        <v>2367</v>
      </c>
      <c r="H44" s="443"/>
      <c r="I44" s="331" t="s">
        <v>1591</v>
      </c>
      <c r="J44" s="444" t="s">
        <v>2896</v>
      </c>
      <c r="K44" s="444" t="s">
        <v>1562</v>
      </c>
      <c r="L44" s="331" t="s">
        <v>1925</v>
      </c>
      <c r="M44" s="444" t="s">
        <v>2897</v>
      </c>
      <c r="N44" s="444" t="s">
        <v>2898</v>
      </c>
      <c r="O44" s="444" t="s">
        <v>2698</v>
      </c>
      <c r="P44" s="444" t="s">
        <v>2825</v>
      </c>
      <c r="Q44" s="443"/>
      <c r="R44" s="443"/>
      <c r="S44" s="443"/>
      <c r="T44" s="443"/>
      <c r="U44" s="443"/>
      <c r="V44" s="443"/>
      <c r="W44" s="445"/>
      <c r="X44" s="336" t="s">
        <v>2899</v>
      </c>
      <c r="Y44" s="336" t="s">
        <v>2407</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2904</v>
      </c>
      <c r="BE44" s="450" t="s">
        <v>2619</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2166</v>
      </c>
      <c r="CL44" s="352" t="s">
        <v>2316</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2367</v>
      </c>
      <c r="H45" s="98"/>
      <c r="I45" s="88" t="s">
        <v>2926</v>
      </c>
      <c r="J45" s="88" t="s">
        <v>2927</v>
      </c>
      <c r="K45" s="88" t="s">
        <v>443</v>
      </c>
      <c r="L45" s="88" t="s">
        <v>2928</v>
      </c>
      <c r="M45" s="88" t="s">
        <v>2929</v>
      </c>
      <c r="N45" s="88" t="s">
        <v>2930</v>
      </c>
      <c r="O45" s="88" t="s">
        <v>2609</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2658</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2050</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2609</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2466</v>
      </c>
      <c r="AG46" s="194" t="s">
        <v>1565</v>
      </c>
      <c r="AH46" s="194" t="s">
        <v>2975</v>
      </c>
      <c r="AI46" s="194" t="s">
        <v>2699</v>
      </c>
      <c r="AJ46" s="194" t="s">
        <v>2470</v>
      </c>
      <c r="AK46" s="96"/>
      <c r="AL46" s="164" t="s">
        <v>936</v>
      </c>
      <c r="AM46" s="119" t="s">
        <v>2736</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2828</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2493</v>
      </c>
      <c r="BT46" s="127" t="s">
        <v>982</v>
      </c>
      <c r="BU46" s="127" t="s">
        <v>2993</v>
      </c>
      <c r="BV46" s="127" t="s">
        <v>2210</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2595</v>
      </c>
      <c r="DT46" s="203" t="s">
        <v>3022</v>
      </c>
      <c r="DU46" s="203" t="s">
        <v>3023</v>
      </c>
      <c r="DV46" s="203" t="s">
        <v>3024</v>
      </c>
      <c r="DW46" s="203" t="s">
        <v>1082</v>
      </c>
      <c r="DX46" s="142" t="s">
        <v>3025</v>
      </c>
      <c r="DY46" s="203" t="s">
        <v>2317</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1590</v>
      </c>
      <c r="BI47" s="373"/>
      <c r="BJ47" s="373" t="s">
        <v>3042</v>
      </c>
      <c r="BK47" s="373" t="s">
        <v>3043</v>
      </c>
      <c r="BL47" s="373"/>
      <c r="BM47" s="286" t="s">
        <v>3044</v>
      </c>
      <c r="BN47" s="373"/>
      <c r="BO47" s="373"/>
      <c r="BP47" s="472"/>
      <c r="BQ47" s="373"/>
      <c r="BR47" s="373" t="s">
        <v>2719</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2183</v>
      </c>
      <c r="CL47" s="373" t="s">
        <v>2741</v>
      </c>
      <c r="CM47" s="371" t="s">
        <v>2889</v>
      </c>
      <c r="CN47" s="373"/>
      <c r="CO47" s="373" t="s">
        <v>3054</v>
      </c>
      <c r="CP47" s="373"/>
      <c r="CQ47" s="373" t="s">
        <v>3055</v>
      </c>
      <c r="CR47" s="373"/>
      <c r="CS47" s="151"/>
      <c r="CT47" s="373" t="s">
        <v>3056</v>
      </c>
      <c r="CU47" s="373" t="s">
        <v>966</v>
      </c>
      <c r="CV47" s="374" t="s">
        <v>3057</v>
      </c>
      <c r="CW47" s="373" t="s">
        <v>2739</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2787</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2328</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2568</v>
      </c>
      <c r="BE48" s="170" t="s">
        <v>3093</v>
      </c>
      <c r="BF48" s="170" t="s">
        <v>260</v>
      </c>
      <c r="BG48" s="170" t="s">
        <v>3094</v>
      </c>
      <c r="BH48" s="170" t="s">
        <v>1041</v>
      </c>
      <c r="BI48" s="170" t="s">
        <v>3095</v>
      </c>
      <c r="BJ48" s="170"/>
      <c r="BK48" s="170" t="s">
        <v>3096</v>
      </c>
      <c r="BL48" s="169"/>
      <c r="BM48" s="170" t="s">
        <v>258</v>
      </c>
      <c r="BN48" s="170" t="s">
        <v>2490</v>
      </c>
      <c r="BO48" s="169"/>
      <c r="BP48" s="269"/>
      <c r="BQ48" s="171"/>
      <c r="BR48" s="171" t="s">
        <v>1690</v>
      </c>
      <c r="BS48" s="171" t="s">
        <v>2630</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75" t="s">
        <v>3108</v>
      </c>
      <c r="CL48" s="306" t="s">
        <v>2463</v>
      </c>
      <c r="CM48" s="173" t="s">
        <v>2138</v>
      </c>
      <c r="CN48" s="275"/>
      <c r="CO48" s="173" t="s">
        <v>1693</v>
      </c>
      <c r="CP48" s="173"/>
      <c r="CQ48" s="173" t="s">
        <v>3109</v>
      </c>
      <c r="CR48" s="275"/>
      <c r="CS48" s="92"/>
      <c r="CT48" s="202" t="s">
        <v>3110</v>
      </c>
      <c r="CU48" s="202" t="s">
        <v>3111</v>
      </c>
      <c r="CV48" s="202" t="s">
        <v>3112</v>
      </c>
      <c r="CW48" s="202" t="s">
        <v>3113</v>
      </c>
      <c r="CX48" s="202" t="s">
        <v>2789</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2041</v>
      </c>
      <c r="J49" s="478" t="s">
        <v>651</v>
      </c>
      <c r="K49" s="478" t="s">
        <v>1812</v>
      </c>
      <c r="L49" s="478" t="s">
        <v>3129</v>
      </c>
      <c r="M49" s="478" t="s">
        <v>3130</v>
      </c>
      <c r="N49" s="478" t="s">
        <v>3131</v>
      </c>
      <c r="O49" s="478" t="s">
        <v>2824</v>
      </c>
      <c r="P49" s="478" t="s">
        <v>2825</v>
      </c>
      <c r="Q49" s="478" t="s">
        <v>339</v>
      </c>
      <c r="R49" s="479"/>
      <c r="S49" s="480" t="s">
        <v>3132</v>
      </c>
      <c r="T49" s="479"/>
      <c r="U49" s="479"/>
      <c r="V49" s="478" t="s">
        <v>3133</v>
      </c>
      <c r="W49" s="184"/>
      <c r="X49" s="478" t="s">
        <v>3134</v>
      </c>
      <c r="Y49" s="478" t="s">
        <v>3135</v>
      </c>
      <c r="Z49" s="478" t="s">
        <v>3136</v>
      </c>
      <c r="AA49" s="478" t="s">
        <v>3137</v>
      </c>
      <c r="AB49" s="478" t="s">
        <v>978</v>
      </c>
      <c r="AC49" s="478" t="s">
        <v>2784</v>
      </c>
      <c r="AD49" s="88" t="s">
        <v>3138</v>
      </c>
      <c r="AE49" s="478" t="s">
        <v>3139</v>
      </c>
      <c r="AF49" s="480" t="s">
        <v>2708</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2743</v>
      </c>
      <c r="AU49" s="478" t="s">
        <v>3147</v>
      </c>
      <c r="AV49" s="480" t="s">
        <v>3148</v>
      </c>
      <c r="AW49" s="479"/>
      <c r="AX49" s="479"/>
      <c r="AY49" s="88" t="s">
        <v>3149</v>
      </c>
      <c r="AZ49" s="188"/>
      <c r="BA49" s="478" t="s">
        <v>3150</v>
      </c>
      <c r="BB49" s="478" t="s">
        <v>1189</v>
      </c>
      <c r="BC49" s="478" t="s">
        <v>2837</v>
      </c>
      <c r="BD49" s="478" t="s">
        <v>3151</v>
      </c>
      <c r="BE49" s="478" t="s">
        <v>2230</v>
      </c>
      <c r="BF49" s="479"/>
      <c r="BG49" s="479"/>
      <c r="BH49" s="478" t="s">
        <v>2052</v>
      </c>
      <c r="BI49" s="479"/>
      <c r="BJ49" s="478" t="s">
        <v>3152</v>
      </c>
      <c r="BK49" s="480" t="s">
        <v>2721</v>
      </c>
      <c r="BL49" s="88" t="s">
        <v>3153</v>
      </c>
      <c r="BM49" s="478" t="s">
        <v>2480</v>
      </c>
      <c r="BN49" s="88" t="s">
        <v>3154</v>
      </c>
      <c r="BO49" s="88" t="s">
        <v>3155</v>
      </c>
      <c r="BP49" s="189"/>
      <c r="BQ49" s="478" t="s">
        <v>3156</v>
      </c>
      <c r="BR49" s="478" t="s">
        <v>134</v>
      </c>
      <c r="BS49" s="478" t="s">
        <v>3157</v>
      </c>
      <c r="BT49" s="478" t="s">
        <v>3158</v>
      </c>
      <c r="BU49" s="478" t="s">
        <v>3159</v>
      </c>
      <c r="BV49" s="478" t="s">
        <v>2048</v>
      </c>
      <c r="BW49" s="478" t="s">
        <v>3160</v>
      </c>
      <c r="BX49" s="188"/>
      <c r="BY49" s="478" t="s">
        <v>3161</v>
      </c>
      <c r="BZ49" s="480" t="s">
        <v>2814</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2536</v>
      </c>
      <c r="CV49" s="478" t="s">
        <v>1860</v>
      </c>
      <c r="CW49" s="478" t="s">
        <v>1114</v>
      </c>
      <c r="CX49" s="478" t="s">
        <v>2838</v>
      </c>
      <c r="CY49" s="478" t="s">
        <v>2249</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2448</v>
      </c>
      <c r="EA49" s="88" t="s">
        <v>1123</v>
      </c>
      <c r="EB49" s="88" t="s">
        <v>214</v>
      </c>
    </row>
    <row r="50">
      <c r="A50" s="482" t="s">
        <v>3182</v>
      </c>
      <c r="B50" s="103" t="s">
        <v>3183</v>
      </c>
      <c r="C50" s="104" t="s">
        <v>1259</v>
      </c>
      <c r="D50" s="105" t="s">
        <v>1259</v>
      </c>
      <c r="E50" s="106" t="s">
        <v>545</v>
      </c>
      <c r="F50" s="107" t="s">
        <v>219</v>
      </c>
      <c r="G50" s="103" t="s">
        <v>2078</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2463</v>
      </c>
      <c r="AC50" s="114" t="s">
        <v>3194</v>
      </c>
      <c r="AD50" s="194" t="s">
        <v>3195</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2488</v>
      </c>
      <c r="BL50" s="169"/>
      <c r="BM50" s="169"/>
      <c r="BN50" s="169"/>
      <c r="BO50" s="169"/>
      <c r="BP50" s="269"/>
      <c r="BQ50" s="171" t="s">
        <v>3201</v>
      </c>
      <c r="BR50" s="171" t="s">
        <v>776</v>
      </c>
      <c r="BS50" s="127" t="s">
        <v>3202</v>
      </c>
      <c r="BT50" s="127" t="s">
        <v>1709</v>
      </c>
      <c r="BU50" s="171" t="s">
        <v>3168</v>
      </c>
      <c r="BV50" s="483" t="s">
        <v>3203</v>
      </c>
      <c r="BW50" s="171" t="s">
        <v>453</v>
      </c>
      <c r="BX50" s="470" t="s">
        <v>3204</v>
      </c>
      <c r="BY50" s="304" t="s">
        <v>3205</v>
      </c>
      <c r="BZ50" s="304" t="s">
        <v>165</v>
      </c>
      <c r="CA50" s="272"/>
      <c r="CB50" s="272"/>
      <c r="CC50" s="171" t="s">
        <v>2780</v>
      </c>
      <c r="CD50" s="272"/>
      <c r="CE50" s="273"/>
      <c r="CF50" s="173" t="s">
        <v>3206</v>
      </c>
      <c r="CG50" s="132" t="s">
        <v>2654</v>
      </c>
      <c r="CH50" s="327" t="s">
        <v>3207</v>
      </c>
      <c r="CI50" s="173" t="s">
        <v>3208</v>
      </c>
      <c r="CJ50" s="484" t="s">
        <v>3209</v>
      </c>
      <c r="CK50" s="132" t="s">
        <v>1453</v>
      </c>
      <c r="CL50" s="132" t="s">
        <v>2309</v>
      </c>
      <c r="CM50" s="173" t="s">
        <v>2970</v>
      </c>
      <c r="CN50" s="275"/>
      <c r="CO50" s="275"/>
      <c r="CP50" s="275"/>
      <c r="CQ50" s="275"/>
      <c r="CR50" s="275"/>
      <c r="CS50" s="92"/>
      <c r="CT50" s="202" t="s">
        <v>3210</v>
      </c>
      <c r="CU50" s="383" t="s">
        <v>1540</v>
      </c>
      <c r="CV50" s="202" t="s">
        <v>609</v>
      </c>
      <c r="CW50" s="383" t="s">
        <v>3211</v>
      </c>
      <c r="CX50" s="202" t="s">
        <v>2485</v>
      </c>
      <c r="CY50" s="202" t="s">
        <v>1077</v>
      </c>
      <c r="CZ50" s="383" t="s">
        <v>2261</v>
      </c>
      <c r="DA50" s="137" t="s">
        <v>1403</v>
      </c>
      <c r="DB50" s="276"/>
      <c r="DC50" s="276"/>
      <c r="DD50" s="276"/>
      <c r="DE50" s="276"/>
      <c r="DF50" s="277"/>
      <c r="DG50" s="203" t="s">
        <v>1290</v>
      </c>
      <c r="DH50" s="203" t="s">
        <v>526</v>
      </c>
      <c r="DI50" s="278"/>
      <c r="DJ50" s="278"/>
      <c r="DK50" s="142" t="s">
        <v>3212</v>
      </c>
      <c r="DL50" s="203" t="s">
        <v>1119</v>
      </c>
      <c r="DM50" s="203" t="s">
        <v>2324</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2336</v>
      </c>
      <c r="H51" s="93" t="s">
        <v>3218</v>
      </c>
      <c r="I51" s="93" t="s">
        <v>3219</v>
      </c>
      <c r="J51" s="88" t="s">
        <v>3220</v>
      </c>
      <c r="K51" s="88" t="s">
        <v>3221</v>
      </c>
      <c r="L51" s="88" t="s">
        <v>2134</v>
      </c>
      <c r="M51" s="93" t="s">
        <v>3222</v>
      </c>
      <c r="N51" s="88" t="s">
        <v>3223</v>
      </c>
      <c r="O51" s="88" t="s">
        <v>3224</v>
      </c>
      <c r="P51" s="88" t="s">
        <v>1567</v>
      </c>
      <c r="Q51" s="98"/>
      <c r="R51" s="98"/>
      <c r="S51" s="93" t="s">
        <v>3225</v>
      </c>
      <c r="T51" s="98"/>
      <c r="U51" s="93" t="s">
        <v>3226</v>
      </c>
      <c r="V51" s="98"/>
      <c r="W51" s="92"/>
      <c r="X51" s="371" t="s">
        <v>2650</v>
      </c>
      <c r="Y51" s="88" t="s">
        <v>3135</v>
      </c>
      <c r="Z51" s="93" t="s">
        <v>244</v>
      </c>
      <c r="AA51" s="88" t="s">
        <v>2900</v>
      </c>
      <c r="AB51" s="88" t="s">
        <v>3227</v>
      </c>
      <c r="AC51" s="88" t="s">
        <v>3228</v>
      </c>
      <c r="AD51" s="98"/>
      <c r="AE51" s="93" t="s">
        <v>417</v>
      </c>
      <c r="AF51" s="93" t="s">
        <v>2708</v>
      </c>
      <c r="AG51" s="98"/>
      <c r="AH51" s="98"/>
      <c r="AI51" s="98"/>
      <c r="AJ51" s="98"/>
      <c r="AK51" s="96"/>
      <c r="AL51" s="93" t="s">
        <v>3229</v>
      </c>
      <c r="AM51" s="88" t="s">
        <v>3230</v>
      </c>
      <c r="AN51" s="98"/>
      <c r="AO51" s="98"/>
      <c r="AP51" s="98"/>
      <c r="AQ51" s="98"/>
      <c r="AR51" s="98"/>
      <c r="AS51" s="98"/>
      <c r="AT51" s="93" t="s">
        <v>1663</v>
      </c>
      <c r="AU51" s="88" t="s">
        <v>2741</v>
      </c>
      <c r="AV51" s="98"/>
      <c r="AW51" s="98"/>
      <c r="AX51" s="98"/>
      <c r="AY51" s="98"/>
      <c r="AZ51" s="98"/>
      <c r="BA51" s="88" t="s">
        <v>1360</v>
      </c>
      <c r="BB51" s="88" t="s">
        <v>680</v>
      </c>
      <c r="BC51" s="88" t="s">
        <v>933</v>
      </c>
      <c r="BD51" s="286" t="s">
        <v>3231</v>
      </c>
      <c r="BE51" s="93" t="s">
        <v>3232</v>
      </c>
      <c r="BF51" s="98"/>
      <c r="BG51" s="98"/>
      <c r="BH51" s="88" t="s">
        <v>1414</v>
      </c>
      <c r="BI51" s="98"/>
      <c r="BJ51" s="88" t="s">
        <v>2522</v>
      </c>
      <c r="BK51" s="93" t="s">
        <v>3233</v>
      </c>
      <c r="BL51" s="98"/>
      <c r="BM51" s="98"/>
      <c r="BN51" s="98"/>
      <c r="BO51" s="98"/>
      <c r="BP51" s="257"/>
      <c r="BQ51" s="93" t="s">
        <v>3234</v>
      </c>
      <c r="BR51" s="88" t="s">
        <v>2246</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2200</v>
      </c>
      <c r="CK51" s="93" t="s">
        <v>3241</v>
      </c>
      <c r="CL51" s="88" t="s">
        <v>203</v>
      </c>
      <c r="CM51" s="93" t="s">
        <v>1580</v>
      </c>
      <c r="CN51" s="98"/>
      <c r="CO51" s="98"/>
      <c r="CP51" s="98"/>
      <c r="CQ51" s="98"/>
      <c r="CR51" s="98"/>
      <c r="CS51" s="92"/>
      <c r="CT51" s="89" t="s">
        <v>2028</v>
      </c>
      <c r="CU51" s="93" t="s">
        <v>3003</v>
      </c>
      <c r="CV51" s="88" t="s">
        <v>1077</v>
      </c>
      <c r="CW51" s="88" t="s">
        <v>718</v>
      </c>
      <c r="CX51" s="88" t="s">
        <v>2419</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2294</v>
      </c>
      <c r="J52" s="111" t="s">
        <v>996</v>
      </c>
      <c r="K52" s="466" t="s">
        <v>3254</v>
      </c>
      <c r="L52" s="466" t="s">
        <v>2517</v>
      </c>
      <c r="M52" s="111" t="s">
        <v>3255</v>
      </c>
      <c r="N52" s="487" t="s">
        <v>3256</v>
      </c>
      <c r="O52" s="466" t="s">
        <v>3257</v>
      </c>
      <c r="P52" s="111" t="s">
        <v>2825</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2466</v>
      </c>
      <c r="AG52" s="266"/>
      <c r="AH52" s="266"/>
      <c r="AI52" s="114" t="s">
        <v>3011</v>
      </c>
      <c r="AJ52" s="299" t="s">
        <v>2669</v>
      </c>
      <c r="AK52" s="96"/>
      <c r="AL52" s="302" t="s">
        <v>1448</v>
      </c>
      <c r="AM52" s="119" t="s">
        <v>2553</v>
      </c>
      <c r="AN52" s="119" t="s">
        <v>3265</v>
      </c>
      <c r="AO52" s="119" t="s">
        <v>3266</v>
      </c>
      <c r="AP52" s="164" t="s">
        <v>3267</v>
      </c>
      <c r="AQ52" s="164" t="s">
        <v>3268</v>
      </c>
      <c r="AR52" s="164" t="s">
        <v>3269</v>
      </c>
      <c r="AS52" s="267"/>
      <c r="AT52" s="119" t="s">
        <v>3270</v>
      </c>
      <c r="AU52" s="302" t="s">
        <v>2390</v>
      </c>
      <c r="AV52" s="302" t="s">
        <v>3007</v>
      </c>
      <c r="AW52" s="267"/>
      <c r="AX52" s="119" t="s">
        <v>1332</v>
      </c>
      <c r="AY52" s="119" t="s">
        <v>3271</v>
      </c>
      <c r="AZ52" s="267"/>
      <c r="BA52" s="488" t="s">
        <v>2406</v>
      </c>
      <c r="BB52" s="124" t="s">
        <v>2643</v>
      </c>
      <c r="BC52" s="488" t="s">
        <v>3272</v>
      </c>
      <c r="BD52" s="488" t="s">
        <v>3273</v>
      </c>
      <c r="BE52" s="124" t="s">
        <v>145</v>
      </c>
      <c r="BF52" s="488" t="s">
        <v>3274</v>
      </c>
      <c r="BG52" s="169"/>
      <c r="BH52" s="488" t="s">
        <v>3057</v>
      </c>
      <c r="BI52" s="124" t="s">
        <v>273</v>
      </c>
      <c r="BJ52" s="488"/>
      <c r="BK52" s="124" t="s">
        <v>2987</v>
      </c>
      <c r="BL52" s="170" t="s">
        <v>3275</v>
      </c>
      <c r="BM52" s="170" t="s">
        <v>2122</v>
      </c>
      <c r="BN52" s="488" t="s">
        <v>1843</v>
      </c>
      <c r="BO52" s="124" t="s">
        <v>3276</v>
      </c>
      <c r="BP52" s="269"/>
      <c r="BQ52" s="129" t="s">
        <v>2903</v>
      </c>
      <c r="BR52" s="129" t="s">
        <v>3277</v>
      </c>
      <c r="BS52" s="129" t="s">
        <v>3278</v>
      </c>
      <c r="BT52" s="127" t="s">
        <v>378</v>
      </c>
      <c r="BU52" s="129" t="s">
        <v>2838</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2439</v>
      </c>
      <c r="DA52" s="137" t="s">
        <v>2679</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2752</v>
      </c>
      <c r="DV52" s="203" t="s">
        <v>2446</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2274</v>
      </c>
      <c r="AA53" s="93" t="s">
        <v>2739</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2762</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2328</v>
      </c>
      <c r="CZ53" s="206" t="s">
        <v>2202</v>
      </c>
      <c r="DA53" s="93" t="s">
        <v>3367</v>
      </c>
      <c r="DB53" s="98"/>
      <c r="DC53" s="98"/>
      <c r="DD53" s="98"/>
      <c r="DE53" s="98"/>
      <c r="DF53" s="257"/>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2367</v>
      </c>
      <c r="H54" s="111" t="s">
        <v>492</v>
      </c>
      <c r="I54" s="111" t="s">
        <v>3371</v>
      </c>
      <c r="J54" s="111" t="s">
        <v>2535</v>
      </c>
      <c r="K54" s="109" t="s">
        <v>2100</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2072</v>
      </c>
      <c r="BI54" s="169"/>
      <c r="BJ54" s="490" t="s">
        <v>3042</v>
      </c>
      <c r="BK54" s="123" t="str">
        <f>HYPERLINK("https://www.twitch.tv/kaffelon/clip/WittyHonestRaccoonSmoocherZ?filter=clips&amp;range=all&amp;sort=time","12.53")</f>
        <v>12.53</v>
      </c>
      <c r="BL54" s="169"/>
      <c r="BM54" s="169"/>
      <c r="BN54" s="169"/>
      <c r="BO54" s="169"/>
      <c r="BP54" s="269"/>
      <c r="BQ54" s="171"/>
      <c r="BR54" s="395" t="s">
        <v>3381</v>
      </c>
      <c r="BS54" s="171" t="s">
        <v>2181</v>
      </c>
      <c r="BT54" s="171" t="s">
        <v>3382</v>
      </c>
      <c r="BU54" s="171" t="s">
        <v>3383</v>
      </c>
      <c r="BV54" s="171" t="s">
        <v>2860</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2328</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2390</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2817</v>
      </c>
      <c r="H55" s="88" t="s">
        <v>2567</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2152</v>
      </c>
      <c r="T55" s="93" t="s">
        <v>2468</v>
      </c>
      <c r="U55" s="93" t="s">
        <v>2341</v>
      </c>
      <c r="V55" s="93" t="s">
        <v>3398</v>
      </c>
      <c r="W55" s="92"/>
      <c r="X55" s="93" t="s">
        <v>2382</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2553</v>
      </c>
      <c r="AU55" s="88" t="s">
        <v>1016</v>
      </c>
      <c r="AV55" s="98"/>
      <c r="AW55" s="98"/>
      <c r="AX55" s="158" t="s">
        <v>3104</v>
      </c>
      <c r="AY55" s="98"/>
      <c r="AZ55" s="98"/>
      <c r="BA55" s="93" t="s">
        <v>3409</v>
      </c>
      <c r="BB55" s="93" t="s">
        <v>1160</v>
      </c>
      <c r="BC55" s="93" t="s">
        <v>2317</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2210</v>
      </c>
      <c r="BW55" s="98"/>
      <c r="BX55" s="98"/>
      <c r="BY55" s="93" t="s">
        <v>3415</v>
      </c>
      <c r="BZ55" s="93" t="s">
        <v>3416</v>
      </c>
      <c r="CA55" s="93" t="s">
        <v>3417</v>
      </c>
      <c r="CB55" s="93" t="s">
        <v>3418</v>
      </c>
      <c r="CC55" s="88" t="s">
        <v>103</v>
      </c>
      <c r="CD55" s="93" t="s">
        <v>3419</v>
      </c>
      <c r="CE55" s="93"/>
      <c r="CF55" s="286" t="s">
        <v>3004</v>
      </c>
      <c r="CG55" s="399"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2248</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2766</v>
      </c>
      <c r="I56" s="163" t="s">
        <v>3429</v>
      </c>
      <c r="J56" s="163" t="s">
        <v>447</v>
      </c>
      <c r="K56" s="111" t="s">
        <v>3430</v>
      </c>
      <c r="L56" s="163" t="s">
        <v>3431</v>
      </c>
      <c r="M56" s="163" t="s">
        <v>3432</v>
      </c>
      <c r="N56" s="163" t="s">
        <v>3070</v>
      </c>
      <c r="O56" s="111" t="s">
        <v>2698</v>
      </c>
      <c r="P56" s="111" t="s">
        <v>107</v>
      </c>
      <c r="Q56" s="111" t="s">
        <v>3433</v>
      </c>
      <c r="R56" s="219"/>
      <c r="S56" s="163" t="s">
        <v>3434</v>
      </c>
      <c r="T56" s="219"/>
      <c r="U56" s="111" t="s">
        <v>1667</v>
      </c>
      <c r="V56" s="219"/>
      <c r="W56" s="92"/>
      <c r="X56" s="115" t="s">
        <v>3435</v>
      </c>
      <c r="Y56" s="194" t="s">
        <v>3436</v>
      </c>
      <c r="Z56" s="194" t="s">
        <v>1537</v>
      </c>
      <c r="AA56" s="194" t="s">
        <v>3437</v>
      </c>
      <c r="AB56" s="114" t="s">
        <v>2436</v>
      </c>
      <c r="AC56" s="194" t="s">
        <v>3438</v>
      </c>
      <c r="AD56" s="194" t="s">
        <v>2973</v>
      </c>
      <c r="AE56" s="194" t="s">
        <v>3331</v>
      </c>
      <c r="AF56" s="387" t="s">
        <v>567</v>
      </c>
      <c r="AG56" s="387" t="s">
        <v>2246</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2562</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2593</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2695</v>
      </c>
      <c r="M57" s="101" t="s">
        <v>3479</v>
      </c>
      <c r="N57" s="101" t="s">
        <v>3480</v>
      </c>
      <c r="O57" s="101" t="s">
        <v>3481</v>
      </c>
      <c r="P57" s="101" t="s">
        <v>2825</v>
      </c>
      <c r="Q57" s="93" t="s">
        <v>3482</v>
      </c>
      <c r="R57" s="98"/>
      <c r="S57" s="93" t="s">
        <v>922</v>
      </c>
      <c r="T57" s="98"/>
      <c r="U57" s="93" t="s">
        <v>1905</v>
      </c>
      <c r="V57" s="93" t="s">
        <v>3483</v>
      </c>
      <c r="W57" s="92"/>
      <c r="X57" s="101" t="s">
        <v>1222</v>
      </c>
      <c r="Y57" s="101" t="s">
        <v>3484</v>
      </c>
      <c r="Z57" s="101" t="s">
        <v>2708</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6" t="s">
        <v>3510</v>
      </c>
      <c r="CE57" s="257"/>
      <c r="CF57" s="101" t="s">
        <v>3511</v>
      </c>
      <c r="CG57" s="101" t="s">
        <v>512</v>
      </c>
      <c r="CH57" s="101" t="s">
        <v>2595</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2742</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2143</v>
      </c>
      <c r="G58" s="103" t="s">
        <v>3527</v>
      </c>
      <c r="H58" s="111" t="s">
        <v>3528</v>
      </c>
      <c r="I58" s="111" t="s">
        <v>3529</v>
      </c>
      <c r="J58" s="111" t="s">
        <v>3530</v>
      </c>
      <c r="K58" s="111" t="s">
        <v>1812</v>
      </c>
      <c r="L58" s="111" t="s">
        <v>2821</v>
      </c>
      <c r="M58" s="111" t="s">
        <v>3531</v>
      </c>
      <c r="N58" s="111" t="s">
        <v>3532</v>
      </c>
      <c r="O58" s="111" t="s">
        <v>3533</v>
      </c>
      <c r="P58" s="111" t="s">
        <v>3534</v>
      </c>
      <c r="Q58" s="163" t="s">
        <v>3535</v>
      </c>
      <c r="R58" s="219"/>
      <c r="S58" s="111" t="s">
        <v>2265</v>
      </c>
      <c r="T58" s="219"/>
      <c r="U58" s="111" t="s">
        <v>3536</v>
      </c>
      <c r="V58" s="163" t="s">
        <v>3537</v>
      </c>
      <c r="W58" s="92"/>
      <c r="X58" s="114" t="s">
        <v>2766</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2033</v>
      </c>
      <c r="AU58" s="119" t="s">
        <v>933</v>
      </c>
      <c r="AV58" s="267"/>
      <c r="AW58" s="267"/>
      <c r="AX58" s="119" t="s">
        <v>3547</v>
      </c>
      <c r="AY58" s="164" t="s">
        <v>3548</v>
      </c>
      <c r="AZ58" s="164"/>
      <c r="BA58" s="124" t="s">
        <v>2764</v>
      </c>
      <c r="BB58" s="124" t="s">
        <v>2482</v>
      </c>
      <c r="BC58" s="124" t="s">
        <v>3549</v>
      </c>
      <c r="BD58" s="168" t="s">
        <v>3550</v>
      </c>
      <c r="BE58" s="124" t="s">
        <v>3551</v>
      </c>
      <c r="BF58" s="124" t="s">
        <v>3552</v>
      </c>
      <c r="BG58" s="169"/>
      <c r="BH58" s="124" t="s">
        <v>365</v>
      </c>
      <c r="BI58" s="124" t="s">
        <v>2720</v>
      </c>
      <c r="BJ58" s="124" t="s">
        <v>3553</v>
      </c>
      <c r="BK58" s="124" t="s">
        <v>3554</v>
      </c>
      <c r="BL58" s="169"/>
      <c r="BM58" s="124" t="s">
        <v>3555</v>
      </c>
      <c r="BN58" s="124" t="s">
        <v>1458</v>
      </c>
      <c r="BO58" s="169"/>
      <c r="BP58" s="269"/>
      <c r="BQ58" s="127" t="s">
        <v>3556</v>
      </c>
      <c r="BR58" s="127" t="s">
        <v>859</v>
      </c>
      <c r="BS58" s="127" t="s">
        <v>2181</v>
      </c>
      <c r="BT58" s="127" t="s">
        <v>3557</v>
      </c>
      <c r="BU58" s="127" t="s">
        <v>3558</v>
      </c>
      <c r="BV58" s="127" t="s">
        <v>1597</v>
      </c>
      <c r="BW58" s="272"/>
      <c r="BX58" s="127" t="s">
        <v>3559</v>
      </c>
      <c r="BY58" s="127" t="s">
        <v>3560</v>
      </c>
      <c r="BZ58" s="127" t="s">
        <v>2048</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2033</v>
      </c>
      <c r="DB58" s="276"/>
      <c r="DC58" s="276"/>
      <c r="DD58" s="276"/>
      <c r="DE58" s="202" t="s">
        <v>3575</v>
      </c>
      <c r="DF58" s="202"/>
      <c r="DG58" s="142" t="s">
        <v>2695</v>
      </c>
      <c r="DH58" s="278"/>
      <c r="DI58" s="278"/>
      <c r="DJ58" s="278"/>
      <c r="DK58" s="142" t="s">
        <v>510</v>
      </c>
      <c r="DL58" s="278"/>
      <c r="DM58" s="278"/>
      <c r="DN58" s="142" t="s">
        <v>3576</v>
      </c>
      <c r="DO58" s="278"/>
      <c r="DP58" s="142" t="s">
        <v>3577</v>
      </c>
      <c r="DQ58" s="205" t="s">
        <v>2310</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2166</v>
      </c>
      <c r="I59" s="93" t="s">
        <v>1381</v>
      </c>
      <c r="J59" s="93" t="s">
        <v>3585</v>
      </c>
      <c r="K59" s="93" t="s">
        <v>3586</v>
      </c>
      <c r="L59" s="93" t="s">
        <v>462</v>
      </c>
      <c r="M59" s="98"/>
      <c r="N59" s="93" t="s">
        <v>3587</v>
      </c>
      <c r="O59" s="88" t="s">
        <v>3588</v>
      </c>
      <c r="P59" s="93" t="s">
        <v>107</v>
      </c>
      <c r="Q59" s="98"/>
      <c r="R59" s="98"/>
      <c r="S59" s="98"/>
      <c r="T59" s="98"/>
      <c r="U59" s="98"/>
      <c r="V59" s="98"/>
      <c r="W59" s="92"/>
      <c r="X59" s="88" t="s">
        <v>2114</v>
      </c>
      <c r="Y59" s="93" t="s">
        <v>1273</v>
      </c>
      <c r="Z59" s="93" t="s">
        <v>1899</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2553</v>
      </c>
      <c r="AU59" s="93" t="s">
        <v>3092</v>
      </c>
      <c r="AV59" s="98"/>
      <c r="AW59" s="98"/>
      <c r="AX59" s="93" t="s">
        <v>749</v>
      </c>
      <c r="AY59" s="98"/>
      <c r="AZ59" s="98"/>
      <c r="BA59" s="93" t="s">
        <v>3595</v>
      </c>
      <c r="BB59" s="93" t="s">
        <v>2223</v>
      </c>
      <c r="BC59" s="93" t="s">
        <v>3092</v>
      </c>
      <c r="BD59" s="93" t="s">
        <v>3596</v>
      </c>
      <c r="BE59" s="93" t="s">
        <v>3597</v>
      </c>
      <c r="BF59" s="87" t="s">
        <v>2414</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2660</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2694</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2632</v>
      </c>
      <c r="BC60" s="124" t="s">
        <v>2037</v>
      </c>
      <c r="BD60" s="170" t="s">
        <v>3643</v>
      </c>
      <c r="BE60" s="170" t="s">
        <v>3644</v>
      </c>
      <c r="BF60" s="170" t="s">
        <v>1219</v>
      </c>
      <c r="BG60" s="170" t="s">
        <v>3645</v>
      </c>
      <c r="BH60" s="124" t="s">
        <v>1752</v>
      </c>
      <c r="BI60" s="170" t="s">
        <v>2622</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2433</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2339</v>
      </c>
      <c r="DA60" s="137" t="s">
        <v>2586</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2676</v>
      </c>
      <c r="DX60" s="203" t="s">
        <v>2824</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2693</v>
      </c>
      <c r="K61" s="97" t="s">
        <v>443</v>
      </c>
      <c r="L61" s="88" t="s">
        <v>1640</v>
      </c>
      <c r="M61" s="93" t="s">
        <v>3687</v>
      </c>
      <c r="N61" s="93" t="s">
        <v>3688</v>
      </c>
      <c r="O61" s="93" t="s">
        <v>3643</v>
      </c>
      <c r="P61" s="93" t="s">
        <v>2825</v>
      </c>
      <c r="Q61" s="93" t="s">
        <v>3689</v>
      </c>
      <c r="R61" s="98"/>
      <c r="S61" s="98"/>
      <c r="T61" s="98"/>
      <c r="U61" s="98"/>
      <c r="V61" s="93" t="s">
        <v>3690</v>
      </c>
      <c r="W61" s="92"/>
      <c r="X61" s="88" t="s">
        <v>2526</v>
      </c>
      <c r="Y61" s="88" t="s">
        <v>3691</v>
      </c>
      <c r="Z61" s="88" t="s">
        <v>1899</v>
      </c>
      <c r="AA61" s="93" t="s">
        <v>3034</v>
      </c>
      <c r="AB61" s="93" t="s">
        <v>3035</v>
      </c>
      <c r="AC61" s="206" t="s">
        <v>3692</v>
      </c>
      <c r="AD61" s="98"/>
      <c r="AE61" s="93" t="s">
        <v>2903</v>
      </c>
      <c r="AF61" s="93" t="s">
        <v>2027</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2630</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2437</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2421</v>
      </c>
      <c r="DZ61" s="93" t="s">
        <v>3711</v>
      </c>
      <c r="EA61" s="98"/>
      <c r="EB61" s="281"/>
    </row>
    <row r="62">
      <c r="A62" s="162" t="s">
        <v>3712</v>
      </c>
      <c r="B62" s="103" t="s">
        <v>3713</v>
      </c>
      <c r="C62" s="104" t="s">
        <v>1259</v>
      </c>
      <c r="D62" s="105" t="s">
        <v>1259</v>
      </c>
      <c r="E62" s="106" t="s">
        <v>1259</v>
      </c>
      <c r="F62" s="107" t="s">
        <v>1259</v>
      </c>
      <c r="G62" s="103" t="s">
        <v>2258</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3108</v>
      </c>
      <c r="Y62" s="193" t="s">
        <v>1050</v>
      </c>
      <c r="Z62" s="193" t="s">
        <v>3721</v>
      </c>
      <c r="AA62" s="193" t="s">
        <v>3722</v>
      </c>
      <c r="AB62" s="393" t="s">
        <v>3723</v>
      </c>
      <c r="AC62" s="193" t="s">
        <v>3724</v>
      </c>
      <c r="AD62" s="193" t="s">
        <v>3725</v>
      </c>
      <c r="AE62" s="193" t="s">
        <v>2839</v>
      </c>
      <c r="AF62" s="193" t="s">
        <v>3726</v>
      </c>
      <c r="AG62" s="193" t="s">
        <v>3727</v>
      </c>
      <c r="AH62" s="501"/>
      <c r="AI62" s="501"/>
      <c r="AJ62" s="193" t="s">
        <v>3728</v>
      </c>
      <c r="AK62" s="502"/>
      <c r="AL62" s="196" t="s">
        <v>2617</v>
      </c>
      <c r="AM62" s="196" t="s">
        <v>3005</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2718</v>
      </c>
      <c r="BS62" s="304" t="s">
        <v>2152</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2536</v>
      </c>
      <c r="CV62" s="383" t="s">
        <v>532</v>
      </c>
      <c r="CW62" s="383" t="s">
        <v>3761</v>
      </c>
      <c r="CX62" s="383" t="s">
        <v>3762</v>
      </c>
      <c r="CY62" s="383" t="s">
        <v>2741</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2536</v>
      </c>
      <c r="DS62" s="205" t="s">
        <v>3772</v>
      </c>
      <c r="DT62" s="205" t="s">
        <v>3773</v>
      </c>
      <c r="DU62" s="205" t="s">
        <v>3774</v>
      </c>
      <c r="DV62" s="205" t="s">
        <v>1919</v>
      </c>
      <c r="DW62" s="205" t="s">
        <v>2676</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2219</v>
      </c>
      <c r="H63" s="98"/>
      <c r="I63" s="93" t="s">
        <v>3780</v>
      </c>
      <c r="J63" s="93" t="s">
        <v>2145</v>
      </c>
      <c r="K63" s="292" t="s">
        <v>2694</v>
      </c>
      <c r="L63" s="93" t="s">
        <v>602</v>
      </c>
      <c r="M63" s="281" t="s">
        <v>3781</v>
      </c>
      <c r="N63" s="93" t="s">
        <v>672</v>
      </c>
      <c r="O63" s="93" t="s">
        <v>3782</v>
      </c>
      <c r="P63" s="93" t="s">
        <v>1691</v>
      </c>
      <c r="Q63" s="98"/>
      <c r="R63" s="98"/>
      <c r="S63" s="98"/>
      <c r="T63" s="98"/>
      <c r="U63" s="98"/>
      <c r="V63" s="98"/>
      <c r="W63" s="92"/>
      <c r="X63" s="93" t="s">
        <v>2702</v>
      </c>
      <c r="Y63" s="93" t="s">
        <v>3783</v>
      </c>
      <c r="Z63" s="93" t="s">
        <v>1964</v>
      </c>
      <c r="AA63" s="93" t="s">
        <v>3784</v>
      </c>
      <c r="AB63" s="93" t="s">
        <v>2463</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506" t="s">
        <v>2888</v>
      </c>
      <c r="BF63" s="98"/>
      <c r="BG63" s="98"/>
      <c r="BH63" s="93" t="s">
        <v>1974</v>
      </c>
      <c r="BI63" s="292" t="s">
        <v>3789</v>
      </c>
      <c r="BJ63" s="292"/>
      <c r="BK63" s="93" t="s">
        <v>2524</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2734</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1173</v>
      </c>
      <c r="AB64" s="194" t="s">
        <v>2196</v>
      </c>
      <c r="AC64" s="194" t="s">
        <v>3810</v>
      </c>
      <c r="AD64" s="266"/>
      <c r="AE64" s="194" t="s">
        <v>2974</v>
      </c>
      <c r="AF64" s="194" t="s">
        <v>3811</v>
      </c>
      <c r="AG64" s="266"/>
      <c r="AH64" s="194"/>
      <c r="AI64" s="194" t="s">
        <v>2718</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2650</v>
      </c>
      <c r="BB64" s="170" t="s">
        <v>974</v>
      </c>
      <c r="BC64" s="170" t="s">
        <v>3549</v>
      </c>
      <c r="BD64" s="124" t="s">
        <v>3815</v>
      </c>
      <c r="BE64" s="124" t="s">
        <v>2050</v>
      </c>
      <c r="BF64" s="170" t="s">
        <v>1528</v>
      </c>
      <c r="BG64" s="169"/>
      <c r="BH64" s="170" t="s">
        <v>2052</v>
      </c>
      <c r="BI64" s="169"/>
      <c r="BJ64" s="170" t="s">
        <v>3816</v>
      </c>
      <c r="BK64" s="170" t="s">
        <v>3096</v>
      </c>
      <c r="BL64" s="169"/>
      <c r="BM64" s="124" t="s">
        <v>1656</v>
      </c>
      <c r="BN64" s="170" t="s">
        <v>3817</v>
      </c>
      <c r="BO64" s="169"/>
      <c r="BP64" s="269"/>
      <c r="BQ64" s="171"/>
      <c r="BR64" s="171" t="s">
        <v>2428</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2306</v>
      </c>
      <c r="CR64" s="275"/>
      <c r="CS64" s="92"/>
      <c r="CT64" s="202" t="s">
        <v>3827</v>
      </c>
      <c r="CU64" s="202" t="s">
        <v>2536</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3838</v>
      </c>
      <c r="H65" s="98"/>
      <c r="I65" s="286" t="s">
        <v>3839</v>
      </c>
      <c r="J65" s="88" t="s">
        <v>3840</v>
      </c>
      <c r="K65" s="88" t="s">
        <v>2642</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2196</v>
      </c>
      <c r="CM65" s="88" t="s">
        <v>1778</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3586</v>
      </c>
      <c r="L66" s="513" t="s">
        <v>2512</v>
      </c>
      <c r="M66" s="513" t="s">
        <v>3860</v>
      </c>
      <c r="N66" s="331" t="s">
        <v>3266</v>
      </c>
      <c r="O66" s="514" t="s">
        <v>3861</v>
      </c>
      <c r="P66" s="513" t="s">
        <v>2748</v>
      </c>
      <c r="Q66" s="513" t="s">
        <v>3862</v>
      </c>
      <c r="R66" s="513" t="s">
        <v>3863</v>
      </c>
      <c r="S66" s="513" t="s">
        <v>2904</v>
      </c>
      <c r="T66" s="513" t="s">
        <v>2606</v>
      </c>
      <c r="U66" s="513" t="s">
        <v>3864</v>
      </c>
      <c r="V66" s="513" t="s">
        <v>3865</v>
      </c>
      <c r="W66" s="151"/>
      <c r="X66" s="336" t="s">
        <v>3853</v>
      </c>
      <c r="Y66" s="336" t="s">
        <v>3866</v>
      </c>
      <c r="Z66" s="334" t="s">
        <v>1318</v>
      </c>
      <c r="AA66" s="336" t="s">
        <v>2409</v>
      </c>
      <c r="AB66" s="336" t="s">
        <v>1832</v>
      </c>
      <c r="AC66" s="336" t="s">
        <v>3867</v>
      </c>
      <c r="AD66" s="334" t="s">
        <v>2351</v>
      </c>
      <c r="AE66" s="334" t="s">
        <v>1474</v>
      </c>
      <c r="AF66" s="336" t="s">
        <v>3726</v>
      </c>
      <c r="AG66" s="334" t="s">
        <v>2575</v>
      </c>
      <c r="AH66" s="336" t="s">
        <v>3868</v>
      </c>
      <c r="AI66" s="334" t="s">
        <v>2464</v>
      </c>
      <c r="AJ66" s="334" t="s">
        <v>3869</v>
      </c>
      <c r="AK66" s="155"/>
      <c r="AL66" s="340" t="s">
        <v>395</v>
      </c>
      <c r="AM66" s="515" t="s">
        <v>1490</v>
      </c>
      <c r="AN66" s="516" t="s">
        <v>3870</v>
      </c>
      <c r="AO66" s="339" t="s">
        <v>3871</v>
      </c>
      <c r="AP66" s="339" t="s">
        <v>3872</v>
      </c>
      <c r="AQ66" s="339" t="s">
        <v>2574</v>
      </c>
      <c r="AR66" s="339" t="s">
        <v>3873</v>
      </c>
      <c r="AS66" s="339" t="s">
        <v>3874</v>
      </c>
      <c r="AT66" s="516" t="s">
        <v>2586</v>
      </c>
      <c r="AU66" s="340" t="s">
        <v>365</v>
      </c>
      <c r="AV66" s="339" t="s">
        <v>3612</v>
      </c>
      <c r="AW66" s="339" t="s">
        <v>1798</v>
      </c>
      <c r="AX66" s="339" t="s">
        <v>3875</v>
      </c>
      <c r="AY66" s="339" t="s">
        <v>3876</v>
      </c>
      <c r="AZ66" s="339"/>
      <c r="BA66" s="517" t="s">
        <v>3877</v>
      </c>
      <c r="BB66" s="345" t="s">
        <v>2643</v>
      </c>
      <c r="BC66" s="517" t="s">
        <v>1396</v>
      </c>
      <c r="BD66" s="517" t="s">
        <v>3068</v>
      </c>
      <c r="BE66" s="517" t="s">
        <v>3277</v>
      </c>
      <c r="BF66" s="518" t="s">
        <v>3878</v>
      </c>
      <c r="BG66" s="345" t="s">
        <v>3879</v>
      </c>
      <c r="BH66" s="518" t="s">
        <v>2913</v>
      </c>
      <c r="BI66" s="345" t="s">
        <v>3880</v>
      </c>
      <c r="BJ66" s="345" t="s">
        <v>3881</v>
      </c>
      <c r="BK66" s="517" t="s">
        <v>3873</v>
      </c>
      <c r="BL66" s="517" t="s">
        <v>3882</v>
      </c>
      <c r="BM66" s="517" t="s">
        <v>2044</v>
      </c>
      <c r="BN66" s="517" t="s">
        <v>155</v>
      </c>
      <c r="BO66" s="517" t="s">
        <v>3883</v>
      </c>
      <c r="BP66" s="517"/>
      <c r="BQ66" s="350" t="s">
        <v>3884</v>
      </c>
      <c r="BR66" s="519" t="s">
        <v>3090</v>
      </c>
      <c r="BS66" s="350" t="s">
        <v>3885</v>
      </c>
      <c r="BT66" s="520" t="s">
        <v>266</v>
      </c>
      <c r="BU66" s="521" t="s">
        <v>3886</v>
      </c>
      <c r="BV66" s="521" t="s">
        <v>392</v>
      </c>
      <c r="BW66" s="521" t="s">
        <v>3887</v>
      </c>
      <c r="BX66" s="350" t="s">
        <v>2186</v>
      </c>
      <c r="BY66" s="519" t="s">
        <v>3888</v>
      </c>
      <c r="BZ66" s="521" t="s">
        <v>2497</v>
      </c>
      <c r="CA66" s="521" t="s">
        <v>3889</v>
      </c>
      <c r="CB66" s="521" t="s">
        <v>345</v>
      </c>
      <c r="CC66" s="521" t="s">
        <v>3890</v>
      </c>
      <c r="CD66" s="350" t="s">
        <v>3891</v>
      </c>
      <c r="CE66" s="522"/>
      <c r="CF66" s="475" t="s">
        <v>2205</v>
      </c>
      <c r="CG66" s="475" t="s">
        <v>3088</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2291</v>
      </c>
      <c r="DD66" s="355" t="s">
        <v>2510</v>
      </c>
      <c r="DE66" s="355" t="s">
        <v>3491</v>
      </c>
      <c r="DF66" s="355"/>
      <c r="DG66" s="362" t="s">
        <v>1911</v>
      </c>
      <c r="DH66" s="362"/>
      <c r="DI66" s="362" t="s">
        <v>3907</v>
      </c>
      <c r="DJ66" s="362" t="s">
        <v>3908</v>
      </c>
      <c r="DK66" s="362" t="s">
        <v>2592</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3147</v>
      </c>
      <c r="DX66" s="362" t="s">
        <v>3639</v>
      </c>
      <c r="DY66" s="362" t="s">
        <v>2145</v>
      </c>
      <c r="DZ66" s="362" t="s">
        <v>3790</v>
      </c>
      <c r="EA66" s="362" t="s">
        <v>1832</v>
      </c>
      <c r="EB66" s="312" t="s">
        <v>3915</v>
      </c>
    </row>
    <row r="67">
      <c r="A67" s="527" t="s">
        <v>3916</v>
      </c>
      <c r="B67" s="82" t="s">
        <v>3917</v>
      </c>
      <c r="C67" s="83" t="s">
        <v>1259</v>
      </c>
      <c r="D67" s="84" t="s">
        <v>1259</v>
      </c>
      <c r="E67" s="85" t="s">
        <v>1259</v>
      </c>
      <c r="F67" s="86" t="s">
        <v>3317</v>
      </c>
      <c r="G67" s="82" t="s">
        <v>2963</v>
      </c>
      <c r="H67" s="88" t="s">
        <v>3477</v>
      </c>
      <c r="I67" s="93" t="s">
        <v>2294</v>
      </c>
      <c r="J67" s="93" t="s">
        <v>3918</v>
      </c>
      <c r="K67" s="93" t="s">
        <v>3919</v>
      </c>
      <c r="L67" s="93" t="s">
        <v>3920</v>
      </c>
      <c r="M67" s="93" t="s">
        <v>2252</v>
      </c>
      <c r="N67" s="93" t="s">
        <v>3921</v>
      </c>
      <c r="O67" s="93" t="s">
        <v>3922</v>
      </c>
      <c r="P67" s="93" t="s">
        <v>2931</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3078</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2806</v>
      </c>
      <c r="BF67" s="93" t="s">
        <v>3944</v>
      </c>
      <c r="BG67" s="93" t="s">
        <v>3945</v>
      </c>
      <c r="BH67" s="93" t="s">
        <v>2502</v>
      </c>
      <c r="BI67" s="93" t="s">
        <v>2988</v>
      </c>
      <c r="BJ67" s="93"/>
      <c r="BK67" s="93" t="s">
        <v>3946</v>
      </c>
      <c r="BL67" s="93" t="s">
        <v>1534</v>
      </c>
      <c r="BM67" s="93" t="s">
        <v>2595</v>
      </c>
      <c r="BN67" s="93" t="s">
        <v>3947</v>
      </c>
      <c r="BO67" s="93" t="s">
        <v>3948</v>
      </c>
      <c r="BP67" s="99"/>
      <c r="BQ67" s="93" t="s">
        <v>3949</v>
      </c>
      <c r="BR67" s="88" t="s">
        <v>3950</v>
      </c>
      <c r="BS67" s="93" t="s">
        <v>3818</v>
      </c>
      <c r="BT67" s="93" t="s">
        <v>3951</v>
      </c>
      <c r="BU67" s="93" t="s">
        <v>3569</v>
      </c>
      <c r="BV67" s="93" t="s">
        <v>1627</v>
      </c>
      <c r="BW67" s="93" t="s">
        <v>3952</v>
      </c>
      <c r="BX67" s="93" t="s">
        <v>3953</v>
      </c>
      <c r="BY67" s="98"/>
      <c r="BZ67" s="93" t="s">
        <v>3954</v>
      </c>
      <c r="CA67" s="93" t="s">
        <v>3955</v>
      </c>
      <c r="CB67" s="93" t="s">
        <v>842</v>
      </c>
      <c r="CC67" s="93" t="s">
        <v>2171</v>
      </c>
      <c r="CD67" s="93" t="s">
        <v>3956</v>
      </c>
      <c r="CE67" s="257"/>
      <c r="CF67" s="528">
        <v>55.85</v>
      </c>
      <c r="CG67" s="93" t="s">
        <v>240</v>
      </c>
      <c r="CH67" s="93" t="s">
        <v>3957</v>
      </c>
      <c r="CI67" s="93" t="s">
        <v>3002</v>
      </c>
      <c r="CJ67" s="93" t="s">
        <v>2247</v>
      </c>
      <c r="CK67" s="93" t="s">
        <v>3958</v>
      </c>
      <c r="CL67" s="93" t="s">
        <v>2523</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1223</v>
      </c>
      <c r="DE67" s="93" t="s">
        <v>3971</v>
      </c>
      <c r="DF67" s="257"/>
      <c r="DG67" s="88" t="s">
        <v>2250</v>
      </c>
      <c r="DH67" s="93"/>
      <c r="DI67" s="93" t="s">
        <v>1874</v>
      </c>
      <c r="DJ67" s="93" t="s">
        <v>3972</v>
      </c>
      <c r="DK67" s="93" t="s">
        <v>3973</v>
      </c>
      <c r="DL67" s="93" t="s">
        <v>695</v>
      </c>
      <c r="DM67" s="93" t="s">
        <v>3974</v>
      </c>
      <c r="DN67" s="93" t="s">
        <v>3975</v>
      </c>
      <c r="DO67" s="93" t="s">
        <v>3976</v>
      </c>
      <c r="DP67" s="93" t="s">
        <v>1954</v>
      </c>
      <c r="DQ67" s="88" t="s">
        <v>3041</v>
      </c>
      <c r="DR67" s="93" t="s">
        <v>443</v>
      </c>
      <c r="DS67" s="93" t="s">
        <v>3225</v>
      </c>
      <c r="DT67" s="93" t="s">
        <v>3977</v>
      </c>
      <c r="DU67" s="93" t="s">
        <v>3978</v>
      </c>
      <c r="DV67" s="93" t="s">
        <v>375</v>
      </c>
      <c r="DW67" s="529" t="s">
        <v>3112</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2274</v>
      </c>
      <c r="AG68" s="194" t="s">
        <v>3999</v>
      </c>
      <c r="AH68" s="194"/>
      <c r="AI68" s="194" t="s">
        <v>4000</v>
      </c>
      <c r="AJ68" s="114" t="s">
        <v>700</v>
      </c>
      <c r="AK68" s="96"/>
      <c r="AL68" s="164" t="s">
        <v>3446</v>
      </c>
      <c r="AM68" s="119" t="s">
        <v>3813</v>
      </c>
      <c r="AN68" s="164" t="s">
        <v>4001</v>
      </c>
      <c r="AO68" s="164" t="s">
        <v>4002</v>
      </c>
      <c r="AP68" s="164" t="s">
        <v>4003</v>
      </c>
      <c r="AQ68" s="164" t="s">
        <v>2624</v>
      </c>
      <c r="AR68" s="267"/>
      <c r="AS68" s="267"/>
      <c r="AT68" s="164" t="s">
        <v>1947</v>
      </c>
      <c r="AU68" s="164" t="s">
        <v>1054</v>
      </c>
      <c r="AV68" s="164" t="s">
        <v>1748</v>
      </c>
      <c r="AW68" s="267"/>
      <c r="AX68" s="119" t="s">
        <v>4004</v>
      </c>
      <c r="AY68" s="164" t="s">
        <v>4005</v>
      </c>
      <c r="AZ68" s="164"/>
      <c r="BA68" s="124" t="s">
        <v>2083</v>
      </c>
      <c r="BB68" s="170" t="s">
        <v>1479</v>
      </c>
      <c r="BC68" s="124" t="s">
        <v>1396</v>
      </c>
      <c r="BD68" s="124" t="s">
        <v>3588</v>
      </c>
      <c r="BE68" s="168" t="s">
        <v>4006</v>
      </c>
      <c r="BF68" s="170" t="s">
        <v>2268</v>
      </c>
      <c r="BG68" s="170" t="s">
        <v>1839</v>
      </c>
      <c r="BH68" s="170" t="s">
        <v>3057</v>
      </c>
      <c r="BI68" s="170" t="s">
        <v>4007</v>
      </c>
      <c r="BJ68" s="168" t="s">
        <v>4008</v>
      </c>
      <c r="BK68" s="170" t="s">
        <v>3850</v>
      </c>
      <c r="BL68" s="124" t="s">
        <v>4009</v>
      </c>
      <c r="BM68" s="124" t="s">
        <v>4010</v>
      </c>
      <c r="BN68" s="170" t="s">
        <v>4011</v>
      </c>
      <c r="BO68" s="170" t="s">
        <v>4012</v>
      </c>
      <c r="BP68" s="170"/>
      <c r="BQ68" s="127" t="s">
        <v>2906</v>
      </c>
      <c r="BR68" s="171" t="s">
        <v>2293</v>
      </c>
      <c r="BS68" s="127" t="s">
        <v>3852</v>
      </c>
      <c r="BT68" s="304" t="s">
        <v>3557</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2725</v>
      </c>
      <c r="CP68" s="173" t="s">
        <v>3072</v>
      </c>
      <c r="CQ68" s="173" t="s">
        <v>1694</v>
      </c>
      <c r="CR68" s="173" t="s">
        <v>4025</v>
      </c>
      <c r="CS68" s="92"/>
      <c r="CT68" s="202" t="s">
        <v>4026</v>
      </c>
      <c r="CU68" s="202" t="s">
        <v>4027</v>
      </c>
      <c r="CV68" s="202" t="s">
        <v>3472</v>
      </c>
      <c r="CW68" s="137" t="s">
        <v>4028</v>
      </c>
      <c r="CX68" s="202" t="s">
        <v>4029</v>
      </c>
      <c r="CY68" s="397" t="s">
        <v>4030</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3247</v>
      </c>
      <c r="DO68" s="278"/>
      <c r="DP68" s="203" t="s">
        <v>4037</v>
      </c>
      <c r="DQ68" s="203" t="s">
        <v>3105</v>
      </c>
      <c r="DR68" s="278"/>
      <c r="DS68" s="203" t="s">
        <v>4038</v>
      </c>
      <c r="DT68" s="203" t="s">
        <v>4039</v>
      </c>
      <c r="DU68" s="203" t="s">
        <v>976</v>
      </c>
      <c r="DV68" s="203" t="s">
        <v>4040</v>
      </c>
      <c r="DW68" s="203" t="s">
        <v>1054</v>
      </c>
      <c r="DX68" s="203" t="s">
        <v>2558</v>
      </c>
      <c r="DY68" s="203" t="s">
        <v>1497</v>
      </c>
      <c r="DZ68" s="203" t="s">
        <v>4041</v>
      </c>
      <c r="EA68" s="142" t="s">
        <v>3311</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2317</v>
      </c>
      <c r="BD69" s="535" t="s">
        <v>583</v>
      </c>
      <c r="BE69" s="288" t="s">
        <v>3727</v>
      </c>
      <c r="BF69" s="535"/>
      <c r="BG69" s="535"/>
      <c r="BH69" s="535" t="s">
        <v>2329</v>
      </c>
      <c r="BI69" s="535"/>
      <c r="BJ69" s="535" t="s">
        <v>4058</v>
      </c>
      <c r="BK69" s="535" t="s">
        <v>1431</v>
      </c>
      <c r="BL69" s="535"/>
      <c r="BM69" s="535"/>
      <c r="BN69" s="535"/>
      <c r="BO69" s="535"/>
      <c r="BP69" s="535"/>
      <c r="BQ69" s="535"/>
      <c r="BR69" s="535" t="s">
        <v>4059</v>
      </c>
      <c r="BS69" s="288" t="s">
        <v>2624</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2397</v>
      </c>
      <c r="G70" s="103" t="s">
        <v>740</v>
      </c>
      <c r="H70" s="111" t="s">
        <v>3319</v>
      </c>
      <c r="I70" s="111" t="s">
        <v>4064</v>
      </c>
      <c r="J70" s="111" t="s">
        <v>3259</v>
      </c>
      <c r="K70" s="111" t="s">
        <v>1423</v>
      </c>
      <c r="L70" s="111" t="s">
        <v>409</v>
      </c>
      <c r="M70" s="466"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3230</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2464</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2735</v>
      </c>
      <c r="CH70" s="173" t="s">
        <v>4097</v>
      </c>
      <c r="CI70" s="173" t="s">
        <v>4098</v>
      </c>
      <c r="CJ70" s="173" t="s">
        <v>2704</v>
      </c>
      <c r="CK70" s="173" t="s">
        <v>4099</v>
      </c>
      <c r="CL70" s="319" t="s">
        <v>3573</v>
      </c>
      <c r="CM70" s="173" t="s">
        <v>4100</v>
      </c>
      <c r="CN70" s="275"/>
      <c r="CO70" s="132" t="s">
        <v>4101</v>
      </c>
      <c r="CP70" s="275"/>
      <c r="CQ70" s="132" t="s">
        <v>4102</v>
      </c>
      <c r="CR70" s="275"/>
      <c r="CS70" s="92"/>
      <c r="CT70" s="202" t="s">
        <v>1285</v>
      </c>
      <c r="CU70" s="137" t="s">
        <v>1689</v>
      </c>
      <c r="CV70" s="397" t="s">
        <v>2779</v>
      </c>
      <c r="CW70" s="137" t="s">
        <v>2583</v>
      </c>
      <c r="CX70" s="202" t="s">
        <v>4103</v>
      </c>
      <c r="CY70" s="137" t="s">
        <v>2514</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3473</v>
      </c>
      <c r="DV70" s="278"/>
      <c r="DW70" s="205" t="s">
        <v>298</v>
      </c>
      <c r="DX70" s="203" t="s">
        <v>4109</v>
      </c>
      <c r="DY70" s="203" t="s">
        <v>4110</v>
      </c>
      <c r="DZ70" s="142" t="s">
        <v>4111</v>
      </c>
      <c r="EA70" s="142" t="s">
        <v>1881</v>
      </c>
      <c r="EB70" s="139" t="s">
        <v>3063</v>
      </c>
    </row>
    <row r="71">
      <c r="A71" s="81" t="s">
        <v>4112</v>
      </c>
      <c r="B71" s="82" t="s">
        <v>4113</v>
      </c>
      <c r="C71" s="83" t="s">
        <v>1259</v>
      </c>
      <c r="D71" s="84" t="s">
        <v>1259</v>
      </c>
      <c r="E71" s="85" t="s">
        <v>1259</v>
      </c>
      <c r="F71" s="86" t="s">
        <v>2817</v>
      </c>
      <c r="G71" s="82" t="s">
        <v>3318</v>
      </c>
      <c r="H71" s="88" t="s">
        <v>2619</v>
      </c>
      <c r="I71" s="88" t="s">
        <v>4114</v>
      </c>
      <c r="J71" s="88" t="s">
        <v>3892</v>
      </c>
      <c r="K71" s="88" t="s">
        <v>1812</v>
      </c>
      <c r="L71" s="88" t="s">
        <v>4115</v>
      </c>
      <c r="M71" s="88" t="s">
        <v>4116</v>
      </c>
      <c r="N71" s="88" t="s">
        <v>4117</v>
      </c>
      <c r="O71" s="88" t="s">
        <v>2113</v>
      </c>
      <c r="P71" s="88" t="s">
        <v>107</v>
      </c>
      <c r="Q71" s="98"/>
      <c r="R71" s="98"/>
      <c r="S71" s="98"/>
      <c r="T71" s="98"/>
      <c r="U71" s="98"/>
      <c r="V71" s="98"/>
      <c r="W71" s="92"/>
      <c r="X71" s="88" t="s">
        <v>3650</v>
      </c>
      <c r="Y71" s="88" t="s">
        <v>2703</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3119</v>
      </c>
      <c r="AU71" s="88" t="s">
        <v>408</v>
      </c>
      <c r="AV71" s="98"/>
      <c r="AW71" s="98"/>
      <c r="AX71" s="98"/>
      <c r="AY71" s="98"/>
      <c r="AZ71" s="98"/>
      <c r="BA71" s="88" t="s">
        <v>2764</v>
      </c>
      <c r="BB71" s="88" t="s">
        <v>308</v>
      </c>
      <c r="BC71" s="88" t="s">
        <v>1016</v>
      </c>
      <c r="BD71" s="88" t="s">
        <v>3164</v>
      </c>
      <c r="BE71" s="88" t="s">
        <v>4126</v>
      </c>
      <c r="BF71" s="88" t="s">
        <v>3110</v>
      </c>
      <c r="BG71" s="88" t="s">
        <v>4127</v>
      </c>
      <c r="BH71" s="88" t="s">
        <v>2309</v>
      </c>
      <c r="BI71" s="88" t="s">
        <v>4128</v>
      </c>
      <c r="BJ71" s="88" t="s">
        <v>4129</v>
      </c>
      <c r="BK71" s="88" t="s">
        <v>3850</v>
      </c>
      <c r="BL71" s="88" t="s">
        <v>4130</v>
      </c>
      <c r="BM71" s="88" t="s">
        <v>4010</v>
      </c>
      <c r="BN71" s="88" t="s">
        <v>4131</v>
      </c>
      <c r="BO71" s="98"/>
      <c r="BP71" s="257"/>
      <c r="BQ71" s="88" t="s">
        <v>4132</v>
      </c>
      <c r="BR71" s="88" t="s">
        <v>4022</v>
      </c>
      <c r="BS71" s="88" t="s">
        <v>3772</v>
      </c>
      <c r="BT71" s="88" t="s">
        <v>3236</v>
      </c>
      <c r="BU71" s="88" t="s">
        <v>1471</v>
      </c>
      <c r="BV71" s="88" t="s">
        <v>1125</v>
      </c>
      <c r="BW71" s="88" t="s">
        <v>4133</v>
      </c>
      <c r="BX71" s="88" t="s">
        <v>164</v>
      </c>
      <c r="BY71" s="98"/>
      <c r="BZ71" s="88" t="s">
        <v>2598</v>
      </c>
      <c r="CA71" s="98"/>
      <c r="CB71" s="98"/>
      <c r="CC71" s="88" t="s">
        <v>4134</v>
      </c>
      <c r="CD71" s="98"/>
      <c r="CE71" s="257"/>
      <c r="CF71" s="88" t="s">
        <v>4135</v>
      </c>
      <c r="CG71" s="88" t="s">
        <v>4136</v>
      </c>
      <c r="CH71" s="88" t="s">
        <v>2206</v>
      </c>
      <c r="CI71" s="88" t="s">
        <v>4137</v>
      </c>
      <c r="CJ71" s="88" t="s">
        <v>3096</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2405</v>
      </c>
      <c r="DE71" s="98"/>
      <c r="DF71" s="257"/>
      <c r="DG71" s="98"/>
      <c r="DH71" s="98"/>
      <c r="DI71" s="93" t="s">
        <v>3817</v>
      </c>
      <c r="DJ71" s="98"/>
      <c r="DK71" s="88" t="s">
        <v>528</v>
      </c>
      <c r="DL71" s="88" t="s">
        <v>4144</v>
      </c>
      <c r="DM71" s="93" t="s">
        <v>4145</v>
      </c>
      <c r="DN71" s="93" t="s">
        <v>4050</v>
      </c>
      <c r="DO71" s="98"/>
      <c r="DP71" s="88" t="s">
        <v>4146</v>
      </c>
      <c r="DQ71" s="88" t="s">
        <v>3718</v>
      </c>
      <c r="DR71" s="93" t="s">
        <v>4147</v>
      </c>
      <c r="DS71" s="93" t="s">
        <v>1880</v>
      </c>
      <c r="DT71" s="93" t="s">
        <v>4148</v>
      </c>
      <c r="DU71" s="88" t="s">
        <v>1711</v>
      </c>
      <c r="DV71" s="93" t="s">
        <v>3547</v>
      </c>
      <c r="DW71" s="93" t="s">
        <v>1552</v>
      </c>
      <c r="DX71" s="88" t="s">
        <v>4149</v>
      </c>
      <c r="DY71" s="88" t="s">
        <v>2170</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3111</v>
      </c>
      <c r="L72" s="163" t="s">
        <v>3399</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2343</v>
      </c>
      <c r="AH72" s="194"/>
      <c r="AI72" s="194" t="s">
        <v>4166</v>
      </c>
      <c r="AJ72" s="194" t="s">
        <v>2572</v>
      </c>
      <c r="AK72" s="96"/>
      <c r="AL72" s="164" t="s">
        <v>3784</v>
      </c>
      <c r="AM72" s="164" t="s">
        <v>3493</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2746</v>
      </c>
      <c r="BC72" s="170" t="s">
        <v>2629</v>
      </c>
      <c r="BD72" s="170" t="s">
        <v>4172</v>
      </c>
      <c r="BE72" s="170" t="s">
        <v>4173</v>
      </c>
      <c r="BF72" s="170" t="s">
        <v>410</v>
      </c>
      <c r="BG72" s="170" t="s">
        <v>4174</v>
      </c>
      <c r="BH72" s="170" t="s">
        <v>4175</v>
      </c>
      <c r="BI72" s="170" t="s">
        <v>4176</v>
      </c>
      <c r="BJ72" s="170" t="s">
        <v>4177</v>
      </c>
      <c r="BK72" s="170" t="s">
        <v>3657</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3700</v>
      </c>
      <c r="CA72" s="171" t="s">
        <v>4185</v>
      </c>
      <c r="CB72" s="272"/>
      <c r="CC72" s="272"/>
      <c r="CD72" s="272"/>
      <c r="CE72" s="273"/>
      <c r="CF72" s="173" t="s">
        <v>4186</v>
      </c>
      <c r="CG72" s="173" t="s">
        <v>4187</v>
      </c>
      <c r="CH72" s="173" t="s">
        <v>4188</v>
      </c>
      <c r="CI72" s="173" t="s">
        <v>4189</v>
      </c>
      <c r="CJ72" s="173" t="s">
        <v>1263</v>
      </c>
      <c r="CK72" s="173" t="s">
        <v>1443</v>
      </c>
      <c r="CL72" s="173" t="s">
        <v>978</v>
      </c>
      <c r="CM72" s="173" t="s">
        <v>3659</v>
      </c>
      <c r="CN72" s="173" t="s">
        <v>4190</v>
      </c>
      <c r="CO72" s="173" t="s">
        <v>4191</v>
      </c>
      <c r="CP72" s="275"/>
      <c r="CQ72" s="275"/>
      <c r="CR72" s="275"/>
      <c r="CS72" s="92"/>
      <c r="CT72" s="202" t="s">
        <v>4192</v>
      </c>
      <c r="CU72" s="202" t="s">
        <v>4193</v>
      </c>
      <c r="CV72" s="202" t="s">
        <v>4194</v>
      </c>
      <c r="CW72" s="202" t="s">
        <v>2460</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2207</v>
      </c>
      <c r="DQ72" s="203" t="s">
        <v>3196</v>
      </c>
      <c r="DR72" s="203" t="s">
        <v>4027</v>
      </c>
      <c r="DS72" s="203" t="s">
        <v>4203</v>
      </c>
      <c r="DT72" s="203" t="s">
        <v>4204</v>
      </c>
      <c r="DU72" s="203" t="s">
        <v>898</v>
      </c>
      <c r="DV72" s="203" t="s">
        <v>681</v>
      </c>
      <c r="DW72" s="203" t="s">
        <v>1314</v>
      </c>
      <c r="DX72" s="203" t="s">
        <v>4049</v>
      </c>
      <c r="DY72" s="203" t="s">
        <v>4205</v>
      </c>
      <c r="DZ72" s="203" t="s">
        <v>3580</v>
      </c>
      <c r="EA72" s="203" t="s">
        <v>4206</v>
      </c>
      <c r="EB72" s="312" t="s">
        <v>4207</v>
      </c>
    </row>
    <row r="73">
      <c r="A73" s="81" t="s">
        <v>4208</v>
      </c>
      <c r="B73" s="82" t="s">
        <v>4209</v>
      </c>
      <c r="C73" s="83" t="s">
        <v>1259</v>
      </c>
      <c r="D73" s="84" t="s">
        <v>1259</v>
      </c>
      <c r="E73" s="85" t="s">
        <v>1259</v>
      </c>
      <c r="F73" s="86" t="s">
        <v>913</v>
      </c>
      <c r="G73" s="82" t="s">
        <v>2397</v>
      </c>
      <c r="H73" s="97" t="str">
        <f>HYPERLINK("https://clips.twitch.tv/LachrymoseCourteousDelicataSeemsGood","51.28")</f>
        <v>51.28</v>
      </c>
      <c r="I73" s="206" t="s">
        <v>4210</v>
      </c>
      <c r="J73" s="206" t="s">
        <v>724</v>
      </c>
      <c r="K73" s="93" t="s">
        <v>1423</v>
      </c>
      <c r="L73" s="206" t="s">
        <v>3068</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3263</v>
      </c>
      <c r="CG73" s="97" t="str">
        <f>HYPERLINK("https://youtu.be/AR9q0_E3gEQ","28.75")</f>
        <v>28.75</v>
      </c>
      <c r="CH73" s="93" t="s">
        <v>4224</v>
      </c>
      <c r="CI73" s="93"/>
      <c r="CJ73" s="93"/>
      <c r="CK73" s="93" t="s">
        <v>2485</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3985</v>
      </c>
      <c r="G74" s="103" t="s">
        <v>2603</v>
      </c>
      <c r="H74" s="111" t="s">
        <v>4045</v>
      </c>
      <c r="I74" s="219"/>
      <c r="J74" s="219"/>
      <c r="K74" s="219"/>
      <c r="L74" s="163" t="s">
        <v>343</v>
      </c>
      <c r="M74" s="219"/>
      <c r="N74" s="219"/>
      <c r="O74" s="163" t="s">
        <v>4231</v>
      </c>
      <c r="P74" s="163" t="s">
        <v>2825</v>
      </c>
      <c r="Q74" s="109" t="s">
        <v>231</v>
      </c>
      <c r="R74" s="219"/>
      <c r="S74" s="219"/>
      <c r="T74" s="163" t="s">
        <v>2266</v>
      </c>
      <c r="U74" s="163" t="s">
        <v>3634</v>
      </c>
      <c r="V74" s="261" t="s">
        <v>4232</v>
      </c>
      <c r="W74" s="92"/>
      <c r="X74" s="266"/>
      <c r="Y74" s="194" t="s">
        <v>3074</v>
      </c>
      <c r="Z74" s="113" t="str">
        <f>HYPERLINK("https://youtu.be/esd_xoh2Wlk","14.77")</f>
        <v>14.77</v>
      </c>
      <c r="AA74" s="266"/>
      <c r="AB74" s="114" t="s">
        <v>3607</v>
      </c>
      <c r="AC74" s="194" t="s">
        <v>4233</v>
      </c>
      <c r="AD74" s="266"/>
      <c r="AE74" s="266"/>
      <c r="AF74" s="194" t="s">
        <v>3726</v>
      </c>
      <c r="AG74" s="194" t="s">
        <v>3211</v>
      </c>
      <c r="AH74" s="194"/>
      <c r="AI74" s="194" t="s">
        <v>4234</v>
      </c>
      <c r="AJ74" s="265" t="s">
        <v>4235</v>
      </c>
      <c r="AK74" s="96"/>
      <c r="AL74" s="267"/>
      <c r="AM74" s="267"/>
      <c r="AN74" s="119" t="s">
        <v>4236</v>
      </c>
      <c r="AO74" s="267"/>
      <c r="AP74" s="196" t="s">
        <v>372</v>
      </c>
      <c r="AQ74" s="119" t="s">
        <v>2358</v>
      </c>
      <c r="AR74" s="267"/>
      <c r="AS74" s="164" t="s">
        <v>3724</v>
      </c>
      <c r="AT74" s="164" t="s">
        <v>4237</v>
      </c>
      <c r="AU74" s="119" t="s">
        <v>958</v>
      </c>
      <c r="AV74" s="119" t="s">
        <v>1780</v>
      </c>
      <c r="AW74" s="267"/>
      <c r="AX74" s="267"/>
      <c r="AY74" s="167" t="s">
        <v>4238</v>
      </c>
      <c r="AZ74" s="267"/>
      <c r="BA74" s="169"/>
      <c r="BB74" s="169"/>
      <c r="BC74" s="170"/>
      <c r="BD74" s="124" t="s">
        <v>3677</v>
      </c>
      <c r="BE74" s="169"/>
      <c r="BF74" s="124" t="s">
        <v>1995</v>
      </c>
      <c r="BG74" s="169"/>
      <c r="BH74" s="124" t="s">
        <v>2528</v>
      </c>
      <c r="BI74" s="169"/>
      <c r="BJ74" s="169"/>
      <c r="BK74" s="170" t="s">
        <v>2721</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2936</v>
      </c>
      <c r="CG74" s="132" t="s">
        <v>3358</v>
      </c>
      <c r="CH74" s="307" t="s">
        <v>3900</v>
      </c>
      <c r="CI74" s="173" t="s">
        <v>2738</v>
      </c>
      <c r="CJ74" s="173" t="s">
        <v>3233</v>
      </c>
      <c r="CK74" s="173" t="s">
        <v>1156</v>
      </c>
      <c r="CL74" s="173" t="s">
        <v>4244</v>
      </c>
      <c r="CM74" s="275"/>
      <c r="CN74" s="275"/>
      <c r="CO74" s="327" t="s">
        <v>1820</v>
      </c>
      <c r="CP74" s="275"/>
      <c r="CQ74" s="275"/>
      <c r="CR74" s="274" t="s">
        <v>4228</v>
      </c>
      <c r="CS74" s="92"/>
      <c r="CT74" s="276"/>
      <c r="CU74" s="276"/>
      <c r="CV74" s="276"/>
      <c r="CW74" s="276"/>
      <c r="CX74" s="276"/>
      <c r="CY74" s="202" t="s">
        <v>2196</v>
      </c>
      <c r="CZ74" s="202" t="s">
        <v>2101</v>
      </c>
      <c r="DA74" s="276"/>
      <c r="DB74" s="135" t="s">
        <v>4245</v>
      </c>
      <c r="DC74" s="202"/>
      <c r="DD74" s="137" t="s">
        <v>4246</v>
      </c>
      <c r="DE74" s="135" t="s">
        <v>1912</v>
      </c>
      <c r="DF74" s="320"/>
      <c r="DG74" s="278"/>
      <c r="DH74" s="278"/>
      <c r="DI74" s="278"/>
      <c r="DJ74" s="279" t="s">
        <v>3634</v>
      </c>
      <c r="DK74" s="203" t="s">
        <v>528</v>
      </c>
      <c r="DL74" s="278"/>
      <c r="DM74" s="203" t="s">
        <v>1030</v>
      </c>
      <c r="DN74" s="203" t="s">
        <v>4247</v>
      </c>
      <c r="DO74" s="278"/>
      <c r="DP74" s="278"/>
      <c r="DQ74" s="142" t="s">
        <v>2196</v>
      </c>
      <c r="DR74" s="278"/>
      <c r="DS74" s="278"/>
      <c r="DT74" s="203" t="s">
        <v>2716</v>
      </c>
      <c r="DU74" s="278"/>
      <c r="DV74" s="278"/>
      <c r="DW74" s="203" t="s">
        <v>4248</v>
      </c>
      <c r="DX74" s="139" t="s">
        <v>2959</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3584</v>
      </c>
      <c r="H76" s="163" t="s">
        <v>682</v>
      </c>
      <c r="I76" s="297" t="s">
        <v>4263</v>
      </c>
      <c r="J76" s="297" t="s">
        <v>4264</v>
      </c>
      <c r="K76" s="163" t="s">
        <v>2694</v>
      </c>
      <c r="L76" s="297" t="s">
        <v>4265</v>
      </c>
      <c r="M76" s="219"/>
      <c r="N76" s="297" t="s">
        <v>4266</v>
      </c>
      <c r="O76" s="297" t="s">
        <v>3257</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2614</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74" t="s">
        <v>4276</v>
      </c>
      <c r="BE76" s="170" t="s">
        <v>1604</v>
      </c>
      <c r="BF76" s="169"/>
      <c r="BG76" s="169"/>
      <c r="BH76" s="170" t="s">
        <v>1328</v>
      </c>
      <c r="BI76" s="170"/>
      <c r="BJ76" s="170"/>
      <c r="BK76" s="170" t="s">
        <v>1979</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2438</v>
      </c>
      <c r="CA76" s="172" t="s">
        <v>4283</v>
      </c>
      <c r="CB76" s="171" t="s">
        <v>4284</v>
      </c>
      <c r="CC76" s="171" t="s">
        <v>689</v>
      </c>
      <c r="CD76" s="272"/>
      <c r="CE76" s="273"/>
      <c r="CF76" s="306" t="s">
        <v>4285</v>
      </c>
      <c r="CG76" s="173" t="s">
        <v>4286</v>
      </c>
      <c r="CH76" s="306"/>
      <c r="CI76" s="132" t="s">
        <v>4287</v>
      </c>
      <c r="CJ76" s="133"/>
      <c r="CK76" s="173" t="s">
        <v>2724</v>
      </c>
      <c r="CL76" s="173" t="s">
        <v>1552</v>
      </c>
      <c r="CM76" s="173" t="s">
        <v>2825</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3684</v>
      </c>
      <c r="H77" s="93"/>
      <c r="I77" s="93" t="s">
        <v>4292</v>
      </c>
      <c r="J77" s="93" t="s">
        <v>4293</v>
      </c>
      <c r="K77" s="93" t="s">
        <v>1812</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2770</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2341</v>
      </c>
      <c r="BB77" s="93" t="s">
        <v>4300</v>
      </c>
      <c r="BC77" s="93" t="s">
        <v>2837</v>
      </c>
      <c r="BD77" s="93" t="s">
        <v>4301</v>
      </c>
      <c r="BE77" s="93" t="s">
        <v>4302</v>
      </c>
      <c r="BF77" s="93" t="s">
        <v>4303</v>
      </c>
      <c r="BG77" s="98"/>
      <c r="BH77" s="93" t="s">
        <v>2753</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2835</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3252</v>
      </c>
      <c r="H78" s="163" t="s">
        <v>1287</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2802</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2983</v>
      </c>
      <c r="BD78" s="170" t="s">
        <v>261</v>
      </c>
      <c r="BE78" s="170" t="s">
        <v>3833</v>
      </c>
      <c r="BF78" s="170" t="s">
        <v>1219</v>
      </c>
      <c r="BG78" s="170" t="s">
        <v>2770</v>
      </c>
      <c r="BH78" s="170" t="s">
        <v>517</v>
      </c>
      <c r="BI78" s="169"/>
      <c r="BJ78" s="170" t="s">
        <v>4349</v>
      </c>
      <c r="BK78" s="170" t="s">
        <v>2871</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43" t="s">
        <v>4364</v>
      </c>
      <c r="CL78" s="173" t="s">
        <v>3213</v>
      </c>
      <c r="CM78" s="173" t="s">
        <v>3659</v>
      </c>
      <c r="CN78" s="275"/>
      <c r="CO78" s="173" t="s">
        <v>1387</v>
      </c>
      <c r="CP78" s="173"/>
      <c r="CQ78" s="173" t="s">
        <v>4365</v>
      </c>
      <c r="CR78" s="173" t="s">
        <v>4366</v>
      </c>
      <c r="CS78" s="92"/>
      <c r="CT78" s="202" t="s">
        <v>3010</v>
      </c>
      <c r="CU78" s="202" t="s">
        <v>4367</v>
      </c>
      <c r="CV78" s="202" t="s">
        <v>4368</v>
      </c>
      <c r="CW78" s="202" t="s">
        <v>1551</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4108</v>
      </c>
      <c r="DT78" s="203" t="s">
        <v>1363</v>
      </c>
      <c r="DU78" s="203" t="s">
        <v>898</v>
      </c>
      <c r="DV78" s="278"/>
      <c r="DW78" s="203" t="s">
        <v>2214</v>
      </c>
      <c r="DX78" s="203" t="s">
        <v>3235</v>
      </c>
      <c r="DY78" s="203" t="s">
        <v>1095</v>
      </c>
      <c r="DZ78" s="203" t="s">
        <v>4381</v>
      </c>
      <c r="EA78" s="203" t="s">
        <v>2438</v>
      </c>
      <c r="EB78" s="312" t="s">
        <v>3314</v>
      </c>
    </row>
    <row r="79">
      <c r="A79" s="544" t="s">
        <v>4382</v>
      </c>
      <c r="B79" s="82" t="s">
        <v>4383</v>
      </c>
      <c r="C79" s="83" t="s">
        <v>1259</v>
      </c>
      <c r="D79" s="84" t="s">
        <v>1259</v>
      </c>
      <c r="E79" s="85" t="s">
        <v>1259</v>
      </c>
      <c r="F79" s="86" t="s">
        <v>545</v>
      </c>
      <c r="G79" s="82" t="s">
        <v>4384</v>
      </c>
      <c r="H79" s="93" t="s">
        <v>2115</v>
      </c>
      <c r="I79" s="93" t="s">
        <v>4385</v>
      </c>
      <c r="J79" s="93" t="s">
        <v>3533</v>
      </c>
      <c r="K79" s="93" t="s">
        <v>2270</v>
      </c>
      <c r="L79" s="93" t="s">
        <v>1113</v>
      </c>
      <c r="M79" s="93" t="s">
        <v>4386</v>
      </c>
      <c r="N79" s="93" t="s">
        <v>4387</v>
      </c>
      <c r="O79" s="93" t="s">
        <v>4388</v>
      </c>
      <c r="P79" s="93" t="s">
        <v>2825</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2223</v>
      </c>
      <c r="BC79" s="93" t="s">
        <v>293</v>
      </c>
      <c r="BD79" s="93" t="s">
        <v>4396</v>
      </c>
      <c r="BE79" s="93" t="s">
        <v>4397</v>
      </c>
      <c r="BF79" s="93" t="s">
        <v>1295</v>
      </c>
      <c r="BG79" s="98"/>
      <c r="BH79" s="93" t="s">
        <v>2169</v>
      </c>
      <c r="BI79" s="93" t="s">
        <v>4398</v>
      </c>
      <c r="BJ79" s="98"/>
      <c r="BK79" s="93" t="s">
        <v>2488</v>
      </c>
      <c r="BL79" s="98"/>
      <c r="BM79" s="98"/>
      <c r="BN79" s="93" t="s">
        <v>4399</v>
      </c>
      <c r="BO79" s="98"/>
      <c r="BP79" s="257"/>
      <c r="BQ79" s="93" t="s">
        <v>4400</v>
      </c>
      <c r="BR79" s="373" t="s">
        <v>3452</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2472</v>
      </c>
      <c r="CN79" s="98"/>
      <c r="CO79" s="98"/>
      <c r="CP79" s="98"/>
      <c r="CQ79" s="98"/>
      <c r="CR79" s="98"/>
      <c r="CS79" s="92"/>
      <c r="CT79" s="373" t="s">
        <v>4409</v>
      </c>
      <c r="CU79" s="372" t="s">
        <v>2536</v>
      </c>
      <c r="CV79" s="373" t="s">
        <v>1649</v>
      </c>
      <c r="CW79" s="373" t="s">
        <v>3080</v>
      </c>
      <c r="CX79" s="373" t="s">
        <v>4410</v>
      </c>
      <c r="CY79" s="373" t="s">
        <v>1649</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2925</v>
      </c>
      <c r="H80" s="163"/>
      <c r="I80" s="111" t="s">
        <v>4419</v>
      </c>
      <c r="J80" s="219" t="s">
        <v>1639</v>
      </c>
      <c r="K80" s="295" t="s">
        <v>4420</v>
      </c>
      <c r="L80" s="111" t="s">
        <v>4421</v>
      </c>
      <c r="M80" s="365" t="s">
        <v>1729</v>
      </c>
      <c r="N80" s="219"/>
      <c r="O80" s="297" t="s">
        <v>4422</v>
      </c>
      <c r="P80" s="111" t="s">
        <v>2825</v>
      </c>
      <c r="Q80" s="219"/>
      <c r="R80" s="163"/>
      <c r="S80" s="163"/>
      <c r="T80" s="219"/>
      <c r="U80" s="219"/>
      <c r="V80" s="219"/>
      <c r="W80" s="92"/>
      <c r="X80" s="114" t="s">
        <v>1660</v>
      </c>
      <c r="Y80" s="194" t="s">
        <v>4391</v>
      </c>
      <c r="Z80" s="114" t="s">
        <v>1431</v>
      </c>
      <c r="AA80" s="194" t="s">
        <v>4423</v>
      </c>
      <c r="AB80" s="114" t="s">
        <v>3362</v>
      </c>
      <c r="AC80" s="194" t="s">
        <v>2851</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2725</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4431</v>
      </c>
      <c r="CU80" s="276"/>
      <c r="CV80" s="396" t="s">
        <v>755</v>
      </c>
      <c r="CW80" s="202" t="s">
        <v>3193</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2845</v>
      </c>
      <c r="I81" s="286" t="s">
        <v>4435</v>
      </c>
      <c r="J81" s="93" t="s">
        <v>669</v>
      </c>
      <c r="K81" s="93" t="s">
        <v>4436</v>
      </c>
      <c r="L81" s="93" t="s">
        <v>4437</v>
      </c>
      <c r="M81" s="93" t="s">
        <v>4438</v>
      </c>
      <c r="N81" s="93" t="s">
        <v>4439</v>
      </c>
      <c r="O81" s="93" t="s">
        <v>370</v>
      </c>
      <c r="P81" s="93" t="s">
        <v>2802</v>
      </c>
      <c r="Q81" s="88" t="s">
        <v>4440</v>
      </c>
      <c r="R81" s="93" t="s">
        <v>2502</v>
      </c>
      <c r="S81" s="158" t="s">
        <v>2984</v>
      </c>
      <c r="T81" s="93" t="s">
        <v>2975</v>
      </c>
      <c r="U81" s="93" t="s">
        <v>2040</v>
      </c>
      <c r="V81" s="93" t="s">
        <v>4441</v>
      </c>
      <c r="W81" s="92"/>
      <c r="X81" s="286" t="s">
        <v>4442</v>
      </c>
      <c r="Y81" s="93" t="s">
        <v>3060</v>
      </c>
      <c r="Z81" s="206" t="s">
        <v>3460</v>
      </c>
      <c r="AA81" s="158" t="s">
        <v>3722</v>
      </c>
      <c r="AB81" s="158" t="s">
        <v>4443</v>
      </c>
      <c r="AC81" s="88" t="s">
        <v>4444</v>
      </c>
      <c r="AD81" s="98"/>
      <c r="AE81" s="88" t="s">
        <v>3331</v>
      </c>
      <c r="AF81" s="206" t="s">
        <v>1739</v>
      </c>
      <c r="AG81" s="93" t="s">
        <v>1837</v>
      </c>
      <c r="AH81" s="98"/>
      <c r="AI81" s="93" t="s">
        <v>3519</v>
      </c>
      <c r="AJ81" s="93" t="s">
        <v>4445</v>
      </c>
      <c r="AK81" s="96"/>
      <c r="AL81" s="93" t="s">
        <v>138</v>
      </c>
      <c r="AM81" s="93" t="s">
        <v>4446</v>
      </c>
      <c r="AN81" s="93" t="s">
        <v>4447</v>
      </c>
      <c r="AO81" s="93" t="s">
        <v>4448</v>
      </c>
      <c r="AP81" s="93" t="s">
        <v>1426</v>
      </c>
      <c r="AQ81" s="93" t="s">
        <v>3718</v>
      </c>
      <c r="AR81" s="93" t="s">
        <v>3568</v>
      </c>
      <c r="AS81" s="93" t="s">
        <v>4449</v>
      </c>
      <c r="AT81" s="93" t="s">
        <v>2683</v>
      </c>
      <c r="AU81" s="93" t="s">
        <v>1625</v>
      </c>
      <c r="AV81" s="93" t="s">
        <v>4450</v>
      </c>
      <c r="AW81" s="98"/>
      <c r="AX81" s="93" t="s">
        <v>1069</v>
      </c>
      <c r="AY81" s="286" t="s">
        <v>4451</v>
      </c>
      <c r="AZ81" s="93"/>
      <c r="BA81" s="93" t="s">
        <v>4452</v>
      </c>
      <c r="BB81" s="93" t="s">
        <v>4453</v>
      </c>
      <c r="BC81" s="88" t="s">
        <v>1396</v>
      </c>
      <c r="BD81" s="93" t="s">
        <v>4454</v>
      </c>
      <c r="BE81" s="93" t="s">
        <v>3667</v>
      </c>
      <c r="BF81" s="93" t="s">
        <v>4455</v>
      </c>
      <c r="BG81" s="93" t="s">
        <v>4456</v>
      </c>
      <c r="BH81" s="93" t="s">
        <v>1325</v>
      </c>
      <c r="BI81" s="93" t="s">
        <v>4457</v>
      </c>
      <c r="BJ81" s="93" t="s">
        <v>4458</v>
      </c>
      <c r="BK81" s="93" t="s">
        <v>2721</v>
      </c>
      <c r="BL81" s="93" t="s">
        <v>4459</v>
      </c>
      <c r="BM81" s="206" t="s">
        <v>3961</v>
      </c>
      <c r="BN81" s="93" t="s">
        <v>3744</v>
      </c>
      <c r="BO81" s="93" t="s">
        <v>4460</v>
      </c>
      <c r="BP81" s="93"/>
      <c r="BQ81" s="88" t="s">
        <v>4461</v>
      </c>
      <c r="BR81" s="93" t="s">
        <v>3232</v>
      </c>
      <c r="BS81" s="93" t="s">
        <v>4462</v>
      </c>
      <c r="BT81" s="88" t="s">
        <v>4463</v>
      </c>
      <c r="BU81" s="93" t="s">
        <v>4464</v>
      </c>
      <c r="BV81" s="93" t="s">
        <v>326</v>
      </c>
      <c r="BW81" s="98"/>
      <c r="BX81" s="98"/>
      <c r="BY81" s="206" t="s">
        <v>3560</v>
      </c>
      <c r="BZ81" s="93" t="s">
        <v>4250</v>
      </c>
      <c r="CA81" s="93" t="s">
        <v>4465</v>
      </c>
      <c r="CB81" s="93" t="s">
        <v>4466</v>
      </c>
      <c r="CC81" s="93" t="s">
        <v>3284</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3319</v>
      </c>
      <c r="CX81" s="93" t="s">
        <v>1484</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1856</v>
      </c>
      <c r="DM81" s="93" t="s">
        <v>3909</v>
      </c>
      <c r="DN81" s="93" t="s">
        <v>4484</v>
      </c>
      <c r="DO81" s="93" t="s">
        <v>4485</v>
      </c>
      <c r="DP81" s="93" t="s">
        <v>4236</v>
      </c>
      <c r="DQ81" s="93" t="s">
        <v>4486</v>
      </c>
      <c r="DR81" s="93" t="s">
        <v>814</v>
      </c>
      <c r="DS81" s="93" t="s">
        <v>1801</v>
      </c>
      <c r="DT81" s="93" t="s">
        <v>2649</v>
      </c>
      <c r="DU81" s="93" t="s">
        <v>4487</v>
      </c>
      <c r="DV81" s="93" t="s">
        <v>4488</v>
      </c>
      <c r="DW81" s="93" t="s">
        <v>4489</v>
      </c>
      <c r="DX81" s="93" t="s">
        <v>2896</v>
      </c>
      <c r="DY81" s="93" t="s">
        <v>2597</v>
      </c>
      <c r="DZ81" s="88" t="s">
        <v>4490</v>
      </c>
      <c r="EA81" s="88" t="s">
        <v>4041</v>
      </c>
      <c r="EB81" s="97" t="s">
        <v>3026</v>
      </c>
    </row>
    <row r="82">
      <c r="A82" s="545" t="s">
        <v>4491</v>
      </c>
      <c r="B82" s="546" t="s">
        <v>4492</v>
      </c>
      <c r="C82" s="547" t="s">
        <v>1259</v>
      </c>
      <c r="D82" s="548" t="s">
        <v>1259</v>
      </c>
      <c r="E82" s="549" t="s">
        <v>1259</v>
      </c>
      <c r="F82" s="550" t="s">
        <v>436</v>
      </c>
      <c r="G82" s="546" t="s">
        <v>4493</v>
      </c>
      <c r="H82" s="466"/>
      <c r="I82" s="365" t="s">
        <v>4494</v>
      </c>
      <c r="J82" s="466" t="s">
        <v>3032</v>
      </c>
      <c r="K82" s="466" t="s">
        <v>4495</v>
      </c>
      <c r="L82" s="466" t="s">
        <v>2768</v>
      </c>
      <c r="M82" s="111" t="s">
        <v>4496</v>
      </c>
      <c r="N82" s="466" t="s">
        <v>4497</v>
      </c>
      <c r="O82" s="466" t="s">
        <v>3808</v>
      </c>
      <c r="P82" s="466" t="s">
        <v>2931</v>
      </c>
      <c r="Q82" s="551"/>
      <c r="R82" s="551"/>
      <c r="S82" s="551"/>
      <c r="T82" s="551"/>
      <c r="U82" s="551"/>
      <c r="V82" s="551"/>
      <c r="W82" s="552"/>
      <c r="X82" s="378" t="s">
        <v>4498</v>
      </c>
      <c r="Y82" s="378" t="s">
        <v>3038</v>
      </c>
      <c r="Z82" s="378" t="s">
        <v>2156</v>
      </c>
      <c r="AA82" s="378" t="s">
        <v>1114</v>
      </c>
      <c r="AB82" s="378" t="s">
        <v>1780</v>
      </c>
      <c r="AC82" s="378" t="s">
        <v>3931</v>
      </c>
      <c r="AD82" s="553"/>
      <c r="AE82" s="378" t="s">
        <v>2351</v>
      </c>
      <c r="AF82" s="378" t="s">
        <v>3169</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3150</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2183</v>
      </c>
      <c r="BV82" s="470" t="s">
        <v>821</v>
      </c>
      <c r="BW82" s="127" t="s">
        <v>4506</v>
      </c>
      <c r="BX82" s="470"/>
      <c r="BY82" s="470" t="s">
        <v>4507</v>
      </c>
      <c r="BZ82" s="470" t="s">
        <v>4508</v>
      </c>
      <c r="CA82" s="559"/>
      <c r="CB82" s="559"/>
      <c r="CC82" s="559"/>
      <c r="CD82" s="559"/>
      <c r="CE82" s="560"/>
      <c r="CF82" s="319" t="s">
        <v>4509</v>
      </c>
      <c r="CG82" s="319" t="s">
        <v>185</v>
      </c>
      <c r="CH82" s="319" t="s">
        <v>3547</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3722</v>
      </c>
      <c r="CX82" s="397" t="s">
        <v>2150</v>
      </c>
      <c r="CY82" s="397" t="s">
        <v>3795</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2397</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2136</v>
      </c>
      <c r="U83" s="93" t="s">
        <v>4529</v>
      </c>
      <c r="V83" s="93" t="s">
        <v>4530</v>
      </c>
      <c r="W83" s="92"/>
      <c r="X83" s="88" t="s">
        <v>1471</v>
      </c>
      <c r="Y83" s="88" t="s">
        <v>467</v>
      </c>
      <c r="Z83" s="88" t="s">
        <v>291</v>
      </c>
      <c r="AA83" s="93" t="s">
        <v>4531</v>
      </c>
      <c r="AB83" s="93" t="s">
        <v>3088</v>
      </c>
      <c r="AC83" s="88" t="s">
        <v>2745</v>
      </c>
      <c r="AD83" s="88" t="s">
        <v>4532</v>
      </c>
      <c r="AE83" s="88" t="s">
        <v>4533</v>
      </c>
      <c r="AF83" s="88" t="s">
        <v>1567</v>
      </c>
      <c r="AG83" s="93" t="s">
        <v>4534</v>
      </c>
      <c r="AH83" s="93" t="s">
        <v>4535</v>
      </c>
      <c r="AI83" s="93" t="s">
        <v>3540</v>
      </c>
      <c r="AJ83" s="93" t="s">
        <v>4536</v>
      </c>
      <c r="AK83" s="96"/>
      <c r="AL83" s="93" t="s">
        <v>715</v>
      </c>
      <c r="AM83" s="93" t="s">
        <v>4537</v>
      </c>
      <c r="AN83" s="93" t="s">
        <v>4538</v>
      </c>
      <c r="AO83" s="93" t="s">
        <v>4539</v>
      </c>
      <c r="AP83" s="93" t="s">
        <v>4540</v>
      </c>
      <c r="AQ83" s="93"/>
      <c r="AR83" s="93" t="s">
        <v>3545</v>
      </c>
      <c r="AS83" s="93" t="s">
        <v>2991</v>
      </c>
      <c r="AT83" s="88" t="s">
        <v>2743</v>
      </c>
      <c r="AU83" s="88" t="s">
        <v>179</v>
      </c>
      <c r="AV83" s="88" t="s">
        <v>635</v>
      </c>
      <c r="AW83" s="93" t="s">
        <v>4109</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3354</v>
      </c>
      <c r="CJ83" s="399" t="s">
        <v>4193</v>
      </c>
      <c r="CK83" s="88" t="s">
        <v>4558</v>
      </c>
      <c r="CL83" s="88" t="s">
        <v>4471</v>
      </c>
      <c r="CM83" s="88" t="s">
        <v>1778</v>
      </c>
      <c r="CN83" s="93" t="s">
        <v>4559</v>
      </c>
      <c r="CO83" s="93" t="s">
        <v>775</v>
      </c>
      <c r="CP83" s="93" t="s">
        <v>2292</v>
      </c>
      <c r="CQ83" s="93" t="s">
        <v>4560</v>
      </c>
      <c r="CR83" s="93" t="s">
        <v>871</v>
      </c>
      <c r="CS83" s="92"/>
      <c r="CT83" s="286" t="s">
        <v>4561</v>
      </c>
      <c r="CU83" s="88" t="s">
        <v>1991</v>
      </c>
      <c r="CV83" s="93" t="s">
        <v>2493</v>
      </c>
      <c r="CW83" s="93" t="s">
        <v>3504</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1469</v>
      </c>
      <c r="DK83" s="88" t="s">
        <v>3896</v>
      </c>
      <c r="DL83" s="93" t="s">
        <v>4569</v>
      </c>
      <c r="DM83" s="93" t="s">
        <v>4570</v>
      </c>
      <c r="DN83" s="93" t="s">
        <v>3060</v>
      </c>
      <c r="DO83" s="93" t="s">
        <v>4202</v>
      </c>
      <c r="DP83" s="88" t="s">
        <v>4571</v>
      </c>
      <c r="DQ83" s="88" t="s">
        <v>3449</v>
      </c>
      <c r="DR83" s="88" t="s">
        <v>3757</v>
      </c>
      <c r="DS83" s="93" t="s">
        <v>2104</v>
      </c>
      <c r="DT83" s="93" t="s">
        <v>4572</v>
      </c>
      <c r="DU83" s="88" t="s">
        <v>2752</v>
      </c>
      <c r="DV83" s="93" t="s">
        <v>2181</v>
      </c>
      <c r="DW83" s="93" t="s">
        <v>1832</v>
      </c>
      <c r="DX83" s="93" t="s">
        <v>2480</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2693</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3534</v>
      </c>
      <c r="AA84" s="194" t="s">
        <v>4582</v>
      </c>
      <c r="AB84" s="194" t="s">
        <v>3630</v>
      </c>
      <c r="AC84" s="194" t="s">
        <v>4583</v>
      </c>
      <c r="AD84" s="266"/>
      <c r="AE84" s="266"/>
      <c r="AF84" s="194" t="s">
        <v>3190</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3375</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2292</v>
      </c>
      <c r="M85" s="93" t="s">
        <v>4598</v>
      </c>
      <c r="N85" s="93" t="s">
        <v>4599</v>
      </c>
      <c r="O85" s="93" t="s">
        <v>934</v>
      </c>
      <c r="P85" s="93" t="s">
        <v>3995</v>
      </c>
      <c r="Q85" s="98"/>
      <c r="R85" s="93" t="s">
        <v>3718</v>
      </c>
      <c r="S85" s="93" t="s">
        <v>1508</v>
      </c>
      <c r="T85" s="98"/>
      <c r="U85" s="98"/>
      <c r="V85" s="98"/>
      <c r="W85" s="92"/>
      <c r="X85" s="93" t="s">
        <v>4600</v>
      </c>
      <c r="Y85" s="93" t="s">
        <v>361</v>
      </c>
      <c r="Z85" s="93" t="s">
        <v>2825</v>
      </c>
      <c r="AA85" s="281" t="s">
        <v>3137</v>
      </c>
      <c r="AB85" s="566" t="s">
        <v>4023</v>
      </c>
      <c r="AC85" s="93" t="s">
        <v>4601</v>
      </c>
      <c r="AD85" s="93"/>
      <c r="AE85" s="93" t="s">
        <v>4602</v>
      </c>
      <c r="AF85" s="93" t="s">
        <v>4603</v>
      </c>
      <c r="AG85" s="98"/>
      <c r="AH85" s="98"/>
      <c r="AI85" s="98"/>
      <c r="AJ85" s="93" t="s">
        <v>4604</v>
      </c>
      <c r="AK85" s="96"/>
      <c r="AL85" s="93"/>
      <c r="AM85" s="93" t="s">
        <v>4605</v>
      </c>
      <c r="AN85" s="98"/>
      <c r="AO85" s="93" t="s">
        <v>2958</v>
      </c>
      <c r="AP85" s="98"/>
      <c r="AQ85" s="98"/>
      <c r="AR85" s="98"/>
      <c r="AS85" s="98"/>
      <c r="AT85" s="98"/>
      <c r="AU85" s="93" t="s">
        <v>517</v>
      </c>
      <c r="AV85" s="98"/>
      <c r="AW85" s="98"/>
      <c r="AX85" s="93" t="s">
        <v>1368</v>
      </c>
      <c r="AY85" s="98"/>
      <c r="AZ85" s="98"/>
      <c r="BA85" s="98"/>
      <c r="BB85" s="93" t="s">
        <v>676</v>
      </c>
      <c r="BC85" s="93" t="s">
        <v>2317</v>
      </c>
      <c r="BD85" s="566" t="s">
        <v>4606</v>
      </c>
      <c r="BE85" s="93" t="s">
        <v>1604</v>
      </c>
      <c r="BF85" s="98"/>
      <c r="BG85" s="98"/>
      <c r="BH85" s="93" t="s">
        <v>2317</v>
      </c>
      <c r="BI85" s="93" t="s">
        <v>4607</v>
      </c>
      <c r="BJ85" s="93"/>
      <c r="BK85" s="98"/>
      <c r="BL85" s="98"/>
      <c r="BM85" s="93" t="s">
        <v>4608</v>
      </c>
      <c r="BN85" s="98"/>
      <c r="BO85" s="98"/>
      <c r="BP85" s="257"/>
      <c r="BQ85" s="93" t="s">
        <v>4609</v>
      </c>
      <c r="BR85" s="93" t="s">
        <v>3620</v>
      </c>
      <c r="BS85" s="93" t="s">
        <v>3287</v>
      </c>
      <c r="BT85" s="93" t="s">
        <v>4250</v>
      </c>
      <c r="BU85" s="93" t="s">
        <v>2975</v>
      </c>
      <c r="BV85" s="93" t="s">
        <v>3099</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3132</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2919</v>
      </c>
      <c r="DB85" s="98"/>
      <c r="DC85" s="98"/>
      <c r="DD85" s="98"/>
      <c r="DE85" s="93" t="s">
        <v>4622</v>
      </c>
      <c r="DF85" s="93"/>
      <c r="DG85" s="93" t="s">
        <v>4623</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2925</v>
      </c>
      <c r="G86" s="103" t="s">
        <v>2397</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3577</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3078</v>
      </c>
      <c r="AF87" s="98"/>
      <c r="AG87" s="98"/>
      <c r="AH87" s="93"/>
      <c r="AI87" s="93" t="s">
        <v>3072</v>
      </c>
      <c r="AJ87" s="98"/>
      <c r="AK87" s="96"/>
      <c r="AL87" s="98"/>
      <c r="AM87" s="93" t="s">
        <v>4216</v>
      </c>
      <c r="AN87" s="98"/>
      <c r="AO87" s="93" t="s">
        <v>4639</v>
      </c>
      <c r="AP87" s="98"/>
      <c r="AQ87" s="98"/>
      <c r="AR87" s="98"/>
      <c r="AS87" s="98"/>
      <c r="AT87" s="93" t="s">
        <v>1947</v>
      </c>
      <c r="AU87" s="93" t="s">
        <v>3442</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2298</v>
      </c>
      <c r="BT87" s="93" t="s">
        <v>4644</v>
      </c>
      <c r="BU87" s="93" t="s">
        <v>241</v>
      </c>
      <c r="BV87" s="93" t="s">
        <v>3790</v>
      </c>
      <c r="BW87" s="98"/>
      <c r="BX87" s="93" t="s">
        <v>2387</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4271</v>
      </c>
      <c r="CY87" s="98"/>
      <c r="CZ87" s="93" t="s">
        <v>4650</v>
      </c>
      <c r="DA87" s="93" t="s">
        <v>4651</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2962</v>
      </c>
      <c r="G88" s="573" t="s">
        <v>1352</v>
      </c>
      <c r="H88" s="578" t="s">
        <v>4656</v>
      </c>
      <c r="I88" s="579" t="s">
        <v>4657</v>
      </c>
      <c r="J88" s="578" t="s">
        <v>4658</v>
      </c>
      <c r="K88" s="578" t="s">
        <v>2227</v>
      </c>
      <c r="L88" s="578" t="s">
        <v>2764</v>
      </c>
      <c r="M88" s="578" t="s">
        <v>4659</v>
      </c>
      <c r="N88" s="579" t="s">
        <v>4660</v>
      </c>
      <c r="O88" s="578" t="s">
        <v>370</v>
      </c>
      <c r="P88" s="580" t="s">
        <v>4661</v>
      </c>
      <c r="Q88" s="580" t="s">
        <v>4662</v>
      </c>
      <c r="R88" s="580" t="s">
        <v>2511</v>
      </c>
      <c r="S88" s="580" t="s">
        <v>4101</v>
      </c>
      <c r="T88" s="580" t="s">
        <v>1268</v>
      </c>
      <c r="U88" s="580" t="s">
        <v>4663</v>
      </c>
      <c r="V88" s="578" t="s">
        <v>4664</v>
      </c>
      <c r="W88" s="581"/>
      <c r="X88" s="582" t="s">
        <v>2789</v>
      </c>
      <c r="Y88" s="582" t="s">
        <v>4665</v>
      </c>
      <c r="Z88" s="583" t="s">
        <v>510</v>
      </c>
      <c r="AA88" s="583" t="s">
        <v>628</v>
      </c>
      <c r="AB88" s="582" t="s">
        <v>2290</v>
      </c>
      <c r="AC88" s="583" t="s">
        <v>4666</v>
      </c>
      <c r="AD88" s="582"/>
      <c r="AE88" s="582" t="s">
        <v>4667</v>
      </c>
      <c r="AF88" s="584" t="s">
        <v>4668</v>
      </c>
      <c r="AG88" s="582" t="s">
        <v>3528</v>
      </c>
      <c r="AH88" s="585" t="s">
        <v>1404</v>
      </c>
      <c r="AI88" s="114" t="s">
        <v>2162</v>
      </c>
      <c r="AJ88" s="585" t="s">
        <v>4669</v>
      </c>
      <c r="AK88" s="586"/>
      <c r="AL88" s="587" t="s">
        <v>3424</v>
      </c>
      <c r="AM88" s="587" t="s">
        <v>1306</v>
      </c>
      <c r="AN88" s="587" t="s">
        <v>4670</v>
      </c>
      <c r="AO88" s="588" t="s">
        <v>2967</v>
      </c>
      <c r="AP88" s="588" t="s">
        <v>131</v>
      </c>
      <c r="AQ88" s="588" t="s">
        <v>4671</v>
      </c>
      <c r="AR88" s="587" t="s">
        <v>4672</v>
      </c>
      <c r="AS88" s="588" t="s">
        <v>4673</v>
      </c>
      <c r="AT88" s="588" t="s">
        <v>3086</v>
      </c>
      <c r="AU88" s="589" t="s">
        <v>2525</v>
      </c>
      <c r="AV88" s="587" t="s">
        <v>3196</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2463</v>
      </c>
      <c r="BI88" s="591" t="s">
        <v>4678</v>
      </c>
      <c r="BJ88" s="170"/>
      <c r="BK88" s="593" t="s">
        <v>2488</v>
      </c>
      <c r="BL88" s="594"/>
      <c r="BM88" s="594"/>
      <c r="BN88" s="594"/>
      <c r="BO88" s="594"/>
      <c r="BP88" s="595"/>
      <c r="BQ88" s="596"/>
      <c r="BR88" s="597" t="s">
        <v>4679</v>
      </c>
      <c r="BS88" s="598" t="s">
        <v>4680</v>
      </c>
      <c r="BT88" s="597" t="s">
        <v>2846</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3202</v>
      </c>
      <c r="CP88" s="604" t="s">
        <v>4690</v>
      </c>
      <c r="CQ88" s="605"/>
      <c r="CR88" s="605"/>
      <c r="CS88" s="581"/>
      <c r="CT88" s="606" t="s">
        <v>4544</v>
      </c>
      <c r="CU88" s="607" t="s">
        <v>2133</v>
      </c>
      <c r="CV88" s="608" t="s">
        <v>4691</v>
      </c>
      <c r="CW88" s="607" t="s">
        <v>4692</v>
      </c>
      <c r="CX88" s="608" t="s">
        <v>4693</v>
      </c>
      <c r="CY88" s="606" t="s">
        <v>2122</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3221</v>
      </c>
      <c r="DS88" s="613" t="s">
        <v>4702</v>
      </c>
      <c r="DT88" s="617"/>
      <c r="DU88" s="615" t="s">
        <v>1627</v>
      </c>
      <c r="DV88" s="614"/>
      <c r="DW88" s="615" t="s">
        <v>2953</v>
      </c>
      <c r="DX88" s="613" t="s">
        <v>2820</v>
      </c>
      <c r="DY88" s="617"/>
      <c r="DZ88" s="613" t="s">
        <v>1032</v>
      </c>
      <c r="EA88" s="617"/>
      <c r="EB88" s="139" t="s">
        <v>4703</v>
      </c>
    </row>
    <row r="89">
      <c r="A89" s="618" t="s">
        <v>4704</v>
      </c>
      <c r="B89" s="82" t="s">
        <v>4705</v>
      </c>
      <c r="C89" s="83" t="s">
        <v>1259</v>
      </c>
      <c r="D89" s="84" t="s">
        <v>1259</v>
      </c>
      <c r="E89" s="85" t="s">
        <v>1259</v>
      </c>
      <c r="F89" s="86" t="s">
        <v>2014</v>
      </c>
      <c r="G89" s="82" t="s">
        <v>4706</v>
      </c>
      <c r="H89" s="98"/>
      <c r="I89" s="88" t="s">
        <v>2506</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2562</v>
      </c>
      <c r="BL89" s="98"/>
      <c r="BM89" s="98"/>
      <c r="BN89" s="98"/>
      <c r="BO89" s="98"/>
      <c r="BP89" s="257"/>
      <c r="BQ89" s="88" t="s">
        <v>4714</v>
      </c>
      <c r="BR89" s="88" t="s">
        <v>2193</v>
      </c>
      <c r="BS89" s="88" t="s">
        <v>3547</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3459</v>
      </c>
      <c r="CM89" s="88" t="s">
        <v>2889</v>
      </c>
      <c r="CN89" s="98"/>
      <c r="CO89" s="98"/>
      <c r="CP89" s="98"/>
      <c r="CQ89" s="98"/>
      <c r="CR89" s="98"/>
      <c r="CS89" s="92"/>
      <c r="CT89" s="88" t="s">
        <v>4719</v>
      </c>
      <c r="CU89" s="399" t="str">
        <f>HYPERLINK("https://youtu.be/E3G9EWGMU-8?t=986", "14.55")</f>
        <v>14.55</v>
      </c>
      <c r="CV89" s="88" t="s">
        <v>3617</v>
      </c>
      <c r="CW89" s="88" t="s">
        <v>4720</v>
      </c>
      <c r="CX89" s="88" t="s">
        <v>622</v>
      </c>
      <c r="CY89" s="98"/>
      <c r="CZ89" s="88" t="s">
        <v>4721</v>
      </c>
      <c r="DA89" s="88" t="s">
        <v>3968</v>
      </c>
      <c r="DB89" s="98"/>
      <c r="DC89" s="98"/>
      <c r="DD89" s="98"/>
      <c r="DE89" s="98"/>
      <c r="DF89" s="257"/>
      <c r="DG89" s="88" t="s">
        <v>2402</v>
      </c>
      <c r="DH89" s="98"/>
      <c r="DI89" s="98"/>
      <c r="DJ89" s="98"/>
      <c r="DK89" s="88" t="s">
        <v>528</v>
      </c>
      <c r="DL89" s="98"/>
      <c r="DM89" s="98"/>
      <c r="DN89" s="98"/>
      <c r="DO89" s="98"/>
      <c r="DP89" s="88" t="s">
        <v>4722</v>
      </c>
      <c r="DQ89" s="88" t="s">
        <v>2446</v>
      </c>
      <c r="DR89" s="98"/>
      <c r="DS89" s="98"/>
      <c r="DT89" s="98"/>
      <c r="DU89" s="98"/>
      <c r="DV89" s="98"/>
      <c r="DW89" s="98"/>
      <c r="DX89" s="98"/>
      <c r="DY89" s="93" t="s">
        <v>4723</v>
      </c>
      <c r="DZ89" s="88" t="s">
        <v>2667</v>
      </c>
      <c r="EA89" s="98"/>
      <c r="EB89" s="97" t="s">
        <v>1805</v>
      </c>
    </row>
    <row r="90">
      <c r="A90" s="162" t="s">
        <v>4724</v>
      </c>
      <c r="B90" s="103" t="s">
        <v>4725</v>
      </c>
      <c r="C90" s="104" t="s">
        <v>1259</v>
      </c>
      <c r="D90" s="105" t="s">
        <v>1259</v>
      </c>
      <c r="E90" s="106" t="s">
        <v>1259</v>
      </c>
      <c r="F90" s="107" t="s">
        <v>914</v>
      </c>
      <c r="G90" s="103" t="s">
        <v>1129</v>
      </c>
      <c r="H90" s="163" t="s">
        <v>3501</v>
      </c>
      <c r="I90" s="163" t="s">
        <v>4726</v>
      </c>
      <c r="J90" s="163" t="s">
        <v>1368</v>
      </c>
      <c r="K90" s="163" t="s">
        <v>4597</v>
      </c>
      <c r="L90" s="163" t="s">
        <v>4727</v>
      </c>
      <c r="M90" s="219"/>
      <c r="N90" s="163" t="s">
        <v>2195</v>
      </c>
      <c r="O90" s="163" t="s">
        <v>4396</v>
      </c>
      <c r="P90" s="163" t="s">
        <v>1010</v>
      </c>
      <c r="Q90" s="163" t="s">
        <v>2684</v>
      </c>
      <c r="R90" s="219"/>
      <c r="S90" s="163" t="s">
        <v>193</v>
      </c>
      <c r="T90" s="219"/>
      <c r="U90" s="219"/>
      <c r="V90" s="163" t="s">
        <v>4728</v>
      </c>
      <c r="W90" s="92"/>
      <c r="X90" s="194" t="s">
        <v>4729</v>
      </c>
      <c r="Y90" s="194" t="s">
        <v>4730</v>
      </c>
      <c r="Z90" s="194" t="s">
        <v>237</v>
      </c>
      <c r="AA90" s="194" t="s">
        <v>4731</v>
      </c>
      <c r="AB90" s="194" t="s">
        <v>4732</v>
      </c>
      <c r="AC90" s="194" t="s">
        <v>2978</v>
      </c>
      <c r="AD90" s="194" t="s">
        <v>4474</v>
      </c>
      <c r="AE90" s="194" t="s">
        <v>1386</v>
      </c>
      <c r="AF90" s="194" t="s">
        <v>4296</v>
      </c>
      <c r="AG90" s="194" t="s">
        <v>1343</v>
      </c>
      <c r="AH90" s="194"/>
      <c r="AI90" s="114" t="s">
        <v>4733</v>
      </c>
      <c r="AJ90" s="194" t="s">
        <v>4734</v>
      </c>
      <c r="AK90" s="96"/>
      <c r="AL90" s="164" t="s">
        <v>3669</v>
      </c>
      <c r="AM90" s="164" t="s">
        <v>388</v>
      </c>
      <c r="AN90" s="164" t="s">
        <v>4735</v>
      </c>
      <c r="AO90" s="164" t="s">
        <v>4736</v>
      </c>
      <c r="AP90" s="164" t="s">
        <v>1577</v>
      </c>
      <c r="AQ90" s="164"/>
      <c r="AR90" s="164" t="s">
        <v>1535</v>
      </c>
      <c r="AS90" s="164" t="s">
        <v>4737</v>
      </c>
      <c r="AT90" s="164" t="s">
        <v>2472</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3225</v>
      </c>
      <c r="BN90" s="170" t="s">
        <v>150</v>
      </c>
      <c r="BO90" s="170" t="s">
        <v>4744</v>
      </c>
      <c r="BP90" s="170"/>
      <c r="BQ90" s="272"/>
      <c r="BR90" s="272"/>
      <c r="BS90" s="171" t="s">
        <v>4745</v>
      </c>
      <c r="BT90" s="171" t="s">
        <v>2231</v>
      </c>
      <c r="BU90" s="171" t="s">
        <v>4746</v>
      </c>
      <c r="BV90" s="171" t="s">
        <v>2814</v>
      </c>
      <c r="BW90" s="272"/>
      <c r="BX90" s="171" t="s">
        <v>4747</v>
      </c>
      <c r="BY90" s="272"/>
      <c r="BZ90" s="171" t="s">
        <v>1115</v>
      </c>
      <c r="CA90" s="171" t="s">
        <v>4748</v>
      </c>
      <c r="CB90" s="171" t="s">
        <v>666</v>
      </c>
      <c r="CC90" s="171" t="s">
        <v>3164</v>
      </c>
      <c r="CD90" s="127" t="s">
        <v>4749</v>
      </c>
      <c r="CE90" s="318"/>
      <c r="CF90" s="173" t="s">
        <v>4750</v>
      </c>
      <c r="CG90" s="173" t="s">
        <v>1823</v>
      </c>
      <c r="CH90" s="275"/>
      <c r="CI90" s="275"/>
      <c r="CJ90" s="275" t="s">
        <v>3296</v>
      </c>
      <c r="CK90" s="275"/>
      <c r="CL90" s="173" t="s">
        <v>2908</v>
      </c>
      <c r="CM90" s="173" t="s">
        <v>3405</v>
      </c>
      <c r="CN90" s="275"/>
      <c r="CO90" s="173" t="s">
        <v>4010</v>
      </c>
      <c r="CP90" s="275"/>
      <c r="CQ90" s="275"/>
      <c r="CR90" s="132" t="s">
        <v>4751</v>
      </c>
      <c r="CS90" s="92"/>
      <c r="CT90" s="202" t="s">
        <v>2583</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3974</v>
      </c>
      <c r="DN90" s="203" t="s">
        <v>3118</v>
      </c>
      <c r="DO90" s="203" t="s">
        <v>2285</v>
      </c>
      <c r="DP90" s="203" t="s">
        <v>1038</v>
      </c>
      <c r="DQ90" s="278"/>
      <c r="DR90" s="203" t="s">
        <v>4758</v>
      </c>
      <c r="DS90" s="203" t="s">
        <v>4759</v>
      </c>
      <c r="DT90" s="203" t="s">
        <v>4760</v>
      </c>
      <c r="DU90" s="203" t="s">
        <v>4761</v>
      </c>
      <c r="DV90" s="203" t="s">
        <v>1919</v>
      </c>
      <c r="DW90" s="203" t="s">
        <v>1314</v>
      </c>
      <c r="DX90" s="203" t="s">
        <v>3259</v>
      </c>
      <c r="DY90" s="203" t="s">
        <v>2901</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2663</v>
      </c>
      <c r="P91" s="88" t="s">
        <v>2931</v>
      </c>
      <c r="Q91" s="98"/>
      <c r="R91" s="98"/>
      <c r="S91" s="98"/>
      <c r="T91" s="98"/>
      <c r="U91" s="98"/>
      <c r="V91" s="93" t="s">
        <v>4770</v>
      </c>
      <c r="W91" s="92"/>
      <c r="X91" s="286" t="s">
        <v>2881</v>
      </c>
      <c r="Y91" s="93" t="s">
        <v>1010</v>
      </c>
      <c r="Z91" s="88" t="s">
        <v>1739</v>
      </c>
      <c r="AA91" s="88" t="s">
        <v>4771</v>
      </c>
      <c r="AB91" s="88" t="s">
        <v>2328</v>
      </c>
      <c r="AC91" s="286" t="s">
        <v>4373</v>
      </c>
      <c r="AD91" s="93"/>
      <c r="AE91" s="158" t="s">
        <v>3591</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2170</v>
      </c>
      <c r="BD91" s="88" t="s">
        <v>377</v>
      </c>
      <c r="BE91" s="93" t="s">
        <v>1228</v>
      </c>
      <c r="BF91" s="98"/>
      <c r="BG91" s="98"/>
      <c r="BH91" s="286" t="s">
        <v>2616</v>
      </c>
      <c r="BI91" s="98"/>
      <c r="BJ91" s="93" t="s">
        <v>4775</v>
      </c>
      <c r="BK91" s="98"/>
      <c r="BL91" s="93"/>
      <c r="BM91" s="93" t="s">
        <v>3202</v>
      </c>
      <c r="BN91" s="93" t="s">
        <v>4483</v>
      </c>
      <c r="BO91" s="98"/>
      <c r="BP91" s="257"/>
      <c r="BQ91" s="98"/>
      <c r="BR91" s="93" t="s">
        <v>2189</v>
      </c>
      <c r="BS91" s="97" t="s">
        <v>3413</v>
      </c>
      <c r="BT91" s="93" t="s">
        <v>2010</v>
      </c>
      <c r="BU91" s="93" t="s">
        <v>4776</v>
      </c>
      <c r="BV91" s="93" t="s">
        <v>2814</v>
      </c>
      <c r="BW91" s="98"/>
      <c r="BX91" s="98"/>
      <c r="BY91" s="98"/>
      <c r="BZ91" s="88" t="s">
        <v>4684</v>
      </c>
      <c r="CA91" s="88" t="s">
        <v>4777</v>
      </c>
      <c r="CB91" s="98"/>
      <c r="CC91" s="88" t="s">
        <v>3104</v>
      </c>
      <c r="CD91" s="93" t="s">
        <v>4778</v>
      </c>
      <c r="CE91" s="93"/>
      <c r="CF91" s="93" t="s">
        <v>4779</v>
      </c>
      <c r="CG91" s="88" t="s">
        <v>293</v>
      </c>
      <c r="CH91" s="93" t="s">
        <v>4780</v>
      </c>
      <c r="CI91" s="93" t="s">
        <v>4781</v>
      </c>
      <c r="CJ91" s="93"/>
      <c r="CK91" s="98"/>
      <c r="CL91" s="93" t="s">
        <v>4782</v>
      </c>
      <c r="CM91" s="88" t="s">
        <v>2889</v>
      </c>
      <c r="CN91" s="98"/>
      <c r="CO91" s="93"/>
      <c r="CP91" s="98"/>
      <c r="CQ91" s="98"/>
      <c r="CR91" s="93" t="s">
        <v>4783</v>
      </c>
      <c r="CS91" s="92"/>
      <c r="CT91" s="93" t="s">
        <v>4663</v>
      </c>
      <c r="CU91" s="98"/>
      <c r="CV91" s="286" t="s">
        <v>172</v>
      </c>
      <c r="CW91" s="93" t="s">
        <v>4409</v>
      </c>
      <c r="CX91" s="93" t="s">
        <v>4784</v>
      </c>
      <c r="CY91" s="93" t="s">
        <v>4785</v>
      </c>
      <c r="CZ91" s="286" t="s">
        <v>4650</v>
      </c>
      <c r="DA91" s="93" t="s">
        <v>2919</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2925</v>
      </c>
      <c r="G92" s="103" t="s">
        <v>2397</v>
      </c>
      <c r="H92" s="111" t="s">
        <v>3620</v>
      </c>
      <c r="I92" s="621"/>
      <c r="J92" s="487" t="s">
        <v>4782</v>
      </c>
      <c r="K92" s="111" t="s">
        <v>993</v>
      </c>
      <c r="L92" s="111" t="s">
        <v>2153</v>
      </c>
      <c r="M92" s="111" t="s">
        <v>4794</v>
      </c>
      <c r="N92" s="487"/>
      <c r="O92" s="487"/>
      <c r="P92" s="111" t="s">
        <v>555</v>
      </c>
      <c r="Q92" s="111" t="s">
        <v>4795</v>
      </c>
      <c r="R92" s="111" t="s">
        <v>3890</v>
      </c>
      <c r="S92" s="219"/>
      <c r="T92" s="111" t="s">
        <v>4796</v>
      </c>
      <c r="U92" s="219"/>
      <c r="V92" s="111" t="s">
        <v>4797</v>
      </c>
      <c r="W92" s="92"/>
      <c r="X92" s="115"/>
      <c r="Y92" s="115" t="s">
        <v>3173</v>
      </c>
      <c r="Z92" s="114" t="s">
        <v>320</v>
      </c>
      <c r="AA92" s="378"/>
      <c r="AB92" s="115" t="s">
        <v>1054</v>
      </c>
      <c r="AC92" s="114" t="s">
        <v>4105</v>
      </c>
      <c r="AD92" s="194" t="s">
        <v>4798</v>
      </c>
      <c r="AE92" s="114" t="s">
        <v>2273</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2346</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2161</v>
      </c>
      <c r="CX92" s="310"/>
      <c r="CY92" s="310"/>
      <c r="CZ92" s="137" t="s">
        <v>4197</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2078</v>
      </c>
      <c r="H93" s="93" t="s">
        <v>791</v>
      </c>
      <c r="I93" s="88" t="s">
        <v>4815</v>
      </c>
      <c r="J93" s="88" t="s">
        <v>4816</v>
      </c>
      <c r="K93" s="88" t="s">
        <v>3919</v>
      </c>
      <c r="L93" s="88" t="s">
        <v>2772</v>
      </c>
      <c r="M93" s="88" t="s">
        <v>3479</v>
      </c>
      <c r="N93" s="88" t="s">
        <v>4817</v>
      </c>
      <c r="O93" s="88" t="s">
        <v>4231</v>
      </c>
      <c r="P93" s="88" t="s">
        <v>4818</v>
      </c>
      <c r="Q93" s="88" t="s">
        <v>4819</v>
      </c>
      <c r="R93" s="98"/>
      <c r="S93" s="88" t="s">
        <v>3041</v>
      </c>
      <c r="T93" s="88" t="s">
        <v>4820</v>
      </c>
      <c r="U93" s="98"/>
      <c r="V93" s="93" t="s">
        <v>4821</v>
      </c>
      <c r="W93" s="92"/>
      <c r="X93" s="88" t="s">
        <v>1747</v>
      </c>
      <c r="Y93" s="98"/>
      <c r="Z93" s="88" t="s">
        <v>1071</v>
      </c>
      <c r="AA93" s="158" t="s">
        <v>4822</v>
      </c>
      <c r="AB93" s="88" t="s">
        <v>1485</v>
      </c>
      <c r="AC93" s="93" t="s">
        <v>2699</v>
      </c>
      <c r="AD93" s="98"/>
      <c r="AE93" s="88" t="s">
        <v>3591</v>
      </c>
      <c r="AF93" s="88" t="s">
        <v>4823</v>
      </c>
      <c r="AG93" s="98"/>
      <c r="AH93" s="93" t="s">
        <v>2751</v>
      </c>
      <c r="AI93" s="93" t="s">
        <v>756</v>
      </c>
      <c r="AJ93" s="98"/>
      <c r="AK93" s="96"/>
      <c r="AL93" s="93" t="s">
        <v>4824</v>
      </c>
      <c r="AM93" s="93" t="s">
        <v>4825</v>
      </c>
      <c r="AN93" s="98"/>
      <c r="AO93" s="93" t="s">
        <v>4826</v>
      </c>
      <c r="AP93" s="98"/>
      <c r="AQ93" s="98"/>
      <c r="AR93" s="98"/>
      <c r="AS93" s="93" t="s">
        <v>3283</v>
      </c>
      <c r="AT93" s="88" t="s">
        <v>3515</v>
      </c>
      <c r="AU93" s="88" t="s">
        <v>3112</v>
      </c>
      <c r="AV93" s="88" t="s">
        <v>4827</v>
      </c>
      <c r="AW93" s="98"/>
      <c r="AX93" s="88" t="s">
        <v>4330</v>
      </c>
      <c r="AY93" s="98"/>
      <c r="AZ93" s="98"/>
      <c r="BA93" s="93" t="s">
        <v>2079</v>
      </c>
      <c r="BB93" s="93" t="s">
        <v>2821</v>
      </c>
      <c r="BC93" s="93" t="s">
        <v>2035</v>
      </c>
      <c r="BD93" s="88" t="s">
        <v>4828</v>
      </c>
      <c r="BE93" s="88" t="s">
        <v>4583</v>
      </c>
      <c r="BF93" s="98"/>
      <c r="BG93" s="98"/>
      <c r="BH93" s="88" t="s">
        <v>2753</v>
      </c>
      <c r="BI93" s="98"/>
      <c r="BJ93" s="88" t="s">
        <v>4829</v>
      </c>
      <c r="BK93" s="88" t="s">
        <v>3180</v>
      </c>
      <c r="BL93" s="98"/>
      <c r="BM93" s="88" t="s">
        <v>2480</v>
      </c>
      <c r="BN93" s="98"/>
      <c r="BO93" s="98"/>
      <c r="BP93" s="257"/>
      <c r="BQ93" s="88" t="s">
        <v>4830</v>
      </c>
      <c r="BR93" s="98"/>
      <c r="BS93" s="93" t="s">
        <v>4831</v>
      </c>
      <c r="BT93" s="88" t="s">
        <v>4508</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4427</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2318</v>
      </c>
      <c r="DB93" s="98"/>
      <c r="DC93" s="93" t="s">
        <v>4843</v>
      </c>
      <c r="DD93" s="88" t="s">
        <v>4844</v>
      </c>
      <c r="DE93" s="98"/>
      <c r="DF93" s="257"/>
      <c r="DG93" s="98"/>
      <c r="DH93" s="98"/>
      <c r="DI93" s="98"/>
      <c r="DJ93" s="98"/>
      <c r="DK93" s="98"/>
      <c r="DL93" s="98"/>
      <c r="DM93" s="88" t="s">
        <v>1192</v>
      </c>
      <c r="DN93" s="93" t="s">
        <v>3247</v>
      </c>
      <c r="DO93" s="93" t="s">
        <v>4845</v>
      </c>
      <c r="DP93" s="98"/>
      <c r="DQ93" s="98"/>
      <c r="DR93" s="93" t="s">
        <v>2748</v>
      </c>
      <c r="DS93" s="93" t="s">
        <v>4846</v>
      </c>
      <c r="DT93" s="98"/>
      <c r="DU93" s="93" t="s">
        <v>4761</v>
      </c>
      <c r="DV93" s="98"/>
      <c r="DW93" s="98"/>
      <c r="DX93" s="98"/>
      <c r="DY93" s="90" t="s">
        <v>4847</v>
      </c>
      <c r="DZ93" s="98"/>
      <c r="EA93" s="98"/>
      <c r="EB93" s="281"/>
    </row>
    <row r="94">
      <c r="A94" s="624" t="s">
        <v>4848</v>
      </c>
      <c r="B94" s="103" t="s">
        <v>4849</v>
      </c>
      <c r="C94" s="104" t="s">
        <v>1259</v>
      </c>
      <c r="D94" s="105" t="s">
        <v>545</v>
      </c>
      <c r="E94" s="106" t="s">
        <v>545</v>
      </c>
      <c r="F94" s="107" t="s">
        <v>2962</v>
      </c>
      <c r="G94" s="103" t="s">
        <v>2014</v>
      </c>
      <c r="H94" s="163" t="s">
        <v>3168</v>
      </c>
      <c r="I94" s="163" t="s">
        <v>4850</v>
      </c>
      <c r="J94" s="163" t="s">
        <v>4851</v>
      </c>
      <c r="K94" s="466" t="s">
        <v>2694</v>
      </c>
      <c r="L94" s="111" t="s">
        <v>4852</v>
      </c>
      <c r="M94" s="219"/>
      <c r="N94" s="219"/>
      <c r="O94" s="219"/>
      <c r="P94" s="111" t="s">
        <v>2825</v>
      </c>
      <c r="Q94" s="219"/>
      <c r="R94" s="219"/>
      <c r="S94" s="111" t="s">
        <v>110</v>
      </c>
      <c r="T94" s="219"/>
      <c r="U94" s="219"/>
      <c r="V94" s="111" t="s">
        <v>4853</v>
      </c>
      <c r="W94" s="92"/>
      <c r="X94" s="114" t="s">
        <v>4581</v>
      </c>
      <c r="Y94" s="114" t="s">
        <v>2155</v>
      </c>
      <c r="Z94" s="114" t="s">
        <v>4298</v>
      </c>
      <c r="AA94" s="114" t="s">
        <v>4854</v>
      </c>
      <c r="AB94" s="114" t="s">
        <v>2237</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3313</v>
      </c>
      <c r="AW94" s="267"/>
      <c r="AX94" s="267"/>
      <c r="AY94" s="267"/>
      <c r="AZ94" s="267"/>
      <c r="BA94" s="169"/>
      <c r="BB94" s="170" t="s">
        <v>4453</v>
      </c>
      <c r="BC94" s="124" t="s">
        <v>2037</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2592</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4535</v>
      </c>
      <c r="DK94" s="141" t="s">
        <v>177</v>
      </c>
      <c r="DL94" s="278"/>
      <c r="DM94" s="142" t="s">
        <v>420</v>
      </c>
      <c r="DN94" s="177" t="s">
        <v>4867</v>
      </c>
      <c r="DO94" s="142" t="s">
        <v>4868</v>
      </c>
      <c r="DP94" s="278"/>
      <c r="DQ94" s="278"/>
      <c r="DR94" s="278"/>
      <c r="DS94" s="203" t="s">
        <v>4462</v>
      </c>
      <c r="DT94" s="278"/>
      <c r="DU94" s="203" t="s">
        <v>1945</v>
      </c>
      <c r="DV94" s="278"/>
      <c r="DW94" s="278"/>
      <c r="DX94" s="278"/>
      <c r="DY94" s="278"/>
      <c r="DZ94" s="278"/>
      <c r="EA94" s="278"/>
      <c r="EB94" s="312"/>
    </row>
    <row r="95">
      <c r="A95" s="398" t="s">
        <v>4869</v>
      </c>
      <c r="B95" s="82" t="s">
        <v>4870</v>
      </c>
      <c r="C95" s="83" t="s">
        <v>1259</v>
      </c>
      <c r="D95" s="84" t="s">
        <v>1259</v>
      </c>
      <c r="E95" s="85" t="s">
        <v>1259</v>
      </c>
      <c r="F95" s="86" t="s">
        <v>2397</v>
      </c>
      <c r="G95" s="82" t="s">
        <v>4706</v>
      </c>
      <c r="H95" s="292"/>
      <c r="I95" s="88" t="s">
        <v>4871</v>
      </c>
      <c r="J95" s="88" t="s">
        <v>4872</v>
      </c>
      <c r="K95" s="93"/>
      <c r="L95" s="97" t="s">
        <v>4873</v>
      </c>
      <c r="M95" s="98"/>
      <c r="N95" s="98"/>
      <c r="O95" s="88" t="s">
        <v>1826</v>
      </c>
      <c r="P95" s="93"/>
      <c r="Q95" s="98"/>
      <c r="R95" s="98"/>
      <c r="S95" s="97" t="s">
        <v>1587</v>
      </c>
      <c r="T95" s="97" t="s">
        <v>3310</v>
      </c>
      <c r="U95" s="206"/>
      <c r="V95" s="98"/>
      <c r="W95" s="92"/>
      <c r="X95" s="97" t="s">
        <v>3457</v>
      </c>
      <c r="Y95" s="97" t="s">
        <v>2253</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2425</v>
      </c>
      <c r="BN95" s="97" t="s">
        <v>973</v>
      </c>
      <c r="BO95" s="98"/>
      <c r="BP95" s="257"/>
      <c r="BQ95" s="93"/>
      <c r="BR95" s="97" t="s">
        <v>776</v>
      </c>
      <c r="BS95" s="97" t="s">
        <v>3772</v>
      </c>
      <c r="BT95" s="88" t="s">
        <v>4505</v>
      </c>
      <c r="BU95" s="98"/>
      <c r="BV95" s="88" t="s">
        <v>737</v>
      </c>
      <c r="BW95" s="98"/>
      <c r="BX95" s="97" t="s">
        <v>4879</v>
      </c>
      <c r="BY95" s="88" t="s">
        <v>4880</v>
      </c>
      <c r="BZ95" s="98"/>
      <c r="CA95" s="88" t="s">
        <v>1468</v>
      </c>
      <c r="CB95" s="97" t="s">
        <v>228</v>
      </c>
      <c r="CC95" s="97" t="s">
        <v>1435</v>
      </c>
      <c r="CD95" s="98"/>
      <c r="CE95" s="257"/>
      <c r="CF95" s="88" t="s">
        <v>3198</v>
      </c>
      <c r="CG95" s="88" t="s">
        <v>2317</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3198</v>
      </c>
      <c r="CY95" s="88" t="s">
        <v>2629</v>
      </c>
      <c r="CZ95" s="97" t="s">
        <v>1998</v>
      </c>
      <c r="DA95" s="98"/>
      <c r="DB95" s="98"/>
      <c r="DC95" s="97" t="s">
        <v>4186</v>
      </c>
      <c r="DD95" s="98"/>
      <c r="DE95" s="98"/>
      <c r="DF95" s="257"/>
      <c r="DG95" s="206"/>
      <c r="DH95" s="97" t="s">
        <v>4122</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2578</v>
      </c>
      <c r="L96" s="163" t="s">
        <v>4589</v>
      </c>
      <c r="M96" s="111" t="s">
        <v>4889</v>
      </c>
      <c r="N96" s="219"/>
      <c r="O96" s="163" t="s">
        <v>855</v>
      </c>
      <c r="P96" s="163" t="s">
        <v>2825</v>
      </c>
      <c r="Q96" s="219"/>
      <c r="R96" s="219"/>
      <c r="S96" s="219"/>
      <c r="T96" s="219"/>
      <c r="U96" s="219"/>
      <c r="V96" s="219"/>
      <c r="W96" s="92"/>
      <c r="X96" s="194" t="s">
        <v>4890</v>
      </c>
      <c r="Y96" s="194" t="s">
        <v>2679</v>
      </c>
      <c r="Z96" s="266"/>
      <c r="AA96" s="194" t="s">
        <v>3056</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4158</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3355</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2237</v>
      </c>
      <c r="CW96" s="276"/>
      <c r="CX96" s="276"/>
      <c r="CY96" s="202" t="s">
        <v>3024</v>
      </c>
      <c r="CZ96" s="202" t="s">
        <v>2202</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3650</v>
      </c>
      <c r="I97" s="286" t="s">
        <v>4902</v>
      </c>
      <c r="J97" s="286" t="s">
        <v>2104</v>
      </c>
      <c r="K97" s="88" t="s">
        <v>1812</v>
      </c>
      <c r="L97" s="88" t="s">
        <v>3901</v>
      </c>
      <c r="M97" s="88" t="s">
        <v>4903</v>
      </c>
      <c r="N97" s="286" t="s">
        <v>4904</v>
      </c>
      <c r="O97" s="286" t="s">
        <v>4828</v>
      </c>
      <c r="P97" s="286" t="s">
        <v>2931</v>
      </c>
      <c r="Q97" s="286" t="s">
        <v>4905</v>
      </c>
      <c r="R97" s="88" t="s">
        <v>3311</v>
      </c>
      <c r="S97" s="88" t="s">
        <v>4738</v>
      </c>
      <c r="T97" s="98"/>
      <c r="U97" s="88" t="s">
        <v>677</v>
      </c>
      <c r="V97" s="88" t="s">
        <v>4906</v>
      </c>
      <c r="W97" s="92"/>
      <c r="X97" s="286" t="s">
        <v>2993</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2938</v>
      </c>
      <c r="AU97" s="88" t="s">
        <v>4916</v>
      </c>
      <c r="AV97" s="88" t="s">
        <v>4917</v>
      </c>
      <c r="AW97" s="88" t="s">
        <v>4918</v>
      </c>
      <c r="AX97" s="88" t="s">
        <v>1505</v>
      </c>
      <c r="AY97" s="98"/>
      <c r="AZ97" s="98"/>
      <c r="BA97" s="286" t="s">
        <v>363</v>
      </c>
      <c r="BB97" s="88" t="s">
        <v>4919</v>
      </c>
      <c r="BC97" s="286" t="s">
        <v>2658</v>
      </c>
      <c r="BD97" s="286" t="s">
        <v>4253</v>
      </c>
      <c r="BE97" s="88" t="s">
        <v>3333</v>
      </c>
      <c r="BF97" s="88" t="s">
        <v>4920</v>
      </c>
      <c r="BG97" s="88" t="s">
        <v>2464</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4386</v>
      </c>
      <c r="BX97" s="286" t="s">
        <v>4930</v>
      </c>
      <c r="BY97" s="98"/>
      <c r="BZ97" s="286" t="s">
        <v>4931</v>
      </c>
      <c r="CA97" s="88" t="s">
        <v>4932</v>
      </c>
      <c r="CB97" s="98"/>
      <c r="CC97" s="98"/>
      <c r="CD97" s="98"/>
      <c r="CE97" s="257"/>
      <c r="CF97" s="88" t="s">
        <v>4933</v>
      </c>
      <c r="CG97" s="88" t="s">
        <v>318</v>
      </c>
      <c r="CH97" s="88" t="s">
        <v>3693</v>
      </c>
      <c r="CI97" s="93" t="s">
        <v>4934</v>
      </c>
      <c r="CJ97" s="399" t="s">
        <v>4935</v>
      </c>
      <c r="CK97" s="93" t="s">
        <v>4936</v>
      </c>
      <c r="CL97" s="88" t="s">
        <v>1438</v>
      </c>
      <c r="CM97" s="88" t="s">
        <v>4100</v>
      </c>
      <c r="CN97" s="98"/>
      <c r="CO97" s="98"/>
      <c r="CP97" s="98"/>
      <c r="CQ97" s="98"/>
      <c r="CR97" s="88" t="s">
        <v>4937</v>
      </c>
      <c r="CS97" s="92"/>
      <c r="CT97" s="88" t="s">
        <v>4938</v>
      </c>
      <c r="CU97" s="286" t="s">
        <v>3899</v>
      </c>
      <c r="CV97" s="286" t="s">
        <v>4276</v>
      </c>
      <c r="CW97" s="286" t="s">
        <v>2766</v>
      </c>
      <c r="CX97" s="88" t="s">
        <v>4939</v>
      </c>
      <c r="CY97" s="286" t="s">
        <v>2226</v>
      </c>
      <c r="CZ97" s="286" t="s">
        <v>4940</v>
      </c>
      <c r="DA97" s="286" t="s">
        <v>2711</v>
      </c>
      <c r="DB97" s="98"/>
      <c r="DC97" s="98"/>
      <c r="DD97" s="98"/>
      <c r="DE97" s="88" t="s">
        <v>477</v>
      </c>
      <c r="DF97" s="88"/>
      <c r="DG97" s="93" t="s">
        <v>2024</v>
      </c>
      <c r="DH97" s="98"/>
      <c r="DI97" s="98"/>
      <c r="DJ97" s="98"/>
      <c r="DK97" s="90" t="s">
        <v>177</v>
      </c>
      <c r="DL97" s="88" t="s">
        <v>4201</v>
      </c>
      <c r="DM97" s="98"/>
      <c r="DN97" s="98"/>
      <c r="DO97" s="98"/>
      <c r="DP97" s="93" t="s">
        <v>2852</v>
      </c>
      <c r="DQ97" s="93" t="s">
        <v>2754</v>
      </c>
      <c r="DR97" s="98"/>
      <c r="DS97" s="88" t="s">
        <v>2206</v>
      </c>
      <c r="DT97" s="98"/>
      <c r="DU97" s="93" t="s">
        <v>984</v>
      </c>
      <c r="DV97" s="98"/>
      <c r="DW97" s="88" t="s">
        <v>3000</v>
      </c>
      <c r="DX97" s="93" t="s">
        <v>1956</v>
      </c>
      <c r="DY97" s="98"/>
      <c r="DZ97" s="98"/>
      <c r="EA97" s="98"/>
      <c r="EB97" s="97" t="s">
        <v>2531</v>
      </c>
    </row>
    <row r="98">
      <c r="A98" s="465" t="s">
        <v>4941</v>
      </c>
      <c r="B98" s="508" t="s">
        <v>4942</v>
      </c>
      <c r="C98" s="509" t="s">
        <v>1259</v>
      </c>
      <c r="D98" s="510" t="s">
        <v>1259</v>
      </c>
      <c r="E98" s="511" t="s">
        <v>1259</v>
      </c>
      <c r="F98" s="512" t="s">
        <v>914</v>
      </c>
      <c r="G98" s="508" t="s">
        <v>3370</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2418</v>
      </c>
      <c r="AU98" s="339" t="s">
        <v>4947</v>
      </c>
      <c r="AV98" s="341"/>
      <c r="AW98" s="341"/>
      <c r="AX98" s="341"/>
      <c r="AY98" s="341"/>
      <c r="AZ98" s="341"/>
      <c r="BA98" s="346"/>
      <c r="BB98" s="517"/>
      <c r="BC98" s="517"/>
      <c r="BD98" s="517"/>
      <c r="BE98" s="633" t="s">
        <v>3168</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2866</v>
      </c>
      <c r="H99" s="98"/>
      <c r="I99" s="93" t="s">
        <v>2760</v>
      </c>
      <c r="J99" s="93" t="s">
        <v>3394</v>
      </c>
      <c r="K99" s="93" t="s">
        <v>1562</v>
      </c>
      <c r="L99" s="292" t="s">
        <v>4950</v>
      </c>
      <c r="M99" s="98"/>
      <c r="N99" s="93" t="s">
        <v>4951</v>
      </c>
      <c r="O99" s="93" t="s">
        <v>4952</v>
      </c>
      <c r="P99" s="93" t="s">
        <v>2931</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3509</v>
      </c>
      <c r="BU99" s="93" t="s">
        <v>4956</v>
      </c>
      <c r="BV99" s="93" t="s">
        <v>3416</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2014</v>
      </c>
      <c r="H100" s="365"/>
      <c r="I100" s="365" t="s">
        <v>1298</v>
      </c>
      <c r="J100" s="365" t="s">
        <v>2171</v>
      </c>
      <c r="K100" s="365" t="s">
        <v>3430</v>
      </c>
      <c r="L100" s="365" t="s">
        <v>4965</v>
      </c>
      <c r="M100" s="365"/>
      <c r="N100" s="365" t="s">
        <v>2737</v>
      </c>
      <c r="O100" s="365" t="s">
        <v>1450</v>
      </c>
      <c r="P100" s="365" t="s">
        <v>2748</v>
      </c>
      <c r="Q100" s="644"/>
      <c r="R100" s="644"/>
      <c r="S100" s="644"/>
      <c r="T100" s="644"/>
      <c r="U100" s="644"/>
      <c r="V100" s="644"/>
      <c r="W100" s="92"/>
      <c r="X100" s="387" t="s">
        <v>3853</v>
      </c>
      <c r="Y100" s="387" t="s">
        <v>361</v>
      </c>
      <c r="Z100" s="387" t="s">
        <v>2194</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3230</v>
      </c>
      <c r="AU100" s="493" t="s">
        <v>4970</v>
      </c>
      <c r="AV100" s="493"/>
      <c r="AW100" s="647"/>
      <c r="AX100" s="647"/>
      <c r="AY100" s="647"/>
      <c r="AZ100" s="647"/>
      <c r="BA100" s="198" t="s">
        <v>3987</v>
      </c>
      <c r="BB100" s="198" t="s">
        <v>2920</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3412</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2826</v>
      </c>
      <c r="CM100" s="388" t="s">
        <v>3694</v>
      </c>
      <c r="CN100" s="655"/>
      <c r="CO100" s="656"/>
      <c r="CP100" s="656"/>
      <c r="CQ100" s="656"/>
      <c r="CR100" s="656"/>
      <c r="CS100" s="657"/>
      <c r="CT100" s="309" t="s">
        <v>3965</v>
      </c>
      <c r="CU100" s="309" t="s">
        <v>238</v>
      </c>
      <c r="CV100" s="309" t="s">
        <v>1626</v>
      </c>
      <c r="CW100" s="309" t="s">
        <v>999</v>
      </c>
      <c r="CX100" s="309" t="s">
        <v>3699</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3307</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3254</v>
      </c>
      <c r="L101" s="93" t="s">
        <v>2772</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3626</v>
      </c>
      <c r="AB101" s="491" t="s">
        <v>4244</v>
      </c>
      <c r="AC101" s="93" t="s">
        <v>4468</v>
      </c>
      <c r="AD101" s="98"/>
      <c r="AE101" s="98"/>
      <c r="AF101" s="93" t="s">
        <v>4989</v>
      </c>
      <c r="AG101" s="98"/>
      <c r="AH101" s="98"/>
      <c r="AI101" s="98"/>
      <c r="AJ101" s="98"/>
      <c r="AK101" s="96"/>
      <c r="AL101" s="93" t="s">
        <v>2420</v>
      </c>
      <c r="AM101" s="93" t="s">
        <v>4990</v>
      </c>
      <c r="AN101" s="98"/>
      <c r="AO101" s="98"/>
      <c r="AP101" s="98"/>
      <c r="AQ101" s="98"/>
      <c r="AR101" s="93" t="s">
        <v>1142</v>
      </c>
      <c r="AS101" s="98"/>
      <c r="AT101" s="93" t="s">
        <v>2553</v>
      </c>
      <c r="AU101" s="93" t="s">
        <v>144</v>
      </c>
      <c r="AV101" s="93" t="s">
        <v>4191</v>
      </c>
      <c r="AW101" s="98"/>
      <c r="AX101" s="93" t="s">
        <v>4991</v>
      </c>
      <c r="AY101" s="93" t="s">
        <v>4992</v>
      </c>
      <c r="AZ101" s="93"/>
      <c r="BA101" s="93" t="s">
        <v>4993</v>
      </c>
      <c r="BB101" s="93" t="s">
        <v>4994</v>
      </c>
      <c r="BC101" s="93" t="s">
        <v>1045</v>
      </c>
      <c r="BD101" s="93" t="s">
        <v>1025</v>
      </c>
      <c r="BE101" s="93" t="s">
        <v>3011</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3604</v>
      </c>
      <c r="BW101" s="98"/>
      <c r="BX101" s="98"/>
      <c r="BY101" s="98"/>
      <c r="BZ101" s="93" t="s">
        <v>2598</v>
      </c>
      <c r="CA101" s="98"/>
      <c r="CB101" s="93" t="s">
        <v>4999</v>
      </c>
      <c r="CC101" s="98"/>
      <c r="CD101" s="98"/>
      <c r="CE101" s="257"/>
      <c r="CF101" s="93" t="s">
        <v>5000</v>
      </c>
      <c r="CG101" s="93" t="s">
        <v>5001</v>
      </c>
      <c r="CH101" s="93" t="s">
        <v>110</v>
      </c>
      <c r="CI101" s="93"/>
      <c r="CJ101" s="93" t="s">
        <v>5002</v>
      </c>
      <c r="CK101" s="93" t="s">
        <v>4620</v>
      </c>
      <c r="CL101" s="372" t="s">
        <v>1409</v>
      </c>
      <c r="CM101" s="93" t="s">
        <v>3082</v>
      </c>
      <c r="CN101" s="98"/>
      <c r="CO101" s="98"/>
      <c r="CP101" s="93"/>
      <c r="CQ101" s="93" t="s">
        <v>5003</v>
      </c>
      <c r="CR101" s="98"/>
      <c r="CS101" s="92"/>
      <c r="CT101" s="93" t="s">
        <v>5004</v>
      </c>
      <c r="CU101" s="93" t="s">
        <v>2536</v>
      </c>
      <c r="CV101" s="93" t="s">
        <v>5005</v>
      </c>
      <c r="CW101" s="93" t="s">
        <v>4393</v>
      </c>
      <c r="CX101" s="98"/>
      <c r="CY101" s="93" t="s">
        <v>387</v>
      </c>
      <c r="CZ101" s="93" t="s">
        <v>5006</v>
      </c>
      <c r="DA101" s="93" t="s">
        <v>4237</v>
      </c>
      <c r="DB101" s="98"/>
      <c r="DC101" s="98"/>
      <c r="DD101" s="93" t="s">
        <v>3468</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2925</v>
      </c>
      <c r="H102" s="163" t="s">
        <v>997</v>
      </c>
      <c r="I102" s="219"/>
      <c r="J102" s="163" t="s">
        <v>5012</v>
      </c>
      <c r="K102" s="163" t="s">
        <v>3254</v>
      </c>
      <c r="L102" s="163" t="s">
        <v>1616</v>
      </c>
      <c r="M102" s="163" t="s">
        <v>5013</v>
      </c>
      <c r="N102" s="163" t="s">
        <v>1582</v>
      </c>
      <c r="O102" s="163" t="s">
        <v>5014</v>
      </c>
      <c r="P102" s="163" t="s">
        <v>1079</v>
      </c>
      <c r="Q102" s="219"/>
      <c r="R102" s="219"/>
      <c r="S102" s="219"/>
      <c r="T102" s="219"/>
      <c r="U102" s="219"/>
      <c r="V102" s="219"/>
      <c r="W102" s="92"/>
      <c r="X102" s="266"/>
      <c r="Y102" s="194" t="s">
        <v>2933</v>
      </c>
      <c r="Z102" s="194" t="s">
        <v>1778</v>
      </c>
      <c r="AA102" s="299" t="s">
        <v>1996</v>
      </c>
      <c r="AB102" s="194" t="s">
        <v>3423</v>
      </c>
      <c r="AC102" s="194" t="s">
        <v>5015</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3047</v>
      </c>
      <c r="BW102" s="272"/>
      <c r="BX102" s="171" t="s">
        <v>5020</v>
      </c>
      <c r="BY102" s="272"/>
      <c r="BZ102" s="171" t="s">
        <v>3158</v>
      </c>
      <c r="CA102" s="171" t="s">
        <v>5021</v>
      </c>
      <c r="CB102" s="272"/>
      <c r="CC102" s="272"/>
      <c r="CD102" s="272"/>
      <c r="CE102" s="273"/>
      <c r="CF102" s="173" t="s">
        <v>5022</v>
      </c>
      <c r="CG102" s="306" t="s">
        <v>5023</v>
      </c>
      <c r="CH102" s="173"/>
      <c r="CI102" s="275"/>
      <c r="CJ102" s="275" t="s">
        <v>550</v>
      </c>
      <c r="CK102" s="275"/>
      <c r="CL102" s="306" t="s">
        <v>4023</v>
      </c>
      <c r="CM102" s="173" t="s">
        <v>5024</v>
      </c>
      <c r="CN102" s="275"/>
      <c r="CO102" s="275"/>
      <c r="CP102" s="275"/>
      <c r="CQ102" s="275"/>
      <c r="CR102" s="275"/>
      <c r="CS102" s="92"/>
      <c r="CT102" s="202" t="s">
        <v>5025</v>
      </c>
      <c r="CU102" s="202"/>
      <c r="CV102" s="202" t="s">
        <v>3472</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3128</v>
      </c>
      <c r="H103" s="88" t="s">
        <v>5029</v>
      </c>
      <c r="I103" s="88" t="s">
        <v>2990</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3659</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3197</v>
      </c>
      <c r="AV103" s="93" t="s">
        <v>4139</v>
      </c>
      <c r="AW103" s="98"/>
      <c r="AX103" s="97" t="str">
        <f>HYPERLINK("https://clips.twitch.tv/PeppyAbstruseSmoothieCurseLit","39.09")</f>
        <v>39.09</v>
      </c>
      <c r="AY103" s="93" t="s">
        <v>5047</v>
      </c>
      <c r="AZ103" s="93"/>
      <c r="BA103" s="93" t="s">
        <v>5048</v>
      </c>
      <c r="BB103" s="93" t="s">
        <v>5049</v>
      </c>
      <c r="BC103" s="93" t="s">
        <v>474</v>
      </c>
      <c r="BD103" s="93" t="s">
        <v>2596</v>
      </c>
      <c r="BE103" s="93" t="s">
        <v>5038</v>
      </c>
      <c r="BF103" s="93" t="s">
        <v>3645</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3690</v>
      </c>
      <c r="BZ103" s="93" t="s">
        <v>639</v>
      </c>
      <c r="CA103" s="88" t="s">
        <v>5053</v>
      </c>
      <c r="CB103" s="93" t="s">
        <v>5054</v>
      </c>
      <c r="CC103" s="93" t="s">
        <v>3563</v>
      </c>
      <c r="CD103" s="93" t="s">
        <v>5055</v>
      </c>
      <c r="CE103" s="99"/>
      <c r="CF103" s="93" t="s">
        <v>1331</v>
      </c>
      <c r="CG103" s="93" t="s">
        <v>5056</v>
      </c>
      <c r="CH103" s="93" t="s">
        <v>3089</v>
      </c>
      <c r="CI103" s="93" t="s">
        <v>5057</v>
      </c>
      <c r="CJ103" s="93" t="s">
        <v>5058</v>
      </c>
      <c r="CK103" s="98"/>
      <c r="CL103" s="93" t="s">
        <v>2812</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4362</v>
      </c>
      <c r="CZ103" s="93" t="s">
        <v>5066</v>
      </c>
      <c r="DA103" s="93" t="s">
        <v>4100</v>
      </c>
      <c r="DB103" s="93" t="s">
        <v>5067</v>
      </c>
      <c r="DC103" s="93" t="s">
        <v>3422</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2741</v>
      </c>
      <c r="EB103" s="281" t="s">
        <v>5077</v>
      </c>
    </row>
    <row r="104">
      <c r="A104" s="162" t="s">
        <v>5078</v>
      </c>
      <c r="B104" s="103" t="s">
        <v>5079</v>
      </c>
      <c r="C104" s="104" t="s">
        <v>1259</v>
      </c>
      <c r="D104" s="105" t="s">
        <v>1259</v>
      </c>
      <c r="E104" s="106" t="s">
        <v>1259</v>
      </c>
      <c r="F104" s="107" t="s">
        <v>438</v>
      </c>
      <c r="G104" s="103" t="s">
        <v>5080</v>
      </c>
      <c r="H104" s="163" t="s">
        <v>3159</v>
      </c>
      <c r="I104" s="163" t="s">
        <v>3907</v>
      </c>
      <c r="J104" s="163" t="s">
        <v>5081</v>
      </c>
      <c r="K104" s="163" t="s">
        <v>3586</v>
      </c>
      <c r="L104" s="163" t="s">
        <v>5082</v>
      </c>
      <c r="M104" s="163" t="s">
        <v>5083</v>
      </c>
      <c r="N104" s="163" t="s">
        <v>5084</v>
      </c>
      <c r="O104" s="163" t="s">
        <v>5085</v>
      </c>
      <c r="P104" s="163" t="s">
        <v>2646</v>
      </c>
      <c r="Q104" s="219"/>
      <c r="R104" s="219"/>
      <c r="S104" s="219"/>
      <c r="T104" s="219"/>
      <c r="U104" s="219"/>
      <c r="V104" s="219"/>
      <c r="W104" s="92"/>
      <c r="X104" s="194" t="s">
        <v>3590</v>
      </c>
      <c r="Y104" s="194" t="s">
        <v>3440</v>
      </c>
      <c r="Z104" s="194" t="s">
        <v>4823</v>
      </c>
      <c r="AA104" s="113" t="str">
        <f>HYPERLINK("https://youtu.be/qJ6N4MrS6B4","48.05")</f>
        <v>48.05</v>
      </c>
      <c r="AB104" s="194" t="s">
        <v>2463</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3833</v>
      </c>
      <c r="CL104" s="173" t="s">
        <v>3617</v>
      </c>
      <c r="CM104" s="275"/>
      <c r="CN104" s="275"/>
      <c r="CO104" s="275"/>
      <c r="CP104" s="275"/>
      <c r="CQ104" s="275"/>
      <c r="CR104" s="275"/>
      <c r="CS104" s="92"/>
      <c r="CT104" s="202" t="s">
        <v>5091</v>
      </c>
      <c r="CU104" s="276"/>
      <c r="CV104" s="202" t="s">
        <v>2659</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3251</v>
      </c>
      <c r="H105" s="93" t="s">
        <v>2734</v>
      </c>
      <c r="I105" s="93" t="s">
        <v>5098</v>
      </c>
      <c r="J105" s="93" t="s">
        <v>5099</v>
      </c>
      <c r="K105" s="93" t="s">
        <v>4326</v>
      </c>
      <c r="L105" s="93" t="s">
        <v>2315</v>
      </c>
      <c r="M105" s="98"/>
      <c r="N105" s="93" t="s">
        <v>4266</v>
      </c>
      <c r="O105" s="93" t="s">
        <v>5100</v>
      </c>
      <c r="P105" s="93" t="s">
        <v>3995</v>
      </c>
      <c r="Q105" s="98"/>
      <c r="R105" s="98"/>
      <c r="S105" s="98"/>
      <c r="T105" s="98"/>
      <c r="U105" s="98"/>
      <c r="V105" s="98"/>
      <c r="W105" s="92"/>
      <c r="X105" s="93" t="s">
        <v>4733</v>
      </c>
      <c r="Y105" s="93" t="s">
        <v>3230</v>
      </c>
      <c r="Z105" s="93" t="s">
        <v>5101</v>
      </c>
      <c r="AA105" s="93" t="s">
        <v>4822</v>
      </c>
      <c r="AB105" s="98"/>
      <c r="AC105" s="93" t="s">
        <v>4166</v>
      </c>
      <c r="AD105" s="98"/>
      <c r="AE105" s="93" t="s">
        <v>3331</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2629</v>
      </c>
      <c r="BI105" s="93" t="s">
        <v>5105</v>
      </c>
      <c r="BJ105" s="93"/>
      <c r="BK105" s="98"/>
      <c r="BL105" s="98"/>
      <c r="BM105" s="98"/>
      <c r="BN105" s="98"/>
      <c r="BO105" s="98"/>
      <c r="BP105" s="257"/>
      <c r="BQ105" s="93" t="s">
        <v>3756</v>
      </c>
      <c r="BR105" s="98"/>
      <c r="BS105" s="93" t="s">
        <v>2597</v>
      </c>
      <c r="BT105" s="93" t="s">
        <v>5106</v>
      </c>
      <c r="BU105" s="98"/>
      <c r="BV105" s="93" t="s">
        <v>5107</v>
      </c>
      <c r="BW105" s="98"/>
      <c r="BX105" s="98"/>
      <c r="BY105" s="93" t="s">
        <v>3690</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3617</v>
      </c>
      <c r="CW105" s="93" t="s">
        <v>2772</v>
      </c>
      <c r="CX105" s="98"/>
      <c r="CY105" s="88" t="s">
        <v>3359</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4190</v>
      </c>
      <c r="J106" s="163" t="s">
        <v>2458</v>
      </c>
      <c r="K106" s="297" t="s">
        <v>4313</v>
      </c>
      <c r="L106" s="163" t="s">
        <v>5116</v>
      </c>
      <c r="M106" s="219"/>
      <c r="N106" s="163" t="s">
        <v>672</v>
      </c>
      <c r="O106" s="163" t="s">
        <v>3782</v>
      </c>
      <c r="P106" s="163" t="s">
        <v>4269</v>
      </c>
      <c r="Q106" s="163" t="s">
        <v>5117</v>
      </c>
      <c r="R106" s="163"/>
      <c r="S106" s="163" t="s">
        <v>229</v>
      </c>
      <c r="T106" s="219"/>
      <c r="U106" s="163" t="s">
        <v>2429</v>
      </c>
      <c r="V106" s="163" t="s">
        <v>5118</v>
      </c>
      <c r="W106" s="92"/>
      <c r="X106" s="194" t="s">
        <v>5119</v>
      </c>
      <c r="Y106" s="299" t="s">
        <v>2648</v>
      </c>
      <c r="Z106" s="194" t="s">
        <v>2771</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2787</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3251</v>
      </c>
      <c r="H107" s="98"/>
      <c r="I107" s="93" t="s">
        <v>2489</v>
      </c>
      <c r="J107" s="93" t="s">
        <v>5130</v>
      </c>
      <c r="K107" s="93" t="s">
        <v>1001</v>
      </c>
      <c r="L107" s="93" t="s">
        <v>5131</v>
      </c>
      <c r="M107" s="98"/>
      <c r="N107" s="93" t="s">
        <v>4936</v>
      </c>
      <c r="O107" s="93" t="s">
        <v>4828</v>
      </c>
      <c r="P107" s="93" t="s">
        <v>455</v>
      </c>
      <c r="Q107" s="98"/>
      <c r="R107" s="98"/>
      <c r="S107" s="98"/>
      <c r="T107" s="98"/>
      <c r="U107" s="98"/>
      <c r="V107" s="98"/>
      <c r="W107" s="92"/>
      <c r="X107" s="93" t="s">
        <v>3343</v>
      </c>
      <c r="Y107" s="93" t="s">
        <v>4391</v>
      </c>
      <c r="Z107" s="93" t="s">
        <v>4027</v>
      </c>
      <c r="AA107" s="93" t="s">
        <v>4852</v>
      </c>
      <c r="AB107" s="93" t="s">
        <v>5132</v>
      </c>
      <c r="AC107" s="93" t="s">
        <v>5133</v>
      </c>
      <c r="AD107" s="98"/>
      <c r="AE107" s="93" t="s">
        <v>2707</v>
      </c>
      <c r="AF107" s="93" t="s">
        <v>5134</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4452</v>
      </c>
      <c r="BB107" s="93" t="s">
        <v>3806</v>
      </c>
      <c r="BC107" s="98"/>
      <c r="BD107" s="93" t="s">
        <v>4396</v>
      </c>
      <c r="BE107" s="93" t="s">
        <v>5135</v>
      </c>
      <c r="BF107" s="98"/>
      <c r="BG107" s="98"/>
      <c r="BH107" s="93" t="s">
        <v>3227</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3592</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4114</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4139</v>
      </c>
      <c r="AC108" s="194" t="s">
        <v>2468</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2629</v>
      </c>
      <c r="BD108" s="170" t="s">
        <v>5161</v>
      </c>
      <c r="BE108" s="170" t="s">
        <v>5162</v>
      </c>
      <c r="BF108" s="170"/>
      <c r="BG108" s="169"/>
      <c r="BH108" s="170" t="s">
        <v>2035</v>
      </c>
      <c r="BI108" s="170" t="s">
        <v>5163</v>
      </c>
      <c r="BJ108" s="170"/>
      <c r="BK108" s="170" t="s">
        <v>2524</v>
      </c>
      <c r="BL108" s="169"/>
      <c r="BM108" s="170" t="s">
        <v>3235</v>
      </c>
      <c r="BN108" s="169"/>
      <c r="BO108" s="169"/>
      <c r="BP108" s="269"/>
      <c r="BQ108" s="171"/>
      <c r="BR108" s="171" t="s">
        <v>2167</v>
      </c>
      <c r="BS108" s="171" t="s">
        <v>5164</v>
      </c>
      <c r="BT108" s="127" t="s">
        <v>976</v>
      </c>
      <c r="BU108" s="171" t="s">
        <v>5165</v>
      </c>
      <c r="BV108" s="127" t="s">
        <v>161</v>
      </c>
      <c r="BW108" s="171" t="s">
        <v>3396</v>
      </c>
      <c r="BX108" s="171" t="s">
        <v>5166</v>
      </c>
      <c r="BY108" s="272"/>
      <c r="BZ108" s="171" t="s">
        <v>2332</v>
      </c>
      <c r="CA108" s="171" t="s">
        <v>4932</v>
      </c>
      <c r="CB108" s="171" t="s">
        <v>3283</v>
      </c>
      <c r="CC108" s="171" t="s">
        <v>1665</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2624</v>
      </c>
      <c r="CW108" s="202" t="s">
        <v>508</v>
      </c>
      <c r="CX108" s="202" t="s">
        <v>5172</v>
      </c>
      <c r="CY108" s="202" t="s">
        <v>2838</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3217</v>
      </c>
      <c r="H109" s="98"/>
      <c r="I109" s="93" t="s">
        <v>5179</v>
      </c>
      <c r="J109" s="88" t="s">
        <v>5180</v>
      </c>
      <c r="K109" s="93" t="s">
        <v>4420</v>
      </c>
      <c r="L109" s="286" t="s">
        <v>564</v>
      </c>
      <c r="M109" s="98"/>
      <c r="N109" s="93" t="s">
        <v>5181</v>
      </c>
      <c r="O109" s="93" t="s">
        <v>1025</v>
      </c>
      <c r="P109" s="93" t="s">
        <v>3534</v>
      </c>
      <c r="Q109" s="98"/>
      <c r="R109" s="98"/>
      <c r="S109" s="98"/>
      <c r="T109" s="98"/>
      <c r="U109" s="98"/>
      <c r="V109" s="98"/>
      <c r="W109" s="92"/>
      <c r="X109" s="93" t="s">
        <v>2591</v>
      </c>
      <c r="Y109" s="93" t="s">
        <v>1010</v>
      </c>
      <c r="Z109" s="93" t="s">
        <v>3190</v>
      </c>
      <c r="AA109" s="93" t="s">
        <v>5182</v>
      </c>
      <c r="AB109" s="93" t="s">
        <v>424</v>
      </c>
      <c r="AC109" s="93" t="s">
        <v>4481</v>
      </c>
      <c r="AD109" s="98"/>
      <c r="AE109" s="98"/>
      <c r="AF109" s="93" t="s">
        <v>4818</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2731</v>
      </c>
      <c r="CH109" s="98"/>
      <c r="CI109" s="98"/>
      <c r="CJ109" s="98"/>
      <c r="CK109" s="93" t="s">
        <v>5189</v>
      </c>
      <c r="CL109" s="93" t="s">
        <v>2436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3251</v>
      </c>
      <c r="H110" s="219"/>
      <c r="I110" s="192" t="s">
        <v>3429</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2694</v>
      </c>
      <c r="L111" s="93" t="s">
        <v>5197</v>
      </c>
      <c r="M111" s="98"/>
      <c r="N111" s="98"/>
      <c r="O111" s="93" t="s">
        <v>258</v>
      </c>
      <c r="P111" s="93" t="s">
        <v>107</v>
      </c>
      <c r="Q111" s="98"/>
      <c r="R111" s="98"/>
      <c r="S111" s="93" t="s">
        <v>2595</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2741</v>
      </c>
      <c r="BI111" s="98"/>
      <c r="BJ111" s="98"/>
      <c r="BK111" s="98"/>
      <c r="BL111" s="98"/>
      <c r="BM111" s="98"/>
      <c r="BN111" s="98"/>
      <c r="BO111" s="98"/>
      <c r="BP111" s="257"/>
      <c r="BQ111" s="93"/>
      <c r="BR111" s="98"/>
      <c r="BS111" s="93" t="s">
        <v>2597</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2888</v>
      </c>
      <c r="CU111" s="93" t="s">
        <v>4313</v>
      </c>
      <c r="CV111" s="206" t="s">
        <v>3524</v>
      </c>
      <c r="CW111" s="93" t="s">
        <v>1084</v>
      </c>
      <c r="CX111" s="93" t="s">
        <v>2692</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3609</v>
      </c>
      <c r="L112" s="163" t="s">
        <v>5210</v>
      </c>
      <c r="M112" s="109" t="str">
        <f>HYPERLINK("https://www.twitch.tv/videos/204820156","2:20.22")</f>
        <v>2:20.22</v>
      </c>
      <c r="N112" s="163" t="s">
        <v>5211</v>
      </c>
      <c r="O112" s="163" t="s">
        <v>1157</v>
      </c>
      <c r="P112" s="578" t="s">
        <v>2870</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4820</v>
      </c>
      <c r="BB112" s="170" t="s">
        <v>3346</v>
      </c>
      <c r="BC112" s="170" t="s">
        <v>2249</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2970</v>
      </c>
      <c r="CV112" s="202" t="s">
        <v>4970</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2602</v>
      </c>
      <c r="G113" s="82" t="s">
        <v>3128</v>
      </c>
      <c r="H113" s="93" t="s">
        <v>3228</v>
      </c>
      <c r="I113" s="93" t="s">
        <v>5224</v>
      </c>
      <c r="J113" s="93" t="s">
        <v>5225</v>
      </c>
      <c r="K113" s="93" t="s">
        <v>753</v>
      </c>
      <c r="L113" s="93" t="s">
        <v>916</v>
      </c>
      <c r="M113" s="98"/>
      <c r="N113" s="93" t="s">
        <v>5226</v>
      </c>
      <c r="O113" s="93" t="s">
        <v>808</v>
      </c>
      <c r="P113" s="88" t="s">
        <v>555</v>
      </c>
      <c r="Q113" s="93" t="s">
        <v>1075</v>
      </c>
      <c r="R113" s="98"/>
      <c r="S113" s="88" t="s">
        <v>2624</v>
      </c>
      <c r="T113" s="98"/>
      <c r="U113" s="93" t="s">
        <v>5227</v>
      </c>
      <c r="V113" s="88" t="s">
        <v>5228</v>
      </c>
      <c r="W113" s="92"/>
      <c r="X113" s="93" t="s">
        <v>5229</v>
      </c>
      <c r="Y113" s="93" t="s">
        <v>1580</v>
      </c>
      <c r="Z113" s="93" t="s">
        <v>1516</v>
      </c>
      <c r="AA113" s="93" t="s">
        <v>608</v>
      </c>
      <c r="AB113" s="93" t="s">
        <v>3697</v>
      </c>
      <c r="AC113" s="93" t="s">
        <v>5230</v>
      </c>
      <c r="AD113" s="93"/>
      <c r="AE113" s="93" t="s">
        <v>3881</v>
      </c>
      <c r="AF113" s="88" t="s">
        <v>1993</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1664</v>
      </c>
      <c r="AY113" s="93" t="s">
        <v>5237</v>
      </c>
      <c r="AZ113" s="93"/>
      <c r="BA113" s="98"/>
      <c r="BB113" s="93" t="s">
        <v>2228</v>
      </c>
      <c r="BC113" s="93" t="s">
        <v>3589</v>
      </c>
      <c r="BD113" s="93" t="s">
        <v>5238</v>
      </c>
      <c r="BE113" s="93" t="s">
        <v>2560</v>
      </c>
      <c r="BF113" s="93" t="s">
        <v>3198</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2725</v>
      </c>
      <c r="CD113" s="93" t="s">
        <v>5248</v>
      </c>
      <c r="CE113" s="93"/>
      <c r="CF113" s="93" t="s">
        <v>3163</v>
      </c>
      <c r="CG113" s="93" t="s">
        <v>3492</v>
      </c>
      <c r="CH113" s="93" t="s">
        <v>481</v>
      </c>
      <c r="CI113" s="93" t="s">
        <v>5249</v>
      </c>
      <c r="CJ113" s="93"/>
      <c r="CK113" s="93" t="s">
        <v>5250</v>
      </c>
      <c r="CL113" s="286" t="s">
        <v>5251</v>
      </c>
      <c r="CM113" s="88" t="s">
        <v>3534</v>
      </c>
      <c r="CN113" s="98"/>
      <c r="CO113" s="93" t="s">
        <v>5252</v>
      </c>
      <c r="CP113" s="98"/>
      <c r="CQ113" s="98"/>
      <c r="CR113" s="93" t="s">
        <v>3453</v>
      </c>
      <c r="CS113" s="92"/>
      <c r="CT113" s="93" t="s">
        <v>2570</v>
      </c>
      <c r="CU113" s="93" t="s">
        <v>5171</v>
      </c>
      <c r="CV113" s="93" t="s">
        <v>3351</v>
      </c>
      <c r="CW113" s="93" t="s">
        <v>657</v>
      </c>
      <c r="CX113" s="98"/>
      <c r="CY113" s="98"/>
      <c r="CZ113" s="88" t="s">
        <v>5253</v>
      </c>
      <c r="DA113" s="88" t="s">
        <v>2440</v>
      </c>
      <c r="DB113" s="93" t="s">
        <v>5254</v>
      </c>
      <c r="DC113" s="93" t="s">
        <v>5210</v>
      </c>
      <c r="DD113" s="93" t="s">
        <v>5255</v>
      </c>
      <c r="DE113" s="93" t="s">
        <v>5256</v>
      </c>
      <c r="DF113" s="93"/>
      <c r="DG113" s="93" t="s">
        <v>4119</v>
      </c>
      <c r="DH113" s="93"/>
      <c r="DI113" s="93" t="s">
        <v>5257</v>
      </c>
      <c r="DJ113" s="93"/>
      <c r="DK113" s="93" t="s">
        <v>5258</v>
      </c>
      <c r="DL113" s="93" t="s">
        <v>2741</v>
      </c>
      <c r="DM113" s="158" t="s">
        <v>5259</v>
      </c>
      <c r="DN113" s="93" t="s">
        <v>4050</v>
      </c>
      <c r="DO113" s="98"/>
      <c r="DP113" s="93" t="s">
        <v>3166</v>
      </c>
      <c r="DQ113" s="93" t="s">
        <v>5260</v>
      </c>
      <c r="DR113" s="93" t="s">
        <v>3733</v>
      </c>
      <c r="DS113" s="93" t="s">
        <v>3588</v>
      </c>
      <c r="DT113" s="93" t="s">
        <v>1080</v>
      </c>
      <c r="DU113" s="93" t="s">
        <v>1345</v>
      </c>
      <c r="DV113" s="93" t="s">
        <v>4149</v>
      </c>
      <c r="DW113" s="93" t="s">
        <v>1019</v>
      </c>
      <c r="DX113" s="93" t="s">
        <v>2857</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4679</v>
      </c>
      <c r="I114" s="163" t="s">
        <v>2311</v>
      </c>
      <c r="J114" s="163" t="s">
        <v>1813</v>
      </c>
      <c r="K114" s="163" t="s">
        <v>1142</v>
      </c>
      <c r="L114" s="163" t="s">
        <v>2570</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2020</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2467</v>
      </c>
      <c r="BE114" s="170" t="s">
        <v>5278</v>
      </c>
      <c r="BF114" s="170" t="s">
        <v>4220</v>
      </c>
      <c r="BG114" s="170" t="s">
        <v>4543</v>
      </c>
      <c r="BH114" s="170" t="s">
        <v>5279</v>
      </c>
      <c r="BI114" s="170" t="s">
        <v>896</v>
      </c>
      <c r="BJ114" s="170"/>
      <c r="BK114" s="170" t="s">
        <v>5280</v>
      </c>
      <c r="BL114" s="169"/>
      <c r="BM114" s="170" t="s">
        <v>1919</v>
      </c>
      <c r="BN114" s="170" t="s">
        <v>2809</v>
      </c>
      <c r="BO114" s="169"/>
      <c r="BP114" s="269"/>
      <c r="BQ114" s="171"/>
      <c r="BR114" s="171" t="s">
        <v>3140</v>
      </c>
      <c r="BS114" s="171" t="s">
        <v>2754</v>
      </c>
      <c r="BT114" s="171" t="s">
        <v>2392</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4877</v>
      </c>
      <c r="CI114" s="173" t="s">
        <v>5286</v>
      </c>
      <c r="CJ114" s="173" t="s">
        <v>5287</v>
      </c>
      <c r="CK114" s="173" t="s">
        <v>5288</v>
      </c>
      <c r="CL114" s="173" t="s">
        <v>1446</v>
      </c>
      <c r="CM114" s="173" t="s">
        <v>2938</v>
      </c>
      <c r="CN114" s="173" t="s">
        <v>5289</v>
      </c>
      <c r="CO114" s="173" t="s">
        <v>549</v>
      </c>
      <c r="CP114" s="173"/>
      <c r="CQ114" s="173" t="s">
        <v>5290</v>
      </c>
      <c r="CR114" s="275"/>
      <c r="CS114" s="92"/>
      <c r="CT114" s="202" t="s">
        <v>5291</v>
      </c>
      <c r="CU114" s="202" t="s">
        <v>5292</v>
      </c>
      <c r="CV114" s="202" t="s">
        <v>3386</v>
      </c>
      <c r="CW114" s="202" t="s">
        <v>3174</v>
      </c>
      <c r="CX114" s="202" t="s">
        <v>5293</v>
      </c>
      <c r="CY114" s="202" t="s">
        <v>3912</v>
      </c>
      <c r="CZ114" s="202" t="s">
        <v>5294</v>
      </c>
      <c r="DA114" s="202" t="s">
        <v>2553</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2490</v>
      </c>
      <c r="J115" s="93" t="s">
        <v>1665</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3346</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2378</v>
      </c>
      <c r="CM115" s="93" t="s">
        <v>5202</v>
      </c>
      <c r="CN115" s="98"/>
      <c r="CO115" s="98"/>
      <c r="CP115" s="98"/>
      <c r="CQ115" s="98"/>
      <c r="CR115" s="98"/>
      <c r="CS115" s="92"/>
      <c r="CT115" s="93" t="s">
        <v>5063</v>
      </c>
      <c r="CU115" s="93" t="s">
        <v>3003</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2505</v>
      </c>
      <c r="I116" s="163" t="s">
        <v>5327</v>
      </c>
      <c r="J116" s="163" t="s">
        <v>5328</v>
      </c>
      <c r="K116" s="163" t="s">
        <v>5329</v>
      </c>
      <c r="L116" s="163" t="s">
        <v>783</v>
      </c>
      <c r="M116" s="219"/>
      <c r="N116" s="163" t="s">
        <v>5330</v>
      </c>
      <c r="O116" s="163" t="s">
        <v>479</v>
      </c>
      <c r="P116" s="163" t="s">
        <v>5331</v>
      </c>
      <c r="Q116" s="219"/>
      <c r="R116" s="219"/>
      <c r="S116" s="163" t="s">
        <v>3007</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3680</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2632</v>
      </c>
      <c r="BC116" s="170" t="s">
        <v>5340</v>
      </c>
      <c r="BD116" s="170" t="s">
        <v>4514</v>
      </c>
      <c r="BE116" s="170" t="s">
        <v>5341</v>
      </c>
      <c r="BF116" s="170" t="s">
        <v>5342</v>
      </c>
      <c r="BG116" s="170" t="s">
        <v>4796</v>
      </c>
      <c r="BH116" s="170" t="s">
        <v>2317</v>
      </c>
      <c r="BI116" s="170" t="s">
        <v>5343</v>
      </c>
      <c r="BJ116" s="170" t="s">
        <v>5344</v>
      </c>
      <c r="BK116" s="170" t="s">
        <v>5345</v>
      </c>
      <c r="BL116" s="169"/>
      <c r="BM116" s="170" t="s">
        <v>2317</v>
      </c>
      <c r="BN116" s="170" t="s">
        <v>5346</v>
      </c>
      <c r="BO116" s="169"/>
      <c r="BP116" s="269"/>
      <c r="BQ116" s="171" t="s">
        <v>5347</v>
      </c>
      <c r="BR116" s="272"/>
      <c r="BS116" s="171" t="s">
        <v>4462</v>
      </c>
      <c r="BT116" s="171" t="s">
        <v>5348</v>
      </c>
      <c r="BU116" s="171" t="s">
        <v>5349</v>
      </c>
      <c r="BV116" s="171" t="s">
        <v>5350</v>
      </c>
      <c r="BW116" s="272"/>
      <c r="BX116" s="171" t="s">
        <v>3799</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3590</v>
      </c>
      <c r="CX116" s="202" t="s">
        <v>5361</v>
      </c>
      <c r="CY116" s="202" t="s">
        <v>1838</v>
      </c>
      <c r="CZ116" s="202" t="s">
        <v>5362</v>
      </c>
      <c r="DA116" s="202" t="s">
        <v>5363</v>
      </c>
      <c r="DB116" s="276"/>
      <c r="DC116" s="276"/>
      <c r="DD116" s="202" t="s">
        <v>353</v>
      </c>
      <c r="DE116" s="276"/>
      <c r="DF116" s="277"/>
      <c r="DG116" s="203" t="s">
        <v>2484</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2270</v>
      </c>
      <c r="L117" s="88" t="s">
        <v>4045</v>
      </c>
      <c r="M117" s="93" t="s">
        <v>952</v>
      </c>
      <c r="N117" s="93" t="s">
        <v>5377</v>
      </c>
      <c r="O117" s="286" t="s">
        <v>153</v>
      </c>
      <c r="P117" s="88" t="s">
        <v>2802</v>
      </c>
      <c r="Q117" s="98"/>
      <c r="R117" s="98"/>
      <c r="S117" s="93" t="s">
        <v>3213</v>
      </c>
      <c r="T117" s="98"/>
      <c r="U117" s="93" t="s">
        <v>1457</v>
      </c>
      <c r="V117" s="98"/>
      <c r="W117" s="92"/>
      <c r="X117" s="286" t="s">
        <v>4733</v>
      </c>
      <c r="Y117" s="286" t="s">
        <v>3694</v>
      </c>
      <c r="Z117" s="88" t="s">
        <v>5378</v>
      </c>
      <c r="AA117" s="93" t="s">
        <v>5379</v>
      </c>
      <c r="AB117" s="88" t="s">
        <v>2579</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3641</v>
      </c>
      <c r="AU117" s="286" t="s">
        <v>2307</v>
      </c>
      <c r="AV117" s="88" t="s">
        <v>3278</v>
      </c>
      <c r="AW117" s="98"/>
      <c r="AX117" s="93" t="s">
        <v>5386</v>
      </c>
      <c r="AY117" s="98"/>
      <c r="AZ117" s="98"/>
      <c r="BA117" s="93" t="s">
        <v>4285</v>
      </c>
      <c r="BB117" s="93" t="s">
        <v>1189</v>
      </c>
      <c r="BC117" s="88" t="s">
        <v>4653</v>
      </c>
      <c r="BD117" s="93" t="s">
        <v>2940</v>
      </c>
      <c r="BE117" s="93" t="s">
        <v>4234</v>
      </c>
      <c r="BF117" s="93" t="s">
        <v>2526</v>
      </c>
      <c r="BG117" s="93" t="s">
        <v>5387</v>
      </c>
      <c r="BH117" s="93" t="s">
        <v>3459</v>
      </c>
      <c r="BI117" s="93" t="s">
        <v>5388</v>
      </c>
      <c r="BJ117" s="98"/>
      <c r="BK117" s="93" t="s">
        <v>3221</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3405</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3959</v>
      </c>
      <c r="DL117" s="98"/>
      <c r="DM117" s="98"/>
      <c r="DN117" s="88" t="s">
        <v>5402</v>
      </c>
      <c r="DO117" s="98"/>
      <c r="DP117" s="98"/>
      <c r="DQ117" s="93" t="s">
        <v>5395</v>
      </c>
      <c r="DR117" s="93" t="s">
        <v>5403</v>
      </c>
      <c r="DS117" s="98"/>
      <c r="DT117" s="93" t="s">
        <v>3194</v>
      </c>
      <c r="DU117" s="88" t="s">
        <v>2883</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4802</v>
      </c>
      <c r="O118" s="673" t="s">
        <v>2941</v>
      </c>
      <c r="P118" s="673" t="s">
        <v>4845</v>
      </c>
      <c r="Q118" s="219"/>
      <c r="R118" s="219"/>
      <c r="S118" s="673" t="s">
        <v>5411</v>
      </c>
      <c r="T118" s="219"/>
      <c r="U118" s="219"/>
      <c r="V118" s="219"/>
      <c r="W118" s="92"/>
      <c r="X118" s="674" t="s">
        <v>1837</v>
      </c>
      <c r="Y118" s="675" t="s">
        <v>3158</v>
      </c>
      <c r="Z118" s="194" t="s">
        <v>455</v>
      </c>
      <c r="AA118" s="676" t="s">
        <v>3339</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4653</v>
      </c>
      <c r="BD118" s="678" t="s">
        <v>2134</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2609</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2877</v>
      </c>
      <c r="DM118" s="685" t="s">
        <v>1192</v>
      </c>
      <c r="DN118" s="685" t="s">
        <v>5429</v>
      </c>
      <c r="DO118" s="278"/>
      <c r="DP118" s="278"/>
      <c r="DQ118" s="278"/>
      <c r="DR118" s="278"/>
      <c r="DS118" s="278"/>
      <c r="DT118" s="278"/>
      <c r="DU118" s="278"/>
      <c r="DV118" s="278"/>
      <c r="DW118" s="278"/>
      <c r="DX118" s="686" t="s">
        <v>3449</v>
      </c>
      <c r="DY118" s="685" t="s">
        <v>2942</v>
      </c>
      <c r="DZ118" s="278"/>
      <c r="EA118" s="278"/>
      <c r="EB118" s="312"/>
    </row>
    <row r="119">
      <c r="A119" s="81" t="s">
        <v>5430</v>
      </c>
      <c r="B119" s="82" t="s">
        <v>5431</v>
      </c>
      <c r="C119" s="83" t="s">
        <v>1259</v>
      </c>
      <c r="D119" s="84" t="s">
        <v>1259</v>
      </c>
      <c r="E119" s="85" t="s">
        <v>1259</v>
      </c>
      <c r="F119" s="86" t="s">
        <v>3317</v>
      </c>
      <c r="G119" s="82" t="s">
        <v>2602</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2817</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5360</v>
      </c>
      <c r="BN120" s="170" t="s">
        <v>4439</v>
      </c>
      <c r="BO120" s="170" t="s">
        <v>5454</v>
      </c>
      <c r="BP120" s="170"/>
      <c r="BQ120" s="171"/>
      <c r="BR120" s="171" t="s">
        <v>3833</v>
      </c>
      <c r="BS120" s="171" t="s">
        <v>3775</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4055</v>
      </c>
      <c r="DB120" s="276"/>
      <c r="DC120" s="276"/>
      <c r="DD120" s="276"/>
      <c r="DE120" s="202" t="s">
        <v>5470</v>
      </c>
      <c r="DF120" s="320"/>
      <c r="DG120" s="203" t="s">
        <v>2437</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2917</v>
      </c>
      <c r="M121" s="98"/>
      <c r="N121" s="93" t="s">
        <v>5477</v>
      </c>
      <c r="O121" s="93" t="s">
        <v>146</v>
      </c>
      <c r="P121" s="88" t="s">
        <v>4159</v>
      </c>
      <c r="Q121" s="98"/>
      <c r="R121" s="98"/>
      <c r="S121" s="98"/>
      <c r="T121" s="98"/>
      <c r="U121" s="98"/>
      <c r="V121" s="98"/>
      <c r="W121" s="92"/>
      <c r="X121" s="93" t="s">
        <v>2975</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2936</v>
      </c>
      <c r="BS121" s="93" t="s">
        <v>4831</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4027</v>
      </c>
      <c r="CV121" s="93" t="s">
        <v>3202</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2397</v>
      </c>
      <c r="H122" s="163"/>
      <c r="I122" s="163" t="s">
        <v>5503</v>
      </c>
      <c r="J122" s="163" t="s">
        <v>5185</v>
      </c>
      <c r="K122" s="163" t="s">
        <v>5504</v>
      </c>
      <c r="L122" s="111" t="s">
        <v>5505</v>
      </c>
      <c r="M122" s="219"/>
      <c r="N122" s="219"/>
      <c r="O122" s="219"/>
      <c r="P122" s="163" t="s">
        <v>5506</v>
      </c>
      <c r="Q122" s="219"/>
      <c r="R122" s="219"/>
      <c r="S122" s="163" t="s">
        <v>4164</v>
      </c>
      <c r="T122" s="219"/>
      <c r="U122" s="163" t="s">
        <v>3273</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3608</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2402</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963</v>
      </c>
      <c r="CH122" s="173" t="s">
        <v>5516</v>
      </c>
      <c r="CI122" s="173" t="s">
        <v>5517</v>
      </c>
      <c r="CJ122" s="173" t="s">
        <v>102</v>
      </c>
      <c r="CK122" s="173" t="s">
        <v>5518</v>
      </c>
      <c r="CL122" s="173" t="s">
        <v>2400</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3044</v>
      </c>
      <c r="P123" s="93" t="s">
        <v>5531</v>
      </c>
      <c r="Q123" s="98"/>
      <c r="R123" s="98"/>
      <c r="S123" s="98"/>
      <c r="T123" s="98"/>
      <c r="U123" s="98"/>
      <c r="V123" s="98"/>
      <c r="W123" s="92"/>
      <c r="X123" s="93" t="s">
        <v>3410</v>
      </c>
      <c r="Y123" s="93" t="s">
        <v>572</v>
      </c>
      <c r="Z123" s="93" t="s">
        <v>4668</v>
      </c>
      <c r="AA123" s="93" t="s">
        <v>617</v>
      </c>
      <c r="AB123" s="93" t="s">
        <v>4701</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5086</v>
      </c>
      <c r="BS123" s="93" t="s">
        <v>2400</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4831</v>
      </c>
      <c r="CM123" s="93" t="s">
        <v>5533</v>
      </c>
      <c r="CN123" s="98"/>
      <c r="CO123" s="98"/>
      <c r="CP123" s="98"/>
      <c r="CQ123" s="98"/>
      <c r="CR123" s="98"/>
      <c r="CS123" s="92"/>
      <c r="CT123" s="93" t="s">
        <v>1013</v>
      </c>
      <c r="CU123" s="93" t="s">
        <v>4988</v>
      </c>
      <c r="CV123" s="93" t="s">
        <v>3312</v>
      </c>
      <c r="CW123" s="93" t="s">
        <v>4529</v>
      </c>
      <c r="CX123" s="93" t="s">
        <v>5184</v>
      </c>
      <c r="CY123" s="93" t="s">
        <v>4709</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2460</v>
      </c>
      <c r="M124" s="111" t="s">
        <v>1466</v>
      </c>
      <c r="N124" s="111" t="s">
        <v>5559</v>
      </c>
      <c r="O124" s="111" t="s">
        <v>1300</v>
      </c>
      <c r="P124" s="163" t="s">
        <v>5305</v>
      </c>
      <c r="Q124" s="219"/>
      <c r="R124" s="219"/>
      <c r="S124" s="219"/>
      <c r="T124" s="219"/>
      <c r="U124" s="219"/>
      <c r="V124" s="219"/>
      <c r="W124" s="92"/>
      <c r="X124" s="114" t="s">
        <v>3121</v>
      </c>
      <c r="Y124" s="114" t="s">
        <v>2472</v>
      </c>
      <c r="Z124" s="378" t="s">
        <v>5560</v>
      </c>
      <c r="AA124" s="194" t="s">
        <v>5561</v>
      </c>
      <c r="AB124" s="114" t="s">
        <v>3818</v>
      </c>
      <c r="AC124" s="378" t="s">
        <v>3518</v>
      </c>
      <c r="AD124" s="266"/>
      <c r="AE124" s="378" t="s">
        <v>5562</v>
      </c>
      <c r="AF124" s="114" t="s">
        <v>4668</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3226</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3900</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4706</v>
      </c>
      <c r="H125" s="93" t="s">
        <v>5587</v>
      </c>
      <c r="I125" s="93" t="s">
        <v>5588</v>
      </c>
      <c r="J125" s="93" t="s">
        <v>5589</v>
      </c>
      <c r="K125" s="93" t="s">
        <v>5329</v>
      </c>
      <c r="L125" s="93" t="s">
        <v>2610</v>
      </c>
      <c r="M125" s="98"/>
      <c r="N125" s="93" t="s">
        <v>5590</v>
      </c>
      <c r="O125" s="93" t="s">
        <v>689</v>
      </c>
      <c r="P125" s="93" t="s">
        <v>1273</v>
      </c>
      <c r="Q125" s="98"/>
      <c r="R125" s="98"/>
      <c r="S125" s="98"/>
      <c r="T125" s="98"/>
      <c r="U125" s="98"/>
      <c r="V125" s="98"/>
      <c r="W125" s="92"/>
      <c r="X125" s="93" t="s">
        <v>2474</v>
      </c>
      <c r="Y125" s="93" t="s">
        <v>3705</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3579</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4816</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2938</v>
      </c>
      <c r="CN125" s="98"/>
      <c r="CO125" s="98"/>
      <c r="CP125" s="98"/>
      <c r="CQ125" s="98"/>
      <c r="CR125" s="98"/>
      <c r="CS125" s="92"/>
      <c r="CT125" s="93" t="s">
        <v>3552</v>
      </c>
      <c r="CU125" s="93" t="s">
        <v>2830</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2370</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3759</v>
      </c>
      <c r="Q126" s="219"/>
      <c r="R126" s="219"/>
      <c r="S126" s="219"/>
      <c r="T126" s="219"/>
      <c r="U126" s="219"/>
      <c r="V126" s="219"/>
      <c r="W126" s="92"/>
      <c r="X126" s="194" t="s">
        <v>4561</v>
      </c>
      <c r="Y126" s="266"/>
      <c r="Z126" s="194" t="s">
        <v>652</v>
      </c>
      <c r="AA126" s="194" t="s">
        <v>2382</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5299</v>
      </c>
      <c r="O128" s="163" t="s">
        <v>939</v>
      </c>
      <c r="P128" s="163" t="s">
        <v>3190</v>
      </c>
      <c r="Q128" s="219"/>
      <c r="R128" s="219"/>
      <c r="S128" s="219"/>
      <c r="T128" s="219"/>
      <c r="U128" s="163" t="s">
        <v>3273</v>
      </c>
      <c r="V128" s="219"/>
      <c r="W128" s="92"/>
      <c r="X128" s="266"/>
      <c r="Y128" s="194" t="s">
        <v>577</v>
      </c>
      <c r="Z128" s="194" t="s">
        <v>1537</v>
      </c>
      <c r="AA128" s="266"/>
      <c r="AB128" s="194" t="s">
        <v>4827</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3534</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2238</v>
      </c>
      <c r="CA129" s="98"/>
      <c r="CB129" s="98"/>
      <c r="CC129" s="98"/>
      <c r="CD129" s="98"/>
      <c r="CE129" s="257"/>
      <c r="CF129" s="88" t="s">
        <v>5636</v>
      </c>
      <c r="CG129" s="88" t="s">
        <v>2361</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4186</v>
      </c>
      <c r="I130" s="163" t="s">
        <v>5641</v>
      </c>
      <c r="J130" s="163" t="s">
        <v>3231</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2436</v>
      </c>
      <c r="BI130" s="169"/>
      <c r="BJ130" s="169"/>
      <c r="BK130" s="170" t="s">
        <v>4743</v>
      </c>
      <c r="BL130" s="169"/>
      <c r="BM130" s="169"/>
      <c r="BN130" s="169"/>
      <c r="BO130" s="169"/>
      <c r="BP130" s="269"/>
      <c r="BQ130" s="171"/>
      <c r="BR130" s="272"/>
      <c r="BS130" s="272"/>
      <c r="BT130" s="171" t="s">
        <v>2479</v>
      </c>
      <c r="BU130" s="272"/>
      <c r="BV130" s="171" t="s">
        <v>5650</v>
      </c>
      <c r="BW130" s="272"/>
      <c r="BX130" s="272"/>
      <c r="BY130" s="272"/>
      <c r="BZ130" s="171" t="s">
        <v>823</v>
      </c>
      <c r="CA130" s="272"/>
      <c r="CB130" s="272"/>
      <c r="CC130" s="272"/>
      <c r="CD130" s="272"/>
      <c r="CE130" s="273"/>
      <c r="CF130" s="173" t="s">
        <v>5651</v>
      </c>
      <c r="CG130" s="173" t="s">
        <v>4246</v>
      </c>
      <c r="CH130" s="173" t="s">
        <v>2559</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2624</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2820</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2517</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2405</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3093</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2902</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2597</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2118</v>
      </c>
      <c r="J133" s="93" t="s">
        <v>5679</v>
      </c>
      <c r="K133" s="93" t="s">
        <v>3586</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2934</v>
      </c>
      <c r="L134" s="215" t="s">
        <v>5145</v>
      </c>
      <c r="M134" s="696"/>
      <c r="N134" s="468" t="s">
        <v>5689</v>
      </c>
      <c r="O134" s="468" t="s">
        <v>5613</v>
      </c>
      <c r="P134" s="215" t="s">
        <v>3190</v>
      </c>
      <c r="Q134" s="696"/>
      <c r="R134" s="696"/>
      <c r="S134" s="696" t="s">
        <v>4030</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2551</v>
      </c>
      <c r="BV134" s="127" t="s">
        <v>5350</v>
      </c>
      <c r="BW134" s="703"/>
      <c r="BX134" s="703"/>
      <c r="BY134" s="703"/>
      <c r="BZ134" s="127" t="s">
        <v>3673</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3407</v>
      </c>
      <c r="CW134" s="707" t="s">
        <v>5702</v>
      </c>
      <c r="CX134" s="708" t="s">
        <v>5703</v>
      </c>
      <c r="CY134" s="242" t="s">
        <v>3054</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2086</v>
      </c>
      <c r="V135" s="93" t="s">
        <v>5713</v>
      </c>
      <c r="W135" s="92"/>
      <c r="X135" s="711" t="s">
        <v>4958</v>
      </c>
      <c r="Y135" s="158" t="s">
        <v>5363</v>
      </c>
      <c r="Z135" s="88" t="s">
        <v>413</v>
      </c>
      <c r="AA135" s="286" t="s">
        <v>4141</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5012</v>
      </c>
      <c r="AR135" s="93" t="s">
        <v>5719</v>
      </c>
      <c r="AS135" s="93" t="s">
        <v>5720</v>
      </c>
      <c r="AT135" s="281" t="s">
        <v>4340</v>
      </c>
      <c r="AU135" s="281" t="s">
        <v>3588</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711" t="s">
        <v>4074</v>
      </c>
      <c r="CW135" s="88" t="s">
        <v>4427</v>
      </c>
      <c r="CX135" s="281" t="s">
        <v>3390</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2553</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4706</v>
      </c>
      <c r="H137" s="93"/>
      <c r="I137" s="93" t="s">
        <v>5750</v>
      </c>
      <c r="J137" s="93" t="s">
        <v>3164</v>
      </c>
      <c r="K137" s="88" t="s">
        <v>2270</v>
      </c>
      <c r="L137" s="93" t="s">
        <v>2467</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2740</v>
      </c>
      <c r="BG137" s="98"/>
      <c r="BH137" s="93" t="s">
        <v>829</v>
      </c>
      <c r="BI137" s="98"/>
      <c r="BJ137" s="98"/>
      <c r="BK137" s="98"/>
      <c r="BL137" s="98"/>
      <c r="BM137" s="98"/>
      <c r="BN137" s="98"/>
      <c r="BO137" s="98"/>
      <c r="BP137" s="257"/>
      <c r="BQ137" s="93" t="s">
        <v>5757</v>
      </c>
      <c r="BR137" s="93" t="s">
        <v>5758</v>
      </c>
      <c r="BS137" s="93" t="s">
        <v>495</v>
      </c>
      <c r="BT137" s="286" t="s">
        <v>3061</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2407</v>
      </c>
      <c r="CK137" s="93" t="s">
        <v>5767</v>
      </c>
      <c r="CL137" s="93" t="s">
        <v>2517</v>
      </c>
      <c r="CM137" s="93" t="s">
        <v>3641</v>
      </c>
      <c r="CN137" s="98"/>
      <c r="CO137" s="98"/>
      <c r="CP137" s="98"/>
      <c r="CQ137" s="98"/>
      <c r="CR137" s="98"/>
      <c r="CS137" s="92"/>
      <c r="CT137" s="93" t="s">
        <v>2734</v>
      </c>
      <c r="CU137" s="93" t="s">
        <v>3570</v>
      </c>
      <c r="CV137" s="93" t="s">
        <v>2671</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2603</v>
      </c>
      <c r="H138" s="163" t="s">
        <v>5773</v>
      </c>
      <c r="I138" s="466" t="s">
        <v>1594</v>
      </c>
      <c r="J138" s="163" t="s">
        <v>5774</v>
      </c>
      <c r="K138" s="163" t="s">
        <v>5775</v>
      </c>
      <c r="L138" s="163" t="s">
        <v>5776</v>
      </c>
      <c r="M138" s="219"/>
      <c r="N138" s="163" t="s">
        <v>5777</v>
      </c>
      <c r="O138" s="163" t="s">
        <v>4077</v>
      </c>
      <c r="P138" s="163" t="s">
        <v>1079</v>
      </c>
      <c r="Q138" s="219"/>
      <c r="R138" s="163" t="s">
        <v>322</v>
      </c>
      <c r="S138" s="163" t="s">
        <v>2170</v>
      </c>
      <c r="T138" s="219"/>
      <c r="U138" s="163" t="s">
        <v>3284</v>
      </c>
      <c r="V138" s="219"/>
      <c r="W138" s="92"/>
      <c r="X138" s="194" t="s">
        <v>5778</v>
      </c>
      <c r="Y138" s="114" t="s">
        <v>2415</v>
      </c>
      <c r="Z138" s="194" t="s">
        <v>4499</v>
      </c>
      <c r="AA138" s="194" t="s">
        <v>1765</v>
      </c>
      <c r="AB138" s="194" t="s">
        <v>3815</v>
      </c>
      <c r="AC138" s="194" t="s">
        <v>2413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3903</v>
      </c>
      <c r="BI138" s="170" t="s">
        <v>5782</v>
      </c>
      <c r="BJ138" s="170"/>
      <c r="BK138" s="170" t="s">
        <v>2578</v>
      </c>
      <c r="BL138" s="169"/>
      <c r="BM138" s="170" t="s">
        <v>4206</v>
      </c>
      <c r="BN138" s="169"/>
      <c r="BO138" s="169"/>
      <c r="BP138" s="269"/>
      <c r="BQ138" s="171" t="s">
        <v>5783</v>
      </c>
      <c r="BR138" s="171" t="s">
        <v>4212</v>
      </c>
      <c r="BS138" s="171" t="s">
        <v>3394</v>
      </c>
      <c r="BT138" s="171" t="s">
        <v>5784</v>
      </c>
      <c r="BU138" s="171" t="s">
        <v>5785</v>
      </c>
      <c r="BV138" s="171" t="s">
        <v>5138</v>
      </c>
      <c r="BW138" s="272"/>
      <c r="BX138" s="171" t="s">
        <v>2696</v>
      </c>
      <c r="BY138" s="272"/>
      <c r="BZ138" s="171" t="s">
        <v>5786</v>
      </c>
      <c r="CA138" s="272"/>
      <c r="CB138" s="272"/>
      <c r="CC138" s="272"/>
      <c r="CD138" s="272"/>
      <c r="CE138" s="273"/>
      <c r="CF138" s="173" t="s">
        <v>5787</v>
      </c>
      <c r="CG138" s="173" t="s">
        <v>4426</v>
      </c>
      <c r="CH138" s="173" t="s">
        <v>2172</v>
      </c>
      <c r="CI138" s="173" t="s">
        <v>5788</v>
      </c>
      <c r="CJ138" s="173" t="s">
        <v>5789</v>
      </c>
      <c r="CK138" s="173" t="s">
        <v>5790</v>
      </c>
      <c r="CL138" s="173" t="s">
        <v>1643</v>
      </c>
      <c r="CM138" s="173" t="s">
        <v>4340</v>
      </c>
      <c r="CN138" s="275"/>
      <c r="CO138" s="275"/>
      <c r="CP138" s="275"/>
      <c r="CQ138" s="275"/>
      <c r="CR138" s="275"/>
      <c r="CS138" s="92"/>
      <c r="CT138" s="202" t="s">
        <v>5791</v>
      </c>
      <c r="CU138" s="202" t="s">
        <v>2830</v>
      </c>
      <c r="CV138" s="202" t="s">
        <v>3718</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3478</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3620</v>
      </c>
      <c r="M139" s="281" t="s">
        <v>5806</v>
      </c>
      <c r="N139" s="281" t="s">
        <v>5807</v>
      </c>
      <c r="O139" s="281" t="s">
        <v>1744</v>
      </c>
      <c r="P139" s="281" t="s">
        <v>248</v>
      </c>
      <c r="Q139" s="716"/>
      <c r="R139" s="716"/>
      <c r="S139" s="717">
        <v>37.85</v>
      </c>
      <c r="T139" s="716"/>
      <c r="U139" s="93" t="s">
        <v>1911</v>
      </c>
      <c r="V139" s="717" t="s">
        <v>5808</v>
      </c>
      <c r="W139" s="718"/>
      <c r="X139" s="719"/>
      <c r="Y139" s="719"/>
      <c r="Z139" s="101" t="s">
        <v>3005</v>
      </c>
      <c r="AA139" s="720"/>
      <c r="AB139" s="281" t="s">
        <v>3459</v>
      </c>
      <c r="AC139" s="719"/>
      <c r="AD139" s="716"/>
      <c r="AE139" s="719"/>
      <c r="AF139" s="719"/>
      <c r="AG139" s="716"/>
      <c r="AH139" s="716"/>
      <c r="AI139" s="101" t="s">
        <v>2291</v>
      </c>
      <c r="AJ139" s="716"/>
      <c r="AK139" s="721"/>
      <c r="AL139" s="719"/>
      <c r="AM139" s="101" t="s">
        <v>2494</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3035</v>
      </c>
      <c r="BI139" s="716"/>
      <c r="BJ139" s="101" t="s">
        <v>5809</v>
      </c>
      <c r="BK139" s="281" t="s">
        <v>3743</v>
      </c>
      <c r="BL139" s="716"/>
      <c r="BM139" s="717">
        <v>35.32</v>
      </c>
      <c r="BN139" s="719"/>
      <c r="BO139" s="716"/>
      <c r="BP139" s="722"/>
      <c r="BQ139" s="719"/>
      <c r="BR139" s="719"/>
      <c r="BS139" s="281" t="s">
        <v>2641</v>
      </c>
      <c r="BT139" s="281" t="s">
        <v>5810</v>
      </c>
      <c r="BU139" s="719"/>
      <c r="BV139" s="281" t="s">
        <v>2943</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3332</v>
      </c>
      <c r="CV139" s="101" t="s">
        <v>2812</v>
      </c>
      <c r="CW139" s="719"/>
      <c r="CX139" s="719"/>
      <c r="CY139" s="281" t="s">
        <v>2357</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3649</v>
      </c>
      <c r="J140" s="163" t="s">
        <v>571</v>
      </c>
      <c r="K140" s="163" t="s">
        <v>2871</v>
      </c>
      <c r="L140" s="163" t="s">
        <v>4045</v>
      </c>
      <c r="M140" s="163" t="s">
        <v>5818</v>
      </c>
      <c r="N140" s="163" t="s">
        <v>5819</v>
      </c>
      <c r="O140" s="163" t="s">
        <v>444</v>
      </c>
      <c r="P140" s="163" t="s">
        <v>3968</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2663</v>
      </c>
      <c r="CM140" s="173" t="s">
        <v>2711</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2690</v>
      </c>
      <c r="G142" s="103" t="s">
        <v>2690</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5840</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3066</v>
      </c>
      <c r="P143" s="93" t="s">
        <v>4138</v>
      </c>
      <c r="Q143" s="93" t="s">
        <v>5851</v>
      </c>
      <c r="R143" s="98"/>
      <c r="S143" s="93" t="s">
        <v>904</v>
      </c>
      <c r="T143" s="98"/>
      <c r="U143" s="93" t="s">
        <v>5852</v>
      </c>
      <c r="V143" s="93" t="s">
        <v>5853</v>
      </c>
      <c r="W143" s="92"/>
      <c r="X143" s="93" t="s">
        <v>5854</v>
      </c>
      <c r="Y143" s="93" t="s">
        <v>2011</v>
      </c>
      <c r="Z143" s="93" t="s">
        <v>3538</v>
      </c>
      <c r="AA143" s="93" t="s">
        <v>3620</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3775</v>
      </c>
      <c r="CM143" s="93" t="s">
        <v>2111</v>
      </c>
      <c r="CN143" s="93" t="s">
        <v>5886</v>
      </c>
      <c r="CO143" s="93" t="s">
        <v>5887</v>
      </c>
      <c r="CP143" s="98"/>
      <c r="CQ143" s="93" t="s">
        <v>5888</v>
      </c>
      <c r="CR143" s="93" t="s">
        <v>5889</v>
      </c>
      <c r="CS143" s="92"/>
      <c r="CT143" s="93" t="s">
        <v>2718</v>
      </c>
      <c r="CU143" s="93" t="s">
        <v>5890</v>
      </c>
      <c r="CV143" s="93" t="s">
        <v>2377</v>
      </c>
      <c r="CW143" s="93" t="s">
        <v>5891</v>
      </c>
      <c r="CX143" s="93" t="s">
        <v>1433</v>
      </c>
      <c r="CY143" s="93" t="s">
        <v>4195</v>
      </c>
      <c r="CZ143" s="93" t="s">
        <v>5892</v>
      </c>
      <c r="DA143" s="93" t="s">
        <v>5893</v>
      </c>
      <c r="DB143" s="93" t="s">
        <v>5894</v>
      </c>
      <c r="DC143" s="93" t="s">
        <v>4158</v>
      </c>
      <c r="DD143" s="93" t="s">
        <v>1895</v>
      </c>
      <c r="DE143" s="93" t="s">
        <v>5895</v>
      </c>
      <c r="DF143" s="257"/>
      <c r="DG143" s="93" t="s">
        <v>3848</v>
      </c>
      <c r="DH143" s="98"/>
      <c r="DI143" s="93" t="s">
        <v>2662</v>
      </c>
      <c r="DJ143" s="93" t="s">
        <v>2102</v>
      </c>
      <c r="DK143" s="93" t="s">
        <v>3309</v>
      </c>
      <c r="DL143" s="93" t="s">
        <v>2438</v>
      </c>
      <c r="DM143" s="93" t="s">
        <v>4061</v>
      </c>
      <c r="DN143" s="93" t="s">
        <v>5896</v>
      </c>
      <c r="DO143" s="93" t="s">
        <v>177</v>
      </c>
      <c r="DP143" s="93" t="s">
        <v>5897</v>
      </c>
      <c r="DQ143" s="93" t="s">
        <v>3067</v>
      </c>
      <c r="DR143" s="93" t="s">
        <v>4754</v>
      </c>
      <c r="DS143" s="93" t="s">
        <v>5898</v>
      </c>
      <c r="DT143" s="93" t="s">
        <v>5899</v>
      </c>
      <c r="DU143" s="93" t="s">
        <v>1123</v>
      </c>
      <c r="DV143" s="93" t="s">
        <v>3815</v>
      </c>
      <c r="DW143" s="93" t="s">
        <v>5900</v>
      </c>
      <c r="DX143" s="93" t="s">
        <v>4453</v>
      </c>
      <c r="DY143" s="93" t="s">
        <v>2534</v>
      </c>
      <c r="DZ143" s="93" t="s">
        <v>4970</v>
      </c>
      <c r="EA143" s="93" t="s">
        <v>2310</v>
      </c>
      <c r="EB143" s="726" t="s">
        <v>4416</v>
      </c>
    </row>
    <row r="144">
      <c r="A144" s="727" t="s">
        <v>5901</v>
      </c>
      <c r="B144" s="103" t="s">
        <v>5902</v>
      </c>
      <c r="C144" s="104" t="s">
        <v>1259</v>
      </c>
      <c r="D144" s="105" t="s">
        <v>545</v>
      </c>
      <c r="E144" s="106" t="s">
        <v>1259</v>
      </c>
      <c r="F144" s="107" t="s">
        <v>989</v>
      </c>
      <c r="G144" s="103" t="s">
        <v>2866</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2708</v>
      </c>
      <c r="AG144" s="266"/>
      <c r="AH144" s="266"/>
      <c r="AI144" s="266"/>
      <c r="AJ144" s="266"/>
      <c r="AK144" s="96"/>
      <c r="AL144" s="267"/>
      <c r="AM144" s="119" t="s">
        <v>4216</v>
      </c>
      <c r="AN144" s="267"/>
      <c r="AO144" s="267"/>
      <c r="AP144" s="267"/>
      <c r="AQ144" s="267"/>
      <c r="AR144" s="267"/>
      <c r="AS144" s="267"/>
      <c r="AT144" s="119" t="s">
        <v>2586</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3783</v>
      </c>
      <c r="Z145" s="101" t="s">
        <v>3534</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2844</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3024</v>
      </c>
      <c r="BI146" s="325" t="s">
        <v>5927</v>
      </c>
      <c r="BJ146" s="488"/>
      <c r="BK146" s="488"/>
      <c r="BL146" s="169"/>
      <c r="BM146" s="169"/>
      <c r="BN146" s="488"/>
      <c r="BO146" s="169"/>
      <c r="BP146" s="269"/>
      <c r="BQ146" s="129" t="s">
        <v>2496</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4079</v>
      </c>
      <c r="CH146" s="133" t="s">
        <v>3439</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2552</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2681</v>
      </c>
      <c r="J150" s="365" t="s">
        <v>2916</v>
      </c>
      <c r="K150" s="365" t="s">
        <v>5287</v>
      </c>
      <c r="L150" s="487" t="s">
        <v>4126</v>
      </c>
      <c r="M150" s="487" t="s">
        <v>5967</v>
      </c>
      <c r="N150" s="487" t="s">
        <v>5634</v>
      </c>
      <c r="O150" s="487"/>
      <c r="P150" s="487" t="s">
        <v>2931</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3486</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2759</v>
      </c>
      <c r="H151" s="93" t="s">
        <v>2660</v>
      </c>
      <c r="I151" s="93" t="s">
        <v>5978</v>
      </c>
      <c r="J151" s="93" t="s">
        <v>4766</v>
      </c>
      <c r="K151" s="93" t="s">
        <v>550</v>
      </c>
      <c r="L151" s="93" t="s">
        <v>5979</v>
      </c>
      <c r="M151" s="98"/>
      <c r="N151" s="98"/>
      <c r="O151" s="93" t="s">
        <v>1909</v>
      </c>
      <c r="P151" s="93" t="s">
        <v>349</v>
      </c>
      <c r="Q151" s="93"/>
      <c r="R151" s="98"/>
      <c r="S151" s="93" t="s">
        <v>5980</v>
      </c>
      <c r="T151" s="98"/>
      <c r="U151" s="93" t="s">
        <v>2779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3530</v>
      </c>
      <c r="EB151" s="281" t="s">
        <v>366</v>
      </c>
    </row>
    <row r="152">
      <c r="A152" s="162" t="s">
        <v>5988</v>
      </c>
      <c r="B152" s="103" t="s">
        <v>5989</v>
      </c>
      <c r="C152" s="104" t="s">
        <v>1259</v>
      </c>
      <c r="D152" s="105" t="s">
        <v>1259</v>
      </c>
      <c r="E152" s="106" t="s">
        <v>1259</v>
      </c>
      <c r="F152" s="107" t="s">
        <v>436</v>
      </c>
      <c r="G152" s="103" t="s">
        <v>5555</v>
      </c>
      <c r="H152" s="219"/>
      <c r="I152" s="163" t="s">
        <v>1840</v>
      </c>
      <c r="J152" s="163" t="s">
        <v>2548</v>
      </c>
      <c r="K152" s="163" t="s">
        <v>2934</v>
      </c>
      <c r="L152" s="163" t="s">
        <v>2619</v>
      </c>
      <c r="M152" s="163" t="s">
        <v>5990</v>
      </c>
      <c r="N152" s="163" t="s">
        <v>5991</v>
      </c>
      <c r="O152" s="163" t="s">
        <v>5992</v>
      </c>
      <c r="P152" s="163" t="s">
        <v>4138</v>
      </c>
      <c r="Q152" s="219"/>
      <c r="R152" s="219"/>
      <c r="S152" s="219"/>
      <c r="T152" s="219"/>
      <c r="U152" s="219"/>
      <c r="V152" s="219"/>
      <c r="W152" s="92"/>
      <c r="X152" s="194" t="s">
        <v>5266</v>
      </c>
      <c r="Y152" s="194" t="s">
        <v>2123</v>
      </c>
      <c r="Z152" s="194" t="s">
        <v>2203</v>
      </c>
      <c r="AA152" s="194" t="s">
        <v>3174</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2484</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2871</v>
      </c>
      <c r="L154" s="365" t="s">
        <v>6009</v>
      </c>
      <c r="M154" s="365" t="s">
        <v>6010</v>
      </c>
      <c r="N154" s="365" t="s">
        <v>5927</v>
      </c>
      <c r="O154" s="365" t="s">
        <v>3970</v>
      </c>
      <c r="P154" s="365" t="s">
        <v>2472</v>
      </c>
      <c r="Q154" s="219"/>
      <c r="R154" s="219"/>
      <c r="S154" s="219"/>
      <c r="T154" s="219"/>
      <c r="U154" s="219"/>
      <c r="V154" s="219"/>
      <c r="W154" s="92"/>
      <c r="X154" s="387" t="s">
        <v>4961</v>
      </c>
      <c r="Y154" s="387" t="s">
        <v>6011</v>
      </c>
      <c r="Z154" s="387" t="s">
        <v>5094</v>
      </c>
      <c r="AA154" s="378" t="s">
        <v>2551</v>
      </c>
      <c r="AB154" s="387" t="s">
        <v>4486</v>
      </c>
      <c r="AC154" s="387" t="s">
        <v>4933</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2824</v>
      </c>
      <c r="AV154" s="122"/>
      <c r="AW154" s="267"/>
      <c r="AX154" s="267"/>
      <c r="AY154" s="267"/>
      <c r="AZ154" s="267"/>
      <c r="BA154" s="198" t="s">
        <v>6013</v>
      </c>
      <c r="BB154" s="198" t="s">
        <v>6014</v>
      </c>
      <c r="BC154" s="198" t="s">
        <v>3459</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3624</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2"/>
      <c r="CO154" s="275"/>
      <c r="CP154" s="275"/>
      <c r="CQ154" s="275"/>
      <c r="CR154" s="275"/>
      <c r="CS154" s="92"/>
      <c r="CT154" s="309" t="s">
        <v>2056</v>
      </c>
      <c r="CU154" s="309" t="s">
        <v>6027</v>
      </c>
      <c r="CV154" s="309" t="s">
        <v>5357</v>
      </c>
      <c r="CW154" s="309" t="s">
        <v>2167</v>
      </c>
      <c r="CX154" s="309" t="s">
        <v>6028</v>
      </c>
      <c r="CY154" s="309" t="s">
        <v>3987</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3858</v>
      </c>
      <c r="H156" s="163" t="s">
        <v>6036</v>
      </c>
      <c r="I156" s="163" t="s">
        <v>4857</v>
      </c>
      <c r="J156" s="163" t="s">
        <v>2414</v>
      </c>
      <c r="K156" s="163" t="s">
        <v>1431</v>
      </c>
      <c r="L156" s="163" t="s">
        <v>3970</v>
      </c>
      <c r="M156" s="163" t="s">
        <v>3953</v>
      </c>
      <c r="N156" s="163" t="s">
        <v>5059</v>
      </c>
      <c r="O156" s="219"/>
      <c r="P156" s="219"/>
      <c r="Q156" s="219"/>
      <c r="R156" s="219"/>
      <c r="S156" s="219"/>
      <c r="T156" s="219"/>
      <c r="U156" s="219"/>
      <c r="V156" s="219"/>
      <c r="W156" s="92"/>
      <c r="X156" s="113" t="str">
        <f>HYPERLINK("https://www.youtube.com/watch?v=F9HuyJ73joE","56.96")</f>
        <v>56.96</v>
      </c>
      <c r="Y156" s="194" t="s">
        <v>4024</v>
      </c>
      <c r="Z156" s="194" t="s">
        <v>6037</v>
      </c>
      <c r="AA156" s="194" t="s">
        <v>4522</v>
      </c>
      <c r="AB156" s="194" t="s">
        <v>6038</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2845</v>
      </c>
      <c r="M157" s="281"/>
      <c r="N157" s="281"/>
      <c r="O157" s="281" t="s">
        <v>6044</v>
      </c>
      <c r="P157" s="281" t="s">
        <v>4907</v>
      </c>
      <c r="Q157" s="738"/>
      <c r="R157" s="738"/>
      <c r="S157" s="738"/>
      <c r="T157" s="738"/>
      <c r="U157" s="738"/>
      <c r="V157" s="738"/>
      <c r="W157" s="657"/>
      <c r="X157" s="281"/>
      <c r="Y157" s="281" t="s">
        <v>2834</v>
      </c>
      <c r="Z157" s="281" t="s">
        <v>128</v>
      </c>
      <c r="AA157" s="281" t="s">
        <v>6045</v>
      </c>
      <c r="AB157" s="281" t="s">
        <v>3814</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3362</v>
      </c>
      <c r="BD157" s="281" t="s">
        <v>6050</v>
      </c>
      <c r="BE157" s="281"/>
      <c r="BF157" s="281" t="s">
        <v>6051</v>
      </c>
      <c r="BG157" s="738"/>
      <c r="BH157" s="281" t="s">
        <v>3665</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3957</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3988</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3443</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3370</v>
      </c>
      <c r="H160" s="163" t="s">
        <v>3658</v>
      </c>
      <c r="I160" s="219"/>
      <c r="J160" s="163" t="s">
        <v>5396</v>
      </c>
      <c r="K160" s="163" t="s">
        <v>3988</v>
      </c>
      <c r="L160" s="163" t="s">
        <v>5048</v>
      </c>
      <c r="M160" s="219"/>
      <c r="N160" s="219"/>
      <c r="O160" s="163" t="s">
        <v>1935</v>
      </c>
      <c r="P160" s="219"/>
      <c r="Q160" s="219"/>
      <c r="R160" s="219"/>
      <c r="S160" s="219"/>
      <c r="T160" s="219"/>
      <c r="U160" s="219"/>
      <c r="V160" s="219"/>
      <c r="W160" s="92"/>
      <c r="X160" s="194" t="s">
        <v>6080</v>
      </c>
      <c r="Y160" s="194" t="s">
        <v>3694</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3370</v>
      </c>
      <c r="H161" s="93" t="s">
        <v>1837</v>
      </c>
      <c r="I161" s="93" t="s">
        <v>2244</v>
      </c>
      <c r="J161" s="98"/>
      <c r="K161" s="93" t="s">
        <v>2871</v>
      </c>
      <c r="L161" s="98"/>
      <c r="M161" s="98"/>
      <c r="N161" s="98"/>
      <c r="O161" s="93" t="s">
        <v>6086</v>
      </c>
      <c r="P161" s="93" t="s">
        <v>2029</v>
      </c>
      <c r="Q161" s="98"/>
      <c r="R161" s="98"/>
      <c r="S161" s="98"/>
      <c r="T161" s="98"/>
      <c r="U161" s="98"/>
      <c r="V161" s="98"/>
      <c r="W161" s="92"/>
      <c r="X161" s="93" t="s">
        <v>3590</v>
      </c>
      <c r="Y161" s="98"/>
      <c r="Z161" s="93" t="s">
        <v>4651</v>
      </c>
      <c r="AA161" s="98"/>
      <c r="AB161" s="93" t="s">
        <v>2475</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2778</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3449</v>
      </c>
      <c r="CM164" s="368" t="s">
        <v>6110</v>
      </c>
      <c r="CN164" s="275"/>
      <c r="CO164" s="306"/>
      <c r="CP164" s="275"/>
      <c r="CQ164" s="275"/>
      <c r="CR164" s="275"/>
      <c r="CS164" s="92"/>
      <c r="CT164" s="276"/>
      <c r="CU164" s="276"/>
      <c r="CV164" s="276" t="s">
        <v>5130</v>
      </c>
      <c r="CW164" s="276" t="s">
        <v>3438</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4" t="s">
        <v>1831</v>
      </c>
      <c r="Y168" s="266"/>
      <c r="Z168" s="194" t="s">
        <v>3261</v>
      </c>
      <c r="AA168" s="113" t="str">
        <f>HYPERLINK("https://clips.twitch.tv/DeliciousHomelyChoughMingLee","53.66")</f>
        <v>53.66</v>
      </c>
      <c r="AB168" s="194" t="s">
        <v>4827</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3456</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3572</v>
      </c>
      <c r="BE169" s="93" t="s">
        <v>6142</v>
      </c>
      <c r="BF169" s="98"/>
      <c r="BG169" s="98"/>
      <c r="BH169" s="93" t="s">
        <v>3196</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3985</v>
      </c>
      <c r="H172" s="757" t="s">
        <v>2975</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3831</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3422</v>
      </c>
      <c r="BT172" s="771" t="s">
        <v>2790</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2462</v>
      </c>
      <c r="CV172" s="776" t="s">
        <v>5131</v>
      </c>
      <c r="CW172" s="777"/>
      <c r="CX172" s="777"/>
      <c r="CY172" s="777"/>
      <c r="CZ172" s="776" t="s">
        <v>6167</v>
      </c>
      <c r="DA172" s="778" t="s">
        <v>6030</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2408</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2520</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2833</v>
      </c>
      <c r="BY175" s="98"/>
      <c r="BZ175" s="93" t="s">
        <v>2008</v>
      </c>
      <c r="CA175" s="98"/>
      <c r="CB175" s="98"/>
      <c r="CC175" s="98"/>
      <c r="CD175" s="98"/>
      <c r="CE175" s="257"/>
      <c r="CF175" s="93" t="s">
        <v>4905</v>
      </c>
      <c r="CG175" s="93" t="s">
        <v>2512</v>
      </c>
      <c r="CH175" s="93" t="s">
        <v>2576</v>
      </c>
      <c r="CI175" s="93" t="s">
        <v>6189</v>
      </c>
      <c r="CJ175" s="93" t="s">
        <v>3173</v>
      </c>
      <c r="CK175" s="98"/>
      <c r="CL175" s="93" t="s">
        <v>3168</v>
      </c>
      <c r="CM175" s="93" t="s">
        <v>3352</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2866</v>
      </c>
      <c r="H176" s="163" t="s">
        <v>2584</v>
      </c>
      <c r="I176" s="219"/>
      <c r="J176" s="163" t="s">
        <v>6194</v>
      </c>
      <c r="K176" s="111" t="s">
        <v>4944</v>
      </c>
      <c r="L176" s="295" t="s">
        <v>3488</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3492</v>
      </c>
      <c r="BU176" s="272"/>
      <c r="BV176" s="127" t="s">
        <v>4947</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2602</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2871</v>
      </c>
      <c r="L179" s="93" t="s">
        <v>2770</v>
      </c>
      <c r="M179" s="93" t="s">
        <v>6218</v>
      </c>
      <c r="N179" s="93" t="s">
        <v>6219</v>
      </c>
      <c r="O179" s="93" t="s">
        <v>935</v>
      </c>
      <c r="P179" s="93" t="s">
        <v>494</v>
      </c>
      <c r="Q179" s="93"/>
      <c r="R179" s="93"/>
      <c r="S179" s="93"/>
      <c r="T179" s="93"/>
      <c r="U179" s="93"/>
      <c r="V179" s="93"/>
      <c r="W179" s="92"/>
      <c r="X179" s="93" t="s">
        <v>6220</v>
      </c>
      <c r="Y179" s="93" t="s">
        <v>5187</v>
      </c>
      <c r="Z179" s="93" t="s">
        <v>6221</v>
      </c>
      <c r="AA179" s="93" t="s">
        <v>2614</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3734</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3211</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3908</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4340</v>
      </c>
      <c r="AU180" s="164" t="s">
        <v>2761</v>
      </c>
      <c r="AV180" s="267"/>
      <c r="AW180" s="267"/>
      <c r="AX180" s="267"/>
      <c r="AY180" s="267"/>
      <c r="AZ180" s="267"/>
      <c r="BA180" s="170" t="s">
        <v>3698</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3795</v>
      </c>
      <c r="CA180" s="272"/>
      <c r="CB180" s="272"/>
      <c r="CC180" s="272"/>
      <c r="CD180" s="272"/>
      <c r="CE180" s="273"/>
      <c r="CF180" s="173" t="s">
        <v>6244</v>
      </c>
      <c r="CG180" s="173" t="s">
        <v>3437</v>
      </c>
      <c r="CH180" s="173" t="s">
        <v>754</v>
      </c>
      <c r="CI180" s="173" t="s">
        <v>6245</v>
      </c>
      <c r="CJ180" s="173"/>
      <c r="CK180" s="275"/>
      <c r="CL180" s="173" t="s">
        <v>3689</v>
      </c>
      <c r="CM180" s="173" t="s">
        <v>6128</v>
      </c>
      <c r="CN180" s="275"/>
      <c r="CO180" s="275"/>
      <c r="CP180" s="275"/>
      <c r="CQ180" s="275"/>
      <c r="CR180" s="275"/>
      <c r="CS180" s="92"/>
      <c r="CT180" s="202" t="s">
        <v>5016</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2510</v>
      </c>
      <c r="BT185" s="88" t="s">
        <v>3000</v>
      </c>
      <c r="BU185" s="88" t="s">
        <v>6269</v>
      </c>
      <c r="BV185" s="88" t="s">
        <v>408</v>
      </c>
      <c r="BW185" s="88" t="s">
        <v>6270</v>
      </c>
      <c r="BX185" s="101"/>
      <c r="BY185" s="88" t="s">
        <v>6271</v>
      </c>
      <c r="BZ185" s="88" t="s">
        <v>6272</v>
      </c>
      <c r="CA185" s="98"/>
      <c r="CB185" s="98"/>
      <c r="CC185" s="93"/>
      <c r="CD185" s="98"/>
      <c r="CE185" s="257"/>
      <c r="CF185" s="88" t="s">
        <v>6273</v>
      </c>
      <c r="CG185" s="88" t="s">
        <v>3444</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3461</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2770</v>
      </c>
      <c r="P188" s="487"/>
      <c r="Q188" s="219"/>
      <c r="R188" s="219"/>
      <c r="S188" s="219"/>
      <c r="T188" s="219"/>
      <c r="U188" s="219"/>
      <c r="V188" s="219"/>
      <c r="W188" s="92"/>
      <c r="X188" s="114" t="s">
        <v>3540</v>
      </c>
      <c r="Y188" s="115" t="s">
        <v>6285</v>
      </c>
      <c r="Z188" s="115"/>
      <c r="AA188" s="378"/>
      <c r="AB188" s="115"/>
      <c r="AC188" s="115"/>
      <c r="AD188" s="114" t="s">
        <v>2612</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2387</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3484</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2470</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2469</v>
      </c>
      <c r="CI192" s="173" t="s">
        <v>3537</v>
      </c>
      <c r="CJ192" s="173" t="s">
        <v>369</v>
      </c>
      <c r="CK192" s="173" t="s">
        <v>6334</v>
      </c>
      <c r="CL192" s="173" t="s">
        <v>6335</v>
      </c>
      <c r="CM192" s="173" t="s">
        <v>3820</v>
      </c>
      <c r="CN192" s="275"/>
      <c r="CO192" s="275"/>
      <c r="CP192" s="275"/>
      <c r="CQ192" s="275"/>
      <c r="CR192" s="275"/>
      <c r="CS192" s="92"/>
      <c r="CT192" s="276" t="s">
        <v>6336</v>
      </c>
      <c r="CU192" s="276" t="s">
        <v>2253</v>
      </c>
      <c r="CV192" s="276" t="s">
        <v>1102</v>
      </c>
      <c r="CW192" s="276" t="s">
        <v>6337</v>
      </c>
      <c r="CX192" s="276" t="s">
        <v>6338</v>
      </c>
      <c r="CY192" s="276" t="s">
        <v>4497</v>
      </c>
      <c r="CZ192" s="276" t="s">
        <v>6339</v>
      </c>
      <c r="DA192" s="202" t="s">
        <v>3362</v>
      </c>
      <c r="DB192" s="276"/>
      <c r="DC192" s="276"/>
      <c r="DD192" s="276"/>
      <c r="DE192" s="276"/>
      <c r="DF192" s="277"/>
      <c r="DG192" s="278"/>
      <c r="DH192" s="278"/>
      <c r="DI192" s="278"/>
      <c r="DJ192" s="278"/>
      <c r="DK192" s="278" t="s">
        <v>5478</v>
      </c>
      <c r="DL192" s="203"/>
      <c r="DM192" s="203" t="s">
        <v>6340</v>
      </c>
      <c r="DN192" s="203" t="s">
        <v>3811</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3584</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2164</v>
      </c>
      <c r="Z194" s="194" t="s">
        <v>3305</v>
      </c>
      <c r="AA194" s="194" t="s">
        <v>6352</v>
      </c>
      <c r="AB194" s="194" t="s">
        <v>6353</v>
      </c>
      <c r="AC194" s="194" t="s">
        <v>3266</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3788</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2760</v>
      </c>
      <c r="CI194" s="173" t="s">
        <v>6372</v>
      </c>
      <c r="CJ194" s="173" t="s">
        <v>4214</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3985</v>
      </c>
      <c r="H196" s="163" t="s">
        <v>6390</v>
      </c>
      <c r="I196" s="163" t="s">
        <v>6391</v>
      </c>
      <c r="J196" s="163" t="s">
        <v>6392</v>
      </c>
      <c r="K196" s="163" t="s">
        <v>1618</v>
      </c>
      <c r="L196" s="163" t="s">
        <v>4003</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3487</v>
      </c>
      <c r="BB196" s="169"/>
      <c r="BC196" s="170" t="s">
        <v>2523</v>
      </c>
      <c r="BD196" s="169"/>
      <c r="BE196" s="169"/>
      <c r="BF196" s="169"/>
      <c r="BG196" s="169"/>
      <c r="BH196" s="170" t="s">
        <v>3868</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2690</v>
      </c>
      <c r="H198" s="163"/>
      <c r="I198" s="163" t="s">
        <v>6403</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3684</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3087</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2866</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2457</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E43"/>
    <hyperlink r:id="rId2479" ref="BH43"/>
    <hyperlink r:id="rId2480" ref="BI43"/>
    <hyperlink r:id="rId2481" ref="BK43"/>
    <hyperlink r:id="rId2482" ref="BW43"/>
    <hyperlink r:id="rId2483" ref="BX43"/>
    <hyperlink r:id="rId2484" ref="CF43"/>
    <hyperlink r:id="rId2485" ref="CH43"/>
    <hyperlink r:id="rId2486" ref="CI43"/>
    <hyperlink r:id="rId2487" ref="CL43"/>
    <hyperlink r:id="rId2488" ref="CV43"/>
    <hyperlink r:id="rId2489" ref="CW43"/>
    <hyperlink r:id="rId2490" ref="CX43"/>
    <hyperlink r:id="rId2491" ref="CZ43"/>
    <hyperlink r:id="rId2492" ref="I44"/>
    <hyperlink r:id="rId2493" ref="J44"/>
    <hyperlink r:id="rId2494" ref="K44"/>
    <hyperlink r:id="rId2495" ref="L44"/>
    <hyperlink r:id="rId2496" ref="M44"/>
    <hyperlink r:id="rId2497" ref="N44"/>
    <hyperlink r:id="rId2498" ref="O44"/>
    <hyperlink r:id="rId2499" ref="P44"/>
    <hyperlink r:id="rId2500" ref="X44"/>
    <hyperlink r:id="rId2501" ref="Y44"/>
    <hyperlink r:id="rId2502" ref="Z44"/>
    <hyperlink r:id="rId2503" ref="AA44"/>
    <hyperlink r:id="rId2504" ref="AB44"/>
    <hyperlink r:id="rId2505" ref="AC44"/>
    <hyperlink r:id="rId2506" ref="AE44"/>
    <hyperlink r:id="rId2507" ref="AF44"/>
    <hyperlink r:id="rId2508" ref="AT44"/>
    <hyperlink r:id="rId2509" ref="AU44"/>
    <hyperlink r:id="rId2510" ref="BA44"/>
    <hyperlink r:id="rId2511" ref="BB44"/>
    <hyperlink r:id="rId2512" ref="BC44"/>
    <hyperlink r:id="rId2513" ref="BD44"/>
    <hyperlink r:id="rId2514" ref="BE44"/>
    <hyperlink r:id="rId2515" ref="BH44"/>
    <hyperlink r:id="rId2516" ref="BJ44"/>
    <hyperlink r:id="rId2517" ref="BK44"/>
    <hyperlink r:id="rId2518" ref="BQ44"/>
    <hyperlink r:id="rId2519" ref="BR44"/>
    <hyperlink r:id="rId2520" ref="BS44"/>
    <hyperlink r:id="rId2521" ref="BT44"/>
    <hyperlink r:id="rId2522" ref="BU44"/>
    <hyperlink r:id="rId2523" ref="BV44"/>
    <hyperlink r:id="rId2524" ref="BW44"/>
    <hyperlink r:id="rId2525" ref="BY44"/>
    <hyperlink r:id="rId2526" ref="BZ44"/>
    <hyperlink r:id="rId2527" ref="CF44"/>
    <hyperlink r:id="rId2528" ref="CG44"/>
    <hyperlink r:id="rId2529" ref="CH44"/>
    <hyperlink r:id="rId2530" ref="CI44"/>
    <hyperlink r:id="rId2531" ref="CK44"/>
    <hyperlink r:id="rId2532" ref="CL44"/>
    <hyperlink r:id="rId2533" ref="CM44"/>
    <hyperlink r:id="rId2534" ref="CT44"/>
    <hyperlink r:id="rId2535" ref="CV44"/>
    <hyperlink r:id="rId2536" ref="CW44"/>
    <hyperlink r:id="rId2537" ref="CX44"/>
    <hyperlink r:id="rId2538" ref="CY44"/>
    <hyperlink r:id="rId2539" ref="CZ44"/>
    <hyperlink r:id="rId2540" ref="DA44"/>
    <hyperlink r:id="rId2541" ref="DG44"/>
    <hyperlink r:id="rId2542" ref="DP44"/>
    <hyperlink r:id="rId2543" ref="DQ44"/>
    <hyperlink r:id="rId2544" ref="I45"/>
    <hyperlink r:id="rId2545" ref="J45"/>
    <hyperlink r:id="rId2546" ref="K45"/>
    <hyperlink r:id="rId2547" ref="L45"/>
    <hyperlink r:id="rId2548" ref="M45"/>
    <hyperlink r:id="rId2549" ref="N45"/>
    <hyperlink r:id="rId2550" ref="O45"/>
    <hyperlink r:id="rId2551" ref="X45"/>
    <hyperlink r:id="rId2552" ref="Z45"/>
    <hyperlink r:id="rId2553" ref="AA45"/>
    <hyperlink r:id="rId2554" ref="AB45"/>
    <hyperlink r:id="rId2555" ref="AF45"/>
    <hyperlink r:id="rId2556" ref="AM45"/>
    <hyperlink r:id="rId2557" ref="AU45"/>
    <hyperlink r:id="rId2558" ref="BA45"/>
    <hyperlink r:id="rId2559" ref="BB45"/>
    <hyperlink r:id="rId2560" ref="BD45"/>
    <hyperlink r:id="rId2561" ref="BH45"/>
    <hyperlink r:id="rId2562" ref="BI45"/>
    <hyperlink r:id="rId2563" ref="BJ45"/>
    <hyperlink r:id="rId2564" ref="BQ45"/>
    <hyperlink r:id="rId2565" ref="BS45"/>
    <hyperlink r:id="rId2566" ref="BV45"/>
    <hyperlink r:id="rId2567" ref="BX45"/>
    <hyperlink r:id="rId2568" ref="BY45"/>
    <hyperlink r:id="rId2569" ref="BZ45"/>
    <hyperlink r:id="rId2570" ref="CG45"/>
    <hyperlink r:id="rId2571" ref="CH45"/>
    <hyperlink r:id="rId2572" ref="CI45"/>
    <hyperlink r:id="rId2573" ref="CK45"/>
    <hyperlink r:id="rId2574" ref="CL45"/>
    <hyperlink r:id="rId2575" ref="CM45"/>
    <hyperlink r:id="rId2576" ref="CT45"/>
    <hyperlink r:id="rId2577" ref="CV45"/>
    <hyperlink r:id="rId2578" ref="CW45"/>
    <hyperlink r:id="rId2579" ref="CZ45"/>
    <hyperlink r:id="rId2580" ref="DA45"/>
    <hyperlink r:id="rId2581" ref="DP45"/>
    <hyperlink r:id="rId2582" ref="K46"/>
    <hyperlink r:id="rId2583" ref="M46"/>
    <hyperlink r:id="rId2584" ref="N46"/>
    <hyperlink r:id="rId2585" ref="O46"/>
    <hyperlink r:id="rId2586" ref="P46"/>
    <hyperlink r:id="rId2587" ref="S46"/>
    <hyperlink r:id="rId2588" ref="X46"/>
    <hyperlink r:id="rId2589" ref="AC46"/>
    <hyperlink r:id="rId2590" ref="AF46"/>
    <hyperlink r:id="rId2591" ref="AM46"/>
    <hyperlink r:id="rId2592" ref="AS46"/>
    <hyperlink r:id="rId2593" ref="BA46"/>
    <hyperlink r:id="rId2594" ref="BC46"/>
    <hyperlink r:id="rId2595" ref="BD46"/>
    <hyperlink r:id="rId2596" ref="BH46"/>
    <hyperlink r:id="rId2597" ref="BK46"/>
    <hyperlink r:id="rId2598" ref="BQ46"/>
    <hyperlink r:id="rId2599" ref="BR46"/>
    <hyperlink r:id="rId2600" ref="BS46"/>
    <hyperlink r:id="rId2601" ref="BT46"/>
    <hyperlink r:id="rId2602" ref="BU46"/>
    <hyperlink r:id="rId2603" ref="BV46"/>
    <hyperlink r:id="rId2604" ref="CA46"/>
    <hyperlink r:id="rId2605" ref="CC46"/>
    <hyperlink r:id="rId2606" ref="CD46"/>
    <hyperlink r:id="rId2607" ref="CL46"/>
    <hyperlink r:id="rId2608" ref="CO46"/>
    <hyperlink r:id="rId2609" ref="CW46"/>
    <hyperlink r:id="rId2610" ref="CZ46"/>
    <hyperlink r:id="rId2611" ref="DK46"/>
    <hyperlink r:id="rId2612" ref="DQ46"/>
    <hyperlink r:id="rId2613" ref="DX46"/>
    <hyperlink r:id="rId2614" ref="P47"/>
    <hyperlink r:id="rId2615" ref="Y47"/>
    <hyperlink r:id="rId2616" ref="Z47"/>
    <hyperlink r:id="rId2617" ref="AU47"/>
    <hyperlink r:id="rId2618" ref="BC47"/>
    <hyperlink r:id="rId2619" ref="BD47"/>
    <hyperlink r:id="rId2620" ref="CG47"/>
    <hyperlink r:id="rId2621" ref="CM47"/>
    <hyperlink r:id="rId2622" ref="CV47"/>
    <hyperlink r:id="rId2623" ref="CZ47"/>
    <hyperlink r:id="rId2624" ref="DX47"/>
    <hyperlink r:id="rId2625" ref="H49"/>
    <hyperlink r:id="rId2626" ref="I49"/>
    <hyperlink r:id="rId2627" ref="J49"/>
    <hyperlink r:id="rId2628" ref="K49"/>
    <hyperlink r:id="rId2629" ref="L49"/>
    <hyperlink r:id="rId2630" ref="M49"/>
    <hyperlink r:id="rId2631" ref="N49"/>
    <hyperlink r:id="rId2632" ref="O49"/>
    <hyperlink r:id="rId2633" ref="P49"/>
    <hyperlink r:id="rId2634" ref="Q49"/>
    <hyperlink r:id="rId2635" ref="S49"/>
    <hyperlink r:id="rId2636" ref="V49"/>
    <hyperlink r:id="rId2637" ref="X49"/>
    <hyperlink r:id="rId2638" ref="Y49"/>
    <hyperlink r:id="rId2639" ref="Z49"/>
    <hyperlink r:id="rId2640" ref="AA49"/>
    <hyperlink r:id="rId2641" ref="AB49"/>
    <hyperlink r:id="rId2642" ref="AC49"/>
    <hyperlink r:id="rId2643" ref="AD49"/>
    <hyperlink r:id="rId2644" ref="AE49"/>
    <hyperlink r:id="rId2645" ref="AF49"/>
    <hyperlink r:id="rId2646" ref="AI49"/>
    <hyperlink r:id="rId2647" ref="AJ49"/>
    <hyperlink r:id="rId2648" ref="AL49"/>
    <hyperlink r:id="rId2649" ref="AM49"/>
    <hyperlink r:id="rId2650" ref="AN49"/>
    <hyperlink r:id="rId2651" ref="AO49"/>
    <hyperlink r:id="rId2652" ref="AP49"/>
    <hyperlink r:id="rId2653" ref="AQ49"/>
    <hyperlink r:id="rId2654" ref="AR49"/>
    <hyperlink r:id="rId2655" ref="AS49"/>
    <hyperlink r:id="rId2656" ref="AT49"/>
    <hyperlink r:id="rId2657" ref="AU49"/>
    <hyperlink r:id="rId2658" ref="AV49"/>
    <hyperlink r:id="rId2659" ref="AY49"/>
    <hyperlink r:id="rId2660" ref="BA49"/>
    <hyperlink r:id="rId2661" ref="BB49"/>
    <hyperlink r:id="rId2662" ref="BC49"/>
    <hyperlink r:id="rId2663" ref="BD49"/>
    <hyperlink r:id="rId2664" ref="BE49"/>
    <hyperlink r:id="rId2665" ref="BH49"/>
    <hyperlink r:id="rId2666" ref="BJ49"/>
    <hyperlink r:id="rId2667" ref="BK49"/>
    <hyperlink r:id="rId2668" ref="BL49"/>
    <hyperlink r:id="rId2669" ref="BM49"/>
    <hyperlink r:id="rId2670" ref="BN49"/>
    <hyperlink r:id="rId2671" ref="BO49"/>
    <hyperlink r:id="rId2672" ref="BQ49"/>
    <hyperlink r:id="rId2673" ref="BR49"/>
    <hyperlink r:id="rId2674" ref="BS49"/>
    <hyperlink r:id="rId2675" ref="BT49"/>
    <hyperlink r:id="rId2676" ref="BU49"/>
    <hyperlink r:id="rId2677" ref="BV49"/>
    <hyperlink r:id="rId2678" ref="BW49"/>
    <hyperlink r:id="rId2679" ref="BY49"/>
    <hyperlink r:id="rId2680" ref="BZ49"/>
    <hyperlink r:id="rId2681" ref="CA49"/>
    <hyperlink r:id="rId2682" ref="CB49"/>
    <hyperlink r:id="rId2683" ref="CC49"/>
    <hyperlink r:id="rId2684" ref="CD49"/>
    <hyperlink r:id="rId2685" ref="CF49"/>
    <hyperlink r:id="rId2686" ref="CG49"/>
    <hyperlink r:id="rId2687" ref="CH49"/>
    <hyperlink r:id="rId2688" ref="CI49"/>
    <hyperlink r:id="rId2689" ref="CJ49"/>
    <hyperlink r:id="rId2690" ref="CK49"/>
    <hyperlink r:id="rId2691" ref="CL49"/>
    <hyperlink r:id="rId2692" ref="CM49"/>
    <hyperlink r:id="rId2693" ref="CQ49"/>
    <hyperlink r:id="rId2694" ref="CR49"/>
    <hyperlink r:id="rId2695" ref="CT49"/>
    <hyperlink r:id="rId2696" ref="CU49"/>
    <hyperlink r:id="rId2697" ref="CV49"/>
    <hyperlink r:id="rId2698" ref="CW49"/>
    <hyperlink r:id="rId2699" ref="CX49"/>
    <hyperlink r:id="rId2700" ref="CY49"/>
    <hyperlink r:id="rId2701" ref="CZ49"/>
    <hyperlink r:id="rId2702" ref="DA49"/>
    <hyperlink r:id="rId2703" ref="DB49"/>
    <hyperlink r:id="rId2704" ref="DC49"/>
    <hyperlink r:id="rId2705" ref="DE49"/>
    <hyperlink r:id="rId2706" ref="DG49"/>
    <hyperlink r:id="rId2707" ref="DK49"/>
    <hyperlink r:id="rId2708" ref="DL49"/>
    <hyperlink r:id="rId2709" ref="DM49"/>
    <hyperlink r:id="rId2710" ref="DP49"/>
    <hyperlink r:id="rId2711" ref="DQ49"/>
    <hyperlink r:id="rId2712" ref="DR49"/>
    <hyperlink r:id="rId2713" ref="DS49"/>
    <hyperlink r:id="rId2714" ref="DU49"/>
    <hyperlink r:id="rId2715" ref="DY49"/>
    <hyperlink r:id="rId2716" ref="DZ49"/>
    <hyperlink r:id="rId2717" ref="EA49"/>
    <hyperlink r:id="rId2718" ref="EB49"/>
    <hyperlink r:id="rId2719" ref="K50"/>
    <hyperlink r:id="rId2720" ref="N50"/>
    <hyperlink r:id="rId2721" ref="O50"/>
    <hyperlink r:id="rId2722" ref="P50"/>
    <hyperlink r:id="rId2723" ref="AC50"/>
    <hyperlink r:id="rId2724" ref="BH50"/>
    <hyperlink r:id="rId2725" ref="BS50"/>
    <hyperlink r:id="rId2726" ref="BT50"/>
    <hyperlink r:id="rId2727" ref="CG50"/>
    <hyperlink r:id="rId2728" ref="CJ50"/>
    <hyperlink r:id="rId2729" ref="CK50"/>
    <hyperlink r:id="rId2730" ref="CL50"/>
    <hyperlink r:id="rId2731" ref="DA50"/>
    <hyperlink r:id="rId2732" ref="DK50"/>
    <hyperlink r:id="rId2733" ref="DN50"/>
    <hyperlink r:id="rId2734" ref="DP50"/>
    <hyperlink r:id="rId2735" ref="EB50"/>
    <hyperlink r:id="rId2736" ref="J51"/>
    <hyperlink r:id="rId2737" ref="K51"/>
    <hyperlink r:id="rId2738" ref="L51"/>
    <hyperlink r:id="rId2739" ref="N51"/>
    <hyperlink r:id="rId2740" ref="O51"/>
    <hyperlink r:id="rId2741" ref="P51"/>
    <hyperlink r:id="rId2742" ref="X51"/>
    <hyperlink r:id="rId2743" ref="Y51"/>
    <hyperlink r:id="rId2744" ref="AA51"/>
    <hyperlink r:id="rId2745" ref="AB51"/>
    <hyperlink r:id="rId2746" ref="AC51"/>
    <hyperlink r:id="rId2747" ref="AM51"/>
    <hyperlink r:id="rId2748" ref="AU51"/>
    <hyperlink r:id="rId2749" ref="BA51"/>
    <hyperlink r:id="rId2750" ref="BB51"/>
    <hyperlink r:id="rId2751" ref="BC51"/>
    <hyperlink r:id="rId2752" ref="BH51"/>
    <hyperlink r:id="rId2753" ref="BJ51"/>
    <hyperlink r:id="rId2754" ref="BR51"/>
    <hyperlink r:id="rId2755" ref="BS51"/>
    <hyperlink r:id="rId2756" ref="BU51"/>
    <hyperlink r:id="rId2757" ref="BV51"/>
    <hyperlink r:id="rId2758" ref="BZ51"/>
    <hyperlink r:id="rId2759" ref="CF51"/>
    <hyperlink r:id="rId2760" ref="CH51"/>
    <hyperlink r:id="rId2761" ref="CL51"/>
    <hyperlink r:id="rId2762" ref="CT51"/>
    <hyperlink r:id="rId2763" ref="CV51"/>
    <hyperlink r:id="rId2764" ref="CW51"/>
    <hyperlink r:id="rId2765" ref="CX51"/>
    <hyperlink r:id="rId2766" ref="CY51"/>
    <hyperlink r:id="rId2767" ref="CZ51"/>
    <hyperlink r:id="rId2768" ref="DP51"/>
    <hyperlink r:id="rId2769" ref="H52"/>
    <hyperlink r:id="rId2770" ref="J52"/>
    <hyperlink r:id="rId2771" ref="M52"/>
    <hyperlink r:id="rId2772" ref="P52"/>
    <hyperlink r:id="rId2773" ref="X52"/>
    <hyperlink r:id="rId2774" ref="Y52"/>
    <hyperlink r:id="rId2775" ref="AA52"/>
    <hyperlink r:id="rId2776" ref="AB52"/>
    <hyperlink r:id="rId2777" ref="AC52"/>
    <hyperlink r:id="rId2778" ref="AE52"/>
    <hyperlink r:id="rId2779" ref="AF52"/>
    <hyperlink r:id="rId2780" ref="AI52"/>
    <hyperlink r:id="rId2781" ref="AM52"/>
    <hyperlink r:id="rId2782" ref="AN52"/>
    <hyperlink r:id="rId2783" ref="AO52"/>
    <hyperlink r:id="rId2784" ref="AT52"/>
    <hyperlink r:id="rId2785" ref="AX52"/>
    <hyperlink r:id="rId2786" ref="AY52"/>
    <hyperlink r:id="rId2787" ref="BB52"/>
    <hyperlink r:id="rId2788" ref="BE52"/>
    <hyperlink r:id="rId2789" ref="BI52"/>
    <hyperlink r:id="rId2790" ref="BK52"/>
    <hyperlink r:id="rId2791" ref="BO52"/>
    <hyperlink r:id="rId2792" ref="BT52"/>
    <hyperlink r:id="rId2793" ref="BV52"/>
    <hyperlink r:id="rId2794" ref="BW52"/>
    <hyperlink r:id="rId2795" ref="BX52"/>
    <hyperlink r:id="rId2796" ref="BZ52"/>
    <hyperlink r:id="rId2797" ref="CA52"/>
    <hyperlink r:id="rId2798" ref="CB52"/>
    <hyperlink r:id="rId2799" ref="CC52"/>
    <hyperlink r:id="rId2800" ref="CD52"/>
    <hyperlink r:id="rId2801" ref="CF52"/>
    <hyperlink r:id="rId2802" ref="CH52"/>
    <hyperlink r:id="rId2803" ref="CI52"/>
    <hyperlink r:id="rId2804" ref="CL52"/>
    <hyperlink r:id="rId2805" ref="CM52"/>
    <hyperlink r:id="rId2806" ref="CQ52"/>
    <hyperlink r:id="rId2807" ref="CW52"/>
    <hyperlink r:id="rId2808" ref="CZ52"/>
    <hyperlink r:id="rId2809" ref="DA52"/>
    <hyperlink r:id="rId2810" ref="DP52"/>
    <hyperlink r:id="rId2811" ref="DT52"/>
    <hyperlink r:id="rId2812" ref="EA52"/>
    <hyperlink r:id="rId2813" ref="R53"/>
    <hyperlink r:id="rId2814" ref="AD53"/>
    <hyperlink r:id="rId2815" ref="AG53"/>
    <hyperlink r:id="rId2816" ref="AH53"/>
    <hyperlink r:id="rId2817" ref="AM53"/>
    <hyperlink r:id="rId2818" ref="AO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B58"/>
    <hyperlink r:id="rId2916" ref="CC58"/>
    <hyperlink r:id="rId2917" ref="CF58"/>
    <hyperlink r:id="rId2918" ref="CG58"/>
    <hyperlink r:id="rId2919" ref="CH58"/>
    <hyperlink r:id="rId2920" ref="CI58"/>
    <hyperlink r:id="rId2921" ref="CJ58"/>
    <hyperlink r:id="rId2922" ref="CK58"/>
    <hyperlink r:id="rId2923" ref="CL58"/>
    <hyperlink r:id="rId2924" ref="CM58"/>
    <hyperlink r:id="rId2925" ref="CQ58"/>
    <hyperlink r:id="rId2926" ref="CT58"/>
    <hyperlink r:id="rId2927" ref="CU58"/>
    <hyperlink r:id="rId2928" ref="CV58"/>
    <hyperlink r:id="rId2929" ref="CW58"/>
    <hyperlink r:id="rId2930" ref="CX58"/>
    <hyperlink r:id="rId2931" ref="CZ58"/>
    <hyperlink r:id="rId2932" ref="DA58"/>
    <hyperlink r:id="rId2933" ref="DG58"/>
    <hyperlink r:id="rId2934" ref="DK58"/>
    <hyperlink r:id="rId2935" ref="DN58"/>
    <hyperlink r:id="rId2936" ref="DP58"/>
    <hyperlink r:id="rId2937" ref="DU58"/>
    <hyperlink r:id="rId2938" ref="DY58"/>
    <hyperlink r:id="rId2939" ref="EA58"/>
    <hyperlink r:id="rId2940" ref="EB58"/>
    <hyperlink r:id="rId2941" ref="O59"/>
    <hyperlink r:id="rId2942" ref="X59"/>
    <hyperlink r:id="rId2943" ref="BF59"/>
    <hyperlink r:id="rId2944" ref="BT59"/>
    <hyperlink r:id="rId2945" ref="DK59"/>
    <hyperlink r:id="rId2946" ref="K60"/>
    <hyperlink r:id="rId2947" ref="L60"/>
    <hyperlink r:id="rId2948" ref="N60"/>
    <hyperlink r:id="rId2949" ref="R60"/>
    <hyperlink r:id="rId2950" ref="U60"/>
    <hyperlink r:id="rId2951" ref="AU60"/>
    <hyperlink r:id="rId2952" ref="BB60"/>
    <hyperlink r:id="rId2953" ref="BC60"/>
    <hyperlink r:id="rId2954" ref="BH60"/>
    <hyperlink r:id="rId2955" ref="BM60"/>
    <hyperlink r:id="rId2956" ref="BQ60"/>
    <hyperlink r:id="rId2957" ref="CO60"/>
    <hyperlink r:id="rId2958" ref="CV60"/>
    <hyperlink r:id="rId2959" ref="DA60"/>
    <hyperlink r:id="rId2960" ref="H61"/>
    <hyperlink r:id="rId2961" ref="I61"/>
    <hyperlink r:id="rId2962" ref="J61"/>
    <hyperlink r:id="rId2963" ref="K61"/>
    <hyperlink r:id="rId2964" ref="L61"/>
    <hyperlink r:id="rId2965" ref="X61"/>
    <hyperlink r:id="rId2966" ref="Y61"/>
    <hyperlink r:id="rId2967" ref="Z61"/>
    <hyperlink r:id="rId2968" ref="AT61"/>
    <hyperlink r:id="rId2969" ref="AU61"/>
    <hyperlink r:id="rId2970" ref="BC61"/>
    <hyperlink r:id="rId2971" ref="BD61"/>
    <hyperlink r:id="rId2972" ref="CG61"/>
    <hyperlink r:id="rId2973" ref="CK61"/>
    <hyperlink r:id="rId2974" ref="CV61"/>
    <hyperlink r:id="rId2975" ref="CF63"/>
    <hyperlink r:id="rId2976" ref="CW63"/>
    <hyperlink r:id="rId2977" ref="L64"/>
    <hyperlink r:id="rId2978" ref="P64"/>
    <hyperlink r:id="rId2979" ref="S64"/>
    <hyperlink r:id="rId2980" ref="BD64"/>
    <hyperlink r:id="rId2981" ref="BE64"/>
    <hyperlink r:id="rId2982" ref="BM64"/>
    <hyperlink r:id="rId2983" ref="CZ64"/>
    <hyperlink r:id="rId2984" ref="J65"/>
    <hyperlink r:id="rId2985" ref="K65"/>
    <hyperlink r:id="rId2986" ref="N65"/>
    <hyperlink r:id="rId2987" ref="O65"/>
    <hyperlink r:id="rId2988" ref="P65"/>
    <hyperlink r:id="rId2989" ref="X65"/>
    <hyperlink r:id="rId2990" ref="Y65"/>
    <hyperlink r:id="rId2991" ref="Z65"/>
    <hyperlink r:id="rId2992" ref="AA65"/>
    <hyperlink r:id="rId2993" ref="AB65"/>
    <hyperlink r:id="rId2994" ref="AC65"/>
    <hyperlink r:id="rId2995" ref="AF65"/>
    <hyperlink r:id="rId2996" ref="AI65"/>
    <hyperlink r:id="rId2997" ref="AM65"/>
    <hyperlink r:id="rId2998" ref="AT65"/>
    <hyperlink r:id="rId2999" ref="AU65"/>
    <hyperlink r:id="rId3000" ref="BA65"/>
    <hyperlink r:id="rId3001" ref="BC65"/>
    <hyperlink r:id="rId3002" ref="BD65"/>
    <hyperlink r:id="rId3003" ref="BE65"/>
    <hyperlink r:id="rId3004" ref="BF65"/>
    <hyperlink r:id="rId3005" ref="BH65"/>
    <hyperlink r:id="rId3006" ref="BI65"/>
    <hyperlink r:id="rId3007" ref="BK65"/>
    <hyperlink r:id="rId3008" ref="BR65"/>
    <hyperlink r:id="rId3009" ref="BS65"/>
    <hyperlink r:id="rId3010" ref="BT65"/>
    <hyperlink r:id="rId3011" ref="BV65"/>
    <hyperlink r:id="rId3012" ref="BZ65"/>
    <hyperlink r:id="rId3013" ref="CL65"/>
    <hyperlink r:id="rId3014" ref="CM65"/>
    <hyperlink r:id="rId3015" ref="CU65"/>
    <hyperlink r:id="rId3016" ref="CV65"/>
    <hyperlink r:id="rId3017" ref="CW65"/>
    <hyperlink r:id="rId3018" ref="DA65"/>
    <hyperlink r:id="rId3019" ref="DE65"/>
    <hyperlink r:id="rId3020" ref="DL65"/>
    <hyperlink r:id="rId3021" ref="DP65"/>
    <hyperlink r:id="rId3022" ref="DS65"/>
    <hyperlink r:id="rId3023" ref="DU65"/>
    <hyperlink r:id="rId3024" ref="J66"/>
    <hyperlink r:id="rId3025" ref="N66"/>
    <hyperlink r:id="rId3026" ref="X66"/>
    <hyperlink r:id="rId3027" ref="Y66"/>
    <hyperlink r:id="rId3028" ref="AA66"/>
    <hyperlink r:id="rId3029" ref="AB66"/>
    <hyperlink r:id="rId3030" ref="AC66"/>
    <hyperlink r:id="rId3031" ref="AF66"/>
    <hyperlink r:id="rId3032" ref="AH66"/>
    <hyperlink r:id="rId3033" ref="AL66"/>
    <hyperlink r:id="rId3034" ref="AU66"/>
    <hyperlink r:id="rId3035" ref="BB66"/>
    <hyperlink r:id="rId3036" ref="BG66"/>
    <hyperlink r:id="rId3037" ref="BI66"/>
    <hyperlink r:id="rId3038" ref="BJ66"/>
    <hyperlink r:id="rId3039" ref="BQ66"/>
    <hyperlink r:id="rId3040" ref="BS66"/>
    <hyperlink r:id="rId3041" ref="BX66"/>
    <hyperlink r:id="rId3042" ref="CD66"/>
    <hyperlink r:id="rId3043" ref="CI66"/>
    <hyperlink r:id="rId3044" ref="CL66"/>
    <hyperlink r:id="rId3045" ref="CM66"/>
    <hyperlink r:id="rId3046" ref="H67"/>
    <hyperlink r:id="rId3047" ref="S67"/>
    <hyperlink r:id="rId3048" ref="AX67"/>
    <hyperlink r:id="rId3049" ref="BD67"/>
    <hyperlink r:id="rId3050" ref="BR67"/>
    <hyperlink r:id="rId3051" ref="CF67"/>
    <hyperlink r:id="rId3052" ref="CU67"/>
    <hyperlink r:id="rId3053" ref="DA67"/>
    <hyperlink r:id="rId3054" ref="DG67"/>
    <hyperlink r:id="rId3055" ref="DQ67"/>
    <hyperlink r:id="rId3056" ref="P68"/>
    <hyperlink r:id="rId3057" ref="U68"/>
    <hyperlink r:id="rId3058" ref="X68"/>
    <hyperlink r:id="rId3059" ref="AA68"/>
    <hyperlink r:id="rId3060" ref="AB68"/>
    <hyperlink r:id="rId3061" ref="AJ68"/>
    <hyperlink r:id="rId3062" ref="AM68"/>
    <hyperlink r:id="rId3063" ref="AX68"/>
    <hyperlink r:id="rId3064" ref="BA68"/>
    <hyperlink r:id="rId3065" ref="BC68"/>
    <hyperlink r:id="rId3066" ref="BD68"/>
    <hyperlink r:id="rId3067" ref="BL68"/>
    <hyperlink r:id="rId3068" ref="BM68"/>
    <hyperlink r:id="rId3069" ref="BQ68"/>
    <hyperlink r:id="rId3070" ref="BS68"/>
    <hyperlink r:id="rId3071" ref="CA68"/>
    <hyperlink r:id="rId3072" ref="CB68"/>
    <hyperlink r:id="rId3073" ref="CF68"/>
    <hyperlink r:id="rId3074" ref="CG68"/>
    <hyperlink r:id="rId3075" ref="CI68"/>
    <hyperlink r:id="rId3076" ref="CL68"/>
    <hyperlink r:id="rId3077" ref="CW68"/>
    <hyperlink r:id="rId3078" ref="DC68"/>
    <hyperlink r:id="rId3079" ref="DE68"/>
    <hyperlink r:id="rId3080" ref="DK68"/>
    <hyperlink r:id="rId3081" ref="EA68"/>
    <hyperlink r:id="rId3082" ref="H69"/>
    <hyperlink r:id="rId3083" ref="I69"/>
    <hyperlink r:id="rId3084" ref="J69"/>
    <hyperlink r:id="rId3085" ref="K69"/>
    <hyperlink r:id="rId3086" ref="L69"/>
    <hyperlink r:id="rId3087" ref="M69"/>
    <hyperlink r:id="rId3088" ref="P69"/>
    <hyperlink r:id="rId3089" ref="X69"/>
    <hyperlink r:id="rId3090" ref="Y69"/>
    <hyperlink r:id="rId3091" ref="Z69"/>
    <hyperlink r:id="rId3092" ref="AA69"/>
    <hyperlink r:id="rId3093" ref="AB69"/>
    <hyperlink r:id="rId3094" ref="AD69"/>
    <hyperlink r:id="rId3095" ref="AF69"/>
    <hyperlink r:id="rId3096" ref="AM69"/>
    <hyperlink r:id="rId3097" ref="AT69"/>
    <hyperlink r:id="rId3098" ref="AU69"/>
    <hyperlink r:id="rId3099" ref="BA69"/>
    <hyperlink r:id="rId3100" ref="BB69"/>
    <hyperlink r:id="rId3101" ref="BE69"/>
    <hyperlink r:id="rId3102" ref="BS69"/>
    <hyperlink r:id="rId3103" ref="CF69"/>
    <hyperlink r:id="rId3104" ref="CG69"/>
    <hyperlink r:id="rId3105" ref="CL69"/>
    <hyperlink r:id="rId3106" ref="CV69"/>
    <hyperlink r:id="rId3107" ref="DG69"/>
    <hyperlink r:id="rId3108" ref="DL69"/>
    <hyperlink r:id="rId3109" ref="DP69"/>
    <hyperlink r:id="rId3110" ref="DU69"/>
    <hyperlink r:id="rId3111" ref="H70"/>
    <hyperlink r:id="rId3112" ref="I70"/>
    <hyperlink r:id="rId3113" ref="J70"/>
    <hyperlink r:id="rId3114" ref="K70"/>
    <hyperlink r:id="rId3115" ref="L70"/>
    <hyperlink r:id="rId3116" ref="N70"/>
    <hyperlink r:id="rId3117" ref="O70"/>
    <hyperlink r:id="rId3118" ref="P70"/>
    <hyperlink r:id="rId3119" ref="X70"/>
    <hyperlink r:id="rId3120" ref="Y70"/>
    <hyperlink r:id="rId3121" ref="Z70"/>
    <hyperlink r:id="rId3122" ref="AB70"/>
    <hyperlink r:id="rId3123" ref="AC70"/>
    <hyperlink r:id="rId3124" ref="AE70"/>
    <hyperlink r:id="rId3125" ref="AF70"/>
    <hyperlink r:id="rId3126" ref="AM70"/>
    <hyperlink r:id="rId3127" ref="AT70"/>
    <hyperlink r:id="rId3128" ref="AX70"/>
    <hyperlink r:id="rId3129" ref="AY70"/>
    <hyperlink r:id="rId3130" ref="BA70"/>
    <hyperlink r:id="rId3131" ref="BB70"/>
    <hyperlink r:id="rId3132" ref="BC70"/>
    <hyperlink r:id="rId3133" ref="BD70"/>
    <hyperlink r:id="rId3134" ref="BE70"/>
    <hyperlink r:id="rId3135" ref="BJ70"/>
    <hyperlink r:id="rId3136" ref="BK70"/>
    <hyperlink r:id="rId3137" ref="BQ70"/>
    <hyperlink r:id="rId3138" ref="BR70"/>
    <hyperlink r:id="rId3139" ref="BS70"/>
    <hyperlink r:id="rId3140" ref="BT70"/>
    <hyperlink r:id="rId3141" ref="BU70"/>
    <hyperlink r:id="rId3142" ref="BV70"/>
    <hyperlink r:id="rId3143" ref="BZ70"/>
    <hyperlink r:id="rId3144" ref="CC70"/>
    <hyperlink r:id="rId3145" ref="CG70"/>
    <hyperlink r:id="rId3146" ref="CO70"/>
    <hyperlink r:id="rId3147" ref="CQ70"/>
    <hyperlink r:id="rId3148" ref="CU70"/>
    <hyperlink r:id="rId3149" ref="CW70"/>
    <hyperlink r:id="rId3150" ref="CY70"/>
    <hyperlink r:id="rId3151" ref="DA70"/>
    <hyperlink r:id="rId3152" ref="DC70"/>
    <hyperlink r:id="rId3153" ref="DK70"/>
    <hyperlink r:id="rId3154" ref="DM70"/>
    <hyperlink r:id="rId3155" ref="DS70"/>
    <hyperlink r:id="rId3156" ref="DZ70"/>
    <hyperlink r:id="rId3157" ref="EA70"/>
    <hyperlink r:id="rId3158" ref="EB70"/>
    <hyperlink r:id="rId3159" ref="H71"/>
    <hyperlink r:id="rId3160" ref="I71"/>
    <hyperlink r:id="rId3161" ref="J71"/>
    <hyperlink r:id="rId3162" ref="K71"/>
    <hyperlink r:id="rId3163" ref="L71"/>
    <hyperlink r:id="rId3164" ref="M71"/>
    <hyperlink r:id="rId3165" ref="N71"/>
    <hyperlink r:id="rId3166" ref="O71"/>
    <hyperlink r:id="rId3167" ref="P71"/>
    <hyperlink r:id="rId3168" ref="X71"/>
    <hyperlink r:id="rId3169" ref="Y71"/>
    <hyperlink r:id="rId3170" ref="Z71"/>
    <hyperlink r:id="rId3171" ref="AA71"/>
    <hyperlink r:id="rId3172" ref="AB71"/>
    <hyperlink r:id="rId3173" ref="AC71"/>
    <hyperlink r:id="rId3174" ref="AE71"/>
    <hyperlink r:id="rId3175" ref="AF71"/>
    <hyperlink r:id="rId3176" ref="AG71"/>
    <hyperlink r:id="rId3177" ref="AL71"/>
    <hyperlink r:id="rId3178" ref="AM71"/>
    <hyperlink r:id="rId3179" ref="AT71"/>
    <hyperlink r:id="rId3180" ref="AU71"/>
    <hyperlink r:id="rId3181" ref="BA71"/>
    <hyperlink r:id="rId3182" ref="BB71"/>
    <hyperlink r:id="rId3183" ref="BC71"/>
    <hyperlink r:id="rId3184" ref="BD71"/>
    <hyperlink r:id="rId3185" ref="BE71"/>
    <hyperlink r:id="rId3186" ref="BF71"/>
    <hyperlink r:id="rId3187" ref="BG71"/>
    <hyperlink r:id="rId3188" ref="BH71"/>
    <hyperlink r:id="rId3189" ref="BI71"/>
    <hyperlink r:id="rId3190" ref="BJ71"/>
    <hyperlink r:id="rId3191" ref="BK71"/>
    <hyperlink r:id="rId3192" ref="BL71"/>
    <hyperlink r:id="rId3193" ref="BM71"/>
    <hyperlink r:id="rId3194" ref="BN71"/>
    <hyperlink r:id="rId3195" ref="BQ71"/>
    <hyperlink r:id="rId3196" ref="BR71"/>
    <hyperlink r:id="rId3197" ref="BS71"/>
    <hyperlink r:id="rId3198" ref="BT71"/>
    <hyperlink r:id="rId3199" ref="BU71"/>
    <hyperlink r:id="rId3200" ref="BV71"/>
    <hyperlink r:id="rId3201" ref="BW71"/>
    <hyperlink r:id="rId3202" ref="BX71"/>
    <hyperlink r:id="rId3203" ref="BZ71"/>
    <hyperlink r:id="rId3204" ref="CC71"/>
    <hyperlink r:id="rId3205" ref="CF71"/>
    <hyperlink r:id="rId3206" ref="CG71"/>
    <hyperlink r:id="rId3207" ref="CH71"/>
    <hyperlink r:id="rId3208" ref="CI71"/>
    <hyperlink r:id="rId3209" ref="CJ71"/>
    <hyperlink r:id="rId3210" ref="CK71"/>
    <hyperlink r:id="rId3211" ref="CL71"/>
    <hyperlink r:id="rId3212" ref="CM71"/>
    <hyperlink r:id="rId3213" ref="CT71"/>
    <hyperlink r:id="rId3214" ref="CU71"/>
    <hyperlink r:id="rId3215" ref="CV71"/>
    <hyperlink r:id="rId3216" ref="CW71"/>
    <hyperlink r:id="rId3217" ref="CX71"/>
    <hyperlink r:id="rId3218" ref="CY71"/>
    <hyperlink r:id="rId3219" ref="CZ71"/>
    <hyperlink r:id="rId3220" ref="DA71"/>
    <hyperlink r:id="rId3221" ref="DD71"/>
    <hyperlink r:id="rId3222" ref="DK71"/>
    <hyperlink r:id="rId3223" ref="DL71"/>
    <hyperlink r:id="rId3224" ref="DP71"/>
    <hyperlink r:id="rId3225" ref="DQ71"/>
    <hyperlink r:id="rId3226" ref="DU71"/>
    <hyperlink r:id="rId3227" ref="DX71"/>
    <hyperlink r:id="rId3228" ref="DY71"/>
    <hyperlink r:id="rId3229" ref="H74"/>
    <hyperlink r:id="rId3230" ref="Q74"/>
    <hyperlink r:id="rId3231" ref="V74"/>
    <hyperlink r:id="rId3232" ref="AB74"/>
    <hyperlink r:id="rId3233" ref="AJ74"/>
    <hyperlink r:id="rId3234" ref="AN74"/>
    <hyperlink r:id="rId3235" ref="AQ74"/>
    <hyperlink r:id="rId3236" ref="AU74"/>
    <hyperlink r:id="rId3237" ref="AV74"/>
    <hyperlink r:id="rId3238" ref="AY74"/>
    <hyperlink r:id="rId3239" ref="BD74"/>
    <hyperlink r:id="rId3240" ref="BF74"/>
    <hyperlink r:id="rId3241" ref="BH74"/>
    <hyperlink r:id="rId3242" ref="BO74"/>
    <hyperlink r:id="rId3243" ref="CA74"/>
    <hyperlink r:id="rId3244" ref="CD74"/>
    <hyperlink r:id="rId3245" ref="CG74"/>
    <hyperlink r:id="rId3246" ref="CR74"/>
    <hyperlink r:id="rId3247" ref="DB74"/>
    <hyperlink r:id="rId3248" ref="DD74"/>
    <hyperlink r:id="rId3249" ref="DE74"/>
    <hyperlink r:id="rId3250" ref="DJ74"/>
    <hyperlink r:id="rId3251" ref="DQ74"/>
    <hyperlink r:id="rId3252" ref="DX74"/>
    <hyperlink r:id="rId3253" ref="I75"/>
    <hyperlink r:id="rId3254" ref="K75"/>
    <hyperlink r:id="rId3255" ref="O75"/>
    <hyperlink r:id="rId3256" ref="X75"/>
    <hyperlink r:id="rId3257" ref="Y75"/>
    <hyperlink r:id="rId3258" ref="Z75"/>
    <hyperlink r:id="rId3259" ref="AA75"/>
    <hyperlink r:id="rId3260" ref="AB75"/>
    <hyperlink r:id="rId3261" ref="AC75"/>
    <hyperlink r:id="rId3262" ref="AE75"/>
    <hyperlink r:id="rId3263" ref="AF75"/>
    <hyperlink r:id="rId3264" ref="AG75"/>
    <hyperlink r:id="rId3265" ref="AJ75"/>
    <hyperlink r:id="rId3266" ref="BC75"/>
    <hyperlink r:id="rId3267" ref="BD75"/>
    <hyperlink r:id="rId3268" ref="BF75"/>
    <hyperlink r:id="rId3269" ref="BH75"/>
    <hyperlink r:id="rId3270" ref="BS75"/>
    <hyperlink r:id="rId3271" ref="CF75"/>
    <hyperlink r:id="rId3272" ref="CG75"/>
    <hyperlink r:id="rId3273" ref="CH75"/>
    <hyperlink r:id="rId3274" ref="CV75"/>
    <hyperlink r:id="rId3275" ref="CY75"/>
    <hyperlink r:id="rId3276" ref="CZ75"/>
    <hyperlink r:id="rId3277" ref="BW76"/>
    <hyperlink r:id="rId3278" ref="CI76"/>
    <hyperlink r:id="rId3279" ref="BW79"/>
    <hyperlink r:id="rId3280" ref="I80"/>
    <hyperlink r:id="rId3281" ref="L80"/>
    <hyperlink r:id="rId3282" ref="P80"/>
    <hyperlink r:id="rId3283" ref="X80"/>
    <hyperlink r:id="rId3284" ref="Z80"/>
    <hyperlink r:id="rId3285" ref="AB80"/>
    <hyperlink r:id="rId3286" ref="BD80"/>
    <hyperlink r:id="rId3287" ref="BT80"/>
    <hyperlink r:id="rId3288" ref="BV80"/>
    <hyperlink r:id="rId3289" ref="CL80"/>
    <hyperlink r:id="rId3290" ref="CM80"/>
    <hyperlink r:id="rId3291" ref="CZ80"/>
    <hyperlink r:id="rId3292" ref="H81"/>
    <hyperlink r:id="rId3293" ref="Q81"/>
    <hyperlink r:id="rId3294" ref="AC81"/>
    <hyperlink r:id="rId3295" ref="AE81"/>
    <hyperlink r:id="rId3296" ref="BC81"/>
    <hyperlink r:id="rId3297" ref="BQ81"/>
    <hyperlink r:id="rId3298" ref="BT81"/>
    <hyperlink r:id="rId3299" ref="CL81"/>
    <hyperlink r:id="rId3300" ref="CR81"/>
    <hyperlink r:id="rId3301" ref="DE81"/>
    <hyperlink r:id="rId3302" ref="DK81"/>
    <hyperlink r:id="rId3303" ref="DZ81"/>
    <hyperlink r:id="rId3304" ref="EA81"/>
    <hyperlink r:id="rId3305" ref="EB81"/>
    <hyperlink r:id="rId3306" ref="M82"/>
    <hyperlink r:id="rId3307" ref="BW82"/>
    <hyperlink r:id="rId3308" ref="H83"/>
    <hyperlink r:id="rId3309" ref="I83"/>
    <hyperlink r:id="rId3310" ref="K83"/>
    <hyperlink r:id="rId3311" ref="L83"/>
    <hyperlink r:id="rId3312" ref="M83"/>
    <hyperlink r:id="rId3313" ref="N83"/>
    <hyperlink r:id="rId3314" ref="O83"/>
    <hyperlink r:id="rId3315" ref="P83"/>
    <hyperlink r:id="rId3316" ref="Q83"/>
    <hyperlink r:id="rId3317" ref="X83"/>
    <hyperlink r:id="rId3318" ref="Y83"/>
    <hyperlink r:id="rId3319" ref="Z83"/>
    <hyperlink r:id="rId3320" ref="AC83"/>
    <hyperlink r:id="rId3321" ref="AD83"/>
    <hyperlink r:id="rId3322" ref="AE83"/>
    <hyperlink r:id="rId3323" ref="AF83"/>
    <hyperlink r:id="rId3324" ref="AT83"/>
    <hyperlink r:id="rId3325" ref="AU83"/>
    <hyperlink r:id="rId3326" ref="AV83"/>
    <hyperlink r:id="rId3327" ref="BA83"/>
    <hyperlink r:id="rId3328" ref="BB83"/>
    <hyperlink r:id="rId3329" ref="BC83"/>
    <hyperlink r:id="rId3330" ref="BD83"/>
    <hyperlink r:id="rId3331" ref="BH83"/>
    <hyperlink r:id="rId3332" ref="BK83"/>
    <hyperlink r:id="rId3333" ref="BN83"/>
    <hyperlink r:id="rId3334" ref="BS83"/>
    <hyperlink r:id="rId3335" ref="BT83"/>
    <hyperlink r:id="rId3336" ref="BU83"/>
    <hyperlink r:id="rId3337" ref="BV83"/>
    <hyperlink r:id="rId3338" ref="BZ83"/>
    <hyperlink r:id="rId3339" ref="CA83"/>
    <hyperlink r:id="rId3340" ref="CB83"/>
    <hyperlink r:id="rId3341" ref="CG83"/>
    <hyperlink r:id="rId3342" ref="CH83"/>
    <hyperlink r:id="rId3343" ref="CJ83"/>
    <hyperlink r:id="rId3344" ref="CK83"/>
    <hyperlink r:id="rId3345" ref="CL83"/>
    <hyperlink r:id="rId3346" ref="CM83"/>
    <hyperlink r:id="rId3347" ref="CU83"/>
    <hyperlink r:id="rId3348" ref="CZ83"/>
    <hyperlink r:id="rId3349" ref="DJ83"/>
    <hyperlink r:id="rId3350" ref="DK83"/>
    <hyperlink r:id="rId3351" ref="DP83"/>
    <hyperlink r:id="rId3352" ref="DQ83"/>
    <hyperlink r:id="rId3353" ref="DR83"/>
    <hyperlink r:id="rId3354" ref="DU83"/>
    <hyperlink r:id="rId3355" ref="EB83"/>
    <hyperlink r:id="rId3356" ref="CH84"/>
    <hyperlink r:id="rId3357" ref="CW84"/>
    <hyperlink r:id="rId3358" ref="P88"/>
    <hyperlink r:id="rId3359" ref="Q88"/>
    <hyperlink r:id="rId3360" ref="R88"/>
    <hyperlink r:id="rId3361" ref="S88"/>
    <hyperlink r:id="rId3362" ref="T88"/>
    <hyperlink r:id="rId3363" ref="U88"/>
    <hyperlink r:id="rId3364" ref="AF88"/>
    <hyperlink r:id="rId3365" ref="AH88"/>
    <hyperlink r:id="rId3366" ref="AI88"/>
    <hyperlink r:id="rId3367" ref="AJ88"/>
    <hyperlink r:id="rId3368" ref="AO88"/>
    <hyperlink r:id="rId3369" ref="AP88"/>
    <hyperlink r:id="rId3370" ref="AQ88"/>
    <hyperlink r:id="rId3371" ref="AS88"/>
    <hyperlink r:id="rId3372" ref="AT88"/>
    <hyperlink r:id="rId3373" ref="AU88"/>
    <hyperlink r:id="rId3374" ref="AW88"/>
    <hyperlink r:id="rId3375" ref="AX88"/>
    <hyperlink r:id="rId3376" ref="AY88"/>
    <hyperlink r:id="rId3377" ref="BB88"/>
    <hyperlink r:id="rId3378" ref="BR88"/>
    <hyperlink r:id="rId3379" ref="BT88"/>
    <hyperlink r:id="rId3380" ref="BZ88"/>
    <hyperlink r:id="rId3381" ref="CH88"/>
    <hyperlink r:id="rId3382" ref="CM88"/>
    <hyperlink r:id="rId3383" ref="CO88"/>
    <hyperlink r:id="rId3384" ref="CP88"/>
    <hyperlink r:id="rId3385" ref="CV88"/>
    <hyperlink r:id="rId3386" ref="CX88"/>
    <hyperlink r:id="rId3387" ref="DA88"/>
    <hyperlink r:id="rId3388" ref="DQ88"/>
    <hyperlink r:id="rId3389" ref="EB88"/>
    <hyperlink r:id="rId3390" ref="I89"/>
    <hyperlink r:id="rId3391" ref="J89"/>
    <hyperlink r:id="rId3392" ref="K89"/>
    <hyperlink r:id="rId3393" ref="L89"/>
    <hyperlink r:id="rId3394" ref="M89"/>
    <hyperlink r:id="rId3395" ref="N89"/>
    <hyperlink r:id="rId3396" ref="O89"/>
    <hyperlink r:id="rId3397" ref="P89"/>
    <hyperlink r:id="rId3398" ref="X89"/>
    <hyperlink r:id="rId3399" ref="Z89"/>
    <hyperlink r:id="rId3400" ref="AA89"/>
    <hyperlink r:id="rId3401" ref="AB89"/>
    <hyperlink r:id="rId3402" ref="AC89"/>
    <hyperlink r:id="rId3403" ref="AF89"/>
    <hyperlink r:id="rId3404" ref="AT89"/>
    <hyperlink r:id="rId3405" ref="AU89"/>
    <hyperlink r:id="rId3406" ref="BB89"/>
    <hyperlink r:id="rId3407" ref="BC89"/>
    <hyperlink r:id="rId3408" ref="BD89"/>
    <hyperlink r:id="rId3409" ref="BE89"/>
    <hyperlink r:id="rId3410" ref="BH89"/>
    <hyperlink r:id="rId3411" ref="BJ89"/>
    <hyperlink r:id="rId3412" ref="BK89"/>
    <hyperlink r:id="rId3413" ref="BQ89"/>
    <hyperlink r:id="rId3414" ref="BR89"/>
    <hyperlink r:id="rId3415" ref="BS89"/>
    <hyperlink r:id="rId3416" ref="BT89"/>
    <hyperlink r:id="rId3417" ref="BV89"/>
    <hyperlink r:id="rId3418" ref="BY89"/>
    <hyperlink r:id="rId3419" ref="BZ89"/>
    <hyperlink r:id="rId3420" ref="CG89"/>
    <hyperlink r:id="rId3421" ref="CL89"/>
    <hyperlink r:id="rId3422" ref="CM89"/>
    <hyperlink r:id="rId3423" ref="CT89"/>
    <hyperlink r:id="rId3424" ref="CV89"/>
    <hyperlink r:id="rId3425" ref="CW89"/>
    <hyperlink r:id="rId3426" ref="CX89"/>
    <hyperlink r:id="rId3427" ref="CZ89"/>
    <hyperlink r:id="rId3428" ref="DA89"/>
    <hyperlink r:id="rId3429" ref="DG89"/>
    <hyperlink r:id="rId3430" ref="DK89"/>
    <hyperlink r:id="rId3431" ref="DP89"/>
    <hyperlink r:id="rId3432" ref="DQ89"/>
    <hyperlink r:id="rId3433" ref="DZ89"/>
    <hyperlink r:id="rId3434" ref="EB89"/>
    <hyperlink r:id="rId3435" ref="AI90"/>
    <hyperlink r:id="rId3436" ref="AU90"/>
    <hyperlink r:id="rId3437" ref="CD90"/>
    <hyperlink r:id="rId3438" ref="CR90"/>
    <hyperlink r:id="rId3439" ref="CU90"/>
    <hyperlink r:id="rId3440" ref="DB90"/>
    <hyperlink r:id="rId3441" ref="DM90"/>
    <hyperlink r:id="rId3442" ref="P91"/>
    <hyperlink r:id="rId3443" ref="Z91"/>
    <hyperlink r:id="rId3444" ref="AA91"/>
    <hyperlink r:id="rId3445" ref="AB91"/>
    <hyperlink r:id="rId3446" ref="AF91"/>
    <hyperlink r:id="rId3447" ref="AX91"/>
    <hyperlink r:id="rId3448" ref="BD91"/>
    <hyperlink r:id="rId3449" ref="BS91"/>
    <hyperlink r:id="rId3450" ref="BZ91"/>
    <hyperlink r:id="rId3451" ref="CA91"/>
    <hyperlink r:id="rId3452" ref="CC91"/>
    <hyperlink r:id="rId3453" ref="CG91"/>
    <hyperlink r:id="rId3454" ref="CM91"/>
    <hyperlink r:id="rId3455" ref="DE91"/>
    <hyperlink r:id="rId3456" ref="H92"/>
    <hyperlink r:id="rId3457" ref="K92"/>
    <hyperlink r:id="rId3458" ref="L92"/>
    <hyperlink r:id="rId3459" ref="M92"/>
    <hyperlink r:id="rId3460" ref="P92"/>
    <hyperlink r:id="rId3461" ref="Q92"/>
    <hyperlink r:id="rId3462" ref="R92"/>
    <hyperlink r:id="rId3463" ref="T92"/>
    <hyperlink r:id="rId3464" ref="V92"/>
    <hyperlink r:id="rId3465" ref="Z92"/>
    <hyperlink r:id="rId3466" ref="AC92"/>
    <hyperlink r:id="rId3467" ref="AE92"/>
    <hyperlink r:id="rId3468" ref="AF92"/>
    <hyperlink r:id="rId3469" ref="AG92"/>
    <hyperlink r:id="rId3470" ref="AH92"/>
    <hyperlink r:id="rId3471" ref="AI92"/>
    <hyperlink r:id="rId3472" ref="AJ92"/>
    <hyperlink r:id="rId3473" ref="AU92"/>
    <hyperlink r:id="rId3474" ref="AW92"/>
    <hyperlink r:id="rId3475" ref="AX92"/>
    <hyperlink r:id="rId3476" ref="BD92"/>
    <hyperlink r:id="rId3477" ref="BF92"/>
    <hyperlink r:id="rId3478" ref="BK92"/>
    <hyperlink r:id="rId3479" ref="BM92"/>
    <hyperlink r:id="rId3480" ref="BN92"/>
    <hyperlink r:id="rId3481" ref="CB92"/>
    <hyperlink r:id="rId3482" ref="CF92"/>
    <hyperlink r:id="rId3483" ref="CG92"/>
    <hyperlink r:id="rId3484" ref="CH92"/>
    <hyperlink r:id="rId3485" ref="CL92"/>
    <hyperlink r:id="rId3486" ref="CM92"/>
    <hyperlink r:id="rId3487" ref="CP92"/>
    <hyperlink r:id="rId3488" ref="CQ92"/>
    <hyperlink r:id="rId3489" ref="CV92"/>
    <hyperlink r:id="rId3490" ref="CW92"/>
    <hyperlink r:id="rId3491" ref="CZ92"/>
    <hyperlink r:id="rId3492" ref="DA92"/>
    <hyperlink r:id="rId3493" ref="DB92"/>
    <hyperlink r:id="rId3494" ref="DC92"/>
    <hyperlink r:id="rId3495" ref="DV92"/>
    <hyperlink r:id="rId3496" ref="I93"/>
    <hyperlink r:id="rId3497" ref="J93"/>
    <hyperlink r:id="rId3498" ref="K93"/>
    <hyperlink r:id="rId3499" ref="L93"/>
    <hyperlink r:id="rId3500" ref="M93"/>
    <hyperlink r:id="rId3501" ref="N93"/>
    <hyperlink r:id="rId3502" ref="O93"/>
    <hyperlink r:id="rId3503" ref="P93"/>
    <hyperlink r:id="rId3504" ref="Q93"/>
    <hyperlink r:id="rId3505" ref="S93"/>
    <hyperlink r:id="rId3506" ref="T93"/>
    <hyperlink r:id="rId3507" ref="X93"/>
    <hyperlink r:id="rId3508" ref="Z93"/>
    <hyperlink r:id="rId3509" ref="AB93"/>
    <hyperlink r:id="rId3510" ref="AE93"/>
    <hyperlink r:id="rId3511" ref="AF93"/>
    <hyperlink r:id="rId3512" ref="AT93"/>
    <hyperlink r:id="rId3513" ref="AU93"/>
    <hyperlink r:id="rId3514" ref="AV93"/>
    <hyperlink r:id="rId3515" ref="AX93"/>
    <hyperlink r:id="rId3516" ref="BD93"/>
    <hyperlink r:id="rId3517" ref="BE93"/>
    <hyperlink r:id="rId3518" ref="BH93"/>
    <hyperlink r:id="rId3519" ref="BJ93"/>
    <hyperlink r:id="rId3520" ref="BK93"/>
    <hyperlink r:id="rId3521" ref="BM93"/>
    <hyperlink r:id="rId3522" ref="BQ93"/>
    <hyperlink r:id="rId3523" ref="BT93"/>
    <hyperlink r:id="rId3524" ref="BZ93"/>
    <hyperlink r:id="rId3525" ref="CA93"/>
    <hyperlink r:id="rId3526" ref="CC93"/>
    <hyperlink r:id="rId3527" ref="CF93"/>
    <hyperlink r:id="rId3528" ref="CG93"/>
    <hyperlink r:id="rId3529" ref="CI93"/>
    <hyperlink r:id="rId3530" ref="CJ93"/>
    <hyperlink r:id="rId3531" ref="CK93"/>
    <hyperlink r:id="rId3532" ref="CM93"/>
    <hyperlink r:id="rId3533" ref="CQ93"/>
    <hyperlink r:id="rId3534" ref="CW93"/>
    <hyperlink r:id="rId3535" ref="DA93"/>
    <hyperlink r:id="rId3536" ref="DD93"/>
    <hyperlink r:id="rId3537" ref="DM93"/>
    <hyperlink r:id="rId3538" ref="DY93"/>
    <hyperlink r:id="rId3539" ref="L94"/>
    <hyperlink r:id="rId3540" ref="P94"/>
    <hyperlink r:id="rId3541" ref="S94"/>
    <hyperlink r:id="rId3542" ref="V94"/>
    <hyperlink r:id="rId3543" ref="X94"/>
    <hyperlink r:id="rId3544" ref="Y94"/>
    <hyperlink r:id="rId3545" ref="Z94"/>
    <hyperlink r:id="rId3546" ref="AA94"/>
    <hyperlink r:id="rId3547" ref="AB94"/>
    <hyperlink r:id="rId3548" ref="AF94"/>
    <hyperlink r:id="rId3549" ref="AO94"/>
    <hyperlink r:id="rId3550" ref="AQ94"/>
    <hyperlink r:id="rId3551" ref="AV94"/>
    <hyperlink r:id="rId3552" ref="BC94"/>
    <hyperlink r:id="rId3553" ref="BD94"/>
    <hyperlink r:id="rId3554" ref="BH94"/>
    <hyperlink r:id="rId3555" ref="BM94"/>
    <hyperlink r:id="rId3556" ref="BO94"/>
    <hyperlink r:id="rId3557" ref="BQ94"/>
    <hyperlink r:id="rId3558" ref="BT94"/>
    <hyperlink r:id="rId3559" ref="BX94"/>
    <hyperlink r:id="rId3560" ref="CA94"/>
    <hyperlink r:id="rId3561" ref="CD94"/>
    <hyperlink r:id="rId3562" ref="CG94"/>
    <hyperlink r:id="rId3563" ref="CM94"/>
    <hyperlink r:id="rId3564" ref="CR94"/>
    <hyperlink r:id="rId3565" ref="CZ94"/>
    <hyperlink r:id="rId3566" ref="DJ94"/>
    <hyperlink r:id="rId3567" ref="DK94"/>
    <hyperlink r:id="rId3568" ref="DM94"/>
    <hyperlink r:id="rId3569" ref="DN94"/>
    <hyperlink r:id="rId3570" ref="DO94"/>
    <hyperlink r:id="rId3571" ref="I95"/>
    <hyperlink r:id="rId3572" ref="J95"/>
    <hyperlink r:id="rId3573" ref="L95"/>
    <hyperlink r:id="rId3574" ref="O95"/>
    <hyperlink r:id="rId3575" ref="S95"/>
    <hyperlink r:id="rId3576" ref="T95"/>
    <hyperlink r:id="rId3577" ref="X95"/>
    <hyperlink r:id="rId3578" ref="Y95"/>
    <hyperlink r:id="rId3579" ref="Z95"/>
    <hyperlink r:id="rId3580" ref="AA95"/>
    <hyperlink r:id="rId3581" ref="AC95"/>
    <hyperlink r:id="rId3582" ref="AD95"/>
    <hyperlink r:id="rId3583" ref="AI95"/>
    <hyperlink r:id="rId3584" ref="AR95"/>
    <hyperlink r:id="rId3585" ref="AU95"/>
    <hyperlink r:id="rId3586" ref="AW95"/>
    <hyperlink r:id="rId3587" ref="BD95"/>
    <hyperlink r:id="rId3588" ref="BI95"/>
    <hyperlink r:id="rId3589" ref="BM95"/>
    <hyperlink r:id="rId3590" ref="BN95"/>
    <hyperlink r:id="rId3591" ref="BR95"/>
    <hyperlink r:id="rId3592" ref="BS95"/>
    <hyperlink r:id="rId3593" ref="BT95"/>
    <hyperlink r:id="rId3594" ref="BV95"/>
    <hyperlink r:id="rId3595" ref="BX95"/>
    <hyperlink r:id="rId3596" ref="BY95"/>
    <hyperlink r:id="rId3597" ref="CA95"/>
    <hyperlink r:id="rId3598" ref="CB95"/>
    <hyperlink r:id="rId3599" ref="CC95"/>
    <hyperlink r:id="rId3600" ref="CF95"/>
    <hyperlink r:id="rId3601" ref="CG95"/>
    <hyperlink r:id="rId3602" ref="CK95"/>
    <hyperlink r:id="rId3603" ref="CL95"/>
    <hyperlink r:id="rId3604" ref="CQ95"/>
    <hyperlink r:id="rId3605" ref="CT95"/>
    <hyperlink r:id="rId3606" ref="CV95"/>
    <hyperlink r:id="rId3607" ref="CX95"/>
    <hyperlink r:id="rId3608" ref="CY95"/>
    <hyperlink r:id="rId3609" ref="CZ95"/>
    <hyperlink r:id="rId3610" ref="DC95"/>
    <hyperlink r:id="rId3611" ref="DH95"/>
    <hyperlink r:id="rId3612" ref="DM95"/>
    <hyperlink r:id="rId3613" ref="DN95"/>
    <hyperlink r:id="rId3614" ref="DO95"/>
    <hyperlink r:id="rId3615" ref="DP95"/>
    <hyperlink r:id="rId3616" ref="DU95"/>
    <hyperlink r:id="rId3617" ref="DY95"/>
    <hyperlink r:id="rId3618" ref="EA95"/>
    <hyperlink r:id="rId3619" ref="M96"/>
    <hyperlink r:id="rId3620" ref="AF96"/>
    <hyperlink r:id="rId3621" ref="BQ96"/>
    <hyperlink r:id="rId3622" ref="CF96"/>
    <hyperlink r:id="rId3623" ref="CI96"/>
    <hyperlink r:id="rId3624" ref="CN96"/>
    <hyperlink r:id="rId3625" ref="H97"/>
    <hyperlink r:id="rId3626" ref="K97"/>
    <hyperlink r:id="rId3627" ref="L97"/>
    <hyperlink r:id="rId3628" ref="M97"/>
    <hyperlink r:id="rId3629" ref="R97"/>
    <hyperlink r:id="rId3630" ref="S97"/>
    <hyperlink r:id="rId3631" ref="U97"/>
    <hyperlink r:id="rId3632" ref="V97"/>
    <hyperlink r:id="rId3633" ref="AE97"/>
    <hyperlink r:id="rId3634" ref="AF97"/>
    <hyperlink r:id="rId3635" ref="AG97"/>
    <hyperlink r:id="rId3636" ref="AI97"/>
    <hyperlink r:id="rId3637" ref="AJ97"/>
    <hyperlink r:id="rId3638" ref="AL97"/>
    <hyperlink r:id="rId3639" ref="AM97"/>
    <hyperlink r:id="rId3640" ref="AU97"/>
    <hyperlink r:id="rId3641" ref="AV97"/>
    <hyperlink r:id="rId3642" ref="AW97"/>
    <hyperlink r:id="rId3643" ref="AX97"/>
    <hyperlink r:id="rId3644" ref="BB97"/>
    <hyperlink r:id="rId3645" ref="BE97"/>
    <hyperlink r:id="rId3646" ref="BF97"/>
    <hyperlink r:id="rId3647" ref="BG97"/>
    <hyperlink r:id="rId3648" ref="BM97"/>
    <hyperlink r:id="rId3649" ref="BQ97"/>
    <hyperlink r:id="rId3650" ref="BT97"/>
    <hyperlink r:id="rId3651" ref="BW97"/>
    <hyperlink r:id="rId3652" ref="CA97"/>
    <hyperlink r:id="rId3653" ref="CF97"/>
    <hyperlink r:id="rId3654" ref="CG97"/>
    <hyperlink r:id="rId3655" ref="CH97"/>
    <hyperlink r:id="rId3656" ref="CJ97"/>
    <hyperlink r:id="rId3657" ref="CL97"/>
    <hyperlink r:id="rId3658" ref="CM97"/>
    <hyperlink r:id="rId3659" ref="CR97"/>
    <hyperlink r:id="rId3660" ref="CT97"/>
    <hyperlink r:id="rId3661" ref="CX97"/>
    <hyperlink r:id="rId3662" ref="DE97"/>
    <hyperlink r:id="rId3663" ref="DK97"/>
    <hyperlink r:id="rId3664" ref="DL97"/>
    <hyperlink r:id="rId3665" ref="DS97"/>
    <hyperlink r:id="rId3666" ref="DW97"/>
    <hyperlink r:id="rId3667" ref="EB97"/>
    <hyperlink r:id="rId3668" ref="AB99"/>
    <hyperlink r:id="rId3669" ref="BF99"/>
    <hyperlink r:id="rId3670" ref="BH99"/>
    <hyperlink r:id="rId3671" ref="CG99"/>
    <hyperlink r:id="rId3672" ref="CZ99"/>
    <hyperlink r:id="rId3673" ref="AB101"/>
    <hyperlink r:id="rId3674" ref="H103"/>
    <hyperlink r:id="rId3675" ref="I103"/>
    <hyperlink r:id="rId3676" ref="J103"/>
    <hyperlink r:id="rId3677" ref="P103"/>
    <hyperlink r:id="rId3678" ref="AT103"/>
    <hyperlink r:id="rId3679" ref="BK103"/>
    <hyperlink r:id="rId3680" ref="CA103"/>
    <hyperlink r:id="rId3681" ref="CV103"/>
    <hyperlink r:id="rId3682" ref="BE105"/>
    <hyperlink r:id="rId3683" ref="CL105"/>
    <hyperlink r:id="rId3684" ref="CY105"/>
    <hyperlink r:id="rId3685" ref="BT108"/>
    <hyperlink r:id="rId3686" ref="BV108"/>
    <hyperlink r:id="rId3687" ref="J109"/>
    <hyperlink r:id="rId3688" ref="K111"/>
    <hyperlink r:id="rId3689" ref="X111"/>
    <hyperlink r:id="rId3690" ref="BV111"/>
    <hyperlink r:id="rId3691" ref="P113"/>
    <hyperlink r:id="rId3692" ref="S113"/>
    <hyperlink r:id="rId3693" ref="V113"/>
    <hyperlink r:id="rId3694" ref="AF113"/>
    <hyperlink r:id="rId3695" ref="AI113"/>
    <hyperlink r:id="rId3696" ref="AO113"/>
    <hyperlink r:id="rId3697" ref="AT113"/>
    <hyperlink r:id="rId3698" ref="AX113"/>
    <hyperlink r:id="rId3699" ref="BX113"/>
    <hyperlink r:id="rId3700" ref="BZ113"/>
    <hyperlink r:id="rId3701" ref="CA113"/>
    <hyperlink r:id="rId3702" ref="CB113"/>
    <hyperlink r:id="rId3703" ref="CM113"/>
    <hyperlink r:id="rId3704" ref="CZ113"/>
    <hyperlink r:id="rId3705" ref="DA113"/>
    <hyperlink r:id="rId3706" ref="H117"/>
    <hyperlink r:id="rId3707" ref="L117"/>
    <hyperlink r:id="rId3708" ref="P117"/>
    <hyperlink r:id="rId3709" ref="Z117"/>
    <hyperlink r:id="rId3710" ref="AB117"/>
    <hyperlink r:id="rId3711" ref="AR117"/>
    <hyperlink r:id="rId3712" ref="AV117"/>
    <hyperlink r:id="rId3713" ref="BC117"/>
    <hyperlink r:id="rId3714" ref="CU117"/>
    <hyperlink r:id="rId3715" ref="DN117"/>
    <hyperlink r:id="rId3716" ref="DU117"/>
    <hyperlink r:id="rId3717" ref="I118"/>
    <hyperlink r:id="rId3718" ref="L118"/>
    <hyperlink r:id="rId3719" ref="Y118"/>
    <hyperlink r:id="rId3720" ref="BV118"/>
    <hyperlink r:id="rId3721" ref="CV118"/>
    <hyperlink r:id="rId3722" ref="DK118"/>
    <hyperlink r:id="rId3723" ref="DX118"/>
    <hyperlink r:id="rId3724" ref="O119"/>
    <hyperlink r:id="rId3725" ref="AB119"/>
    <hyperlink r:id="rId3726" ref="BD119"/>
    <hyperlink r:id="rId3727" ref="P120"/>
    <hyperlink r:id="rId3728" ref="Q120"/>
    <hyperlink r:id="rId3729" ref="AF120"/>
    <hyperlink r:id="rId3730" ref="J121"/>
    <hyperlink r:id="rId3731" ref="K121"/>
    <hyperlink r:id="rId3732" ref="P121"/>
    <hyperlink r:id="rId3733" ref="L122"/>
    <hyperlink r:id="rId3734" ref="CG122"/>
    <hyperlink r:id="rId3735" ref="DS122"/>
    <hyperlink r:id="rId3736" ref="DY122"/>
    <hyperlink r:id="rId3737" ref="I124"/>
    <hyperlink r:id="rId3738" ref="J124"/>
    <hyperlink r:id="rId3739" ref="K124"/>
    <hyperlink r:id="rId3740" ref="L124"/>
    <hyperlink r:id="rId3741" ref="M124"/>
    <hyperlink r:id="rId3742" ref="N124"/>
    <hyperlink r:id="rId3743" ref="O124"/>
    <hyperlink r:id="rId3744" ref="X124"/>
    <hyperlink r:id="rId3745" ref="Y124"/>
    <hyperlink r:id="rId3746" ref="AB124"/>
    <hyperlink r:id="rId3747" ref="AF124"/>
    <hyperlink r:id="rId3748" ref="AT124"/>
    <hyperlink r:id="rId3749" ref="AU124"/>
    <hyperlink r:id="rId3750" ref="BA124"/>
    <hyperlink r:id="rId3751" ref="BD124"/>
    <hyperlink r:id="rId3752" ref="BE124"/>
    <hyperlink r:id="rId3753" ref="BH124"/>
    <hyperlink r:id="rId3754" ref="BQ124"/>
    <hyperlink r:id="rId3755" ref="BY124"/>
    <hyperlink r:id="rId3756" ref="CG124"/>
    <hyperlink r:id="rId3757" ref="CH124"/>
    <hyperlink r:id="rId3758" ref="CI124"/>
    <hyperlink r:id="rId3759" ref="CJ124"/>
    <hyperlink r:id="rId3760" ref="CL124"/>
    <hyperlink r:id="rId3761" ref="CT124"/>
    <hyperlink r:id="rId3762" ref="CU124"/>
    <hyperlink r:id="rId3763" ref="CV124"/>
    <hyperlink r:id="rId3764" ref="CW124"/>
    <hyperlink r:id="rId3765" ref="CX124"/>
    <hyperlink r:id="rId3766" ref="CY124"/>
    <hyperlink r:id="rId3767" ref="CZ124"/>
    <hyperlink r:id="rId3768" ref="DA124"/>
    <hyperlink r:id="rId3769" ref="DG124"/>
    <hyperlink r:id="rId3770" ref="DK124"/>
    <hyperlink r:id="rId3771" ref="CM126"/>
    <hyperlink r:id="rId3772" ref="K127"/>
    <hyperlink r:id="rId3773" ref="O127"/>
    <hyperlink r:id="rId3774" ref="P127"/>
    <hyperlink r:id="rId3775" ref="Y127"/>
    <hyperlink r:id="rId3776" ref="Z127"/>
    <hyperlink r:id="rId3777" ref="AB127"/>
    <hyperlink r:id="rId3778" ref="BV127"/>
    <hyperlink r:id="rId3779" ref="CM127"/>
    <hyperlink r:id="rId3780" ref="CZ127"/>
    <hyperlink r:id="rId3781" ref="H129"/>
    <hyperlink r:id="rId3782" ref="I129"/>
    <hyperlink r:id="rId3783" ref="J129"/>
    <hyperlink r:id="rId3784" ref="L129"/>
    <hyperlink r:id="rId3785" ref="M129"/>
    <hyperlink r:id="rId3786" ref="P129"/>
    <hyperlink r:id="rId3787" ref="X129"/>
    <hyperlink r:id="rId3788" ref="Y129"/>
    <hyperlink r:id="rId3789" ref="Z129"/>
    <hyperlink r:id="rId3790" ref="AE129"/>
    <hyperlink r:id="rId3791" ref="BE129"/>
    <hyperlink r:id="rId3792" ref="BQ129"/>
    <hyperlink r:id="rId3793" ref="BS129"/>
    <hyperlink r:id="rId3794" ref="BZ129"/>
    <hyperlink r:id="rId3795" ref="CF129"/>
    <hyperlink r:id="rId3796" ref="CG129"/>
    <hyperlink r:id="rId3797" ref="CI129"/>
    <hyperlink r:id="rId3798" ref="CK129"/>
    <hyperlink r:id="rId3799" ref="CL129"/>
    <hyperlink r:id="rId3800" ref="CZ129"/>
    <hyperlink r:id="rId3801" ref="DG129"/>
    <hyperlink r:id="rId3802" ref="DK129"/>
    <hyperlink r:id="rId3803" ref="L134"/>
    <hyperlink r:id="rId3804" ref="P134"/>
    <hyperlink r:id="rId3805" ref="BH134"/>
    <hyperlink r:id="rId3806" ref="BJ134"/>
    <hyperlink r:id="rId3807" ref="BU134"/>
    <hyperlink r:id="rId3808" ref="BV134"/>
    <hyperlink r:id="rId3809" ref="BZ134"/>
    <hyperlink r:id="rId3810" ref="CY134"/>
    <hyperlink r:id="rId3811" ref="CZ134"/>
    <hyperlink r:id="rId3812" ref="Z135"/>
    <hyperlink r:id="rId3813" ref="CW135"/>
    <hyperlink r:id="rId3814" ref="DA135"/>
    <hyperlink r:id="rId3815" ref="K137"/>
    <hyperlink r:id="rId3816" ref="CF137"/>
    <hyperlink r:id="rId3817" ref="Y138"/>
    <hyperlink r:id="rId3818" ref="CZ138"/>
    <hyperlink r:id="rId3819" ref="L141"/>
    <hyperlink r:id="rId3820" ref="Q141"/>
    <hyperlink r:id="rId3821" ref="S141"/>
    <hyperlink r:id="rId3822" ref="AI141"/>
    <hyperlink r:id="rId3823" ref="AJ141"/>
    <hyperlink r:id="rId3824" ref="BM141"/>
    <hyperlink r:id="rId3825" ref="CB141"/>
    <hyperlink r:id="rId3826" ref="CC141"/>
    <hyperlink r:id="rId3827" ref="CG141"/>
    <hyperlink r:id="rId3828" ref="CR141"/>
    <hyperlink r:id="rId3829" ref="CZ141"/>
    <hyperlink r:id="rId3830" ref="DE141"/>
    <hyperlink r:id="rId3831" ref="O142"/>
    <hyperlink r:id="rId3832" ref="P142"/>
    <hyperlink r:id="rId3833" ref="Z142"/>
    <hyperlink r:id="rId3834" ref="AB142"/>
    <hyperlink r:id="rId3835" ref="AF142"/>
    <hyperlink r:id="rId3836" ref="AT142"/>
    <hyperlink r:id="rId3837" ref="BC142"/>
    <hyperlink r:id="rId3838" ref="BH142"/>
    <hyperlink r:id="rId3839" ref="BK142"/>
    <hyperlink r:id="rId3840" ref="BT142"/>
    <hyperlink r:id="rId3841" ref="BV142"/>
    <hyperlink r:id="rId3842" ref="BZ142"/>
    <hyperlink r:id="rId3843" ref="CI142"/>
    <hyperlink r:id="rId3844" ref="CJ142"/>
    <hyperlink r:id="rId3845" ref="CM142"/>
    <hyperlink r:id="rId3846" ref="CT142"/>
    <hyperlink r:id="rId3847" ref="CU142"/>
    <hyperlink r:id="rId3848" ref="DA142"/>
    <hyperlink r:id="rId3849" ref="DK142"/>
    <hyperlink r:id="rId3850" ref="K144"/>
    <hyperlink r:id="rId3851" ref="L144"/>
    <hyperlink r:id="rId3852" ref="O144"/>
    <hyperlink r:id="rId3853" ref="P144"/>
    <hyperlink r:id="rId3854" ref="Z144"/>
    <hyperlink r:id="rId3855" ref="AB144"/>
    <hyperlink r:id="rId3856" ref="AF144"/>
    <hyperlink r:id="rId3857" ref="AM144"/>
    <hyperlink r:id="rId3858" ref="AT144"/>
    <hyperlink r:id="rId3859" ref="AV144"/>
    <hyperlink r:id="rId3860" ref="BC144"/>
    <hyperlink r:id="rId3861" ref="BH144"/>
    <hyperlink r:id="rId3862" ref="BV144"/>
    <hyperlink r:id="rId3863" ref="CG144"/>
    <hyperlink r:id="rId3864" ref="CV144"/>
    <hyperlink r:id="rId3865" ref="DK144"/>
    <hyperlink r:id="rId3866" ref="K145"/>
    <hyperlink r:id="rId3867" ref="AM145"/>
    <hyperlink r:id="rId3868" ref="CB145"/>
    <hyperlink r:id="rId3869" ref="I146"/>
    <hyperlink r:id="rId3870" ref="J146"/>
    <hyperlink r:id="rId3871" ref="K146"/>
    <hyperlink r:id="rId3872" ref="L146"/>
    <hyperlink r:id="rId3873" ref="N146"/>
    <hyperlink r:id="rId3874" ref="P146"/>
    <hyperlink r:id="rId3875" ref="X146"/>
    <hyperlink r:id="rId3876" ref="AT146"/>
    <hyperlink r:id="rId3877" ref="AU146"/>
    <hyperlink r:id="rId3878" ref="BA146"/>
    <hyperlink r:id="rId3879" ref="BD146"/>
    <hyperlink r:id="rId3880" ref="BE146"/>
    <hyperlink r:id="rId3881" ref="BH146"/>
    <hyperlink r:id="rId3882" ref="CL146"/>
    <hyperlink r:id="rId3883" ref="CT146"/>
    <hyperlink r:id="rId3884" ref="CX146"/>
    <hyperlink r:id="rId3885" ref="CZ146"/>
    <hyperlink r:id="rId3886" ref="I148"/>
    <hyperlink r:id="rId3887" ref="J148"/>
    <hyperlink r:id="rId3888" ref="K148"/>
    <hyperlink r:id="rId3889" ref="L148"/>
    <hyperlink r:id="rId3890" ref="AB148"/>
    <hyperlink r:id="rId3891" ref="BH148"/>
    <hyperlink r:id="rId3892" ref="BT150"/>
    <hyperlink r:id="rId3893" ref="AC152"/>
    <hyperlink r:id="rId3894" ref="BH152"/>
    <hyperlink r:id="rId3895" ref="K153"/>
    <hyperlink r:id="rId3896" ref="L153"/>
    <hyperlink r:id="rId3897" ref="Z153"/>
    <hyperlink r:id="rId3898" ref="BS153"/>
    <hyperlink r:id="rId3899" ref="BT153"/>
    <hyperlink r:id="rId3900" ref="CG153"/>
    <hyperlink r:id="rId3901" ref="DA153"/>
    <hyperlink r:id="rId3902" ref="Z155"/>
    <hyperlink r:id="rId3903" ref="AU155"/>
    <hyperlink r:id="rId3904" ref="CM155"/>
    <hyperlink r:id="rId3905" ref="CY155"/>
    <hyperlink r:id="rId3906" ref="CZ155"/>
    <hyperlink r:id="rId3907" ref="AB158"/>
    <hyperlink r:id="rId3908" ref="BB158"/>
    <hyperlink r:id="rId3909" ref="BC160"/>
    <hyperlink r:id="rId3910" ref="P162"/>
    <hyperlink r:id="rId3911" ref="AU162"/>
    <hyperlink r:id="rId3912" ref="CF163"/>
    <hyperlink r:id="rId3913" ref="AB164"/>
    <hyperlink r:id="rId3914" ref="BH164"/>
    <hyperlink r:id="rId3915" ref="CF164"/>
    <hyperlink r:id="rId3916" ref="CM164"/>
    <hyperlink r:id="rId3917" ref="CZ164"/>
    <hyperlink r:id="rId3918" ref="K165"/>
    <hyperlink r:id="rId3919" ref="BK165"/>
    <hyperlink r:id="rId3920" ref="CV165"/>
    <hyperlink r:id="rId3921" ref="DA165"/>
    <hyperlink r:id="rId3922" ref="AG166"/>
    <hyperlink r:id="rId3923" ref="DC166"/>
    <hyperlink r:id="rId3924" ref="T171"/>
    <hyperlink r:id="rId3925" ref="BE171"/>
    <hyperlink r:id="rId3926" ref="BS171"/>
    <hyperlink r:id="rId3927" ref="CR171"/>
    <hyperlink r:id="rId3928" ref="DK172"/>
    <hyperlink r:id="rId3929" ref="P173"/>
    <hyperlink r:id="rId3930" ref="X173"/>
    <hyperlink r:id="rId3931" ref="Z173"/>
    <hyperlink r:id="rId3932" ref="AF173"/>
    <hyperlink r:id="rId3933" ref="AT173"/>
    <hyperlink r:id="rId3934" ref="BT173"/>
    <hyperlink r:id="rId3935" ref="K176"/>
    <hyperlink r:id="rId3936" ref="X176"/>
    <hyperlink r:id="rId3937" ref="Z176"/>
    <hyperlink r:id="rId3938" ref="BV176"/>
    <hyperlink r:id="rId3939" ref="BZ176"/>
    <hyperlink r:id="rId3940" ref="CF176"/>
    <hyperlink r:id="rId3941" ref="CL176"/>
    <hyperlink r:id="rId3942" ref="CM176"/>
    <hyperlink r:id="rId3943" ref="CZ176"/>
    <hyperlink r:id="rId3944" ref="Y178"/>
    <hyperlink r:id="rId3945" ref="BW178"/>
    <hyperlink r:id="rId3946" ref="CI178"/>
    <hyperlink r:id="rId3947" ref="AR183"/>
    <hyperlink r:id="rId3948" ref="BV183"/>
    <hyperlink r:id="rId3949" ref="CC183"/>
    <hyperlink r:id="rId3950" ref="I184"/>
    <hyperlink r:id="rId3951" ref="K184"/>
    <hyperlink r:id="rId3952" ref="BQ185"/>
    <hyperlink r:id="rId3953" ref="BR185"/>
    <hyperlink r:id="rId3954" ref="BS185"/>
    <hyperlink r:id="rId3955" ref="BT185"/>
    <hyperlink r:id="rId3956" ref="BU185"/>
    <hyperlink r:id="rId3957" ref="BV185"/>
    <hyperlink r:id="rId3958" ref="BW185"/>
    <hyperlink r:id="rId3959" ref="BY185"/>
    <hyperlink r:id="rId3960" ref="BZ185"/>
    <hyperlink r:id="rId3961" ref="CF185"/>
    <hyperlink r:id="rId3962" ref="CG185"/>
    <hyperlink r:id="rId3963" ref="CH185"/>
    <hyperlink r:id="rId3964" ref="CI185"/>
    <hyperlink r:id="rId3965" ref="CJ185"/>
    <hyperlink r:id="rId3966" ref="CK185"/>
    <hyperlink r:id="rId3967" ref="CL185"/>
    <hyperlink r:id="rId3968" ref="CM185"/>
    <hyperlink r:id="rId3969" ref="DP185"/>
    <hyperlink r:id="rId3970" ref="DQ185"/>
    <hyperlink r:id="rId3971" ref="CZ187"/>
    <hyperlink r:id="rId3972" ref="X188"/>
    <hyperlink r:id="rId3973" ref="AD188"/>
    <hyperlink r:id="rId3974" ref="DK188"/>
    <hyperlink r:id="rId3975" ref="AB190"/>
    <hyperlink r:id="rId3976" ref="P191"/>
    <hyperlink r:id="rId3977" ref="AF191"/>
    <hyperlink r:id="rId3978" ref="H193"/>
    <hyperlink r:id="rId3979" ref="K193"/>
    <hyperlink r:id="rId3980" ref="BC193"/>
    <hyperlink r:id="rId3981" ref="AA197"/>
    <hyperlink r:id="rId3982" ref="AH200"/>
    <hyperlink r:id="rId3983" ref="DY201"/>
    <hyperlink r:id="rId3984" ref="BC202"/>
    <hyperlink r:id="rId3985" ref="DK202"/>
    <hyperlink r:id="rId3986" ref="H203"/>
    <hyperlink r:id="rId3987" ref="K203"/>
    <hyperlink r:id="rId3988" ref="Y203"/>
    <hyperlink r:id="rId3989" ref="AM203"/>
    <hyperlink r:id="rId3990" ref="AO203"/>
    <hyperlink r:id="rId3991" ref="AX203"/>
    <hyperlink r:id="rId3992" ref="BA203"/>
    <hyperlink r:id="rId3993" ref="BC203"/>
    <hyperlink r:id="rId3994" ref="BM203"/>
    <hyperlink r:id="rId3995" ref="CF203"/>
    <hyperlink r:id="rId3996" ref="DM203"/>
    <hyperlink r:id="rId3997" ref="DN203"/>
    <hyperlink r:id="rId3998" ref="DO203"/>
    <hyperlink r:id="rId3999" ref="EB203"/>
    <hyperlink r:id="rId4000" ref="H210"/>
    <hyperlink r:id="rId4001" ref="AV210"/>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2894</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3126</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3249</v>
      </c>
      <c r="AS1" s="803" t="s">
        <v>6470</v>
      </c>
      <c r="AT1" s="803" t="s">
        <v>6471</v>
      </c>
      <c r="AU1" s="803" t="s">
        <v>3916</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2570</v>
      </c>
      <c r="K4" s="826" t="s">
        <v>1989</v>
      </c>
      <c r="L4" s="825" t="s">
        <v>441</v>
      </c>
      <c r="M4" s="826" t="s">
        <v>742</v>
      </c>
      <c r="N4" s="825" t="str">
        <f>HYPERLINK("https://youtu.be/qv_H1NgDIQ8","53.73")</f>
        <v>53.73</v>
      </c>
      <c r="O4" s="825" t="s">
        <v>2810</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2534</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2874</v>
      </c>
      <c r="E7" s="829" t="s">
        <v>6495</v>
      </c>
      <c r="F7" s="838" t="s">
        <v>1154</v>
      </c>
      <c r="G7" s="839"/>
      <c r="H7" s="829"/>
      <c r="I7" s="829" t="s">
        <v>1375</v>
      </c>
      <c r="J7" s="829"/>
      <c r="K7" s="829"/>
      <c r="L7" s="829" t="s">
        <v>1140</v>
      </c>
      <c r="M7" s="829" t="s">
        <v>1140</v>
      </c>
      <c r="N7" s="829" t="s">
        <v>6496</v>
      </c>
      <c r="O7" s="829"/>
      <c r="P7" s="827"/>
      <c r="Q7" s="829" t="s">
        <v>924</v>
      </c>
      <c r="R7" s="829" t="s">
        <v>3787</v>
      </c>
      <c r="S7" s="829" t="s">
        <v>6497</v>
      </c>
      <c r="T7" s="829" t="s">
        <v>6498</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2579</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2820</v>
      </c>
      <c r="D10" s="829" t="s">
        <v>1704</v>
      </c>
      <c r="E10" s="829" t="s">
        <v>2820</v>
      </c>
      <c r="F10" s="842" t="s">
        <v>6505</v>
      </c>
      <c r="G10" s="824" t="s">
        <v>6506</v>
      </c>
      <c r="H10" s="829"/>
      <c r="I10" s="829" t="s">
        <v>6507</v>
      </c>
      <c r="J10" s="829"/>
      <c r="K10" s="829" t="s">
        <v>4079</v>
      </c>
      <c r="L10" s="829"/>
      <c r="M10" s="829" t="s">
        <v>2896</v>
      </c>
      <c r="N10" s="829" t="s">
        <v>4712</v>
      </c>
      <c r="O10" s="829"/>
      <c r="P10" s="827" t="s">
        <v>3394</v>
      </c>
      <c r="Q10" s="829" t="s">
        <v>2896</v>
      </c>
      <c r="R10" s="829"/>
      <c r="S10" s="829" t="s">
        <v>4293</v>
      </c>
      <c r="T10" s="829"/>
      <c r="U10" s="829" t="s">
        <v>2714</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2896</v>
      </c>
      <c r="G11" s="824" t="s">
        <v>1262</v>
      </c>
      <c r="H11" s="825" t="s">
        <v>4240</v>
      </c>
      <c r="I11" s="826" t="s">
        <v>6510</v>
      </c>
      <c r="J11" s="825" t="s">
        <v>724</v>
      </c>
      <c r="K11" s="826"/>
      <c r="L11" s="826" t="s">
        <v>2338</v>
      </c>
      <c r="M11" s="825" t="s">
        <v>2099</v>
      </c>
      <c r="N11" s="826" t="s">
        <v>6511</v>
      </c>
      <c r="O11" s="825" t="s">
        <v>6512</v>
      </c>
      <c r="P11" s="827" t="s">
        <v>2820</v>
      </c>
      <c r="Q11" s="826" t="s">
        <v>3805</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2871</v>
      </c>
      <c r="L12" s="829"/>
      <c r="M12" s="829" t="str">
        <f>HYPERLINK("https://www.youtube.com/watch?v=h3GaauXfeR4","14.16")</f>
        <v>14.16</v>
      </c>
      <c r="N12" s="829" t="str">
        <f>HYPERLINK("https://youtu.be/rZW3Nzg9CsM","14.20")</f>
        <v>14.20</v>
      </c>
      <c r="O12" s="829"/>
      <c r="P12" s="827" t="s">
        <v>4315</v>
      </c>
      <c r="Q12" s="829" t="s">
        <v>2270</v>
      </c>
      <c r="R12" s="829" t="s">
        <v>3919</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2401</v>
      </c>
      <c r="Q13" s="829" t="s">
        <v>1812</v>
      </c>
      <c r="R13" s="829"/>
      <c r="S13" s="825" t="s">
        <v>2536</v>
      </c>
      <c r="T13" s="829"/>
      <c r="U13" s="829" t="s">
        <v>2578</v>
      </c>
      <c r="V13" s="829"/>
      <c r="W13" s="829"/>
      <c r="X13" s="829"/>
      <c r="Y13" s="829"/>
      <c r="Z13" s="829"/>
      <c r="AA13" s="829" t="s">
        <v>1423</v>
      </c>
      <c r="AB13" s="829"/>
      <c r="AC13" s="829"/>
      <c r="AD13" s="829" t="s">
        <v>1728</v>
      </c>
      <c r="AE13" s="829"/>
      <c r="AF13" s="829"/>
      <c r="AG13" s="829" t="s">
        <v>1728</v>
      </c>
      <c r="AH13" s="829" t="s">
        <v>993</v>
      </c>
      <c r="AI13" s="829"/>
      <c r="AJ13" s="829" t="s">
        <v>2642</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2857</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2537</v>
      </c>
      <c r="T18" s="829"/>
      <c r="U18" s="829" t="s">
        <v>6536</v>
      </c>
      <c r="V18" s="825" t="s">
        <v>3129</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3820</v>
      </c>
      <c r="F20" s="841" t="s">
        <v>4222</v>
      </c>
      <c r="G20" s="839"/>
      <c r="H20" s="829" t="s">
        <v>6542</v>
      </c>
      <c r="I20" s="829"/>
      <c r="J20" s="829"/>
      <c r="K20" s="829"/>
      <c r="L20" s="829" t="s">
        <v>784</v>
      </c>
      <c r="M20" s="829"/>
      <c r="N20" s="829"/>
      <c r="O20" s="829"/>
      <c r="P20" s="827"/>
      <c r="Q20" s="829" t="s">
        <v>2912</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2823</v>
      </c>
      <c r="D23" s="825" t="s">
        <v>1565</v>
      </c>
      <c r="E23" s="829" t="s">
        <v>6551</v>
      </c>
      <c r="F23" s="851" t="s">
        <v>2898</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2539</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2780</v>
      </c>
      <c r="D26" s="829"/>
      <c r="E26" s="829" t="s">
        <v>2780</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4846</v>
      </c>
      <c r="J27" s="829" t="s">
        <v>771</v>
      </c>
      <c r="K27" s="829" t="s">
        <v>3481</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2698</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2414</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2698</v>
      </c>
      <c r="D30" s="829"/>
      <c r="E30" s="829" t="s">
        <v>3104</v>
      </c>
      <c r="F30" s="830"/>
      <c r="G30" s="839"/>
      <c r="H30" s="829"/>
      <c r="I30" s="829"/>
      <c r="J30" s="829"/>
      <c r="K30" s="829" t="s">
        <v>4231</v>
      </c>
      <c r="L30" s="829"/>
      <c r="M30" s="829" t="s">
        <v>2698</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2824</v>
      </c>
      <c r="D31" s="829"/>
      <c r="E31" s="829" t="s">
        <v>3481</v>
      </c>
      <c r="F31" s="823"/>
      <c r="G31" s="839"/>
      <c r="H31" s="829"/>
      <c r="I31" s="829"/>
      <c r="J31" s="829" t="s">
        <v>2824</v>
      </c>
      <c r="K31" s="829" t="s">
        <v>3808</v>
      </c>
      <c r="L31" s="829"/>
      <c r="M31" s="829" t="s">
        <v>4877</v>
      </c>
      <c r="N31" s="829"/>
      <c r="O31" s="829"/>
      <c r="P31" s="827"/>
      <c r="Q31" s="829" t="s">
        <v>6569</v>
      </c>
      <c r="R31" s="825" t="s">
        <v>2824</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3164</v>
      </c>
      <c r="D32" s="829"/>
      <c r="E32" s="829" t="s">
        <v>3782</v>
      </c>
      <c r="F32" s="830"/>
      <c r="G32" s="839"/>
      <c r="H32" s="829"/>
      <c r="I32" s="829"/>
      <c r="J32" s="829" t="s">
        <v>3164</v>
      </c>
      <c r="K32" s="829" t="s">
        <v>6571</v>
      </c>
      <c r="L32" s="829" t="s">
        <v>2263</v>
      </c>
      <c r="M32" s="829" t="s">
        <v>2698</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2824</v>
      </c>
      <c r="F33" s="851" t="s">
        <v>2762</v>
      </c>
      <c r="G33" s="839"/>
      <c r="H33" s="829"/>
      <c r="I33" s="829" t="s">
        <v>6573</v>
      </c>
      <c r="J33" s="829" t="s">
        <v>2307</v>
      </c>
      <c r="K33" s="829" t="s">
        <v>2263</v>
      </c>
      <c r="L33" s="829"/>
      <c r="M33" s="829" t="s">
        <v>6571</v>
      </c>
      <c r="N33" s="829"/>
      <c r="O33" s="829"/>
      <c r="P33" s="827"/>
      <c r="Q33" s="829" t="s">
        <v>1744</v>
      </c>
      <c r="R33" s="829"/>
      <c r="S33" s="829"/>
      <c r="T33" s="829"/>
      <c r="U33" s="829" t="s">
        <v>5798</v>
      </c>
      <c r="V33" s="825" t="s">
        <v>2824</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2698</v>
      </c>
      <c r="G34" s="824" t="s">
        <v>3693</v>
      </c>
      <c r="H34" s="829" t="s">
        <v>761</v>
      </c>
      <c r="I34" s="829" t="s">
        <v>1958</v>
      </c>
      <c r="J34" s="829" t="s">
        <v>1136</v>
      </c>
      <c r="K34" s="829" t="s">
        <v>4816</v>
      </c>
      <c r="L34" s="829"/>
      <c r="M34" s="829"/>
      <c r="N34" s="829"/>
      <c r="O34" s="829" t="s">
        <v>1958</v>
      </c>
      <c r="P34" s="827" t="s">
        <v>2480</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2511</v>
      </c>
      <c r="G35" s="824" t="s">
        <v>2953</v>
      </c>
      <c r="H35" s="829"/>
      <c r="I35" s="829"/>
      <c r="J35" s="829"/>
      <c r="K35" s="829" t="s">
        <v>352</v>
      </c>
      <c r="L35" s="829"/>
      <c r="M35" s="829"/>
      <c r="N35" s="829"/>
      <c r="O35" s="829"/>
      <c r="P35" s="827"/>
      <c r="Q35" s="829" t="s">
        <v>3112</v>
      </c>
      <c r="R35" s="829"/>
      <c r="S35" s="829"/>
      <c r="T35" s="829"/>
      <c r="U35" s="829"/>
      <c r="V35" s="829"/>
      <c r="W35" s="829"/>
      <c r="X35" s="829" t="s">
        <v>6577</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2528</v>
      </c>
      <c r="D36" s="829" t="s">
        <v>3272</v>
      </c>
      <c r="E36" s="829" t="s">
        <v>3565</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2528</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2870</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2646</v>
      </c>
      <c r="L38" s="826" t="s">
        <v>555</v>
      </c>
      <c r="M38" s="825" t="s">
        <v>107</v>
      </c>
      <c r="N38" s="826" t="s">
        <v>455</v>
      </c>
      <c r="O38" s="825" t="s">
        <v>555</v>
      </c>
      <c r="P38" s="827" t="s">
        <v>341</v>
      </c>
      <c r="Q38" s="826"/>
      <c r="R38" s="826"/>
      <c r="S38" s="826"/>
      <c r="T38" s="826"/>
      <c r="U38" s="826" t="s">
        <v>3460</v>
      </c>
      <c r="V38" s="825" t="s">
        <v>2825</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2425</v>
      </c>
      <c r="D40" s="856" t="s">
        <v>1358</v>
      </c>
      <c r="E40" s="829" t="s">
        <v>2425</v>
      </c>
      <c r="F40" s="823"/>
      <c r="G40" s="839"/>
      <c r="H40" s="829"/>
      <c r="I40" s="829" t="str">
        <f>HYPERLINK("https://youtu.be/t-1yqXLdZMA","38.05")</f>
        <v>38.05</v>
      </c>
      <c r="J40" s="829" t="s">
        <v>6588</v>
      </c>
      <c r="K40" s="829" t="s">
        <v>2265</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3310</v>
      </c>
      <c r="D42" s="834" t="s">
        <v>647</v>
      </c>
      <c r="E42" s="829" t="s">
        <v>2836</v>
      </c>
      <c r="F42" s="823"/>
      <c r="G42" s="839"/>
      <c r="H42" s="829"/>
      <c r="I42" s="829" t="s">
        <v>1725</v>
      </c>
      <c r="J42" s="829"/>
      <c r="K42" s="829" t="s">
        <v>2239</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2587</v>
      </c>
      <c r="D43" s="827"/>
      <c r="E43" s="827"/>
      <c r="F43" s="830"/>
      <c r="G43" s="839"/>
      <c r="H43" s="827"/>
      <c r="I43" s="859" t="s">
        <v>2587</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2964</v>
      </c>
      <c r="O50" s="829"/>
      <c r="P50" s="827" t="s">
        <v>3414</v>
      </c>
      <c r="Q50" s="829" t="s">
        <v>1137</v>
      </c>
      <c r="R50" s="829" t="s">
        <v>6601</v>
      </c>
      <c r="S50" s="829"/>
      <c r="T50" s="829"/>
      <c r="U50" s="829" t="s">
        <v>2649</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3705</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2873</v>
      </c>
      <c r="F57" s="883" t="s">
        <v>3270</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2610</v>
      </c>
      <c r="D59" s="854" t="s">
        <v>6611</v>
      </c>
      <c r="E59" s="854"/>
      <c r="F59" s="889" t="s">
        <v>2610</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3677</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3148</v>
      </c>
      <c r="D62" s="827" t="s">
        <v>6532</v>
      </c>
      <c r="E62" s="827"/>
      <c r="F62" s="842" t="s">
        <v>3148</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2344</v>
      </c>
      <c r="E64" s="829" t="s">
        <v>3515</v>
      </c>
      <c r="F64" s="889" t="s">
        <v>3005</v>
      </c>
      <c r="G64" s="839"/>
      <c r="H64" s="829" t="s">
        <v>572</v>
      </c>
      <c r="I64" s="829"/>
      <c r="J64" s="829" t="s">
        <v>6619</v>
      </c>
      <c r="K64" s="829"/>
      <c r="L64" s="829"/>
      <c r="M64" s="829" t="s">
        <v>3515</v>
      </c>
      <c r="N64" s="829"/>
      <c r="O64" s="829"/>
      <c r="P64" s="827"/>
      <c r="Q64" s="829"/>
      <c r="R64" s="829"/>
      <c r="S64" s="829"/>
      <c r="T64" s="829" t="s">
        <v>2834</v>
      </c>
      <c r="U64" s="829"/>
      <c r="V64" s="829"/>
      <c r="W64" s="829" t="s">
        <v>3246</v>
      </c>
      <c r="X64" s="829" t="s">
        <v>5046</v>
      </c>
      <c r="Y64" s="829"/>
      <c r="Z64" s="829" t="s">
        <v>4754</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6027</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3192</v>
      </c>
      <c r="G66" s="824" t="s">
        <v>2168</v>
      </c>
      <c r="H66" s="829" t="s">
        <v>3959</v>
      </c>
      <c r="I66" s="829" t="s">
        <v>403</v>
      </c>
      <c r="J66" s="829" t="s">
        <v>3192</v>
      </c>
      <c r="K66" s="829"/>
      <c r="L66" s="829"/>
      <c r="M66" s="829"/>
      <c r="N66" s="829" t="str">
        <f>HYPERLINK("https://youtu.be/1clufi5ICPo","15.10")</f>
        <v>15.10</v>
      </c>
      <c r="O66" s="829"/>
      <c r="P66" s="827"/>
      <c r="Q66" s="829" t="s">
        <v>2708</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4298</v>
      </c>
      <c r="K67" s="854" t="s">
        <v>2933</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2900</v>
      </c>
      <c r="G69" s="824" t="s">
        <v>1275</v>
      </c>
      <c r="H69" s="829" t="s">
        <v>1542</v>
      </c>
      <c r="I69" s="829" t="s">
        <v>1432</v>
      </c>
      <c r="J69" s="829" t="s">
        <v>4945</v>
      </c>
      <c r="K69" s="829" t="s">
        <v>6632</v>
      </c>
      <c r="L69" s="829" t="s">
        <v>839</v>
      </c>
      <c r="M69" s="829" t="s">
        <v>754</v>
      </c>
      <c r="N69" s="829" t="s">
        <v>1362</v>
      </c>
      <c r="O69" s="829" t="s">
        <v>2315</v>
      </c>
      <c r="P69" s="827" t="s">
        <v>3812</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2901</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2466</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2721</v>
      </c>
      <c r="D74" s="829" t="s">
        <v>2524</v>
      </c>
      <c r="E74" s="829" t="s">
        <v>2423</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2069</v>
      </c>
      <c r="Y74" s="829" t="s">
        <v>2721</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2987</v>
      </c>
      <c r="D75" s="877"/>
      <c r="E75" s="877"/>
      <c r="F75" s="876"/>
      <c r="G75" s="839"/>
      <c r="H75" s="894" t="s">
        <v>2987</v>
      </c>
      <c r="I75" s="877"/>
      <c r="J75" s="877"/>
      <c r="K75" s="877"/>
      <c r="L75" s="877"/>
      <c r="M75" s="877"/>
      <c r="N75" s="877"/>
      <c r="O75" s="877" t="s">
        <v>2987</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2611</v>
      </c>
      <c r="D77" s="829" t="s">
        <v>3551</v>
      </c>
      <c r="E77" s="829" t="s">
        <v>2611</v>
      </c>
      <c r="F77" s="823"/>
      <c r="G77" s="839"/>
      <c r="H77" s="829"/>
      <c r="I77" s="829"/>
      <c r="J77" s="829"/>
      <c r="K77" s="829" t="s">
        <v>6647</v>
      </c>
      <c r="L77" s="829" t="s">
        <v>5139</v>
      </c>
      <c r="M77" s="829"/>
      <c r="N77" s="829" t="str">
        <f>HYPERLINK("https://youtu.be/HUwmtKe7cOY","56.54")</f>
        <v>56.54</v>
      </c>
      <c r="O77" s="829"/>
      <c r="P77" s="827" t="s">
        <v>3692</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2902</v>
      </c>
      <c r="G78" s="824" t="s">
        <v>119</v>
      </c>
      <c r="H78" s="829" t="s">
        <v>879</v>
      </c>
      <c r="I78" s="829" t="s">
        <v>2770</v>
      </c>
      <c r="J78" s="829" t="s">
        <v>4405</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3448</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2707</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2937</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3309</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2748</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2466</v>
      </c>
      <c r="D88" s="829" t="s">
        <v>2466</v>
      </c>
      <c r="E88" s="829"/>
      <c r="F88" s="883" t="s">
        <v>2466</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2377</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3367</v>
      </c>
      <c r="J95" s="915" t="s">
        <v>4138</v>
      </c>
      <c r="K95" s="915" t="s">
        <v>1234</v>
      </c>
      <c r="L95" s="915" t="s">
        <v>846</v>
      </c>
      <c r="M95" s="915" t="s">
        <v>762</v>
      </c>
      <c r="N95" s="915" t="s">
        <v>3659</v>
      </c>
      <c r="O95" s="915" t="s">
        <v>1618</v>
      </c>
      <c r="P95" s="917" t="s">
        <v>2736</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3389</v>
      </c>
      <c r="D96" s="919" t="s">
        <v>4499</v>
      </c>
      <c r="E96" s="915"/>
      <c r="F96" s="823"/>
      <c r="G96" s="824" t="s">
        <v>5922</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2736</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3656</v>
      </c>
      <c r="E100" s="915"/>
      <c r="F100" s="916"/>
      <c r="G100" s="824" t="s">
        <v>131</v>
      </c>
      <c r="H100" s="915"/>
      <c r="I100" s="915" t="s">
        <v>6694</v>
      </c>
      <c r="J100" s="915" t="s">
        <v>6695</v>
      </c>
      <c r="K100" s="915" t="s">
        <v>3544</v>
      </c>
      <c r="L100" s="915" t="s">
        <v>848</v>
      </c>
      <c r="M100" s="915"/>
      <c r="N100" s="915" t="s">
        <v>2498</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2553</v>
      </c>
      <c r="L106" s="909"/>
      <c r="M106" s="909" t="s">
        <v>1663</v>
      </c>
      <c r="N106" s="909" t="str">
        <f>HYPERLINK("https://youtu.be/vlD8b3WQME8","20.08")</f>
        <v>20.08</v>
      </c>
      <c r="O106" s="909"/>
      <c r="P106" s="910" t="s">
        <v>3086</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4224</v>
      </c>
      <c r="H108" s="915"/>
      <c r="I108" s="915"/>
      <c r="J108" s="915"/>
      <c r="K108" s="915" t="s">
        <v>3898</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6702</v>
      </c>
      <c r="C109" s="908" t="s">
        <v>963</v>
      </c>
      <c r="D109" s="915" t="s">
        <v>3875</v>
      </c>
      <c r="E109" s="915"/>
      <c r="F109" s="823"/>
      <c r="G109" s="824" t="s">
        <v>822</v>
      </c>
      <c r="H109" s="915"/>
      <c r="I109" s="915"/>
      <c r="J109" s="915" t="s">
        <v>179</v>
      </c>
      <c r="K109" s="915" t="s">
        <v>118</v>
      </c>
      <c r="L109" s="915" t="s">
        <v>293</v>
      </c>
      <c r="M109" s="915"/>
      <c r="N109" s="915"/>
      <c r="O109" s="915"/>
      <c r="P109" s="917" t="s">
        <v>2514</v>
      </c>
      <c r="Q109" s="915" t="s">
        <v>2741</v>
      </c>
      <c r="R109" s="915" t="s">
        <v>933</v>
      </c>
      <c r="S109" s="915"/>
      <c r="T109" s="915"/>
      <c r="U109" s="915" t="s">
        <v>6703</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4723</v>
      </c>
      <c r="K110" s="909" t="s">
        <v>933</v>
      </c>
      <c r="L110" s="909"/>
      <c r="M110" s="909" t="s">
        <v>769</v>
      </c>
      <c r="N110" s="909"/>
      <c r="O110" s="909" t="s">
        <v>4258</v>
      </c>
      <c r="P110" s="910" t="s">
        <v>5955</v>
      </c>
      <c r="Q110" s="909" t="s">
        <v>6706</v>
      </c>
      <c r="R110" s="909" t="s">
        <v>3242</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5100</v>
      </c>
      <c r="I112" s="915" t="s">
        <v>3563</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2527</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2781</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4042</v>
      </c>
      <c r="D117" s="909" t="s">
        <v>6717</v>
      </c>
      <c r="E117" s="909" t="s">
        <v>6718</v>
      </c>
      <c r="F117" s="842" t="s">
        <v>6719</v>
      </c>
      <c r="G117" s="839"/>
      <c r="H117" s="909" t="s">
        <v>4042</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2740</v>
      </c>
      <c r="D119" s="915"/>
      <c r="E119" s="915"/>
      <c r="F119" s="823"/>
      <c r="G119" s="824" t="s">
        <v>2740</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2650</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2556</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2987</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2805</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2555</v>
      </c>
      <c r="E128" s="915"/>
      <c r="F128" s="939"/>
      <c r="G128" s="839"/>
      <c r="H128" s="915"/>
      <c r="I128" s="915"/>
      <c r="J128" s="915"/>
      <c r="K128" s="915" t="s">
        <v>3550</v>
      </c>
      <c r="L128" s="915"/>
      <c r="M128" s="915"/>
      <c r="N128" s="915"/>
      <c r="O128" s="915"/>
      <c r="P128" s="917"/>
      <c r="Q128" s="915"/>
      <c r="R128" s="915" t="s">
        <v>3032</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2904</v>
      </c>
      <c r="G130" s="824" t="s">
        <v>1294</v>
      </c>
      <c r="H130" s="949" t="s">
        <v>6739</v>
      </c>
      <c r="I130" s="824" t="s">
        <v>5360</v>
      </c>
      <c r="J130" s="839"/>
      <c r="K130" s="839"/>
      <c r="L130" s="824" t="s">
        <v>856</v>
      </c>
      <c r="M130" s="824" t="s">
        <v>4884</v>
      </c>
      <c r="N130" s="839"/>
      <c r="O130" s="824" t="s">
        <v>6740</v>
      </c>
      <c r="P130" s="910" t="s">
        <v>5075</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4535</v>
      </c>
      <c r="D132" s="950"/>
      <c r="E132" s="950"/>
      <c r="F132" s="939"/>
      <c r="G132" s="839"/>
      <c r="H132" s="950"/>
      <c r="I132" s="950"/>
      <c r="J132" s="824" t="s">
        <v>6746</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2619</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4115</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4078</v>
      </c>
      <c r="D138" s="909" t="s">
        <v>5308</v>
      </c>
      <c r="E138" s="909" t="s">
        <v>4078</v>
      </c>
      <c r="F138" s="939"/>
      <c r="G138" s="824" t="s">
        <v>2769</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3242</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2358</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2683</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5018</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2878</v>
      </c>
      <c r="G143" s="839"/>
      <c r="H143" s="839" t="s">
        <v>6771</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3587</v>
      </c>
      <c r="D144" s="834" t="s">
        <v>1591</v>
      </c>
      <c r="E144" s="915"/>
      <c r="F144" s="939"/>
      <c r="G144" s="824" t="s">
        <v>1298</v>
      </c>
      <c r="H144" s="915"/>
      <c r="I144" s="915"/>
      <c r="J144" s="915"/>
      <c r="K144" s="915"/>
      <c r="L144" s="915"/>
      <c r="M144" s="915" t="s">
        <v>6773</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5015</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2583</v>
      </c>
      <c r="D147" s="951" t="s">
        <v>6775</v>
      </c>
      <c r="E147" s="951"/>
      <c r="F147" s="851" t="s">
        <v>3787</v>
      </c>
      <c r="G147" s="839"/>
      <c r="H147" s="824" t="s">
        <v>2583</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4720</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2342</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2562</v>
      </c>
      <c r="D155" s="915" t="s">
        <v>2562</v>
      </c>
      <c r="E155" s="915"/>
      <c r="F155" s="944" t="s">
        <v>2800</v>
      </c>
      <c r="G155" s="824" t="s">
        <v>2853</v>
      </c>
      <c r="H155" s="909" t="s">
        <v>2562</v>
      </c>
      <c r="I155" s="915"/>
      <c r="J155" s="915"/>
      <c r="K155" s="915" t="s">
        <v>3743</v>
      </c>
      <c r="L155" s="915"/>
      <c r="M155" s="915"/>
      <c r="N155" s="915"/>
      <c r="O155" s="915" t="s">
        <v>2562</v>
      </c>
      <c r="P155" s="917" t="s">
        <v>2800</v>
      </c>
      <c r="Q155" s="915"/>
      <c r="R155" s="915" t="s">
        <v>2562</v>
      </c>
      <c r="S155" s="915" t="s">
        <v>2562</v>
      </c>
      <c r="T155" s="915"/>
      <c r="U155" s="915"/>
      <c r="V155" s="915"/>
      <c r="W155" s="915"/>
      <c r="X155" s="915"/>
      <c r="Y155" s="915"/>
      <c r="Z155" s="915"/>
      <c r="AA155" s="824" t="s">
        <v>4082</v>
      </c>
      <c r="AB155" s="915"/>
      <c r="AC155" s="915"/>
      <c r="AD155" s="915"/>
      <c r="AE155" s="915" t="s">
        <v>2562</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2380</v>
      </c>
      <c r="D156" s="829" t="s">
        <v>1593</v>
      </c>
      <c r="E156" s="909" t="s">
        <v>6800</v>
      </c>
      <c r="F156" s="842" t="s">
        <v>6801</v>
      </c>
      <c r="G156" s="839"/>
      <c r="H156" s="909" t="s">
        <v>6802</v>
      </c>
      <c r="I156" s="909"/>
      <c r="J156" s="909" t="s">
        <v>516</v>
      </c>
      <c r="K156" s="909" t="s">
        <v>3554</v>
      </c>
      <c r="L156" s="909"/>
      <c r="M156" s="909"/>
      <c r="N156" s="909"/>
      <c r="O156" s="909" t="s">
        <v>966</v>
      </c>
      <c r="P156" s="910" t="s">
        <v>799</v>
      </c>
      <c r="Q156" s="909"/>
      <c r="R156" s="909"/>
      <c r="S156" s="909"/>
      <c r="T156" s="909"/>
      <c r="U156" s="909"/>
      <c r="V156" s="824" t="s">
        <v>2721</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5336</v>
      </c>
      <c r="E169" s="829" t="s">
        <v>6071</v>
      </c>
      <c r="F169" s="842" t="s">
        <v>6826</v>
      </c>
      <c r="G169" s="824" t="s">
        <v>6827</v>
      </c>
      <c r="H169" s="829" t="s">
        <v>2970</v>
      </c>
      <c r="I169" s="829"/>
      <c r="J169" s="829"/>
      <c r="K169" s="829"/>
      <c r="L169" s="829" t="s">
        <v>4485</v>
      </c>
      <c r="M169" s="829"/>
      <c r="N169" s="829"/>
      <c r="O169" s="829"/>
      <c r="P169" s="827"/>
      <c r="Q169" s="829"/>
      <c r="R169" s="829"/>
      <c r="S169" s="829" t="s">
        <v>4165</v>
      </c>
      <c r="T169" s="829" t="s">
        <v>2763</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2907</v>
      </c>
      <c r="G172" s="824" t="s">
        <v>1304</v>
      </c>
      <c r="H172" s="829" t="s">
        <v>6127</v>
      </c>
      <c r="I172" s="829"/>
      <c r="J172" s="829" t="s">
        <v>608</v>
      </c>
      <c r="K172" s="829" t="s">
        <v>353</v>
      </c>
      <c r="L172" s="829"/>
      <c r="M172" s="829"/>
      <c r="N172" s="829" t="s">
        <v>145</v>
      </c>
      <c r="O172" s="829" t="s">
        <v>6835</v>
      </c>
      <c r="P172" s="827"/>
      <c r="Q172" s="829"/>
      <c r="R172" s="829"/>
      <c r="S172" s="829" t="s">
        <v>2567</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2908</v>
      </c>
      <c r="G174" s="824" t="s">
        <v>1305</v>
      </c>
      <c r="H174" s="829" t="s">
        <v>3052</v>
      </c>
      <c r="I174" s="829" t="s">
        <v>1462</v>
      </c>
      <c r="J174" s="829" t="s">
        <v>2044</v>
      </c>
      <c r="K174" s="829" t="s">
        <v>5312</v>
      </c>
      <c r="L174" s="829" t="s">
        <v>867</v>
      </c>
      <c r="M174" s="829" t="s">
        <v>2812</v>
      </c>
      <c r="N174" s="829" t="s">
        <v>1846</v>
      </c>
      <c r="O174" s="829" t="s">
        <v>4752</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3900</v>
      </c>
      <c r="D175" s="829"/>
      <c r="E175" s="829" t="s">
        <v>3900</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3928</v>
      </c>
      <c r="D176" s="970"/>
      <c r="E176" s="970"/>
      <c r="F176" s="972" t="s">
        <v>3016</v>
      </c>
      <c r="G176" s="839"/>
      <c r="H176" s="970"/>
      <c r="I176" s="970"/>
      <c r="J176" s="970"/>
      <c r="K176" s="970"/>
      <c r="L176" s="970" t="s">
        <v>2855</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2569</v>
      </c>
      <c r="D180" s="970"/>
      <c r="E180" s="970"/>
      <c r="F180" s="965"/>
      <c r="G180" s="824" t="s">
        <v>6853</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3503</v>
      </c>
      <c r="E181" s="970"/>
      <c r="F181" s="851" t="s">
        <v>6855</v>
      </c>
      <c r="G181" s="839"/>
      <c r="H181" s="970"/>
      <c r="I181" s="970" t="s">
        <v>6011</v>
      </c>
      <c r="J181" s="970"/>
      <c r="K181" s="970" t="s">
        <v>3236</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2749</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3043</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5337</v>
      </c>
      <c r="D187" s="970"/>
      <c r="E187" s="970"/>
      <c r="F187" s="823"/>
      <c r="G187" s="824" t="s">
        <v>2838</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3422</v>
      </c>
      <c r="E188" s="970"/>
      <c r="F188" s="968" t="s">
        <v>657</v>
      </c>
      <c r="G188" s="824" t="s">
        <v>6424</v>
      </c>
      <c r="H188" s="970"/>
      <c r="I188" s="970"/>
      <c r="J188" s="970"/>
      <c r="K188" s="970" t="s">
        <v>5587</v>
      </c>
      <c r="L188" s="970" t="s">
        <v>175</v>
      </c>
      <c r="M188" s="970"/>
      <c r="N188" s="970" t="s">
        <v>4641</v>
      </c>
      <c r="O188" s="970"/>
      <c r="P188" s="845"/>
      <c r="Q188" s="970"/>
      <c r="R188" s="970"/>
      <c r="S188" s="970"/>
      <c r="T188" s="970" t="s">
        <v>3443</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2909</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3700</v>
      </c>
      <c r="F193" s="968" t="s">
        <v>4929</v>
      </c>
      <c r="G193" s="824" t="s">
        <v>6875</v>
      </c>
      <c r="H193" s="854"/>
      <c r="I193" s="854" t="s">
        <v>6876</v>
      </c>
      <c r="J193" s="854"/>
      <c r="K193" s="854"/>
      <c r="L193" s="854" t="s">
        <v>3700</v>
      </c>
      <c r="M193" s="854"/>
      <c r="N193" s="854" t="s">
        <v>6877</v>
      </c>
      <c r="O193" s="854"/>
      <c r="P193" s="855" t="s">
        <v>3790</v>
      </c>
      <c r="Q193" s="854"/>
      <c r="R193" s="877" t="s">
        <v>6878</v>
      </c>
      <c r="S193" s="854"/>
      <c r="T193" s="854"/>
      <c r="U193" s="854" t="s">
        <v>3099</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2752</v>
      </c>
      <c r="D195" s="829" t="s">
        <v>542</v>
      </c>
      <c r="E195" s="829" t="s">
        <v>2752</v>
      </c>
      <c r="F195" s="851" t="s">
        <v>6878</v>
      </c>
      <c r="G195" s="839"/>
      <c r="H195" s="829"/>
      <c r="I195" s="829" t="s">
        <v>1463</v>
      </c>
      <c r="J195" s="829" t="s">
        <v>6879</v>
      </c>
      <c r="K195" s="829" t="s">
        <v>4221</v>
      </c>
      <c r="L195" s="829"/>
      <c r="M195" s="829" t="s">
        <v>6880</v>
      </c>
      <c r="N195" s="829" t="s">
        <v>4490</v>
      </c>
      <c r="O195" s="829" t="s">
        <v>4761</v>
      </c>
      <c r="P195" s="825" t="s">
        <v>6060</v>
      </c>
      <c r="Q195" s="829"/>
      <c r="R195" s="825" t="s">
        <v>5716</v>
      </c>
      <c r="S195" s="829"/>
      <c r="T195" s="829"/>
      <c r="U195" s="829"/>
      <c r="V195" s="829"/>
      <c r="W195" s="829" t="s">
        <v>2520</v>
      </c>
      <c r="X195" s="829" t="s">
        <v>6881</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3385</v>
      </c>
      <c r="E200" s="829" t="s">
        <v>4446</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4144</v>
      </c>
      <c r="E203" s="970"/>
      <c r="F203" s="968" t="s">
        <v>6897</v>
      </c>
      <c r="G203" s="824" t="s">
        <v>2950</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2445</v>
      </c>
      <c r="D209" s="970"/>
      <c r="E209" s="970"/>
      <c r="F209" s="823"/>
      <c r="G209" s="839"/>
      <c r="H209" s="970"/>
      <c r="I209" s="970"/>
      <c r="J209" s="970" t="s">
        <v>2445</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4550</v>
      </c>
      <c r="K214" s="909" t="s">
        <v>1732</v>
      </c>
      <c r="L214" s="909" t="s">
        <v>879</v>
      </c>
      <c r="M214" s="909" t="s">
        <v>254</v>
      </c>
      <c r="N214" s="915" t="s">
        <v>4405</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2913</v>
      </c>
      <c r="G215" s="824" t="s">
        <v>3181</v>
      </c>
      <c r="H215" s="909" t="s">
        <v>2169</v>
      </c>
      <c r="I215" s="909" t="s">
        <v>1605</v>
      </c>
      <c r="J215" s="909" t="s">
        <v>1906</v>
      </c>
      <c r="K215" s="909" t="s">
        <v>2169</v>
      </c>
      <c r="L215" s="909" t="s">
        <v>880</v>
      </c>
      <c r="M215" s="909" t="s">
        <v>1241</v>
      </c>
      <c r="N215" s="909" t="s">
        <v>374</v>
      </c>
      <c r="O215" s="909" t="s">
        <v>2753</v>
      </c>
      <c r="P215" s="910" t="s">
        <v>2346</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4421</v>
      </c>
      <c r="M216" s="909" t="str">
        <f>HYPERLINK("https://www.youtube.com/watch?v=aWzlUqH0LaM","41.87")</f>
        <v>41.87</v>
      </c>
      <c r="N216" s="915" t="s">
        <v>2150</v>
      </c>
      <c r="O216" s="909" t="s">
        <v>1539</v>
      </c>
      <c r="P216" s="917" t="s">
        <v>3321</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6928</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2952</v>
      </c>
      <c r="D220" s="915"/>
      <c r="E220" s="915"/>
      <c r="F220" s="835" t="s">
        <v>2915</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4082</v>
      </c>
      <c r="K225" s="996"/>
      <c r="L225" s="996"/>
      <c r="M225" s="996"/>
      <c r="N225" s="996"/>
      <c r="O225" s="996"/>
      <c r="P225" s="997"/>
      <c r="Q225" s="996"/>
      <c r="R225" s="1003" t="s">
        <v>6786</v>
      </c>
      <c r="S225" s="996"/>
      <c r="T225" s="996"/>
      <c r="U225" s="996"/>
      <c r="V225" s="996"/>
      <c r="W225" s="1003" t="s">
        <v>2562</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4303</v>
      </c>
      <c r="J230" s="909" t="s">
        <v>2876</v>
      </c>
      <c r="K230" s="909" t="s">
        <v>3452</v>
      </c>
      <c r="L230" s="915"/>
      <c r="M230" s="915"/>
      <c r="N230" s="915" t="s">
        <v>4285</v>
      </c>
      <c r="O230" s="909" t="s">
        <v>1317</v>
      </c>
      <c r="P230" s="917" t="s">
        <v>2135</v>
      </c>
      <c r="Q230" s="915" t="s">
        <v>1859</v>
      </c>
      <c r="R230" s="824" t="s">
        <v>175</v>
      </c>
      <c r="S230" s="824" t="s">
        <v>1137</v>
      </c>
      <c r="T230" s="909" t="s">
        <v>3851</v>
      </c>
      <c r="U230" s="915" t="s">
        <v>4410</v>
      </c>
      <c r="V230" s="915"/>
      <c r="W230" s="915"/>
      <c r="X230" s="915"/>
      <c r="Y230" s="915"/>
      <c r="Z230" s="915"/>
      <c r="AA230" s="915"/>
      <c r="AB230" s="915"/>
      <c r="AC230" s="915"/>
      <c r="AD230" s="915"/>
      <c r="AE230" s="915"/>
      <c r="AF230" s="915"/>
      <c r="AG230" s="915" t="s">
        <v>2673</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2779</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4217</v>
      </c>
      <c r="F233" s="1002" t="s">
        <v>2347</v>
      </c>
      <c r="G233" s="839"/>
      <c r="H233" s="909"/>
      <c r="I233" s="909"/>
      <c r="J233" s="909"/>
      <c r="K233" s="909"/>
      <c r="L233" s="909"/>
      <c r="M233" s="909"/>
      <c r="N233" s="909"/>
      <c r="O233" s="909"/>
      <c r="P233" s="910"/>
      <c r="Q233" s="909"/>
      <c r="R233" s="909" t="s">
        <v>2237</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5279</v>
      </c>
      <c r="D234" s="915" t="s">
        <v>1625</v>
      </c>
      <c r="E234" s="915"/>
      <c r="F234" s="842" t="s">
        <v>2316</v>
      </c>
      <c r="G234" s="824" t="s">
        <v>1693</v>
      </c>
      <c r="H234" s="915"/>
      <c r="I234" s="915" t="s">
        <v>2436</v>
      </c>
      <c r="J234" s="915"/>
      <c r="K234" s="824" t="s">
        <v>1409</v>
      </c>
      <c r="L234" s="915"/>
      <c r="M234" s="915"/>
      <c r="N234" s="915" t="s">
        <v>3290</v>
      </c>
      <c r="O234" s="915"/>
      <c r="P234" s="917" t="s">
        <v>6956</v>
      </c>
      <c r="Q234" s="915"/>
      <c r="R234" s="915" t="s">
        <v>5279</v>
      </c>
      <c r="S234" s="915"/>
      <c r="T234" s="915"/>
      <c r="U234" s="915" t="s">
        <v>3732</v>
      </c>
      <c r="V234" s="915"/>
      <c r="W234" s="915"/>
      <c r="X234" s="915"/>
      <c r="Y234" s="915"/>
      <c r="Z234" s="915"/>
      <c r="AA234" s="915"/>
      <c r="AB234" s="915"/>
      <c r="AC234" s="915"/>
      <c r="AD234" s="915"/>
      <c r="AE234" s="909" t="s">
        <v>424</v>
      </c>
      <c r="AF234" s="909" t="s">
        <v>424</v>
      </c>
      <c r="AG234" s="915" t="s">
        <v>2463</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2511</v>
      </c>
      <c r="I235" s="915"/>
      <c r="J235" s="909" t="s">
        <v>1077</v>
      </c>
      <c r="K235" s="915"/>
      <c r="L235" s="909" t="s">
        <v>884</v>
      </c>
      <c r="M235" s="909" t="s">
        <v>240</v>
      </c>
      <c r="N235" s="915"/>
      <c r="O235" s="909" t="s">
        <v>2953</v>
      </c>
      <c r="P235" s="917"/>
      <c r="Q235" s="915" t="s">
        <v>6959</v>
      </c>
      <c r="R235" s="824" t="s">
        <v>2136</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3305</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2553</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3038</v>
      </c>
      <c r="D240" s="909"/>
      <c r="E240" s="909" t="s">
        <v>4237</v>
      </c>
      <c r="F240" s="1002" t="s">
        <v>6965</v>
      </c>
      <c r="G240" s="839"/>
      <c r="H240" s="909" t="s">
        <v>3038</v>
      </c>
      <c r="I240" s="909" t="str">
        <f>HYPERLINK("https://youtu.be/yGR2akJEjQQ","19.18")</f>
        <v>19.18</v>
      </c>
      <c r="J240" s="909"/>
      <c r="K240" s="909"/>
      <c r="L240" s="909"/>
      <c r="M240" s="909"/>
      <c r="N240" s="909"/>
      <c r="O240" s="909"/>
      <c r="P240" s="910"/>
      <c r="Q240" s="909"/>
      <c r="R240" s="824" t="s">
        <v>5363</v>
      </c>
      <c r="S240" s="909"/>
      <c r="T240" s="909" t="s">
        <v>2440</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3868</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4531</v>
      </c>
      <c r="D252" s="915"/>
      <c r="E252" s="915"/>
      <c r="F252" s="1025" t="s">
        <v>3739</v>
      </c>
      <c r="G252" s="839"/>
      <c r="H252" s="915"/>
      <c r="I252" s="909" t="str">
        <f>HYPERLINK("https://youtu.be/K8Egs0-qumI","48.41")</f>
        <v>48.41</v>
      </c>
      <c r="J252" s="915"/>
      <c r="K252" s="915"/>
      <c r="L252" s="915"/>
      <c r="M252" s="915"/>
      <c r="N252" s="915"/>
      <c r="O252" s="915"/>
      <c r="P252" s="917"/>
      <c r="Q252" s="915"/>
      <c r="R252" s="824" t="s">
        <v>6978</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4531</v>
      </c>
      <c r="E253" s="915"/>
      <c r="F253" s="823"/>
      <c r="G253" s="839"/>
      <c r="H253" s="915"/>
      <c r="I253" s="915" t="s">
        <v>6980</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3812</v>
      </c>
      <c r="D254" s="915"/>
      <c r="E254" s="915"/>
      <c r="F254" s="1026"/>
      <c r="G254" s="824" t="s">
        <v>6297</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2157</v>
      </c>
      <c r="K255" s="909"/>
      <c r="L255" s="910" t="s">
        <v>6984</v>
      </c>
      <c r="M255" s="909"/>
      <c r="N255" s="909"/>
      <c r="O255" s="909" t="s">
        <v>1399</v>
      </c>
      <c r="P255" s="910" t="s">
        <v>6985</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2157</v>
      </c>
      <c r="D256" s="909"/>
      <c r="E256" s="909" t="s">
        <v>2157</v>
      </c>
      <c r="F256" s="1025" t="s">
        <v>6987</v>
      </c>
      <c r="G256" s="839"/>
      <c r="H256" s="910" t="s">
        <v>2955</v>
      </c>
      <c r="I256" s="909"/>
      <c r="J256" s="909"/>
      <c r="K256" s="909"/>
      <c r="L256" s="909"/>
      <c r="M256" s="909"/>
      <c r="N256" s="909"/>
      <c r="O256" s="909"/>
      <c r="P256" s="910"/>
      <c r="Q256" s="824" t="s">
        <v>3321</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2916</v>
      </c>
      <c r="D258" s="909" t="s">
        <v>934</v>
      </c>
      <c r="E258" s="909" t="s">
        <v>6991</v>
      </c>
      <c r="F258" s="842" t="s">
        <v>2916</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4257</v>
      </c>
      <c r="H260" s="915"/>
      <c r="I260" s="909" t="str">
        <f>HYPERLINK("https://youtu.be/_GZXmZdCc5s","31.80")</f>
        <v>31.80</v>
      </c>
      <c r="J260" s="915"/>
      <c r="K260" s="909" t="s">
        <v>6996</v>
      </c>
      <c r="L260" s="915"/>
      <c r="M260" s="909" t="s">
        <v>1625</v>
      </c>
      <c r="N260" s="909" t="str">
        <f>HYPERLINK("https://youtu.be/kUsh0nBBuMY","32.45")</f>
        <v>32.45</v>
      </c>
      <c r="O260" s="915"/>
      <c r="P260" s="917" t="s">
        <v>2211</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4977</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3549</v>
      </c>
      <c r="D263" s="909" t="s">
        <v>240</v>
      </c>
      <c r="E263" s="909" t="s">
        <v>3549</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4023</v>
      </c>
      <c r="R263" s="909"/>
      <c r="S263" s="909"/>
      <c r="T263" s="909"/>
      <c r="U263" s="909" t="s">
        <v>7001</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4140</v>
      </c>
      <c r="F264" s="1028"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3878</v>
      </c>
      <c r="T264" s="909" t="s">
        <v>6980</v>
      </c>
      <c r="U264" s="909" t="s">
        <v>7007</v>
      </c>
      <c r="V264" s="909"/>
      <c r="W264" s="909" t="s">
        <v>4317</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3864</v>
      </c>
      <c r="D265" s="909" t="s">
        <v>5131</v>
      </c>
      <c r="E265" s="909" t="s">
        <v>3424</v>
      </c>
      <c r="F265" s="851" t="s">
        <v>7013</v>
      </c>
      <c r="G265" s="824" t="s">
        <v>7014</v>
      </c>
      <c r="H265" s="909"/>
      <c r="I265" s="909" t="str">
        <f>HYPERLINK(" https://youtu.be/dsDcBzsPA5s","45.74")</f>
        <v>45.74</v>
      </c>
      <c r="J265" s="909" t="s">
        <v>3864</v>
      </c>
      <c r="K265" s="909" t="s">
        <v>7015</v>
      </c>
      <c r="L265" s="909" t="s">
        <v>3920</v>
      </c>
      <c r="M265" s="909" t="s">
        <v>1699</v>
      </c>
      <c r="N265" s="909" t="s">
        <v>1996</v>
      </c>
      <c r="O265" s="909" t="s">
        <v>3848</v>
      </c>
      <c r="P265" s="910" t="s">
        <v>3463</v>
      </c>
      <c r="Q265" s="909" t="s">
        <v>7016</v>
      </c>
      <c r="R265" s="909"/>
      <c r="S265" s="909" t="s">
        <v>7017</v>
      </c>
      <c r="T265" s="909" t="s">
        <v>283</v>
      </c>
      <c r="U265" s="909" t="s">
        <v>6989</v>
      </c>
      <c r="V265" s="909"/>
      <c r="W265" s="909" t="s">
        <v>704</v>
      </c>
      <c r="X265" s="909" t="s">
        <v>7018</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4588</v>
      </c>
      <c r="E266" s="909" t="s">
        <v>409</v>
      </c>
      <c r="F266" s="1028" t="s">
        <v>186</v>
      </c>
      <c r="G266" s="824" t="s">
        <v>1326</v>
      </c>
      <c r="H266" s="909" t="s">
        <v>2040</v>
      </c>
      <c r="I266" s="909" t="str">
        <f>HYPERLINK("https://youtu.be/9O9oqhlyCxY","45.20")</f>
        <v>45.20</v>
      </c>
      <c r="J266" s="909" t="s">
        <v>7020</v>
      </c>
      <c r="K266" s="824" t="s">
        <v>3571</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7021</v>
      </c>
      <c r="C267" s="908" t="s">
        <v>969</v>
      </c>
      <c r="D267" s="834" t="s">
        <v>1617</v>
      </c>
      <c r="E267" s="1031" t="s">
        <v>410</v>
      </c>
      <c r="F267" s="835" t="s">
        <v>2917</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7021</v>
      </c>
      <c r="C268" s="908" t="s">
        <v>6882</v>
      </c>
      <c r="D268" s="1031" t="s">
        <v>148</v>
      </c>
      <c r="E268" s="1031" t="s">
        <v>411</v>
      </c>
      <c r="F268" s="835" t="s">
        <v>2918</v>
      </c>
      <c r="G268" s="839"/>
      <c r="H268" s="1031" t="s">
        <v>6882</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2774</v>
      </c>
      <c r="F269" s="842" t="s">
        <v>7022</v>
      </c>
      <c r="G269" s="824" t="s">
        <v>5621</v>
      </c>
      <c r="H269" s="909" t="s">
        <v>5652</v>
      </c>
      <c r="I269" s="909"/>
      <c r="J269" s="909" t="s">
        <v>5202</v>
      </c>
      <c r="K269" s="909"/>
      <c r="L269" s="909" t="s">
        <v>7023</v>
      </c>
      <c r="M269" s="909"/>
      <c r="N269" s="909"/>
      <c r="O269" s="909" t="s">
        <v>5652</v>
      </c>
      <c r="P269" s="910"/>
      <c r="Q269" s="909"/>
      <c r="R269" s="824" t="s">
        <v>7024</v>
      </c>
      <c r="S269" s="909"/>
      <c r="T269" s="909" t="s">
        <v>5652</v>
      </c>
      <c r="U269" s="909"/>
      <c r="V269" s="909"/>
      <c r="W269" s="909" t="s">
        <v>4100</v>
      </c>
      <c r="X269" s="909" t="s">
        <v>6011</v>
      </c>
      <c r="Y269" s="909" t="s">
        <v>7025</v>
      </c>
      <c r="Z269" s="909" t="s">
        <v>6066</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7026</v>
      </c>
      <c r="C270" s="908" t="s">
        <v>7027</v>
      </c>
      <c r="D270" s="829" t="s">
        <v>1482</v>
      </c>
      <c r="E270" s="909" t="s">
        <v>4403</v>
      </c>
      <c r="F270" s="835" t="s">
        <v>189</v>
      </c>
      <c r="G270" s="824" t="s">
        <v>1329</v>
      </c>
      <c r="H270" s="909" t="s">
        <v>7027</v>
      </c>
      <c r="I270" s="909" t="s">
        <v>1482</v>
      </c>
      <c r="J270" s="909" t="s">
        <v>3708</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4198</v>
      </c>
      <c r="D272" s="839"/>
      <c r="E272" s="824" t="s">
        <v>4274</v>
      </c>
      <c r="F272" s="1026"/>
      <c r="G272" s="824" t="s">
        <v>3306</v>
      </c>
      <c r="H272" s="824" t="s">
        <v>4198</v>
      </c>
      <c r="I272" s="839"/>
      <c r="J272" s="839"/>
      <c r="K272" s="839"/>
      <c r="L272" s="839"/>
      <c r="M272" s="839"/>
      <c r="N272" s="839" t="s">
        <v>4372</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4425</v>
      </c>
      <c r="D273" s="909" t="s">
        <v>1618</v>
      </c>
      <c r="E273" s="909" t="s">
        <v>2743</v>
      </c>
      <c r="F273" s="842" t="s">
        <v>2919</v>
      </c>
      <c r="G273" s="839"/>
      <c r="H273" s="910" t="s">
        <v>1369</v>
      </c>
      <c r="I273" s="909"/>
      <c r="J273" s="909"/>
      <c r="K273" s="909"/>
      <c r="L273" s="909"/>
      <c r="M273" s="909"/>
      <c r="N273" s="909"/>
      <c r="O273" s="909"/>
      <c r="P273" s="910" t="s">
        <v>5205</v>
      </c>
      <c r="Q273" s="909" t="s">
        <v>2586</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8" t="s">
        <v>2919</v>
      </c>
      <c r="G274" s="824" t="s">
        <v>3696</v>
      </c>
      <c r="H274" s="910" t="s">
        <v>6221</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4759</v>
      </c>
      <c r="D279" s="915"/>
      <c r="E279" s="915"/>
      <c r="F279" s="823"/>
      <c r="G279" s="824" t="s">
        <v>1332</v>
      </c>
      <c r="H279" s="915"/>
      <c r="I279" s="915"/>
      <c r="J279" s="915"/>
      <c r="K279" s="915"/>
      <c r="L279" s="915"/>
      <c r="M279" s="915"/>
      <c r="N279" s="915"/>
      <c r="O279" s="915"/>
      <c r="P279" s="917"/>
      <c r="Q279" s="915"/>
      <c r="R279" s="915"/>
      <c r="S279" s="824" t="s">
        <v>2588</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7043</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7044</v>
      </c>
      <c r="C282" s="908" t="s">
        <v>7045</v>
      </c>
      <c r="D282" s="909" t="s">
        <v>7046</v>
      </c>
      <c r="E282" s="909" t="s">
        <v>7045</v>
      </c>
      <c r="F282" s="823"/>
      <c r="G282" s="824" t="s">
        <v>4775</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7050</v>
      </c>
      <c r="C283" s="908" t="s">
        <v>423</v>
      </c>
      <c r="D283" s="829" t="s">
        <v>1624</v>
      </c>
      <c r="E283" s="824" t="s">
        <v>423</v>
      </c>
      <c r="F283" s="835" t="s">
        <v>2921</v>
      </c>
      <c r="G283" s="824" t="s">
        <v>1341</v>
      </c>
      <c r="H283" s="824" t="s">
        <v>7051</v>
      </c>
      <c r="I283" s="824" t="str">
        <f>HYPERLINK("https://youtu.be/ZpzmhXUsVhA","1:19.38")</f>
        <v>1:19.38</v>
      </c>
      <c r="J283" s="839"/>
      <c r="K283" s="824" t="s">
        <v>3577</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7055</v>
      </c>
      <c r="B284" s="1052" t="s">
        <v>7044</v>
      </c>
      <c r="C284" s="908" t="s">
        <v>5467</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7050</v>
      </c>
      <c r="C285" s="908" t="s">
        <v>2174</v>
      </c>
      <c r="D285" s="1053" t="s">
        <v>7056</v>
      </c>
      <c r="E285" s="909" t="s">
        <v>4077</v>
      </c>
      <c r="F285" s="883" t="s">
        <v>2064</v>
      </c>
      <c r="G285" s="824" t="s">
        <v>2831</v>
      </c>
      <c r="H285" s="949" t="s">
        <v>4686</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7057</v>
      </c>
      <c r="B286" s="1054" t="s">
        <v>7058</v>
      </c>
      <c r="C286" s="908" t="s">
        <v>4244</v>
      </c>
      <c r="D286" s="1012" t="s">
        <v>1796</v>
      </c>
      <c r="E286" s="909" t="s">
        <v>4244</v>
      </c>
      <c r="F286" s="823"/>
      <c r="G286" s="839"/>
      <c r="H286" s="909"/>
      <c r="I286" s="909"/>
      <c r="J286" s="909"/>
      <c r="K286" s="909" t="s">
        <v>2330</v>
      </c>
      <c r="L286" s="909"/>
      <c r="M286" s="909"/>
      <c r="N286" s="909"/>
      <c r="O286" s="909"/>
      <c r="P286" s="910" t="s">
        <v>7059</v>
      </c>
      <c r="Q286" s="909"/>
      <c r="R286" s="909"/>
      <c r="S286" s="909" t="s">
        <v>2588</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7001</v>
      </c>
      <c r="D287" s="829" t="s">
        <v>1625</v>
      </c>
      <c r="E287" s="824" t="s">
        <v>424</v>
      </c>
      <c r="F287" s="948" t="s">
        <v>2922</v>
      </c>
      <c r="G287" s="824" t="s">
        <v>1342</v>
      </c>
      <c r="H287" s="824" t="s">
        <v>2068</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7061</v>
      </c>
      <c r="B288" s="1055" t="s">
        <v>7062</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7063</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7065</v>
      </c>
      <c r="C291" s="908" t="s">
        <v>2562</v>
      </c>
      <c r="D291" s="951"/>
      <c r="E291" s="951"/>
      <c r="F291" s="876"/>
      <c r="G291" s="839"/>
      <c r="H291" s="951"/>
      <c r="I291" s="951" t="s">
        <v>2562</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7067</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3227</v>
      </c>
      <c r="D294" s="909"/>
      <c r="E294" s="909" t="s">
        <v>3732</v>
      </c>
      <c r="F294" s="823"/>
      <c r="G294" s="839"/>
      <c r="H294" s="909" t="s">
        <v>3227</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7069</v>
      </c>
      <c r="B295" s="1058"/>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7071</v>
      </c>
      <c r="B296" s="1054" t="s">
        <v>7072</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7073</v>
      </c>
      <c r="C297" s="908" t="s">
        <v>3959</v>
      </c>
      <c r="D297" s="1059"/>
      <c r="E297" s="1059" t="s">
        <v>4165</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7074</v>
      </c>
      <c r="B298" s="1047"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7076</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7077</v>
      </c>
      <c r="B300" s="1047"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7083</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7084</v>
      </c>
      <c r="B306" s="1055" t="s">
        <v>6481</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7086</v>
      </c>
      <c r="C308" s="908" t="s">
        <v>3000</v>
      </c>
      <c r="D308" s="824" t="s">
        <v>405</v>
      </c>
      <c r="E308" s="824" t="s">
        <v>5265</v>
      </c>
      <c r="F308" s="842" t="s">
        <v>4808</v>
      </c>
      <c r="G308" s="839"/>
      <c r="H308" s="839" t="s">
        <v>2035</v>
      </c>
      <c r="I308" s="839"/>
      <c r="J308" s="839"/>
      <c r="K308" s="839"/>
      <c r="L308" s="839"/>
      <c r="M308" s="839"/>
      <c r="N308" s="839"/>
      <c r="O308" s="839"/>
      <c r="P308" s="910"/>
      <c r="Q308" s="839"/>
      <c r="R308" s="824" t="s">
        <v>5265</v>
      </c>
      <c r="S308" s="839"/>
      <c r="T308" s="824" t="s">
        <v>3000</v>
      </c>
      <c r="U308" s="839"/>
      <c r="V308" s="839"/>
      <c r="W308" s="839"/>
      <c r="X308" s="839"/>
      <c r="Y308" s="824" t="s">
        <v>2676</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7087</v>
      </c>
      <c r="B309" s="1055"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7089</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7090</v>
      </c>
      <c r="B311" s="1055" t="s">
        <v>6478</v>
      </c>
      <c r="C311" s="908" t="s">
        <v>2409</v>
      </c>
      <c r="D311" s="849"/>
      <c r="E311" s="1062" t="s">
        <v>1784</v>
      </c>
      <c r="F311" s="889" t="s">
        <v>2891</v>
      </c>
      <c r="G311" s="839"/>
      <c r="H311" s="1062" t="s">
        <v>2409</v>
      </c>
      <c r="I311" s="849"/>
      <c r="J311" s="1062" t="s">
        <v>1784</v>
      </c>
      <c r="K311" s="849"/>
      <c r="L311" s="1062" t="s">
        <v>7091</v>
      </c>
      <c r="M311" s="1062" t="s">
        <v>4873</v>
      </c>
      <c r="N311" s="849"/>
      <c r="O311" s="849"/>
      <c r="P311" s="848"/>
      <c r="Q311" s="849"/>
      <c r="R311" s="849"/>
      <c r="S311" s="849"/>
      <c r="T311" s="849"/>
      <c r="U311" s="849"/>
      <c r="V311" s="849"/>
      <c r="W311" s="1062" t="s">
        <v>2831</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7092</v>
      </c>
      <c r="B312" s="1055"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7099</v>
      </c>
      <c r="B314" s="1055" t="s">
        <v>7100</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7101</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7106</v>
      </c>
      <c r="C319" s="908" t="s">
        <v>7107</v>
      </c>
      <c r="D319" s="839"/>
      <c r="E319" s="824" t="s">
        <v>3937</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7115</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7116</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7117</v>
      </c>
      <c r="B322" s="1055" t="s">
        <v>7118</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7128</v>
      </c>
      <c r="B325" s="1047" t="s">
        <v>7129</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7130</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7131</v>
      </c>
      <c r="B327" s="1055"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7134</v>
      </c>
      <c r="B328" s="1055" t="s">
        <v>7135</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7139</v>
      </c>
      <c r="H2" s="1072" t="s">
        <v>47</v>
      </c>
      <c r="I2" s="1072" t="s">
        <v>48</v>
      </c>
      <c r="J2" s="1072" t="s">
        <v>7140</v>
      </c>
      <c r="K2" s="1072" t="s">
        <v>54</v>
      </c>
      <c r="N2" s="1072" t="s">
        <v>7141</v>
      </c>
      <c r="P2" s="1073"/>
      <c r="Q2" s="1074" t="s">
        <v>47</v>
      </c>
      <c r="R2" s="1074" t="s">
        <v>7142</v>
      </c>
      <c r="S2" s="1074" t="s">
        <v>52</v>
      </c>
      <c r="T2" s="1074" t="s">
        <v>53</v>
      </c>
      <c r="U2" s="1074" t="s">
        <v>54</v>
      </c>
      <c r="V2" s="1074" t="s">
        <v>7143</v>
      </c>
      <c r="W2" s="1073"/>
      <c r="X2" s="1075" t="s">
        <v>47</v>
      </c>
      <c r="Y2" s="1075" t="s">
        <v>48</v>
      </c>
      <c r="Z2" s="1075" t="s">
        <v>49</v>
      </c>
      <c r="AA2" s="1075" t="s">
        <v>50</v>
      </c>
      <c r="AC2" s="1075" t="s">
        <v>52</v>
      </c>
      <c r="AD2" s="1075" t="s">
        <v>53</v>
      </c>
      <c r="AE2" s="1075" t="s">
        <v>54</v>
      </c>
      <c r="AF2" s="1075" t="s">
        <v>6713</v>
      </c>
      <c r="AG2" s="1075" t="s">
        <v>7141</v>
      </c>
      <c r="AI2" s="1073"/>
      <c r="AJ2" s="1076" t="s">
        <v>47</v>
      </c>
      <c r="AK2" s="1076" t="s">
        <v>48</v>
      </c>
      <c r="AM2" s="1076" t="s">
        <v>49</v>
      </c>
      <c r="AP2" s="1076" t="s">
        <v>51</v>
      </c>
      <c r="AR2" s="1076" t="s">
        <v>52</v>
      </c>
      <c r="AV2" s="1076" t="s">
        <v>52</v>
      </c>
      <c r="AW2" s="1076" t="s">
        <v>53</v>
      </c>
      <c r="AX2" s="1076" t="s">
        <v>7143</v>
      </c>
      <c r="AZ2" s="1077"/>
      <c r="BA2" s="1078" t="s">
        <v>47</v>
      </c>
      <c r="BB2" s="1078" t="s">
        <v>52</v>
      </c>
      <c r="BC2" s="1078" t="s">
        <v>53</v>
      </c>
      <c r="BD2" s="1078" t="s">
        <v>54</v>
      </c>
      <c r="BE2" s="1078" t="s">
        <v>7141</v>
      </c>
      <c r="BF2" s="1077"/>
      <c r="BG2" s="1079" t="s">
        <v>47</v>
      </c>
      <c r="BH2" s="1079" t="s">
        <v>48</v>
      </c>
      <c r="BI2" s="1079" t="s">
        <v>50</v>
      </c>
      <c r="BK2" s="1079" t="s">
        <v>52</v>
      </c>
      <c r="BL2" s="1079" t="s">
        <v>7141</v>
      </c>
      <c r="BN2" s="1073"/>
      <c r="BO2" s="1080" t="s">
        <v>49</v>
      </c>
      <c r="BP2" s="1080" t="s">
        <v>50</v>
      </c>
      <c r="BQ2" s="1080" t="s">
        <v>51</v>
      </c>
      <c r="BR2" s="1080" t="s">
        <v>52</v>
      </c>
      <c r="BT2" s="1080" t="s">
        <v>53</v>
      </c>
      <c r="BU2" s="1080" t="s">
        <v>54</v>
      </c>
      <c r="BW2" s="1080" t="s">
        <v>7143</v>
      </c>
      <c r="BX2" s="1077"/>
      <c r="BY2" s="1081" t="s">
        <v>7144</v>
      </c>
      <c r="BZ2" s="1082" t="s">
        <v>75</v>
      </c>
      <c r="CA2" s="1081" t="s">
        <v>80</v>
      </c>
      <c r="CD2" s="1081" t="s">
        <v>77</v>
      </c>
      <c r="CE2" s="1081" t="s">
        <v>7145</v>
      </c>
      <c r="CF2" s="1081" t="s">
        <v>7146</v>
      </c>
      <c r="CG2" s="1083" t="s">
        <v>68</v>
      </c>
      <c r="CH2" s="1081" t="s">
        <v>76</v>
      </c>
      <c r="CI2" s="1081" t="s">
        <v>66</v>
      </c>
      <c r="CJ2" s="1082" t="s">
        <v>78</v>
      </c>
    </row>
    <row r="3" ht="23.25" customHeight="1">
      <c r="J3" s="1084" t="s">
        <v>7147</v>
      </c>
      <c r="K3" s="1084" t="s">
        <v>7148</v>
      </c>
      <c r="L3" s="1085" t="s">
        <v>7149</v>
      </c>
      <c r="M3" s="1085" t="s">
        <v>7150</v>
      </c>
      <c r="N3" s="1085" t="s">
        <v>7151</v>
      </c>
      <c r="O3" s="1084" t="s">
        <v>7152</v>
      </c>
      <c r="P3" s="1073"/>
      <c r="W3" s="1073"/>
      <c r="AA3" s="1086" t="s">
        <v>7153</v>
      </c>
      <c r="AB3" s="1087" t="s">
        <v>91</v>
      </c>
      <c r="AF3" s="1087" t="s">
        <v>7154</v>
      </c>
      <c r="AG3" s="1086" t="s">
        <v>52</v>
      </c>
      <c r="AH3" s="1088" t="s">
        <v>49</v>
      </c>
      <c r="AI3" s="1073"/>
      <c r="AK3" s="1089" t="s">
        <v>7155</v>
      </c>
      <c r="AL3" s="1089" t="s">
        <v>7156</v>
      </c>
      <c r="AM3" s="1090" t="s">
        <v>7151</v>
      </c>
      <c r="AN3" s="1090" t="s">
        <v>7157</v>
      </c>
      <c r="AO3" s="1090" t="s">
        <v>7158</v>
      </c>
      <c r="AP3" s="1090" t="s">
        <v>7151</v>
      </c>
      <c r="AQ3" s="1091" t="s">
        <v>7159</v>
      </c>
      <c r="AR3" s="1090" t="s">
        <v>7160</v>
      </c>
      <c r="AS3" s="1090" t="s">
        <v>7161</v>
      </c>
      <c r="AT3" s="1090" t="s">
        <v>7162</v>
      </c>
      <c r="AU3" s="1090" t="s">
        <v>7163</v>
      </c>
      <c r="AX3" s="1090" t="s">
        <v>7164</v>
      </c>
      <c r="AY3" s="1090" t="s">
        <v>7165</v>
      </c>
      <c r="AZ3" s="1077"/>
      <c r="BF3" s="1092"/>
      <c r="BI3" s="1079" t="s">
        <v>7166</v>
      </c>
      <c r="BJ3" s="1079" t="s">
        <v>7167</v>
      </c>
      <c r="BL3" s="1093" t="s">
        <v>88</v>
      </c>
      <c r="BM3" s="1093" t="s">
        <v>7168</v>
      </c>
      <c r="BN3" s="1073"/>
      <c r="BR3" s="1094" t="s">
        <v>7158</v>
      </c>
      <c r="BS3" s="1094" t="s">
        <v>7169</v>
      </c>
      <c r="BU3" s="1094" t="s">
        <v>7151</v>
      </c>
      <c r="BV3" s="1094" t="s">
        <v>7158</v>
      </c>
      <c r="BX3" s="1077"/>
      <c r="CA3" s="1095" t="s">
        <v>7170</v>
      </c>
      <c r="CB3" s="1095" t="s">
        <v>7171</v>
      </c>
      <c r="CC3" s="1095" t="s">
        <v>7172</v>
      </c>
      <c r="CJ3" s="1095" t="s">
        <v>7173</v>
      </c>
      <c r="CK3" s="1095" t="s">
        <v>7174</v>
      </c>
    </row>
    <row r="4">
      <c r="A4" s="1096" t="s">
        <v>6460</v>
      </c>
      <c r="B4" s="1097" t="s">
        <v>7175</v>
      </c>
      <c r="C4" s="1098" t="s">
        <v>438</v>
      </c>
      <c r="D4" s="1099" t="s">
        <v>437</v>
      </c>
      <c r="E4" s="1100" t="s">
        <v>438</v>
      </c>
      <c r="F4" s="1101" t="s">
        <v>3370</v>
      </c>
      <c r="G4" s="1097" t="s">
        <v>5080</v>
      </c>
      <c r="H4" s="1102"/>
      <c r="I4" s="1103" t="s">
        <v>1261</v>
      </c>
      <c r="J4" s="1103"/>
      <c r="K4" s="1104" t="s">
        <v>7176</v>
      </c>
      <c r="L4" s="1103" t="s">
        <v>7177</v>
      </c>
      <c r="M4" s="1102"/>
      <c r="N4" s="1102"/>
      <c r="O4" s="1105" t="s">
        <v>7178</v>
      </c>
      <c r="P4" s="1106"/>
      <c r="Q4" s="1107" t="s">
        <v>7179</v>
      </c>
      <c r="R4" s="1108"/>
      <c r="S4" s="1108"/>
      <c r="T4" s="1109" t="s">
        <v>6669</v>
      </c>
      <c r="U4" s="1110"/>
      <c r="V4" s="1111" t="s">
        <v>7180</v>
      </c>
      <c r="W4" s="1106"/>
      <c r="X4" s="1112" t="s">
        <v>138</v>
      </c>
      <c r="Y4" s="1112" t="s">
        <v>7181</v>
      </c>
      <c r="Z4" s="1113" t="s">
        <v>4439</v>
      </c>
      <c r="AA4" s="1114" t="s">
        <v>5590</v>
      </c>
      <c r="AB4" s="1114" t="s">
        <v>791</v>
      </c>
      <c r="AC4" s="1115" t="s">
        <v>2803</v>
      </c>
      <c r="AD4" s="1115" t="s">
        <v>1214</v>
      </c>
      <c r="AE4" s="1114" t="s">
        <v>5605</v>
      </c>
      <c r="AF4" s="1116"/>
      <c r="AG4" s="1115" t="s">
        <v>7182</v>
      </c>
      <c r="AH4" s="1117"/>
      <c r="AI4" s="1106"/>
      <c r="AJ4" s="1118"/>
      <c r="AK4" s="1118" t="s">
        <v>4007</v>
      </c>
      <c r="AL4" s="1119"/>
      <c r="AM4" s="1118" t="s">
        <v>4581</v>
      </c>
      <c r="AN4" s="1118"/>
      <c r="AO4" s="1120" t="s">
        <v>2409</v>
      </c>
      <c r="AP4" s="1119"/>
      <c r="AQ4" s="1121" t="s">
        <v>7183</v>
      </c>
      <c r="AR4" s="1118" t="s">
        <v>7184</v>
      </c>
      <c r="AS4" s="1118" t="s">
        <v>7185</v>
      </c>
      <c r="AT4" s="1119"/>
      <c r="AU4" s="1119"/>
      <c r="AV4" s="1119"/>
      <c r="AW4" s="1122" t="s">
        <v>4254</v>
      </c>
      <c r="AX4" s="1123" t="s">
        <v>3725</v>
      </c>
      <c r="AY4" s="1118" t="s">
        <v>7186</v>
      </c>
      <c r="AZ4" s="1106"/>
      <c r="BA4" s="1124"/>
      <c r="BB4" s="1125" t="s">
        <v>7187</v>
      </c>
      <c r="BC4" s="1126" t="s">
        <v>7188</v>
      </c>
      <c r="BD4" s="1124"/>
      <c r="BE4" s="1127" t="s">
        <v>7189</v>
      </c>
      <c r="BF4" s="1106"/>
      <c r="BG4" s="1128" t="s">
        <v>7190</v>
      </c>
      <c r="BH4" s="1129" t="s">
        <v>3442</v>
      </c>
      <c r="BI4" s="1129"/>
      <c r="BJ4" s="1129"/>
      <c r="BK4" s="1130" t="s">
        <v>1973</v>
      </c>
      <c r="BL4" s="1131"/>
      <c r="BM4" s="1129" t="s">
        <v>7191</v>
      </c>
      <c r="BN4" s="1106"/>
      <c r="BO4" s="1132" t="s">
        <v>6314</v>
      </c>
      <c r="BP4" s="1133"/>
      <c r="BQ4" s="1133"/>
      <c r="BR4" s="1134" t="s">
        <v>7192</v>
      </c>
      <c r="BS4" s="1133"/>
      <c r="BT4" s="1135" t="s">
        <v>148</v>
      </c>
      <c r="BU4" s="1133"/>
      <c r="BV4" s="1136" t="s">
        <v>3793</v>
      </c>
      <c r="BW4" s="1135" t="s">
        <v>5975</v>
      </c>
      <c r="BX4" s="1106"/>
      <c r="BY4" s="1137" t="s">
        <v>2675</v>
      </c>
      <c r="BZ4" s="1138" t="s">
        <v>4191</v>
      </c>
      <c r="CA4" s="1139"/>
      <c r="CB4" s="1139"/>
      <c r="CC4" s="1139"/>
      <c r="CD4" s="1138" t="s">
        <v>1400</v>
      </c>
      <c r="CE4" s="1140" t="s">
        <v>4662</v>
      </c>
      <c r="CF4" s="1138" t="s">
        <v>7193</v>
      </c>
      <c r="CG4" s="1139"/>
      <c r="CH4" s="1139"/>
      <c r="CI4" s="1139"/>
      <c r="CJ4" s="1139"/>
      <c r="CK4" s="1139"/>
    </row>
    <row r="5">
      <c r="A5" s="1096" t="s">
        <v>7194</v>
      </c>
      <c r="B5" s="1097" t="s">
        <v>7195</v>
      </c>
      <c r="C5" s="1098" t="s">
        <v>2690</v>
      </c>
      <c r="D5" s="1099" t="s">
        <v>646</v>
      </c>
      <c r="E5" s="1100" t="s">
        <v>545</v>
      </c>
      <c r="F5" s="1101" t="s">
        <v>2925</v>
      </c>
      <c r="G5" s="1097" t="s">
        <v>2096</v>
      </c>
      <c r="H5" s="1104" t="s">
        <v>2964</v>
      </c>
      <c r="I5" s="1102"/>
      <c r="J5" s="1141" t="s">
        <v>1954</v>
      </c>
      <c r="K5" s="1142" t="s">
        <v>7196</v>
      </c>
      <c r="L5" s="1141" t="s">
        <v>7197</v>
      </c>
      <c r="M5" s="1143" t="s">
        <v>3283</v>
      </c>
      <c r="N5" s="1102"/>
      <c r="O5" s="1144" t="s">
        <v>7198</v>
      </c>
      <c r="P5" s="1145"/>
      <c r="Q5" s="1146" t="s">
        <v>7199</v>
      </c>
      <c r="R5" s="1111" t="s">
        <v>1649</v>
      </c>
      <c r="S5" s="1107" t="s">
        <v>5039</v>
      </c>
      <c r="T5" s="1107" t="s">
        <v>5593</v>
      </c>
      <c r="U5" s="1107"/>
      <c r="V5" s="1115" t="s">
        <v>7200</v>
      </c>
      <c r="W5" s="1145"/>
      <c r="X5" s="1111" t="s">
        <v>2402</v>
      </c>
      <c r="Y5" s="1115" t="s">
        <v>7201</v>
      </c>
      <c r="Z5" s="1115" t="s">
        <v>7202</v>
      </c>
      <c r="AA5" s="1113" t="s">
        <v>4986</v>
      </c>
      <c r="AB5" s="1113" t="s">
        <v>7203</v>
      </c>
      <c r="AC5" s="1112" t="s">
        <v>2684</v>
      </c>
      <c r="AD5" s="1147" t="s">
        <v>4237</v>
      </c>
      <c r="AE5" s="1147" t="s">
        <v>2517</v>
      </c>
      <c r="AF5" s="1116"/>
      <c r="AG5" s="1113" t="s">
        <v>7204</v>
      </c>
      <c r="AH5" s="1117"/>
      <c r="AI5" s="1148"/>
      <c r="AJ5" s="1118"/>
      <c r="AK5" s="1119"/>
      <c r="AL5" s="1119"/>
      <c r="AM5" s="1149" t="s">
        <v>1206</v>
      </c>
      <c r="AN5" s="1118"/>
      <c r="AO5" s="1119"/>
      <c r="AP5" s="1120" t="s">
        <v>835</v>
      </c>
      <c r="AQ5" s="1118" t="s">
        <v>7205</v>
      </c>
      <c r="AR5" s="1119"/>
      <c r="AS5" s="1119"/>
      <c r="AT5" s="1150"/>
      <c r="AU5" s="1119"/>
      <c r="AV5" s="1119"/>
      <c r="AW5" s="1123" t="s">
        <v>4668</v>
      </c>
      <c r="AX5" s="1120" t="s">
        <v>1674</v>
      </c>
      <c r="AY5" s="1120" t="s">
        <v>2159</v>
      </c>
      <c r="AZ5" s="1106"/>
      <c r="BA5" s="1120" t="s">
        <v>7206</v>
      </c>
      <c r="BB5" s="1126" t="s">
        <v>7207</v>
      </c>
      <c r="BC5" s="1151" t="s">
        <v>291</v>
      </c>
      <c r="BD5" s="1125" t="s">
        <v>4242</v>
      </c>
      <c r="BE5" s="1152" t="s">
        <v>7208</v>
      </c>
      <c r="BF5" s="1106"/>
      <c r="BG5" s="1128" t="s">
        <v>7209</v>
      </c>
      <c r="BH5" s="1128" t="s">
        <v>694</v>
      </c>
      <c r="BI5" s="1153" t="s">
        <v>7210</v>
      </c>
      <c r="BJ5" s="1153" t="s">
        <v>7211</v>
      </c>
      <c r="BK5" s="1154" t="s">
        <v>7212</v>
      </c>
      <c r="BL5" s="1131"/>
      <c r="BM5" s="1155" t="s">
        <v>7213</v>
      </c>
      <c r="BN5" s="1148"/>
      <c r="BO5" s="1135" t="s">
        <v>5981</v>
      </c>
      <c r="BP5" s="1156"/>
      <c r="BQ5" s="1133"/>
      <c r="BR5" s="1134" t="s">
        <v>2680</v>
      </c>
      <c r="BS5" s="1133"/>
      <c r="BT5" s="1157"/>
      <c r="BU5" s="1136" t="s">
        <v>6238</v>
      </c>
      <c r="BV5" s="1134"/>
      <c r="BW5" s="1135" t="s">
        <v>7214</v>
      </c>
      <c r="BX5" s="1145"/>
      <c r="BY5" s="1158" t="s">
        <v>3379</v>
      </c>
      <c r="BZ5" s="1159" t="s">
        <v>7215</v>
      </c>
      <c r="CA5" s="1160" t="s">
        <v>7216</v>
      </c>
      <c r="CB5" s="1161"/>
      <c r="CC5" s="1162"/>
      <c r="CD5" s="1160" t="s">
        <v>7217</v>
      </c>
      <c r="CE5" s="1163" t="s">
        <v>7218</v>
      </c>
      <c r="CF5" s="1160" t="s">
        <v>1595</v>
      </c>
      <c r="CG5" s="1164" t="s">
        <v>5074</v>
      </c>
      <c r="CH5" s="1137" t="s">
        <v>7219</v>
      </c>
      <c r="CI5" s="1139"/>
      <c r="CJ5" s="1160" t="s">
        <v>2169</v>
      </c>
      <c r="CK5" s="1160" t="s">
        <v>3806</v>
      </c>
    </row>
    <row r="6">
      <c r="A6" s="1165" t="s">
        <v>434</v>
      </c>
      <c r="B6" s="1097" t="s">
        <v>7220</v>
      </c>
      <c r="C6" s="1098" t="s">
        <v>436</v>
      </c>
      <c r="D6" s="1099" t="s">
        <v>914</v>
      </c>
      <c r="E6" s="1100" t="s">
        <v>646</v>
      </c>
      <c r="F6" s="1101" t="s">
        <v>3985</v>
      </c>
      <c r="G6" s="1097" t="s">
        <v>1502</v>
      </c>
      <c r="H6" s="1166" t="s">
        <v>1608</v>
      </c>
      <c r="I6" s="1141" t="s">
        <v>2945</v>
      </c>
      <c r="J6" s="1105" t="s">
        <v>7221</v>
      </c>
      <c r="K6" s="1167" t="s">
        <v>5796</v>
      </c>
      <c r="L6" s="1166" t="s">
        <v>5444</v>
      </c>
      <c r="M6" s="1102"/>
      <c r="N6" s="1102"/>
      <c r="O6" s="1104" t="s">
        <v>7222</v>
      </c>
      <c r="P6" s="1145"/>
      <c r="Q6" s="1168" t="s">
        <v>7223</v>
      </c>
      <c r="R6" s="1168" t="s">
        <v>2676</v>
      </c>
      <c r="S6" s="1108"/>
      <c r="T6" s="1146" t="s">
        <v>230</v>
      </c>
      <c r="U6" s="1169"/>
      <c r="V6" s="1109" t="s">
        <v>7224</v>
      </c>
      <c r="W6" s="1145"/>
      <c r="X6" s="1147" t="s">
        <v>3199</v>
      </c>
      <c r="Y6" s="1147" t="s">
        <v>7225</v>
      </c>
      <c r="Z6" s="1147" t="s">
        <v>2550</v>
      </c>
      <c r="AA6" s="1170" t="s">
        <v>7226</v>
      </c>
      <c r="AB6" s="1112" t="s">
        <v>119</v>
      </c>
      <c r="AC6" s="1170" t="s">
        <v>1319</v>
      </c>
      <c r="AD6" s="1115" t="s">
        <v>1214</v>
      </c>
      <c r="AE6" s="1115" t="s">
        <v>6564</v>
      </c>
      <c r="AF6" s="1171"/>
      <c r="AG6" s="1172" t="s">
        <v>7227</v>
      </c>
      <c r="AH6" s="1117"/>
      <c r="AI6" s="1148"/>
      <c r="AJ6" s="1118"/>
      <c r="AK6" s="1118" t="s">
        <v>7228</v>
      </c>
      <c r="AL6" s="1119"/>
      <c r="AM6" s="1150" t="s">
        <v>3168</v>
      </c>
      <c r="AN6" s="1149" t="s">
        <v>3449</v>
      </c>
      <c r="AO6" s="1118" t="s">
        <v>7229</v>
      </c>
      <c r="AP6" s="1150" t="s">
        <v>2457</v>
      </c>
      <c r="AQ6" s="1173" t="s">
        <v>7230</v>
      </c>
      <c r="AR6" s="1118" t="s">
        <v>7231</v>
      </c>
      <c r="AS6" s="1119"/>
      <c r="AT6" s="1120" t="s">
        <v>4830</v>
      </c>
      <c r="AU6" s="1119"/>
      <c r="AV6" s="1119"/>
      <c r="AW6" s="1123" t="s">
        <v>4988</v>
      </c>
      <c r="AX6" s="1149" t="s">
        <v>1303</v>
      </c>
      <c r="AY6" s="1119"/>
      <c r="AZ6" s="1106"/>
      <c r="BA6" s="1174"/>
      <c r="BB6" s="1127" t="s">
        <v>7232</v>
      </c>
      <c r="BC6" s="1127" t="s">
        <v>6625</v>
      </c>
      <c r="BD6" s="1174"/>
      <c r="BE6" s="1175" t="s">
        <v>7233</v>
      </c>
      <c r="BF6" s="1106"/>
      <c r="BG6" s="1176" t="s">
        <v>3293</v>
      </c>
      <c r="BH6" s="1128" t="s">
        <v>1305</v>
      </c>
      <c r="BI6" s="1177" t="s">
        <v>5831</v>
      </c>
      <c r="BJ6" s="1178"/>
      <c r="BK6" s="1128" t="s">
        <v>7234</v>
      </c>
      <c r="BL6" s="1131"/>
      <c r="BM6" s="1129" t="s">
        <v>7235</v>
      </c>
      <c r="BN6" s="1145"/>
      <c r="BO6" s="1179" t="s">
        <v>4094</v>
      </c>
      <c r="BP6" s="1134"/>
      <c r="BQ6" s="1180" t="s">
        <v>1767</v>
      </c>
      <c r="BR6" s="1134" t="s">
        <v>7236</v>
      </c>
      <c r="BS6" s="1133"/>
      <c r="BT6" s="1180" t="s">
        <v>2032</v>
      </c>
      <c r="BU6" s="1133"/>
      <c r="BV6" s="1134" t="s">
        <v>5752</v>
      </c>
      <c r="BW6" s="1134" t="s">
        <v>2124</v>
      </c>
      <c r="BX6" s="1145"/>
      <c r="BY6" s="1164" t="s">
        <v>299</v>
      </c>
      <c r="BZ6" s="1138" t="s">
        <v>3444</v>
      </c>
      <c r="CA6" s="1161"/>
      <c r="CB6" s="1161"/>
      <c r="CC6" s="1161"/>
      <c r="CD6" s="1139"/>
      <c r="CE6" s="1139"/>
      <c r="CF6" s="1139"/>
      <c r="CG6" s="1139"/>
      <c r="CH6" s="1139"/>
      <c r="CI6" s="1139"/>
      <c r="CJ6" s="1161"/>
      <c r="CK6" s="1161"/>
    </row>
    <row r="7">
      <c r="A7" s="1181" t="s">
        <v>1555</v>
      </c>
      <c r="B7" s="1097" t="s">
        <v>7237</v>
      </c>
      <c r="C7" s="1098" t="s">
        <v>438</v>
      </c>
      <c r="D7" s="1099" t="s">
        <v>914</v>
      </c>
      <c r="E7" s="1100" t="s">
        <v>437</v>
      </c>
      <c r="F7" s="1101" t="s">
        <v>2759</v>
      </c>
      <c r="G7" s="1097" t="s">
        <v>5708</v>
      </c>
      <c r="H7" s="1166" t="s">
        <v>1295</v>
      </c>
      <c r="I7" s="1143" t="s">
        <v>7238</v>
      </c>
      <c r="J7" s="1102"/>
      <c r="K7" s="1103" t="s">
        <v>7239</v>
      </c>
      <c r="L7" s="1143" t="s">
        <v>7240</v>
      </c>
      <c r="M7" s="1102"/>
      <c r="N7" s="1104" t="s">
        <v>7241</v>
      </c>
      <c r="O7" s="1102"/>
      <c r="P7" s="1145"/>
      <c r="Q7" s="1107" t="s">
        <v>4146</v>
      </c>
      <c r="R7" s="1146" t="s">
        <v>3112</v>
      </c>
      <c r="S7" s="1169" t="s">
        <v>5779</v>
      </c>
      <c r="T7" s="1182" t="s">
        <v>5305</v>
      </c>
      <c r="U7" s="1182" t="s">
        <v>7242</v>
      </c>
      <c r="V7" s="1168" t="s">
        <v>7243</v>
      </c>
      <c r="W7" s="1145"/>
      <c r="X7" s="1170" t="s">
        <v>839</v>
      </c>
      <c r="Y7" s="1170" t="s">
        <v>7244</v>
      </c>
      <c r="Z7" s="1147" t="s">
        <v>6689</v>
      </c>
      <c r="AA7" s="1183" t="s">
        <v>4886</v>
      </c>
      <c r="AB7" s="1112" t="s">
        <v>4910</v>
      </c>
      <c r="AC7" s="1112" t="s">
        <v>5084</v>
      </c>
      <c r="AD7" s="1170" t="s">
        <v>4915</v>
      </c>
      <c r="AE7" s="1112" t="s">
        <v>6531</v>
      </c>
      <c r="AF7" s="1112"/>
      <c r="AG7" s="1184"/>
      <c r="AH7" s="1185" t="s">
        <v>7245</v>
      </c>
      <c r="AI7" s="1145"/>
      <c r="AJ7" s="1118"/>
      <c r="AK7" s="1118" t="s">
        <v>7246</v>
      </c>
      <c r="AL7" s="1118" t="s">
        <v>5486</v>
      </c>
      <c r="AM7" s="1118" t="s">
        <v>560</v>
      </c>
      <c r="AN7" s="1123" t="s">
        <v>7247</v>
      </c>
      <c r="AO7" s="1119"/>
      <c r="AP7" s="1123" t="s">
        <v>7248</v>
      </c>
      <c r="AQ7" s="1186" t="s">
        <v>5034</v>
      </c>
      <c r="AR7" s="1118" t="s">
        <v>7249</v>
      </c>
      <c r="AS7" s="1149" t="s">
        <v>7250</v>
      </c>
      <c r="AT7" s="1150"/>
      <c r="AU7" s="1118" t="s">
        <v>7251</v>
      </c>
      <c r="AV7" s="1119"/>
      <c r="AW7" s="1118" t="s">
        <v>472</v>
      </c>
      <c r="AX7" s="1123" t="s">
        <v>7252</v>
      </c>
      <c r="AY7" s="1149" t="s">
        <v>1931</v>
      </c>
      <c r="AZ7" s="1106"/>
      <c r="BA7" s="1152" t="s">
        <v>7253</v>
      </c>
      <c r="BB7" s="1126" t="s">
        <v>7254</v>
      </c>
      <c r="BC7" s="1187" t="s">
        <v>3460</v>
      </c>
      <c r="BD7" s="1174"/>
      <c r="BE7" s="1175" t="s">
        <v>7255</v>
      </c>
      <c r="BF7" s="1106"/>
      <c r="BG7" s="1176" t="s">
        <v>3293</v>
      </c>
      <c r="BH7" s="1128" t="s">
        <v>7256</v>
      </c>
      <c r="BI7" s="1129" t="s">
        <v>770</v>
      </c>
      <c r="BJ7" s="1188"/>
      <c r="BK7" s="1128" t="s">
        <v>7257</v>
      </c>
      <c r="BL7" s="1130" t="s">
        <v>7258</v>
      </c>
      <c r="BM7" s="1189" t="s">
        <v>7259</v>
      </c>
      <c r="BN7" s="1145"/>
      <c r="BO7" s="1134" t="s">
        <v>7260</v>
      </c>
      <c r="BP7" s="1156"/>
      <c r="BQ7" s="1134" t="s">
        <v>6899</v>
      </c>
      <c r="BR7" s="1190" t="s">
        <v>7261</v>
      </c>
      <c r="BS7" s="1136" t="s">
        <v>7262</v>
      </c>
      <c r="BT7" s="1134" t="s">
        <v>6707</v>
      </c>
      <c r="BU7" s="1190" t="s">
        <v>7253</v>
      </c>
      <c r="BV7" s="1135" t="s">
        <v>7263</v>
      </c>
      <c r="BW7" s="1180" t="s">
        <v>7264</v>
      </c>
      <c r="BX7" s="1145"/>
      <c r="BY7" s="1138" t="s">
        <v>7265</v>
      </c>
      <c r="BZ7" s="1138" t="s">
        <v>2605</v>
      </c>
      <c r="CA7" s="1161"/>
      <c r="CB7" s="1191" t="s">
        <v>2426</v>
      </c>
      <c r="CC7" s="1191"/>
      <c r="CD7" s="1138" t="s">
        <v>2776</v>
      </c>
      <c r="CE7" s="1192" t="s">
        <v>7266</v>
      </c>
      <c r="CF7" s="1192" t="s">
        <v>7267</v>
      </c>
      <c r="CG7" s="1158" t="s">
        <v>7268</v>
      </c>
      <c r="CH7" s="1160" t="s">
        <v>7269</v>
      </c>
      <c r="CI7" s="1160" t="s">
        <v>3546</v>
      </c>
      <c r="CJ7" s="1158" t="s">
        <v>4996</v>
      </c>
      <c r="CK7" s="1161"/>
    </row>
    <row r="8">
      <c r="A8" s="1193" t="s">
        <v>7270</v>
      </c>
      <c r="B8" s="1194" t="s">
        <v>7271</v>
      </c>
      <c r="C8" s="1098" t="s">
        <v>438</v>
      </c>
      <c r="D8" s="1099" t="s">
        <v>646</v>
      </c>
      <c r="E8" s="1100" t="s">
        <v>1200</v>
      </c>
      <c r="F8" s="1101" t="s">
        <v>7272</v>
      </c>
      <c r="G8" s="1097" t="s">
        <v>3803</v>
      </c>
      <c r="H8" s="1195" t="s">
        <v>6976</v>
      </c>
      <c r="I8" s="1166" t="s">
        <v>7273</v>
      </c>
      <c r="J8" s="1195" t="s">
        <v>3660</v>
      </c>
      <c r="K8" s="1166" t="s">
        <v>7274</v>
      </c>
      <c r="L8" s="1196" t="s">
        <v>1954</v>
      </c>
      <c r="M8" s="1141" t="s">
        <v>7275</v>
      </c>
      <c r="N8" s="1166" t="s">
        <v>7276</v>
      </c>
      <c r="O8" s="1166" t="s">
        <v>7277</v>
      </c>
      <c r="P8" s="1145"/>
      <c r="Q8" s="1111" t="s">
        <v>7278</v>
      </c>
      <c r="R8" s="1111" t="s">
        <v>2068</v>
      </c>
      <c r="S8" s="1109" t="s">
        <v>727</v>
      </c>
      <c r="T8" s="1111" t="s">
        <v>5134</v>
      </c>
      <c r="U8" s="1168" t="s">
        <v>7279</v>
      </c>
      <c r="V8" s="1109" t="s">
        <v>7280</v>
      </c>
      <c r="W8" s="1145"/>
      <c r="X8" s="1114" t="s">
        <v>919</v>
      </c>
      <c r="Y8" s="1113" t="s">
        <v>7281</v>
      </c>
      <c r="Z8" s="1147" t="s">
        <v>2067</v>
      </c>
      <c r="AA8" s="1147" t="s">
        <v>7282</v>
      </c>
      <c r="AB8" s="1183" t="s">
        <v>4303</v>
      </c>
      <c r="AC8" s="1147" t="s">
        <v>5660</v>
      </c>
      <c r="AD8" s="1147" t="s">
        <v>128</v>
      </c>
      <c r="AE8" s="1147" t="s">
        <v>7283</v>
      </c>
      <c r="AF8" s="1116"/>
      <c r="AG8" s="1172" t="s">
        <v>7284</v>
      </c>
      <c r="AH8" s="1197" t="s">
        <v>7285</v>
      </c>
      <c r="AI8" s="1145"/>
      <c r="AJ8" s="1198"/>
      <c r="AK8" s="1149" t="s">
        <v>100</v>
      </c>
      <c r="AL8" s="1173" t="s">
        <v>7286</v>
      </c>
      <c r="AM8" s="1123" t="s">
        <v>2183</v>
      </c>
      <c r="AN8" s="1118" t="s">
        <v>4619</v>
      </c>
      <c r="AO8" s="1118" t="s">
        <v>7287</v>
      </c>
      <c r="AP8" s="1123" t="s">
        <v>7288</v>
      </c>
      <c r="AQ8" s="1118" t="s">
        <v>7289</v>
      </c>
      <c r="AR8" s="1149" t="s">
        <v>7290</v>
      </c>
      <c r="AS8" s="1123" t="s">
        <v>3160</v>
      </c>
      <c r="AT8" s="1173" t="s">
        <v>7291</v>
      </c>
      <c r="AU8" s="1120" t="s">
        <v>7292</v>
      </c>
      <c r="AV8" s="1173" t="s">
        <v>7293</v>
      </c>
      <c r="AW8" s="1123" t="s">
        <v>2825</v>
      </c>
      <c r="AX8" s="1173" t="s">
        <v>2235</v>
      </c>
      <c r="AY8" s="1173" t="s">
        <v>7294</v>
      </c>
      <c r="AZ8" s="1106"/>
      <c r="BA8" s="1127" t="s">
        <v>7295</v>
      </c>
      <c r="BB8" s="1175" t="s">
        <v>7296</v>
      </c>
      <c r="BC8" s="1199" t="s">
        <v>3212</v>
      </c>
      <c r="BD8" s="1200"/>
      <c r="BE8" s="1126" t="s">
        <v>7297</v>
      </c>
      <c r="BF8" s="1106"/>
      <c r="BG8" s="1153" t="s">
        <v>7298</v>
      </c>
      <c r="BH8" s="1201" t="s">
        <v>3461</v>
      </c>
      <c r="BI8" s="1128" t="s">
        <v>609</v>
      </c>
      <c r="BJ8" s="1129" t="s">
        <v>7299</v>
      </c>
      <c r="BK8" s="1128" t="s">
        <v>7300</v>
      </c>
      <c r="BL8" s="1128" t="s">
        <v>7301</v>
      </c>
      <c r="BM8" s="1128" t="s">
        <v>7302</v>
      </c>
      <c r="BN8" s="1145"/>
      <c r="BO8" s="1135" t="s">
        <v>2457</v>
      </c>
      <c r="BP8" s="1136" t="s">
        <v>5653</v>
      </c>
      <c r="BQ8" s="1135" t="s">
        <v>6011</v>
      </c>
      <c r="BR8" s="1135" t="s">
        <v>3969</v>
      </c>
      <c r="BS8" s="1135" t="s">
        <v>815</v>
      </c>
      <c r="BT8" s="1135" t="s">
        <v>1373</v>
      </c>
      <c r="BU8" s="1180" t="s">
        <v>3969</v>
      </c>
      <c r="BV8" s="1179" t="s">
        <v>7303</v>
      </c>
      <c r="BW8" s="1135" t="s">
        <v>7304</v>
      </c>
      <c r="BX8" s="1145"/>
      <c r="BY8" s="1164" t="s">
        <v>7305</v>
      </c>
      <c r="BZ8" s="1158" t="s">
        <v>5164</v>
      </c>
      <c r="CA8" s="1192" t="s">
        <v>105</v>
      </c>
      <c r="CB8" s="1158" t="s">
        <v>3496</v>
      </c>
      <c r="CC8" s="1158"/>
      <c r="CD8" s="1202"/>
      <c r="CE8" s="1164" t="s">
        <v>2684</v>
      </c>
      <c r="CF8" s="1164" t="s">
        <v>6932</v>
      </c>
      <c r="CG8" s="1164" t="s">
        <v>7306</v>
      </c>
      <c r="CH8" s="1164" t="s">
        <v>2198</v>
      </c>
      <c r="CI8" s="1192" t="s">
        <v>7307</v>
      </c>
      <c r="CJ8" s="1192" t="s">
        <v>3148</v>
      </c>
      <c r="CK8" s="1158"/>
    </row>
    <row r="9">
      <c r="A9" s="1165" t="s">
        <v>1417</v>
      </c>
      <c r="B9" s="1097" t="s">
        <v>7308</v>
      </c>
      <c r="C9" s="1098" t="s">
        <v>436</v>
      </c>
      <c r="D9" s="1099" t="s">
        <v>330</v>
      </c>
      <c r="E9" s="1100" t="s">
        <v>437</v>
      </c>
      <c r="F9" s="1101" t="s">
        <v>217</v>
      </c>
      <c r="G9" s="1097" t="s">
        <v>1724</v>
      </c>
      <c r="H9" s="1102"/>
      <c r="I9" s="1166" t="s">
        <v>7309</v>
      </c>
      <c r="J9" s="1167"/>
      <c r="K9" s="1141" t="s">
        <v>7310</v>
      </c>
      <c r="L9" s="1195" t="s">
        <v>2958</v>
      </c>
      <c r="M9" s="1102"/>
      <c r="N9" s="1102"/>
      <c r="O9" s="1143" t="s">
        <v>7311</v>
      </c>
      <c r="P9" s="1145"/>
      <c r="Q9" s="1111" t="s">
        <v>6764</v>
      </c>
      <c r="R9" s="1108"/>
      <c r="S9" s="1108"/>
      <c r="T9" s="1203" t="s">
        <v>5715</v>
      </c>
      <c r="U9" s="1107"/>
      <c r="V9" s="1182" t="s">
        <v>7312</v>
      </c>
      <c r="W9" s="1145"/>
      <c r="X9" s="1147" t="s">
        <v>589</v>
      </c>
      <c r="Y9" s="1204" t="s">
        <v>6684</v>
      </c>
      <c r="Z9" s="1170" t="s">
        <v>2893</v>
      </c>
      <c r="AA9" s="1170" t="s">
        <v>5477</v>
      </c>
      <c r="AB9" s="1147" t="s">
        <v>2343</v>
      </c>
      <c r="AC9" s="1170" t="s">
        <v>7313</v>
      </c>
      <c r="AD9" s="1205" t="s">
        <v>2440</v>
      </c>
      <c r="AE9" s="1147" t="s">
        <v>1092</v>
      </c>
      <c r="AF9" s="1171"/>
      <c r="AG9" s="1114" t="s">
        <v>7314</v>
      </c>
      <c r="AH9" s="1206" t="s">
        <v>7315</v>
      </c>
      <c r="AI9" s="1148"/>
      <c r="AJ9" s="1119"/>
      <c r="AK9" s="1150" t="s">
        <v>7316</v>
      </c>
      <c r="AL9" s="1149" t="s">
        <v>5856</v>
      </c>
      <c r="AM9" s="1123" t="s">
        <v>657</v>
      </c>
      <c r="AN9" s="1207"/>
      <c r="AO9" s="1123" t="s">
        <v>5680</v>
      </c>
      <c r="AP9" s="1150" t="s">
        <v>7317</v>
      </c>
      <c r="AQ9" s="1208" t="s">
        <v>5728</v>
      </c>
      <c r="AR9" s="1119"/>
      <c r="AS9" s="1119"/>
      <c r="AT9" s="1150"/>
      <c r="AU9" s="1119"/>
      <c r="AV9" s="1150" t="s">
        <v>7318</v>
      </c>
      <c r="AW9" s="1150" t="s">
        <v>891</v>
      </c>
      <c r="AX9" s="1186" t="s">
        <v>7319</v>
      </c>
      <c r="AY9" s="1186" t="s">
        <v>7320</v>
      </c>
      <c r="AZ9" s="1106"/>
      <c r="BA9" s="1209"/>
      <c r="BB9" s="1210" t="s">
        <v>7321</v>
      </c>
      <c r="BC9" s="1126" t="s">
        <v>5378</v>
      </c>
      <c r="BD9" s="1174"/>
      <c r="BE9" s="1126" t="s">
        <v>7322</v>
      </c>
      <c r="BF9" s="1106"/>
      <c r="BG9" s="1128" t="s">
        <v>7323</v>
      </c>
      <c r="BH9" s="1211" t="s">
        <v>4691</v>
      </c>
      <c r="BI9" s="1131"/>
      <c r="BJ9" s="1188"/>
      <c r="BK9" s="1131"/>
      <c r="BL9" s="1131"/>
      <c r="BM9" s="1212" t="s">
        <v>7324</v>
      </c>
      <c r="BN9" s="1148"/>
      <c r="BO9" s="1135" t="s">
        <v>7325</v>
      </c>
      <c r="BP9" s="1156"/>
      <c r="BQ9" s="1133"/>
      <c r="BR9" s="1136" t="s">
        <v>7326</v>
      </c>
      <c r="BS9" s="1133"/>
      <c r="BT9" s="1156" t="s">
        <v>293</v>
      </c>
      <c r="BU9" s="1133"/>
      <c r="BV9" s="1156" t="s">
        <v>7327</v>
      </c>
      <c r="BW9" s="1135" t="s">
        <v>7328</v>
      </c>
      <c r="BX9" s="1148"/>
      <c r="BY9" s="1213"/>
      <c r="BZ9" s="1192" t="s">
        <v>724</v>
      </c>
      <c r="CA9" s="1161"/>
      <c r="CB9" s="1161"/>
      <c r="CC9" s="1161"/>
      <c r="CD9" s="1158" t="s">
        <v>4375</v>
      </c>
      <c r="CE9" s="1139"/>
      <c r="CF9" s="1158" t="s">
        <v>7329</v>
      </c>
      <c r="CG9" s="1191" t="s">
        <v>2593</v>
      </c>
      <c r="CH9" s="1139"/>
      <c r="CI9" s="1139"/>
      <c r="CJ9" s="1161"/>
      <c r="CK9" s="1161"/>
    </row>
    <row r="10">
      <c r="A10" s="1214" t="s">
        <v>911</v>
      </c>
      <c r="B10" s="1097" t="s">
        <v>7330</v>
      </c>
      <c r="C10" s="1098" t="s">
        <v>913</v>
      </c>
      <c r="D10" s="1099" t="s">
        <v>437</v>
      </c>
      <c r="E10" s="1100" t="s">
        <v>330</v>
      </c>
      <c r="F10" s="1101" t="s">
        <v>6064</v>
      </c>
      <c r="G10" s="1097" t="s">
        <v>2962</v>
      </c>
      <c r="H10" s="1102"/>
      <c r="I10" s="1195" t="s">
        <v>7331</v>
      </c>
      <c r="J10" s="1103" t="s">
        <v>7332</v>
      </c>
      <c r="K10" s="1103"/>
      <c r="L10" s="1104" t="s">
        <v>7333</v>
      </c>
      <c r="M10" s="1102"/>
      <c r="N10" s="1141" t="s">
        <v>7334</v>
      </c>
      <c r="O10" s="1102"/>
      <c r="P10" s="1145"/>
      <c r="Q10" s="1215" t="s">
        <v>7335</v>
      </c>
      <c r="R10" s="1215" t="s">
        <v>2112</v>
      </c>
      <c r="S10" s="1108"/>
      <c r="T10" s="1108"/>
      <c r="U10" s="1146" t="s">
        <v>7336</v>
      </c>
      <c r="V10" s="1109" t="s">
        <v>7337</v>
      </c>
      <c r="W10" s="1145"/>
      <c r="X10" s="1113" t="s">
        <v>7338</v>
      </c>
      <c r="Y10" s="1112"/>
      <c r="Z10" s="1112" t="s">
        <v>7339</v>
      </c>
      <c r="AA10" s="1216" t="s">
        <v>7340</v>
      </c>
      <c r="AB10" s="1112"/>
      <c r="AC10" s="1112" t="s">
        <v>7341</v>
      </c>
      <c r="AD10" s="1115" t="s">
        <v>1214</v>
      </c>
      <c r="AE10" s="1184"/>
      <c r="AF10" s="1184"/>
      <c r="AG10" s="1112" t="s">
        <v>7342</v>
      </c>
      <c r="AH10" s="1117"/>
      <c r="AI10" s="1145"/>
      <c r="AJ10" s="1119"/>
      <c r="AK10" s="1119"/>
      <c r="AL10" s="1119"/>
      <c r="AM10" s="1120" t="s">
        <v>6127</v>
      </c>
      <c r="AN10" s="1119"/>
      <c r="AO10" s="1149" t="s">
        <v>1987</v>
      </c>
      <c r="AP10" s="1173" t="s">
        <v>7343</v>
      </c>
      <c r="AQ10" s="1120" t="s">
        <v>7344</v>
      </c>
      <c r="AR10" s="1119"/>
      <c r="AS10" s="1119"/>
      <c r="AT10" s="1150"/>
      <c r="AU10" s="1119"/>
      <c r="AV10" s="1119"/>
      <c r="AW10" s="1120" t="s">
        <v>3136</v>
      </c>
      <c r="AX10" s="1119"/>
      <c r="AY10" s="1119"/>
      <c r="AZ10" s="1106"/>
      <c r="BA10" s="1209"/>
      <c r="BB10" s="1209"/>
      <c r="BC10" s="1125" t="s">
        <v>6514</v>
      </c>
      <c r="BD10" s="1174"/>
      <c r="BE10" s="1175" t="s">
        <v>7345</v>
      </c>
      <c r="BF10" s="1106"/>
      <c r="BG10" s="1154" t="s">
        <v>7346</v>
      </c>
      <c r="BH10" s="1154" t="s">
        <v>7068</v>
      </c>
      <c r="BI10" s="1130" t="s">
        <v>323</v>
      </c>
      <c r="BJ10" s="1188"/>
      <c r="BK10" s="1131"/>
      <c r="BL10" s="1131"/>
      <c r="BM10" s="1129" t="s">
        <v>7347</v>
      </c>
      <c r="BN10" s="1145"/>
      <c r="BO10" s="1136" t="s">
        <v>7348</v>
      </c>
      <c r="BP10" s="1156"/>
      <c r="BQ10" s="1134" t="s">
        <v>7349</v>
      </c>
      <c r="BR10" s="1133"/>
      <c r="BS10" s="1133"/>
      <c r="BT10" s="1179" t="s">
        <v>958</v>
      </c>
      <c r="BU10" s="1133"/>
      <c r="BV10" s="1134" t="s">
        <v>3992</v>
      </c>
      <c r="BW10" s="1134" t="s">
        <v>7350</v>
      </c>
      <c r="BX10" s="1145"/>
      <c r="BY10" s="1138" t="s">
        <v>895</v>
      </c>
      <c r="BZ10" s="1160" t="s">
        <v>7351</v>
      </c>
      <c r="CA10" s="1161"/>
      <c r="CB10" s="1161"/>
      <c r="CC10" s="1161"/>
      <c r="CD10" s="1139"/>
      <c r="CE10" s="1139"/>
      <c r="CF10" s="1139"/>
      <c r="CG10" s="1139"/>
      <c r="CH10" s="1139"/>
      <c r="CI10" s="1139"/>
      <c r="CJ10" s="1161"/>
      <c r="CK10" s="1161"/>
    </row>
    <row r="11">
      <c r="A11" s="1165" t="s">
        <v>328</v>
      </c>
      <c r="B11" s="1097" t="s">
        <v>7352</v>
      </c>
      <c r="C11" s="1098" t="s">
        <v>438</v>
      </c>
      <c r="D11" s="1099" t="s">
        <v>646</v>
      </c>
      <c r="E11" s="1100" t="s">
        <v>332</v>
      </c>
      <c r="F11" s="1101" t="s">
        <v>3858</v>
      </c>
      <c r="G11" s="1097" t="s">
        <v>1502</v>
      </c>
      <c r="H11" s="1217" t="s">
        <v>2751</v>
      </c>
      <c r="I11" s="1104" t="s">
        <v>7353</v>
      </c>
      <c r="J11" s="1104" t="s">
        <v>7354</v>
      </c>
      <c r="K11" s="1195" t="s">
        <v>713</v>
      </c>
      <c r="L11" s="1218" t="s">
        <v>7355</v>
      </c>
      <c r="M11" s="1102"/>
      <c r="N11" s="1102"/>
      <c r="O11" s="1143" t="s">
        <v>7356</v>
      </c>
      <c r="P11" s="1145"/>
      <c r="Q11" s="1111" t="s">
        <v>7357</v>
      </c>
      <c r="R11" s="1108"/>
      <c r="S11" s="1108"/>
      <c r="T11" s="1168" t="s">
        <v>5268</v>
      </c>
      <c r="U11" s="1107"/>
      <c r="V11" s="1182" t="s">
        <v>7358</v>
      </c>
      <c r="W11" s="1145"/>
      <c r="X11" s="1184"/>
      <c r="Y11" s="1170" t="s">
        <v>7359</v>
      </c>
      <c r="Z11" s="1204" t="s">
        <v>7355</v>
      </c>
      <c r="AA11" s="1204" t="s">
        <v>7360</v>
      </c>
      <c r="AB11" s="1115" t="s">
        <v>3422</v>
      </c>
      <c r="AC11" s="1170" t="s">
        <v>2720</v>
      </c>
      <c r="AD11" s="1147" t="s">
        <v>2418</v>
      </c>
      <c r="AE11" s="1113" t="s">
        <v>1248</v>
      </c>
      <c r="AF11" s="1171"/>
      <c r="AG11" s="1204" t="s">
        <v>7361</v>
      </c>
      <c r="AH11" s="1117"/>
      <c r="AI11" s="1145"/>
      <c r="AJ11" s="1219"/>
      <c r="AK11" s="1123" t="s">
        <v>7362</v>
      </c>
      <c r="AL11" s="1119"/>
      <c r="AM11" s="1220"/>
      <c r="AN11" s="1220" t="s">
        <v>7363</v>
      </c>
      <c r="AO11" s="1221" t="s">
        <v>4771</v>
      </c>
      <c r="AP11" s="1222" t="s">
        <v>7364</v>
      </c>
      <c r="AQ11" s="1222" t="s">
        <v>7365</v>
      </c>
      <c r="AR11" s="1223"/>
      <c r="AS11" s="1120" t="s">
        <v>7185</v>
      </c>
      <c r="AT11" s="1224"/>
      <c r="AU11" s="1207"/>
      <c r="AV11" s="1120" t="s">
        <v>7366</v>
      </c>
      <c r="AW11" s="1149" t="s">
        <v>7367</v>
      </c>
      <c r="AX11" s="1186" t="s">
        <v>7368</v>
      </c>
      <c r="AY11" s="1186" t="s">
        <v>7369</v>
      </c>
      <c r="AZ11" s="1106"/>
      <c r="BA11" s="1124"/>
      <c r="BB11" s="1152" t="s">
        <v>7370</v>
      </c>
      <c r="BC11" s="1126" t="s">
        <v>3721</v>
      </c>
      <c r="BD11" s="1174"/>
      <c r="BE11" s="1210" t="s">
        <v>7371</v>
      </c>
      <c r="BF11" s="1106"/>
      <c r="BG11" s="1130" t="s">
        <v>7372</v>
      </c>
      <c r="BH11" s="1176" t="s">
        <v>5369</v>
      </c>
      <c r="BI11" s="1129"/>
      <c r="BJ11" s="1225"/>
      <c r="BK11" s="1225" t="s">
        <v>7373</v>
      </c>
      <c r="BL11" s="1131"/>
      <c r="BM11" s="1225" t="s">
        <v>7374</v>
      </c>
      <c r="BN11" s="1145"/>
      <c r="BO11" s="1180" t="s">
        <v>7375</v>
      </c>
      <c r="BP11" s="1156"/>
      <c r="BQ11" s="1179" t="s">
        <v>695</v>
      </c>
      <c r="BR11" s="1190" t="s">
        <v>7376</v>
      </c>
      <c r="BS11" s="1133"/>
      <c r="BT11" s="1135" t="s">
        <v>4671</v>
      </c>
      <c r="BU11" s="1133"/>
      <c r="BV11" s="1156" t="s">
        <v>7377</v>
      </c>
      <c r="BW11" s="1226" t="s">
        <v>7378</v>
      </c>
      <c r="BX11" s="1148"/>
      <c r="BY11" s="1191" t="s">
        <v>4423</v>
      </c>
      <c r="BZ11" s="1139"/>
      <c r="CA11" s="1227"/>
      <c r="CB11" s="1160" t="s">
        <v>2841</v>
      </c>
      <c r="CC11" s="1228"/>
      <c r="CD11" s="1191" t="s">
        <v>1173</v>
      </c>
      <c r="CE11" s="1139"/>
      <c r="CF11" s="1191" t="s">
        <v>7379</v>
      </c>
      <c r="CG11" s="1139"/>
      <c r="CH11" s="1158" t="s">
        <v>4779</v>
      </c>
      <c r="CI11" s="1139"/>
      <c r="CJ11" s="1161"/>
      <c r="CK11" s="1161"/>
    </row>
    <row r="12">
      <c r="A12" s="1096" t="s">
        <v>2396</v>
      </c>
      <c r="B12" s="1097" t="s">
        <v>7380</v>
      </c>
      <c r="C12" s="1098" t="s">
        <v>436</v>
      </c>
      <c r="D12" s="1099" t="s">
        <v>438</v>
      </c>
      <c r="E12" s="1100" t="s">
        <v>437</v>
      </c>
      <c r="F12" s="1101" t="s">
        <v>2096</v>
      </c>
      <c r="G12" s="1097" t="s">
        <v>2096</v>
      </c>
      <c r="H12" s="1166" t="s">
        <v>1206</v>
      </c>
      <c r="I12" s="1166" t="s">
        <v>7381</v>
      </c>
      <c r="J12" s="1195" t="s">
        <v>3660</v>
      </c>
      <c r="K12" s="1166" t="s">
        <v>1955</v>
      </c>
      <c r="L12" s="1102"/>
      <c r="M12" s="1102"/>
      <c r="N12" s="1102"/>
      <c r="O12" s="1195" t="s">
        <v>7382</v>
      </c>
      <c r="P12" s="1145"/>
      <c r="Q12" s="1111" t="s">
        <v>7383</v>
      </c>
      <c r="R12" s="1108"/>
      <c r="S12" s="1168" t="s">
        <v>7384</v>
      </c>
      <c r="T12" s="1111" t="s">
        <v>5212</v>
      </c>
      <c r="U12" s="1111" t="s">
        <v>7385</v>
      </c>
      <c r="V12" s="1111" t="s">
        <v>7386</v>
      </c>
      <c r="W12" s="1145"/>
      <c r="X12" s="1147" t="s">
        <v>2643</v>
      </c>
      <c r="Y12" s="1114" t="s">
        <v>7387</v>
      </c>
      <c r="Z12" s="1147" t="s">
        <v>7388</v>
      </c>
      <c r="AA12" s="1147" t="s">
        <v>7282</v>
      </c>
      <c r="AB12" s="1147" t="s">
        <v>6216</v>
      </c>
      <c r="AC12" s="1147" t="s">
        <v>7389</v>
      </c>
      <c r="AD12" s="1147" t="s">
        <v>1058</v>
      </c>
      <c r="AE12" s="1147" t="s">
        <v>7390</v>
      </c>
      <c r="AF12" s="1171"/>
      <c r="AG12" s="1147" t="s">
        <v>7391</v>
      </c>
      <c r="AH12" s="1117"/>
      <c r="AI12" s="1145"/>
      <c r="AJ12" s="1219"/>
      <c r="AK12" s="1173" t="s">
        <v>2080</v>
      </c>
      <c r="AL12" s="1119"/>
      <c r="AM12" s="1123" t="s">
        <v>4220</v>
      </c>
      <c r="AN12" s="1119"/>
      <c r="AO12" s="1119"/>
      <c r="AP12" s="1123" t="s">
        <v>3462</v>
      </c>
      <c r="AQ12" s="1119"/>
      <c r="AR12" s="1120" t="s">
        <v>7392</v>
      </c>
      <c r="AS12" s="1123" t="s">
        <v>7393</v>
      </c>
      <c r="AT12" s="1150"/>
      <c r="AU12" s="1149" t="s">
        <v>7394</v>
      </c>
      <c r="AV12" s="1119"/>
      <c r="AW12" s="1123" t="s">
        <v>5333</v>
      </c>
      <c r="AX12" s="1123" t="s">
        <v>4742</v>
      </c>
      <c r="AY12" s="1123" t="s">
        <v>7395</v>
      </c>
      <c r="AZ12" s="1106"/>
      <c r="BA12" s="1126" t="s">
        <v>7396</v>
      </c>
      <c r="BB12" s="1126" t="s">
        <v>7397</v>
      </c>
      <c r="BC12" s="1126" t="s">
        <v>5258</v>
      </c>
      <c r="BD12" s="1174"/>
      <c r="BE12" s="1126" t="s">
        <v>7398</v>
      </c>
      <c r="BF12" s="1106"/>
      <c r="BG12" s="1128" t="s">
        <v>7399</v>
      </c>
      <c r="BH12" s="1128" t="s">
        <v>3359</v>
      </c>
      <c r="BI12" s="1128" t="s">
        <v>2169</v>
      </c>
      <c r="BJ12" s="1229" t="s">
        <v>7400</v>
      </c>
      <c r="BK12" s="1128" t="s">
        <v>2878</v>
      </c>
      <c r="BL12" s="1131"/>
      <c r="BM12" s="1128" t="s">
        <v>7401</v>
      </c>
      <c r="BN12" s="1145"/>
      <c r="BO12" s="1133"/>
      <c r="BP12" s="1156"/>
      <c r="BQ12" s="1135" t="s">
        <v>2625</v>
      </c>
      <c r="BR12" s="1135" t="s">
        <v>7402</v>
      </c>
      <c r="BS12" s="1133"/>
      <c r="BT12" s="1135" t="s">
        <v>171</v>
      </c>
      <c r="BU12" s="1133"/>
      <c r="BV12" s="1135" t="s">
        <v>7403</v>
      </c>
      <c r="BW12" s="1135" t="s">
        <v>6003</v>
      </c>
      <c r="BX12" s="1145"/>
      <c r="BY12" s="1164" t="s">
        <v>7229</v>
      </c>
      <c r="BZ12" s="1164" t="s">
        <v>2647</v>
      </c>
      <c r="CA12" s="1230" t="s">
        <v>7404</v>
      </c>
      <c r="CB12" s="1161"/>
      <c r="CC12" s="1161"/>
      <c r="CD12" s="1158" t="s">
        <v>4375</v>
      </c>
      <c r="CE12" s="1164" t="s">
        <v>7405</v>
      </c>
      <c r="CF12" s="1164" t="s">
        <v>3166</v>
      </c>
      <c r="CG12" s="1192" t="s">
        <v>7406</v>
      </c>
      <c r="CH12" s="1139"/>
      <c r="CI12" s="1158" t="s">
        <v>4736</v>
      </c>
      <c r="CJ12" s="1161"/>
      <c r="CK12" s="1161"/>
    </row>
    <row r="13">
      <c r="A13" s="1096" t="s">
        <v>1950</v>
      </c>
      <c r="B13" s="1097" t="s">
        <v>7407</v>
      </c>
      <c r="C13" s="1098" t="s">
        <v>1259</v>
      </c>
      <c r="D13" s="1099" t="s">
        <v>438</v>
      </c>
      <c r="E13" s="1100" t="s">
        <v>330</v>
      </c>
      <c r="F13" s="1101" t="s">
        <v>2690</v>
      </c>
      <c r="G13" s="1097" t="s">
        <v>7408</v>
      </c>
      <c r="H13" s="1102"/>
      <c r="I13" s="1103" t="s">
        <v>7409</v>
      </c>
      <c r="J13" s="1103"/>
      <c r="K13" s="1166" t="s">
        <v>1695</v>
      </c>
      <c r="L13" s="1103"/>
      <c r="M13" s="1103"/>
      <c r="N13" s="1102"/>
      <c r="O13" s="1166" t="s">
        <v>7410</v>
      </c>
      <c r="P13" s="1145"/>
      <c r="Q13" s="1108"/>
      <c r="R13" s="1110"/>
      <c r="S13" s="1111" t="s">
        <v>7411</v>
      </c>
      <c r="T13" s="1108"/>
      <c r="U13" s="1108"/>
      <c r="V13" s="1111" t="s">
        <v>7412</v>
      </c>
      <c r="W13" s="1145"/>
      <c r="X13" s="1115" t="s">
        <v>1376</v>
      </c>
      <c r="Y13" s="1184"/>
      <c r="Z13" s="1112" t="s">
        <v>7413</v>
      </c>
      <c r="AA13" s="1147" t="s">
        <v>7414</v>
      </c>
      <c r="AB13" s="1112" t="s">
        <v>3658</v>
      </c>
      <c r="AC13" s="1147" t="s">
        <v>1973</v>
      </c>
      <c r="AD13" s="1112" t="s">
        <v>4125</v>
      </c>
      <c r="AE13" s="1112" t="s">
        <v>7415</v>
      </c>
      <c r="AF13" s="1112"/>
      <c r="AG13" s="1147" t="s">
        <v>7416</v>
      </c>
      <c r="AH13" s="1117"/>
      <c r="AI13" s="1145"/>
      <c r="AJ13" s="1119"/>
      <c r="AK13" s="1119"/>
      <c r="AL13" s="1119"/>
      <c r="AM13" s="1173" t="s">
        <v>1420</v>
      </c>
      <c r="AN13" s="1119"/>
      <c r="AO13" s="1119"/>
      <c r="AP13" s="1118" t="s">
        <v>7417</v>
      </c>
      <c r="AQ13" s="1119"/>
      <c r="AR13" s="1119"/>
      <c r="AS13" s="1119"/>
      <c r="AT13" s="1150"/>
      <c r="AU13" s="1119"/>
      <c r="AV13" s="1119"/>
      <c r="AW13" s="1119"/>
      <c r="AX13" s="1123" t="s">
        <v>7418</v>
      </c>
      <c r="AY13" s="1118" t="s">
        <v>7419</v>
      </c>
      <c r="AZ13" s="1106"/>
      <c r="BA13" s="1175"/>
      <c r="BB13" s="1175"/>
      <c r="BC13" s="1126" t="s">
        <v>3309</v>
      </c>
      <c r="BD13" s="1124"/>
      <c r="BE13" s="1175" t="s">
        <v>7420</v>
      </c>
      <c r="BF13" s="1106"/>
      <c r="BG13" s="1129" t="s">
        <v>5979</v>
      </c>
      <c r="BH13" s="1130" t="s">
        <v>7089</v>
      </c>
      <c r="BI13" s="1131"/>
      <c r="BJ13" s="1188"/>
      <c r="BK13" s="1176" t="s">
        <v>7421</v>
      </c>
      <c r="BL13" s="1131"/>
      <c r="BM13" s="1128" t="s">
        <v>7422</v>
      </c>
      <c r="BN13" s="1145"/>
      <c r="BO13" s="1134" t="s">
        <v>7423</v>
      </c>
      <c r="BP13" s="1190"/>
      <c r="BQ13" s="1134"/>
      <c r="BR13" s="1179" t="s">
        <v>7424</v>
      </c>
      <c r="BS13" s="1134"/>
      <c r="BT13" s="1135" t="s">
        <v>1405</v>
      </c>
      <c r="BU13" s="1133"/>
      <c r="BV13" s="1180" t="s">
        <v>7425</v>
      </c>
      <c r="BW13" s="1135" t="s">
        <v>7426</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7427</v>
      </c>
      <c r="C14" s="1098" t="s">
        <v>1259</v>
      </c>
      <c r="D14" s="1099" t="s">
        <v>436</v>
      </c>
      <c r="E14" s="1100" t="s">
        <v>436</v>
      </c>
      <c r="F14" s="1101" t="s">
        <v>5555</v>
      </c>
      <c r="G14" s="1097" t="s">
        <v>1724</v>
      </c>
      <c r="H14" s="1166" t="s">
        <v>2115</v>
      </c>
      <c r="I14" s="1166" t="s">
        <v>7428</v>
      </c>
      <c r="J14" s="1102"/>
      <c r="K14" s="1102"/>
      <c r="L14" s="1166" t="s">
        <v>3248</v>
      </c>
      <c r="M14" s="1102"/>
      <c r="N14" s="1166" t="s">
        <v>7429</v>
      </c>
      <c r="O14" s="1102"/>
      <c r="P14" s="1145"/>
      <c r="Q14" s="1111" t="s">
        <v>243</v>
      </c>
      <c r="R14" s="1108"/>
      <c r="S14" s="1111" t="s">
        <v>7316</v>
      </c>
      <c r="T14" s="1111" t="s">
        <v>3675</v>
      </c>
      <c r="U14" s="1108"/>
      <c r="V14" s="1111" t="s">
        <v>7430</v>
      </c>
      <c r="W14" s="1145"/>
      <c r="X14" s="1147" t="s">
        <v>270</v>
      </c>
      <c r="Y14" s="1147" t="s">
        <v>7431</v>
      </c>
      <c r="Z14" s="1147" t="s">
        <v>2360</v>
      </c>
      <c r="AA14" s="1183" t="s">
        <v>7432</v>
      </c>
      <c r="AB14" s="1147" t="s">
        <v>7433</v>
      </c>
      <c r="AC14" s="1147" t="s">
        <v>1670</v>
      </c>
      <c r="AD14" s="1147" t="s">
        <v>5482</v>
      </c>
      <c r="AE14" s="1147" t="s">
        <v>7434</v>
      </c>
      <c r="AF14" s="1116"/>
      <c r="AG14" s="1112" t="s">
        <v>7435</v>
      </c>
      <c r="AH14" s="1117"/>
      <c r="AI14" s="1145"/>
      <c r="AJ14" s="1198"/>
      <c r="AK14" s="1123" t="s">
        <v>7436</v>
      </c>
      <c r="AL14" s="1123" t="s">
        <v>7437</v>
      </c>
      <c r="AM14" s="1123" t="s">
        <v>1211</v>
      </c>
      <c r="AN14" s="1118"/>
      <c r="AO14" s="1119"/>
      <c r="AP14" s="1123" t="s">
        <v>4003</v>
      </c>
      <c r="AQ14" s="1119"/>
      <c r="AR14" s="1123" t="s">
        <v>7438</v>
      </c>
      <c r="AS14" s="1173" t="s">
        <v>7439</v>
      </c>
      <c r="AT14" s="1149" t="s">
        <v>7440</v>
      </c>
      <c r="AU14" s="1173" t="s">
        <v>7441</v>
      </c>
      <c r="AV14" s="1119"/>
      <c r="AW14" s="1123" t="s">
        <v>368</v>
      </c>
      <c r="AX14" s="1123" t="s">
        <v>7442</v>
      </c>
      <c r="AY14" s="1123" t="s">
        <v>7443</v>
      </c>
      <c r="AZ14" s="1106"/>
      <c r="BA14" s="1209"/>
      <c r="BB14" s="1126" t="s">
        <v>7444</v>
      </c>
      <c r="BC14" s="1126" t="s">
        <v>7445</v>
      </c>
      <c r="BD14" s="1124"/>
      <c r="BE14" s="1126" t="s">
        <v>7446</v>
      </c>
      <c r="BF14" s="1106"/>
      <c r="BG14" s="1129" t="s">
        <v>4017</v>
      </c>
      <c r="BH14" s="1129" t="s">
        <v>4606</v>
      </c>
      <c r="BI14" s="1176" t="s">
        <v>1590</v>
      </c>
      <c r="BJ14" s="1188"/>
      <c r="BK14" s="1129" t="s">
        <v>4342</v>
      </c>
      <c r="BL14" s="1131"/>
      <c r="BM14" s="1129" t="s">
        <v>7447</v>
      </c>
      <c r="BN14" s="1145"/>
      <c r="BO14" s="1135" t="s">
        <v>3418</v>
      </c>
      <c r="BP14" s="1156"/>
      <c r="BQ14" s="1133"/>
      <c r="BR14" s="1133"/>
      <c r="BS14" s="1133"/>
      <c r="BT14" s="1135" t="s">
        <v>933</v>
      </c>
      <c r="BU14" s="1133"/>
      <c r="BV14" s="1134" t="s">
        <v>7448</v>
      </c>
      <c r="BW14" s="1134" t="s">
        <v>7449</v>
      </c>
      <c r="BX14" s="1145"/>
      <c r="BY14" s="1164" t="s">
        <v>1616</v>
      </c>
      <c r="BZ14" s="1138"/>
      <c r="CA14" s="1161"/>
      <c r="CB14" s="1161"/>
      <c r="CC14" s="1161"/>
      <c r="CD14" s="1139"/>
      <c r="CE14" s="1138" t="s">
        <v>7450</v>
      </c>
      <c r="CF14" s="1139"/>
      <c r="CG14" s="1139"/>
      <c r="CH14" s="1139"/>
      <c r="CI14" s="1139"/>
      <c r="CJ14" s="1161"/>
      <c r="CK14" s="1161"/>
    </row>
    <row r="15">
      <c r="A15" s="1231" t="s">
        <v>1722</v>
      </c>
      <c r="B15" s="1097" t="s">
        <v>7451</v>
      </c>
      <c r="C15" s="1098" t="s">
        <v>1259</v>
      </c>
      <c r="D15" s="1099" t="s">
        <v>436</v>
      </c>
      <c r="E15" s="1100" t="s">
        <v>545</v>
      </c>
      <c r="F15" s="1101" t="s">
        <v>3317</v>
      </c>
      <c r="G15" s="1097" t="s">
        <v>2220</v>
      </c>
      <c r="H15" s="1166" t="s">
        <v>2348</v>
      </c>
      <c r="I15" s="1232" t="s">
        <v>7452</v>
      </c>
      <c r="J15" s="1103" t="s">
        <v>1301</v>
      </c>
      <c r="K15" s="1103" t="s">
        <v>7453</v>
      </c>
      <c r="L15" s="1103" t="s">
        <v>2139</v>
      </c>
      <c r="M15" s="1102"/>
      <c r="N15" s="1103" t="s">
        <v>7454</v>
      </c>
      <c r="O15" s="1103" t="s">
        <v>7455</v>
      </c>
      <c r="P15" s="1145"/>
      <c r="Q15" s="1107" t="s">
        <v>7456</v>
      </c>
      <c r="R15" s="1107" t="s">
        <v>2395</v>
      </c>
      <c r="S15" s="1107" t="s">
        <v>7457</v>
      </c>
      <c r="T15" s="1107" t="s">
        <v>5633</v>
      </c>
      <c r="U15" s="1107" t="s">
        <v>7458</v>
      </c>
      <c r="V15" s="1107" t="s">
        <v>7459</v>
      </c>
      <c r="W15" s="1145"/>
      <c r="X15" s="1112" t="s">
        <v>3864</v>
      </c>
      <c r="Y15" s="1112" t="s">
        <v>7460</v>
      </c>
      <c r="Z15" s="1170" t="s">
        <v>7461</v>
      </c>
      <c r="AA15" s="1233" t="s">
        <v>7462</v>
      </c>
      <c r="AB15" s="1112" t="s">
        <v>7463</v>
      </c>
      <c r="AC15" s="1112" t="s">
        <v>7464</v>
      </c>
      <c r="AD15" s="1183" t="s">
        <v>1701</v>
      </c>
      <c r="AE15" s="1147" t="s">
        <v>5409</v>
      </c>
      <c r="AF15" s="1112" t="s">
        <v>2915</v>
      </c>
      <c r="AG15" s="1112" t="s">
        <v>7465</v>
      </c>
      <c r="AH15" s="1234" t="s">
        <v>7466</v>
      </c>
      <c r="AI15" s="1145"/>
      <c r="AJ15" s="1198"/>
      <c r="AK15" s="1123" t="s">
        <v>7467</v>
      </c>
      <c r="AL15" s="1118"/>
      <c r="AM15" s="1118" t="s">
        <v>3412</v>
      </c>
      <c r="AN15" s="1123" t="s">
        <v>1643</v>
      </c>
      <c r="AO15" s="1118" t="s">
        <v>4059</v>
      </c>
      <c r="AP15" s="1121" t="s">
        <v>7468</v>
      </c>
      <c r="AQ15" s="1118" t="s">
        <v>7469</v>
      </c>
      <c r="AR15" s="1173" t="s">
        <v>7470</v>
      </c>
      <c r="AS15" s="1118" t="s">
        <v>7471</v>
      </c>
      <c r="AT15" s="1186"/>
      <c r="AU15" s="1118"/>
      <c r="AV15" s="1118"/>
      <c r="AW15" s="1121" t="s">
        <v>303</v>
      </c>
      <c r="AX15" s="1186" t="s">
        <v>7472</v>
      </c>
      <c r="AY15" s="1118" t="s">
        <v>7473</v>
      </c>
      <c r="AZ15" s="1106"/>
      <c r="BA15" s="1175" t="s">
        <v>7474</v>
      </c>
      <c r="BB15" s="1175" t="s">
        <v>7475</v>
      </c>
      <c r="BC15" s="1175" t="s">
        <v>4200</v>
      </c>
      <c r="BD15" s="1175"/>
      <c r="BE15" s="1235" t="s">
        <v>7476</v>
      </c>
      <c r="BF15" s="1106"/>
      <c r="BG15" s="1129" t="s">
        <v>7477</v>
      </c>
      <c r="BH15" s="1129" t="s">
        <v>4881</v>
      </c>
      <c r="BI15" s="1128" t="s">
        <v>2068</v>
      </c>
      <c r="BJ15" s="1154" t="s">
        <v>7478</v>
      </c>
      <c r="BK15" s="1189" t="s">
        <v>7479</v>
      </c>
      <c r="BL15" s="1129"/>
      <c r="BM15" s="1129" t="s">
        <v>7480</v>
      </c>
      <c r="BN15" s="1145"/>
      <c r="BO15" s="1135" t="s">
        <v>7481</v>
      </c>
      <c r="BP15" s="1190"/>
      <c r="BQ15" s="1236" t="s">
        <v>4697</v>
      </c>
      <c r="BR15" s="1134" t="s">
        <v>7482</v>
      </c>
      <c r="BS15" s="1134"/>
      <c r="BT15" s="1157" t="s">
        <v>7483</v>
      </c>
      <c r="BU15" s="1190" t="s">
        <v>4714</v>
      </c>
      <c r="BV15" s="1134" t="s">
        <v>7484</v>
      </c>
      <c r="BW15" s="1134" t="s">
        <v>7485</v>
      </c>
      <c r="BX15" s="1145"/>
      <c r="BY15" s="1138" t="s">
        <v>2510</v>
      </c>
      <c r="BZ15" s="1138" t="s">
        <v>2063</v>
      </c>
      <c r="CA15" s="1161"/>
      <c r="CB15" s="1161"/>
      <c r="CC15" s="1161"/>
      <c r="CD15" s="1138"/>
      <c r="CE15" s="1138" t="s">
        <v>7486</v>
      </c>
      <c r="CF15" s="1138" t="s">
        <v>7487</v>
      </c>
      <c r="CG15" s="1138"/>
      <c r="CH15" s="1192" t="s">
        <v>7488</v>
      </c>
      <c r="CI15" s="1139"/>
      <c r="CJ15" s="1161"/>
      <c r="CK15" s="1161"/>
    </row>
    <row r="16">
      <c r="A16" s="1096" t="s">
        <v>7489</v>
      </c>
      <c r="B16" s="1097" t="s">
        <v>7490</v>
      </c>
      <c r="C16" s="1098" t="s">
        <v>1259</v>
      </c>
      <c r="D16" s="1099" t="s">
        <v>1259</v>
      </c>
      <c r="E16" s="1100" t="s">
        <v>1259</v>
      </c>
      <c r="F16" s="1101" t="s">
        <v>1259</v>
      </c>
      <c r="G16" s="1097" t="s">
        <v>3217</v>
      </c>
      <c r="H16" s="1102"/>
      <c r="I16" s="1143" t="s">
        <v>3153</v>
      </c>
      <c r="J16" s="1103"/>
      <c r="K16" s="1102"/>
      <c r="L16" s="1102"/>
      <c r="M16" s="1102"/>
      <c r="N16" s="1102"/>
      <c r="O16" s="1103" t="s">
        <v>7491</v>
      </c>
      <c r="P16" s="1145"/>
      <c r="Q16" s="1182" t="s">
        <v>1488</v>
      </c>
      <c r="R16" s="1108"/>
      <c r="S16" s="1108"/>
      <c r="T16" s="1182" t="s">
        <v>1117</v>
      </c>
      <c r="U16" s="1107"/>
      <c r="V16" s="1107" t="s">
        <v>7492</v>
      </c>
      <c r="W16" s="1145"/>
      <c r="X16" s="1204" t="s">
        <v>7493</v>
      </c>
      <c r="Y16" s="1112" t="s">
        <v>7494</v>
      </c>
      <c r="Z16" s="1204" t="s">
        <v>7355</v>
      </c>
      <c r="AA16" s="1170" t="s">
        <v>6482</v>
      </c>
      <c r="AB16" s="1170" t="s">
        <v>1650</v>
      </c>
      <c r="AC16" s="1170" t="s">
        <v>3546</v>
      </c>
      <c r="AD16" s="1204" t="s">
        <v>199</v>
      </c>
      <c r="AE16" s="1170" t="s">
        <v>4618</v>
      </c>
      <c r="AF16" s="1112"/>
      <c r="AG16" s="1170" t="s">
        <v>7495</v>
      </c>
      <c r="AH16" s="1117"/>
      <c r="AI16" s="1145"/>
      <c r="AJ16" s="1119"/>
      <c r="AK16" s="1150" t="s">
        <v>5588</v>
      </c>
      <c r="AL16" s="1186" t="s">
        <v>7496</v>
      </c>
      <c r="AM16" s="1150" t="s">
        <v>7497</v>
      </c>
      <c r="AN16" s="1119"/>
      <c r="AO16" s="1186" t="s">
        <v>903</v>
      </c>
      <c r="AP16" s="1150" t="s">
        <v>1569</v>
      </c>
      <c r="AQ16" s="1186" t="s">
        <v>7498</v>
      </c>
      <c r="AR16" s="1186" t="s">
        <v>7499</v>
      </c>
      <c r="AS16" s="1119"/>
      <c r="AT16" s="1150"/>
      <c r="AU16" s="1119"/>
      <c r="AV16" s="1119"/>
      <c r="AW16" s="1150" t="s">
        <v>1250</v>
      </c>
      <c r="AX16" s="1186" t="s">
        <v>7500</v>
      </c>
      <c r="AY16" s="1186" t="s">
        <v>7501</v>
      </c>
      <c r="AZ16" s="1106"/>
      <c r="BA16" s="1175"/>
      <c r="BB16" s="1235" t="s">
        <v>7502</v>
      </c>
      <c r="BC16" s="1209"/>
      <c r="BD16" s="1209"/>
      <c r="BE16" s="1235" t="s">
        <v>7503</v>
      </c>
      <c r="BF16" s="1106"/>
      <c r="BG16" s="1225" t="s">
        <v>7504</v>
      </c>
      <c r="BH16" s="1225" t="s">
        <v>2122</v>
      </c>
      <c r="BI16" s="1131"/>
      <c r="BJ16" s="1188"/>
      <c r="BK16" s="1131"/>
      <c r="BL16" s="1131"/>
      <c r="BM16" s="1129" t="s">
        <v>7505</v>
      </c>
      <c r="BN16" s="1145"/>
      <c r="BO16" s="1190" t="s">
        <v>1957</v>
      </c>
      <c r="BP16" s="1156"/>
      <c r="BQ16" s="1133"/>
      <c r="BR16" s="1190" t="s">
        <v>7506</v>
      </c>
      <c r="BS16" s="1133"/>
      <c r="BT16" s="1190" t="s">
        <v>3057</v>
      </c>
      <c r="BU16" s="1133"/>
      <c r="BV16" s="1190" t="s">
        <v>7507</v>
      </c>
      <c r="BW16" s="1190" t="s">
        <v>7508</v>
      </c>
      <c r="BX16" s="1145"/>
      <c r="BY16" s="1191" t="s">
        <v>3611</v>
      </c>
      <c r="BZ16" s="1139"/>
      <c r="CA16" s="1161"/>
      <c r="CB16" s="1161"/>
      <c r="CC16" s="1161"/>
      <c r="CD16" s="1139"/>
      <c r="CE16" s="1139"/>
      <c r="CF16" s="1139"/>
      <c r="CG16" s="1139"/>
      <c r="CH16" s="1139"/>
      <c r="CI16" s="1139"/>
      <c r="CJ16" s="1161"/>
      <c r="CK16" s="1161"/>
    </row>
    <row r="17">
      <c r="A17" s="1096" t="s">
        <v>7509</v>
      </c>
      <c r="B17" s="1097" t="s">
        <v>7510</v>
      </c>
      <c r="C17" s="1098" t="s">
        <v>1259</v>
      </c>
      <c r="D17" s="1099" t="s">
        <v>1259</v>
      </c>
      <c r="E17" s="1100" t="s">
        <v>1259</v>
      </c>
      <c r="F17" s="1101" t="s">
        <v>914</v>
      </c>
      <c r="G17" s="1097" t="s">
        <v>5687</v>
      </c>
      <c r="H17" s="1102"/>
      <c r="I17" s="1102"/>
      <c r="J17" s="1103" t="s">
        <v>7511</v>
      </c>
      <c r="K17" s="1103" t="s">
        <v>7512</v>
      </c>
      <c r="L17" s="1166" t="s">
        <v>7513</v>
      </c>
      <c r="M17" s="1102"/>
      <c r="N17" s="1143" t="s">
        <v>7514</v>
      </c>
      <c r="O17" s="1103" t="s">
        <v>7515</v>
      </c>
      <c r="P17" s="1145"/>
      <c r="Q17" s="1182" t="s">
        <v>726</v>
      </c>
      <c r="R17" s="1108"/>
      <c r="S17" s="1108"/>
      <c r="T17" s="1108"/>
      <c r="U17" s="1107"/>
      <c r="V17" s="1111" t="s">
        <v>7435</v>
      </c>
      <c r="W17" s="1145"/>
      <c r="X17" s="1184"/>
      <c r="Y17" s="1147" t="s">
        <v>7516</v>
      </c>
      <c r="Z17" s="1170" t="s">
        <v>2424</v>
      </c>
      <c r="AA17" s="1237"/>
      <c r="AB17" s="1184"/>
      <c r="AC17" s="1170" t="s">
        <v>815</v>
      </c>
      <c r="AD17" s="1170" t="s">
        <v>5652</v>
      </c>
      <c r="AE17" s="1170" t="s">
        <v>6776</v>
      </c>
      <c r="AF17" s="1112"/>
      <c r="AG17" s="1170" t="s">
        <v>7517</v>
      </c>
      <c r="AH17" s="1117"/>
      <c r="AI17" s="1145"/>
      <c r="AJ17" s="1118"/>
      <c r="AK17" s="1186" t="s">
        <v>1474</v>
      </c>
      <c r="AL17" s="1119"/>
      <c r="AM17" s="1119"/>
      <c r="AN17" s="1119"/>
      <c r="AO17" s="1119"/>
      <c r="AP17" s="1186" t="s">
        <v>7518</v>
      </c>
      <c r="AQ17" s="1119"/>
      <c r="AR17" s="1119"/>
      <c r="AS17" s="1119"/>
      <c r="AT17" s="1150"/>
      <c r="AU17" s="1119"/>
      <c r="AV17" s="1119"/>
      <c r="AW17" s="1123" t="s">
        <v>6037</v>
      </c>
      <c r="AX17" s="1118" t="s">
        <v>7519</v>
      </c>
      <c r="AY17" s="1118" t="s">
        <v>6159</v>
      </c>
      <c r="AZ17" s="1106"/>
      <c r="BA17" s="1175" t="s">
        <v>7520</v>
      </c>
      <c r="BB17" s="1235" t="s">
        <v>7521</v>
      </c>
      <c r="BC17" s="1126" t="s">
        <v>510</v>
      </c>
      <c r="BD17" s="1124"/>
      <c r="BE17" s="1235" t="s">
        <v>7522</v>
      </c>
      <c r="BF17" s="1106"/>
      <c r="BG17" s="1129" t="s">
        <v>2850</v>
      </c>
      <c r="BH17" s="1225" t="s">
        <v>7523</v>
      </c>
      <c r="BI17" s="1129"/>
      <c r="BJ17" s="1225"/>
      <c r="BK17" s="1131"/>
      <c r="BL17" s="1131"/>
      <c r="BM17" s="1128" t="s">
        <v>7524</v>
      </c>
      <c r="BN17" s="1145"/>
      <c r="BO17" s="1190" t="s">
        <v>2898</v>
      </c>
      <c r="BP17" s="1156"/>
      <c r="BQ17" s="1133"/>
      <c r="BR17" s="1134" t="s">
        <v>7525</v>
      </c>
      <c r="BS17" s="1133"/>
      <c r="BT17" s="1190" t="s">
        <v>2317</v>
      </c>
      <c r="BU17" s="1133"/>
      <c r="BV17" s="1134" t="s">
        <v>249</v>
      </c>
      <c r="BW17" s="1134" t="s">
        <v>1578</v>
      </c>
      <c r="BX17" s="1145"/>
      <c r="BY17" s="1138" t="s">
        <v>4192</v>
      </c>
      <c r="BZ17" s="1164" t="s">
        <v>5898</v>
      </c>
      <c r="CA17" s="1161"/>
      <c r="CB17" s="1161"/>
      <c r="CC17" s="1161"/>
      <c r="CD17" s="1139"/>
      <c r="CE17" s="1138" t="s">
        <v>5777</v>
      </c>
      <c r="CF17" s="1191" t="s">
        <v>7526</v>
      </c>
      <c r="CG17" s="1139"/>
      <c r="CH17" s="1139"/>
      <c r="CI17" s="1138" t="s">
        <v>7527</v>
      </c>
      <c r="CJ17" s="1161"/>
      <c r="CK17" s="1161"/>
    </row>
    <row r="18">
      <c r="A18" s="1096" t="s">
        <v>1884</v>
      </c>
      <c r="B18" s="1097" t="s">
        <v>6153</v>
      </c>
      <c r="C18" s="1098" t="s">
        <v>1259</v>
      </c>
      <c r="D18" s="1099" t="s">
        <v>1259</v>
      </c>
      <c r="E18" s="1100" t="s">
        <v>1259</v>
      </c>
      <c r="F18" s="1101" t="s">
        <v>1259</v>
      </c>
      <c r="G18" s="1097" t="s">
        <v>5687</v>
      </c>
      <c r="H18" s="1102"/>
      <c r="I18" s="1103" t="s">
        <v>2620</v>
      </c>
      <c r="J18" s="1103" t="s">
        <v>3649</v>
      </c>
      <c r="K18" s="1103" t="s">
        <v>7528</v>
      </c>
      <c r="L18" s="1143" t="s">
        <v>7529</v>
      </c>
      <c r="M18" s="1102"/>
      <c r="N18" s="1143" t="s">
        <v>7530</v>
      </c>
      <c r="O18" s="1103" t="s">
        <v>7531</v>
      </c>
      <c r="P18" s="1145"/>
      <c r="Q18" s="1182" t="s">
        <v>2903</v>
      </c>
      <c r="R18" s="1108"/>
      <c r="S18" s="1108"/>
      <c r="T18" s="1182" t="s">
        <v>4989</v>
      </c>
      <c r="U18" s="1107"/>
      <c r="V18" s="1182" t="s">
        <v>7532</v>
      </c>
      <c r="W18" s="1145"/>
      <c r="X18" s="1170" t="s">
        <v>4051</v>
      </c>
      <c r="Y18" s="1170" t="s">
        <v>7533</v>
      </c>
      <c r="Z18" s="1170" t="s">
        <v>7534</v>
      </c>
      <c r="AA18" s="1170" t="s">
        <v>3006</v>
      </c>
      <c r="AB18" s="1170" t="s">
        <v>4656</v>
      </c>
      <c r="AC18" s="1112" t="s">
        <v>7535</v>
      </c>
      <c r="AD18" s="1170" t="s">
        <v>4605</v>
      </c>
      <c r="AE18" s="1170" t="s">
        <v>4840</v>
      </c>
      <c r="AF18" s="1112"/>
      <c r="AG18" s="1112" t="s">
        <v>7536</v>
      </c>
      <c r="AH18" s="1238" t="s">
        <v>7537</v>
      </c>
      <c r="AI18" s="1145"/>
      <c r="AJ18" s="1119"/>
      <c r="AK18" s="1119"/>
      <c r="AL18" s="1119"/>
      <c r="AM18" s="1118" t="s">
        <v>170</v>
      </c>
      <c r="AN18" s="1119"/>
      <c r="AO18" s="1186" t="s">
        <v>4314</v>
      </c>
      <c r="AP18" s="1118" t="s">
        <v>3333</v>
      </c>
      <c r="AQ18" s="1186" t="s">
        <v>7538</v>
      </c>
      <c r="AR18" s="1119"/>
      <c r="AS18" s="1119"/>
      <c r="AT18" s="1150"/>
      <c r="AU18" s="1119"/>
      <c r="AV18" s="1119"/>
      <c r="AW18" s="1186" t="s">
        <v>1010</v>
      </c>
      <c r="AX18" s="1186" t="s">
        <v>4830</v>
      </c>
      <c r="AY18" s="1119"/>
      <c r="AZ18" s="1106"/>
      <c r="BA18" s="1209"/>
      <c r="BB18" s="1209"/>
      <c r="BC18" s="1235" t="s">
        <v>6667</v>
      </c>
      <c r="BD18" s="1175"/>
      <c r="BE18" s="1175" t="s">
        <v>7539</v>
      </c>
      <c r="BF18" s="1106"/>
      <c r="BG18" s="1225" t="s">
        <v>1204</v>
      </c>
      <c r="BH18" s="1225" t="s">
        <v>2122</v>
      </c>
      <c r="BI18" s="1131"/>
      <c r="BJ18" s="1188"/>
      <c r="BK18" s="1129" t="s">
        <v>7540</v>
      </c>
      <c r="BL18" s="1131"/>
      <c r="BM18" s="1225" t="s">
        <v>7541</v>
      </c>
      <c r="BN18" s="1145"/>
      <c r="BO18" s="1190" t="s">
        <v>7542</v>
      </c>
      <c r="BP18" s="1156"/>
      <c r="BQ18" s="1133"/>
      <c r="BR18" s="1133"/>
      <c r="BS18" s="1133"/>
      <c r="BT18" s="1190" t="s">
        <v>3272</v>
      </c>
      <c r="BU18" s="1133"/>
      <c r="BV18" s="1133"/>
      <c r="BW18" s="1156" t="s">
        <v>7543</v>
      </c>
      <c r="BX18" s="1145"/>
      <c r="BY18" s="1138" t="s">
        <v>2971</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7408</v>
      </c>
      <c r="H19" s="1102"/>
      <c r="I19" s="1102"/>
      <c r="J19" s="1103" t="s">
        <v>7544</v>
      </c>
      <c r="K19" s="1103" t="s">
        <v>7545</v>
      </c>
      <c r="L19" s="1102"/>
      <c r="M19" s="1102"/>
      <c r="N19" s="1102"/>
      <c r="O19" s="1143" t="s">
        <v>7546</v>
      </c>
      <c r="P19" s="1145"/>
      <c r="Q19" s="1107" t="s">
        <v>7547</v>
      </c>
      <c r="R19" s="1108"/>
      <c r="S19" s="1107" t="s">
        <v>5779</v>
      </c>
      <c r="T19" s="1107" t="s">
        <v>5102</v>
      </c>
      <c r="U19" s="1107" t="s">
        <v>7548</v>
      </c>
      <c r="V19" s="1182" t="s">
        <v>7549</v>
      </c>
      <c r="W19" s="1145"/>
      <c r="X19" s="1184"/>
      <c r="Y19" s="1184"/>
      <c r="Z19" s="1112" t="s">
        <v>7550</v>
      </c>
      <c r="AA19" s="1237"/>
      <c r="AB19" s="1112" t="s">
        <v>2264</v>
      </c>
      <c r="AC19" s="1170" t="s">
        <v>7551</v>
      </c>
      <c r="AD19" s="1184"/>
      <c r="AE19" s="1184"/>
      <c r="AF19" s="1184"/>
      <c r="AG19" s="1170" t="s">
        <v>7552</v>
      </c>
      <c r="AH19" s="1117"/>
      <c r="AI19" s="1145"/>
      <c r="AJ19" s="1119"/>
      <c r="AK19" s="1119"/>
      <c r="AL19" s="1119"/>
      <c r="AM19" s="1118" t="s">
        <v>1313</v>
      </c>
      <c r="AN19" s="1118"/>
      <c r="AO19" s="1119"/>
      <c r="AP19" s="1119"/>
      <c r="AQ19" s="1119"/>
      <c r="AR19" s="1119"/>
      <c r="AS19" s="1119"/>
      <c r="AT19" s="1150"/>
      <c r="AU19" s="1119"/>
      <c r="AV19" s="1119"/>
      <c r="AW19" s="1118" t="s">
        <v>3863</v>
      </c>
      <c r="AX19" s="1186" t="s">
        <v>7553</v>
      </c>
      <c r="AY19" s="1119"/>
      <c r="AZ19" s="1106"/>
      <c r="BA19" s="1209"/>
      <c r="BB19" s="1175" t="s">
        <v>7554</v>
      </c>
      <c r="BC19" s="1175" t="s">
        <v>3672</v>
      </c>
      <c r="BD19" s="1175"/>
      <c r="BE19" s="1235" t="s">
        <v>7555</v>
      </c>
      <c r="BF19" s="1106"/>
      <c r="BG19" s="1129" t="s">
        <v>713</v>
      </c>
      <c r="BH19" s="1225" t="s">
        <v>4345</v>
      </c>
      <c r="BI19" s="1129" t="s">
        <v>1757</v>
      </c>
      <c r="BJ19" s="1129" t="s">
        <v>7556</v>
      </c>
      <c r="BK19" s="1129" t="s">
        <v>7557</v>
      </c>
      <c r="BL19" s="1131"/>
      <c r="BM19" s="1129" t="s">
        <v>7558</v>
      </c>
      <c r="BN19" s="1145"/>
      <c r="BO19" s="1134" t="s">
        <v>4689</v>
      </c>
      <c r="BP19" s="1156"/>
      <c r="BQ19" s="1133"/>
      <c r="BR19" s="1180" t="s">
        <v>7559</v>
      </c>
      <c r="BS19" s="1133"/>
      <c r="BT19" s="1134" t="s">
        <v>2358</v>
      </c>
      <c r="BU19" s="1133"/>
      <c r="BV19" s="1134" t="s">
        <v>7560</v>
      </c>
      <c r="BW19" s="1134" t="s">
        <v>2046</v>
      </c>
      <c r="BX19" s="1145"/>
      <c r="BY19" s="1138" t="s">
        <v>4564</v>
      </c>
      <c r="BZ19" s="1227"/>
      <c r="CA19" s="1161"/>
      <c r="CB19" s="1161"/>
      <c r="CC19" s="1161"/>
      <c r="CD19" s="1139"/>
      <c r="CE19" s="1139"/>
      <c r="CF19" s="1139"/>
      <c r="CG19" s="1139"/>
      <c r="CH19" s="1139"/>
      <c r="CI19" s="1139"/>
      <c r="CJ19" s="1161"/>
      <c r="CK19" s="1161"/>
    </row>
    <row r="20">
      <c r="A20" s="1239" t="s">
        <v>1059</v>
      </c>
      <c r="B20" s="1097" t="s">
        <v>7561</v>
      </c>
      <c r="C20" s="1098" t="s">
        <v>3317</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3325</v>
      </c>
      <c r="AA20" s="1237"/>
      <c r="AB20" s="1184"/>
      <c r="AC20" s="1184"/>
      <c r="AD20" s="1113" t="s">
        <v>1786</v>
      </c>
      <c r="AE20" s="1170" t="s">
        <v>4317</v>
      </c>
      <c r="AF20" s="1112"/>
      <c r="AG20" s="1184"/>
      <c r="AH20" s="1117"/>
      <c r="AI20" s="1145"/>
      <c r="AJ20" s="1119"/>
      <c r="AK20" s="1119"/>
      <c r="AL20" s="1119"/>
      <c r="AM20" s="1118" t="s">
        <v>5119</v>
      </c>
      <c r="AN20" s="1120" t="s">
        <v>4010</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7562</v>
      </c>
      <c r="BJ20" s="1188"/>
      <c r="BK20" s="1131"/>
      <c r="BL20" s="1131"/>
      <c r="BM20" s="1131"/>
      <c r="BN20" s="1145"/>
      <c r="BO20" s="1134"/>
      <c r="BP20" s="1156"/>
      <c r="BQ20" s="1136" t="s">
        <v>4990</v>
      </c>
      <c r="BR20" s="1133"/>
      <c r="BS20" s="1133"/>
      <c r="BT20" s="1136" t="s">
        <v>5411</v>
      </c>
      <c r="BU20" s="1133"/>
      <c r="BV20" s="1190" t="s">
        <v>7563</v>
      </c>
      <c r="BW20" s="1179" t="s">
        <v>7564</v>
      </c>
      <c r="BX20" s="1145"/>
      <c r="BY20" s="1160" t="s">
        <v>3495</v>
      </c>
      <c r="BZ20" s="1138"/>
      <c r="CA20" s="1161"/>
      <c r="CB20" s="1161"/>
      <c r="CC20" s="1161"/>
      <c r="CD20" s="1139"/>
      <c r="CE20" s="1139"/>
      <c r="CF20" s="1139"/>
      <c r="CG20" s="1160" t="s">
        <v>7565</v>
      </c>
      <c r="CH20" s="1139"/>
      <c r="CI20" s="1139"/>
      <c r="CJ20" s="1161"/>
      <c r="CK20" s="1161"/>
    </row>
    <row r="21">
      <c r="A21" s="1096" t="s">
        <v>2960</v>
      </c>
      <c r="B21" s="1097" t="s">
        <v>7566</v>
      </c>
      <c r="C21" s="1098" t="s">
        <v>545</v>
      </c>
      <c r="D21" s="1099" t="s">
        <v>1259</v>
      </c>
      <c r="E21" s="1100" t="s">
        <v>1259</v>
      </c>
      <c r="F21" s="1101" t="s">
        <v>545</v>
      </c>
      <c r="G21" s="1097" t="s">
        <v>3251</v>
      </c>
      <c r="H21" s="1102"/>
      <c r="I21" s="1102"/>
      <c r="J21" s="1103" t="s">
        <v>309</v>
      </c>
      <c r="K21" s="1103" t="s">
        <v>7567</v>
      </c>
      <c r="L21" s="1103"/>
      <c r="M21" s="1102"/>
      <c r="N21" s="1102"/>
      <c r="O21" s="1103" t="s">
        <v>7568</v>
      </c>
      <c r="P21" s="1145"/>
      <c r="Q21" s="1107" t="s">
        <v>4863</v>
      </c>
      <c r="R21" s="1107" t="s">
        <v>3775</v>
      </c>
      <c r="S21" s="1107" t="s">
        <v>691</v>
      </c>
      <c r="T21" s="1107" t="s">
        <v>248</v>
      </c>
      <c r="U21" s="1108"/>
      <c r="V21" s="1107" t="s">
        <v>7569</v>
      </c>
      <c r="W21" s="1145"/>
      <c r="X21" s="1112" t="s">
        <v>6294</v>
      </c>
      <c r="Y21" s="1184"/>
      <c r="Z21" s="1112" t="s">
        <v>4894</v>
      </c>
      <c r="AA21" s="1112" t="s">
        <v>7570</v>
      </c>
      <c r="AB21" s="1112" t="s">
        <v>2979</v>
      </c>
      <c r="AC21" s="1112" t="s">
        <v>1670</v>
      </c>
      <c r="AD21" s="1112" t="s">
        <v>6516</v>
      </c>
      <c r="AE21" s="1112" t="s">
        <v>2836</v>
      </c>
      <c r="AF21" s="1112"/>
      <c r="AG21" s="1112" t="s">
        <v>7571</v>
      </c>
      <c r="AH21" s="1240" t="s">
        <v>2982</v>
      </c>
      <c r="AI21" s="1145"/>
      <c r="AJ21" s="1119"/>
      <c r="AK21" s="1119"/>
      <c r="AL21" s="1120" t="s">
        <v>7572</v>
      </c>
      <c r="AM21" s="1118" t="s">
        <v>1824</v>
      </c>
      <c r="AN21" s="1118"/>
      <c r="AO21" s="1119"/>
      <c r="AP21" s="1119"/>
      <c r="AQ21" s="1119"/>
      <c r="AR21" s="1118" t="s">
        <v>7573</v>
      </c>
      <c r="AS21" s="1118"/>
      <c r="AT21" s="1150"/>
      <c r="AU21" s="1118" t="s">
        <v>7574</v>
      </c>
      <c r="AV21" s="1186" t="s">
        <v>7575</v>
      </c>
      <c r="AW21" s="1118" t="s">
        <v>768</v>
      </c>
      <c r="AX21" s="1186" t="s">
        <v>7576</v>
      </c>
      <c r="AY21" s="1118" t="s">
        <v>7577</v>
      </c>
      <c r="AZ21" s="1106"/>
      <c r="BA21" s="1175" t="s">
        <v>7578</v>
      </c>
      <c r="BB21" s="1175" t="s">
        <v>7579</v>
      </c>
      <c r="BC21" s="1209"/>
      <c r="BD21" s="1209"/>
      <c r="BE21" s="1175" t="s">
        <v>7580</v>
      </c>
      <c r="BF21" s="1106"/>
      <c r="BG21" s="1129" t="s">
        <v>5979</v>
      </c>
      <c r="BH21" s="1131"/>
      <c r="BI21" s="1129" t="s">
        <v>474</v>
      </c>
      <c r="BJ21" s="1129" t="s">
        <v>7581</v>
      </c>
      <c r="BK21" s="1129" t="s">
        <v>7582</v>
      </c>
      <c r="BL21" s="1129" t="s">
        <v>7583</v>
      </c>
      <c r="BM21" s="1189" t="s">
        <v>7584</v>
      </c>
      <c r="BN21" s="1145"/>
      <c r="BO21" s="1134" t="s">
        <v>7585</v>
      </c>
      <c r="BP21" s="1134" t="s">
        <v>4166</v>
      </c>
      <c r="BQ21" s="1133"/>
      <c r="BR21" s="1134" t="s">
        <v>7586</v>
      </c>
      <c r="BS21" s="1133"/>
      <c r="BT21" s="1134" t="s">
        <v>3000</v>
      </c>
      <c r="BU21" s="1134" t="s">
        <v>5121</v>
      </c>
      <c r="BV21" s="1134" t="s">
        <v>7587</v>
      </c>
      <c r="BW21" s="1134" t="s">
        <v>7588</v>
      </c>
      <c r="BX21" s="1145"/>
      <c r="BY21" s="1241" t="s">
        <v>3463</v>
      </c>
      <c r="BZ21" s="1138" t="s">
        <v>939</v>
      </c>
      <c r="CA21" s="1161"/>
      <c r="CB21" s="1161"/>
      <c r="CC21" s="1161"/>
      <c r="CD21" s="1139"/>
      <c r="CE21" s="1138" t="s">
        <v>7589</v>
      </c>
      <c r="CF21" s="1138" t="s">
        <v>7590</v>
      </c>
      <c r="CG21" s="1139"/>
      <c r="CH21" s="1139"/>
      <c r="CI21" s="1139"/>
      <c r="CJ21" s="1161"/>
      <c r="CK21" s="1161"/>
    </row>
    <row r="22">
      <c r="A22" s="1242" t="s">
        <v>3475</v>
      </c>
      <c r="B22" s="1097" t="s">
        <v>7591</v>
      </c>
      <c r="C22" s="1098" t="s">
        <v>1259</v>
      </c>
      <c r="D22" s="1099" t="s">
        <v>545</v>
      </c>
      <c r="E22" s="1100" t="s">
        <v>1259</v>
      </c>
      <c r="F22" s="1101" t="s">
        <v>330</v>
      </c>
      <c r="G22" s="1097" t="s">
        <v>1061</v>
      </c>
      <c r="H22" s="1102"/>
      <c r="I22" s="1102"/>
      <c r="J22" s="1102"/>
      <c r="K22" s="1102"/>
      <c r="L22" s="1102"/>
      <c r="M22" s="1102"/>
      <c r="N22" s="1103" t="s">
        <v>7592</v>
      </c>
      <c r="O22" s="1102"/>
      <c r="P22" s="1145"/>
      <c r="Q22" s="1108"/>
      <c r="R22" s="1108"/>
      <c r="S22" s="1108"/>
      <c r="T22" s="1108"/>
      <c r="U22" s="1107" t="s">
        <v>2952</v>
      </c>
      <c r="V22" s="1107" t="s">
        <v>7593</v>
      </c>
      <c r="W22" s="1145"/>
      <c r="X22" s="1112" t="s">
        <v>195</v>
      </c>
      <c r="Y22" s="1112" t="s">
        <v>7594</v>
      </c>
      <c r="Z22" s="1112" t="s">
        <v>7595</v>
      </c>
      <c r="AA22" s="1243" t="s">
        <v>2747</v>
      </c>
      <c r="AB22" s="1112" t="s">
        <v>656</v>
      </c>
      <c r="AC22" s="1112" t="s">
        <v>1888</v>
      </c>
      <c r="AD22" s="1112" t="s">
        <v>7116</v>
      </c>
      <c r="AE22" s="1112" t="s">
        <v>2619</v>
      </c>
      <c r="AF22" s="1112"/>
      <c r="AG22" s="1112" t="s">
        <v>6357</v>
      </c>
      <c r="AH22" s="1244" t="s">
        <v>7596</v>
      </c>
      <c r="AI22" s="1145"/>
      <c r="AJ22" s="1118"/>
      <c r="AK22" s="1118" t="s">
        <v>5630</v>
      </c>
      <c r="AL22" s="1119"/>
      <c r="AM22" s="1118" t="s">
        <v>5119</v>
      </c>
      <c r="AN22" s="1119"/>
      <c r="AO22" s="1119"/>
      <c r="AP22" s="1118" t="s">
        <v>1986</v>
      </c>
      <c r="AQ22" s="1119"/>
      <c r="AR22" s="1118" t="s">
        <v>7597</v>
      </c>
      <c r="AS22" s="1118" t="s">
        <v>3605</v>
      </c>
      <c r="AT22" s="1150"/>
      <c r="AU22" s="1119"/>
      <c r="AV22" s="1186" t="s">
        <v>7598</v>
      </c>
      <c r="AW22" s="1118" t="s">
        <v>803</v>
      </c>
      <c r="AX22" s="1118" t="s">
        <v>7599</v>
      </c>
      <c r="AY22" s="1118" t="s">
        <v>7600</v>
      </c>
      <c r="AZ22" s="1106"/>
      <c r="BA22" s="1209"/>
      <c r="BB22" s="1126" t="s">
        <v>7601</v>
      </c>
      <c r="BC22" s="1175" t="s">
        <v>6221</v>
      </c>
      <c r="BD22" s="1175"/>
      <c r="BE22" s="1151" t="s">
        <v>7602</v>
      </c>
      <c r="BF22" s="1106"/>
      <c r="BG22" s="1131"/>
      <c r="BH22" s="1131"/>
      <c r="BI22" s="1131"/>
      <c r="BJ22" s="1188"/>
      <c r="BK22" s="1131"/>
      <c r="BL22" s="1177" t="s">
        <v>7603</v>
      </c>
      <c r="BM22" s="1129" t="s">
        <v>7604</v>
      </c>
      <c r="BN22" s="1145"/>
      <c r="BO22" s="1133"/>
      <c r="BP22" s="1156"/>
      <c r="BQ22" s="1133"/>
      <c r="BR22" s="1133"/>
      <c r="BS22" s="1180" t="s">
        <v>7045</v>
      </c>
      <c r="BT22" s="1133"/>
      <c r="BU22" s="1133"/>
      <c r="BV22" s="1133"/>
      <c r="BW22" s="1134" t="s">
        <v>7605</v>
      </c>
      <c r="BX22" s="1145"/>
      <c r="BY22" s="1139"/>
      <c r="BZ22" s="1139"/>
      <c r="CA22" s="1161"/>
      <c r="CB22" s="1161"/>
      <c r="CC22" s="1161"/>
      <c r="CD22" s="1139"/>
      <c r="CE22" s="1139"/>
      <c r="CF22" s="1139"/>
      <c r="CG22" s="1139"/>
      <c r="CH22" s="1139"/>
      <c r="CI22" s="1139"/>
      <c r="CJ22" s="1161"/>
      <c r="CK22" s="1161"/>
    </row>
    <row r="23">
      <c r="A23" s="1096" t="s">
        <v>7606</v>
      </c>
      <c r="B23" s="1097" t="s">
        <v>7607</v>
      </c>
      <c r="C23" s="1098" t="s">
        <v>1259</v>
      </c>
      <c r="D23" s="1099" t="s">
        <v>1259</v>
      </c>
      <c r="E23" s="1100" t="s">
        <v>1259</v>
      </c>
      <c r="F23" s="1101" t="s">
        <v>437</v>
      </c>
      <c r="G23" s="1097" t="s">
        <v>219</v>
      </c>
      <c r="H23" s="1102"/>
      <c r="I23" s="1102"/>
      <c r="J23" s="1102"/>
      <c r="K23" s="1102"/>
      <c r="L23" s="1218" t="s">
        <v>7608</v>
      </c>
      <c r="M23" s="1102"/>
      <c r="N23" s="1143" t="s">
        <v>7609</v>
      </c>
      <c r="O23" s="1102"/>
      <c r="P23" s="1145"/>
      <c r="Q23" s="1108"/>
      <c r="R23" s="1108"/>
      <c r="S23" s="1108"/>
      <c r="T23" s="1108"/>
      <c r="U23" s="1107"/>
      <c r="V23" s="1182" t="s">
        <v>7610</v>
      </c>
      <c r="W23" s="1145"/>
      <c r="X23" s="1184"/>
      <c r="Y23" s="1184"/>
      <c r="Z23" s="1204" t="s">
        <v>7611</v>
      </c>
      <c r="AA23" s="1184"/>
      <c r="AB23" s="1184"/>
      <c r="AC23" s="1184"/>
      <c r="AD23" s="1184"/>
      <c r="AE23" s="1245" t="str">
        <f>HYPERLINK("https://youtu.be/0lXotWIeH0g","49.54")</f>
        <v>49.54</v>
      </c>
      <c r="AF23" s="1237"/>
      <c r="AG23" s="1170" t="s">
        <v>7612</v>
      </c>
      <c r="AH23" s="1197" t="s">
        <v>7613</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7614</v>
      </c>
      <c r="AZ23" s="1106"/>
      <c r="BA23" s="1209"/>
      <c r="BB23" s="1209"/>
      <c r="BC23" s="1210" t="s">
        <v>4123</v>
      </c>
      <c r="BD23" s="1209"/>
      <c r="BE23" s="1235" t="s">
        <v>7615</v>
      </c>
      <c r="BF23" s="1106"/>
      <c r="BG23" s="1131"/>
      <c r="BH23" s="1131"/>
      <c r="BI23" s="1131"/>
      <c r="BJ23" s="1188"/>
      <c r="BK23" s="1131"/>
      <c r="BL23" s="1247" t="str">
        <f>HYPERLINK("https://youtu.be/ZWHJWoriERw","3:48.70")</f>
        <v>3:48.70</v>
      </c>
      <c r="BM23" s="1128" t="s">
        <v>7616</v>
      </c>
      <c r="BN23" s="1145"/>
      <c r="BO23" s="1156" t="s">
        <v>228</v>
      </c>
      <c r="BP23" s="1156"/>
      <c r="BQ23" s="1133"/>
      <c r="BR23" s="1133"/>
      <c r="BS23" s="1133"/>
      <c r="BT23" s="1135" t="str">
        <f>HYPERLINK("https://youtu.be/-5bLlrzaDDc","27.91")</f>
        <v>27.91</v>
      </c>
      <c r="BU23" s="1156" t="s">
        <v>7617</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7618</v>
      </c>
      <c r="C24" s="1098" t="s">
        <v>1259</v>
      </c>
      <c r="D24" s="1099" t="s">
        <v>1259</v>
      </c>
      <c r="E24" s="1100" t="s">
        <v>1259</v>
      </c>
      <c r="F24" s="1101" t="s">
        <v>914</v>
      </c>
      <c r="G24" s="1097" t="s">
        <v>3858</v>
      </c>
      <c r="H24" s="1166" t="s">
        <v>2567</v>
      </c>
      <c r="I24" s="1166" t="s">
        <v>7619</v>
      </c>
      <c r="J24" s="1250"/>
      <c r="K24" s="1166" t="s">
        <v>3338</v>
      </c>
      <c r="L24" s="1103"/>
      <c r="M24" s="1102"/>
      <c r="N24" s="1102"/>
      <c r="O24" s="1143" t="s">
        <v>7620</v>
      </c>
      <c r="P24" s="1145"/>
      <c r="Q24" s="1182" t="s">
        <v>7621</v>
      </c>
      <c r="R24" s="1108"/>
      <c r="S24" s="1108"/>
      <c r="T24" s="1182" t="s">
        <v>5134</v>
      </c>
      <c r="U24" s="1107"/>
      <c r="V24" s="1182" t="s">
        <v>7622</v>
      </c>
      <c r="W24" s="1145"/>
      <c r="X24" s="1170" t="s">
        <v>2134</v>
      </c>
      <c r="Y24" s="1184"/>
      <c r="Z24" s="1170" t="s">
        <v>1912</v>
      </c>
      <c r="AA24" s="1237"/>
      <c r="AB24" s="1170" t="s">
        <v>5244</v>
      </c>
      <c r="AC24" s="1184"/>
      <c r="AD24" s="1184"/>
      <c r="AE24" s="1170" t="s">
        <v>4409</v>
      </c>
      <c r="AF24" s="1112"/>
      <c r="AG24" s="1170" t="s">
        <v>7623</v>
      </c>
      <c r="AH24" s="1117"/>
      <c r="AI24" s="1145"/>
      <c r="AJ24" s="1119"/>
      <c r="AK24" s="1119"/>
      <c r="AL24" s="1119"/>
      <c r="AM24" s="1119"/>
      <c r="AN24" s="1119"/>
      <c r="AO24" s="1186" t="s">
        <v>5065</v>
      </c>
      <c r="AP24" s="1119"/>
      <c r="AQ24" s="1123" t="s">
        <v>3267</v>
      </c>
      <c r="AR24" s="1119"/>
      <c r="AS24" s="1119"/>
      <c r="AT24" s="1150"/>
      <c r="AU24" s="1119"/>
      <c r="AV24" s="1119"/>
      <c r="AW24" s="1123" t="s">
        <v>721</v>
      </c>
      <c r="AX24" s="1119"/>
      <c r="AY24" s="1119"/>
      <c r="AZ24" s="1106"/>
      <c r="BA24" s="1209"/>
      <c r="BB24" s="1209"/>
      <c r="BC24" s="1209"/>
      <c r="BD24" s="1209"/>
      <c r="BE24" s="1235" t="s">
        <v>7624</v>
      </c>
      <c r="BF24" s="1106"/>
      <c r="BG24" s="1225" t="s">
        <v>2582</v>
      </c>
      <c r="BH24" s="1131"/>
      <c r="BI24" s="1131"/>
      <c r="BJ24" s="1188"/>
      <c r="BK24" s="1131"/>
      <c r="BL24" s="1131"/>
      <c r="BM24" s="1225" t="s">
        <v>7625</v>
      </c>
      <c r="BN24" s="1145"/>
      <c r="BO24" s="1190" t="s">
        <v>611</v>
      </c>
      <c r="BP24" s="1156"/>
      <c r="BQ24" s="1133"/>
      <c r="BR24" s="1133"/>
      <c r="BS24" s="1133"/>
      <c r="BT24" s="1133"/>
      <c r="BU24" s="1133"/>
      <c r="BV24" s="1190" t="s">
        <v>7626</v>
      </c>
      <c r="BW24" s="1133"/>
      <c r="BX24" s="1145"/>
      <c r="BY24" s="1164" t="s">
        <v>7627</v>
      </c>
      <c r="BZ24" s="1139"/>
      <c r="CA24" s="1161"/>
      <c r="CB24" s="1161"/>
      <c r="CC24" s="1161"/>
      <c r="CD24" s="1139"/>
      <c r="CE24" s="1164" t="s">
        <v>7628</v>
      </c>
      <c r="CF24" s="1138" t="s">
        <v>7629</v>
      </c>
      <c r="CG24" s="1139"/>
      <c r="CH24" s="1139"/>
      <c r="CI24" s="1139"/>
      <c r="CJ24" s="1161"/>
      <c r="CK24" s="1161"/>
    </row>
    <row r="25">
      <c r="A25" s="1096" t="s">
        <v>6461</v>
      </c>
      <c r="B25" s="1097" t="s">
        <v>6267</v>
      </c>
      <c r="C25" s="1098" t="s">
        <v>1259</v>
      </c>
      <c r="D25" s="1099" t="s">
        <v>1259</v>
      </c>
      <c r="E25" s="1100" t="s">
        <v>545</v>
      </c>
      <c r="F25" s="1101" t="s">
        <v>436</v>
      </c>
      <c r="G25" s="1097" t="s">
        <v>3858</v>
      </c>
      <c r="H25" s="1102"/>
      <c r="I25" s="1102"/>
      <c r="J25" s="1102"/>
      <c r="K25" s="1102"/>
      <c r="L25" s="1103" t="s">
        <v>743</v>
      </c>
      <c r="M25" s="1102"/>
      <c r="N25" s="1103" t="s">
        <v>7630</v>
      </c>
      <c r="O25" s="1103"/>
      <c r="P25" s="1145"/>
      <c r="Q25" s="1108"/>
      <c r="R25" s="1108"/>
      <c r="S25" s="1108"/>
      <c r="T25" s="1108"/>
      <c r="U25" s="1108"/>
      <c r="V25" s="1182" t="s">
        <v>7631</v>
      </c>
      <c r="W25" s="1145"/>
      <c r="X25" s="1112" t="s">
        <v>7632</v>
      </c>
      <c r="Y25" s="1170" t="s">
        <v>7633</v>
      </c>
      <c r="Z25" s="1184"/>
      <c r="AA25" s="1251" t="s">
        <v>7634</v>
      </c>
      <c r="AB25" s="1184"/>
      <c r="AC25" s="1114" t="s">
        <v>4708</v>
      </c>
      <c r="AD25" s="1112" t="s">
        <v>1337</v>
      </c>
      <c r="AE25" s="1112" t="s">
        <v>7635</v>
      </c>
      <c r="AF25" s="1112"/>
      <c r="AG25" s="1170" t="s">
        <v>7636</v>
      </c>
      <c r="AH25" s="1117"/>
      <c r="AI25" s="1145"/>
      <c r="AJ25" s="1119"/>
      <c r="AK25" s="1119"/>
      <c r="AL25" s="1119"/>
      <c r="AM25" s="1118" t="s">
        <v>4910</v>
      </c>
      <c r="AN25" s="1119"/>
      <c r="AO25" s="1119"/>
      <c r="AP25" s="1119"/>
      <c r="AQ25" s="1119"/>
      <c r="AR25" s="1119"/>
      <c r="AS25" s="1119"/>
      <c r="AT25" s="1150"/>
      <c r="AU25" s="1119"/>
      <c r="AV25" s="1119"/>
      <c r="AW25" s="1119"/>
      <c r="AX25" s="1119"/>
      <c r="AY25" s="1186" t="s">
        <v>7637</v>
      </c>
      <c r="AZ25" s="1106"/>
      <c r="BA25" s="1209"/>
      <c r="BB25" s="1209"/>
      <c r="BC25" s="1209"/>
      <c r="BD25" s="1209"/>
      <c r="BE25" s="1175" t="s">
        <v>7638</v>
      </c>
      <c r="BF25" s="1106"/>
      <c r="BG25" s="1131"/>
      <c r="BH25" s="1131"/>
      <c r="BI25" s="1131"/>
      <c r="BJ25" s="1188"/>
      <c r="BK25" s="1131"/>
      <c r="BL25" s="1129" t="s">
        <v>7639</v>
      </c>
      <c r="BM25" s="1131"/>
      <c r="BN25" s="1145"/>
      <c r="BO25" s="1134" t="s">
        <v>4855</v>
      </c>
      <c r="BP25" s="1156"/>
      <c r="BQ25" s="1133"/>
      <c r="BR25" s="1134" t="s">
        <v>7640</v>
      </c>
      <c r="BS25" s="1135" t="s">
        <v>7414</v>
      </c>
      <c r="BT25" s="1134" t="s">
        <v>1320</v>
      </c>
      <c r="BU25" s="1133"/>
      <c r="BV25" s="1190" t="s">
        <v>7641</v>
      </c>
      <c r="BW25" s="1134" t="s">
        <v>7642</v>
      </c>
      <c r="BX25" s="1145"/>
      <c r="BY25" s="1139"/>
      <c r="BZ25" s="1139"/>
      <c r="CA25" s="1161"/>
      <c r="CB25" s="1161"/>
      <c r="CC25" s="1161"/>
      <c r="CD25" s="1139"/>
      <c r="CE25" s="1138" t="s">
        <v>3567</v>
      </c>
      <c r="CF25" s="1191" t="s">
        <v>7643</v>
      </c>
      <c r="CG25" s="1139"/>
      <c r="CH25" s="1139"/>
      <c r="CI25" s="1139"/>
      <c r="CJ25" s="1161"/>
      <c r="CK25" s="1161"/>
    </row>
    <row r="26">
      <c r="A26" s="1249" t="s">
        <v>6473</v>
      </c>
      <c r="B26" s="1097" t="s">
        <v>7644</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7645</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7646</v>
      </c>
      <c r="BF26" s="1106"/>
      <c r="BG26" s="1131"/>
      <c r="BH26" s="1131"/>
      <c r="BI26" s="1131"/>
      <c r="BJ26" s="1188"/>
      <c r="BK26" s="1131"/>
      <c r="BL26" s="1131"/>
      <c r="BM26" s="1154" t="s">
        <v>7647</v>
      </c>
      <c r="BN26" s="1148"/>
      <c r="BO26" s="1248" t="str">
        <f>HYPERLINK("https://youtu.be/oOY4TocVyJU","1:05.01")</f>
        <v>1:05.01</v>
      </c>
      <c r="BP26" s="1156"/>
      <c r="BQ26" s="1133"/>
      <c r="BR26" s="1134"/>
      <c r="BS26" s="1134"/>
      <c r="BT26" s="1133"/>
      <c r="BU26" s="1133"/>
      <c r="BV26" s="1133"/>
      <c r="BW26" s="1136" t="s">
        <v>7648</v>
      </c>
      <c r="BX26" s="1148"/>
      <c r="BY26" s="1139"/>
      <c r="BZ26" s="1139"/>
      <c r="CA26" s="1255"/>
      <c r="CB26" s="1255"/>
      <c r="CC26" s="1255"/>
      <c r="CD26" s="1139"/>
      <c r="CE26" s="1139"/>
      <c r="CF26" s="1139"/>
      <c r="CG26" s="1139"/>
      <c r="CH26" s="1139"/>
      <c r="CI26" s="1139"/>
      <c r="CJ26" s="1161"/>
      <c r="CK26" s="1161"/>
    </row>
    <row r="27">
      <c r="A27" s="1096" t="s">
        <v>7649</v>
      </c>
      <c r="B27" s="1097" t="s">
        <v>7650</v>
      </c>
      <c r="C27" s="1098" t="s">
        <v>545</v>
      </c>
      <c r="D27" s="1099" t="s">
        <v>1259</v>
      </c>
      <c r="E27" s="1100" t="s">
        <v>545</v>
      </c>
      <c r="F27" s="1101" t="s">
        <v>438</v>
      </c>
      <c r="G27" s="1097" t="s">
        <v>2759</v>
      </c>
      <c r="H27" s="1103" t="s">
        <v>3844</v>
      </c>
      <c r="I27" s="1103"/>
      <c r="J27" s="1103"/>
      <c r="K27" s="1102"/>
      <c r="L27" s="1103" t="s">
        <v>7651</v>
      </c>
      <c r="M27" s="1102"/>
      <c r="N27" s="1103" t="s">
        <v>7652</v>
      </c>
      <c r="O27" s="1102"/>
      <c r="P27" s="1145"/>
      <c r="Q27" s="1107" t="s">
        <v>7653</v>
      </c>
      <c r="R27" s="1108"/>
      <c r="S27" s="1108"/>
      <c r="T27" s="1108"/>
      <c r="U27" s="1182" t="s">
        <v>7654</v>
      </c>
      <c r="V27" s="1107" t="s">
        <v>7655</v>
      </c>
      <c r="W27" s="1145"/>
      <c r="X27" s="1112"/>
      <c r="Y27" s="1112"/>
      <c r="Z27" s="1112" t="s">
        <v>6493</v>
      </c>
      <c r="AA27" s="1243" t="s">
        <v>4607</v>
      </c>
      <c r="AB27" s="1112" t="s">
        <v>1187</v>
      </c>
      <c r="AC27" s="1184"/>
      <c r="AD27" s="1184"/>
      <c r="AE27" s="1112" t="s">
        <v>7656</v>
      </c>
      <c r="AF27" s="1112"/>
      <c r="AG27" s="1171" t="s">
        <v>7657</v>
      </c>
      <c r="AH27" s="1234" t="s">
        <v>7658</v>
      </c>
      <c r="AI27" s="1145"/>
      <c r="AJ27" s="1198"/>
      <c r="AK27" s="1120" t="s">
        <v>7659</v>
      </c>
      <c r="AL27" s="1119"/>
      <c r="AM27" s="1119"/>
      <c r="AN27" s="1119"/>
      <c r="AO27" s="1119"/>
      <c r="AP27" s="1119"/>
      <c r="AQ27" s="1119"/>
      <c r="AR27" s="1186" t="s">
        <v>7660</v>
      </c>
      <c r="AS27" s="1118" t="s">
        <v>7661</v>
      </c>
      <c r="AT27" s="1150"/>
      <c r="AU27" s="1119"/>
      <c r="AV27" s="1186" t="s">
        <v>7662</v>
      </c>
      <c r="AW27" s="1118" t="s">
        <v>135</v>
      </c>
      <c r="AX27" s="1119"/>
      <c r="AY27" s="1118" t="s">
        <v>7663</v>
      </c>
      <c r="AZ27" s="1106"/>
      <c r="BA27" s="1209"/>
      <c r="BB27" s="1209"/>
      <c r="BC27" s="1209"/>
      <c r="BD27" s="1209"/>
      <c r="BE27" s="1175" t="s">
        <v>7664</v>
      </c>
      <c r="BF27" s="1106"/>
      <c r="BG27" s="1131"/>
      <c r="BH27" s="1131"/>
      <c r="BI27" s="1131"/>
      <c r="BJ27" s="1129"/>
      <c r="BK27" s="1131"/>
      <c r="BL27" s="1176" t="s">
        <v>7665</v>
      </c>
      <c r="BM27" s="1128" t="s">
        <v>7666</v>
      </c>
      <c r="BN27" s="1145"/>
      <c r="BO27" s="1134" t="s">
        <v>3990</v>
      </c>
      <c r="BP27" s="1156"/>
      <c r="BQ27" s="1133"/>
      <c r="BR27" s="1134" t="s">
        <v>7667</v>
      </c>
      <c r="BS27" s="1133"/>
      <c r="BT27" s="1190" t="s">
        <v>902</v>
      </c>
      <c r="BU27" s="1133"/>
      <c r="BV27" s="1134" t="s">
        <v>7668</v>
      </c>
      <c r="BW27" s="1134" t="s">
        <v>7669</v>
      </c>
      <c r="BX27" s="1145"/>
      <c r="BY27" s="1139"/>
      <c r="BZ27" s="1139"/>
      <c r="CA27" s="1161"/>
      <c r="CB27" s="1161"/>
      <c r="CC27" s="1161"/>
      <c r="CD27" s="1139"/>
      <c r="CE27" s="1164" t="s">
        <v>7670</v>
      </c>
      <c r="CF27" s="1139"/>
      <c r="CG27" s="1139"/>
      <c r="CH27" s="1139"/>
      <c r="CI27" s="1139"/>
      <c r="CJ27" s="1161"/>
      <c r="CK27" s="1161"/>
    </row>
    <row r="28">
      <c r="A28" s="1096" t="s">
        <v>4062</v>
      </c>
      <c r="B28" s="1097" t="s">
        <v>7671</v>
      </c>
      <c r="C28" s="1098" t="s">
        <v>1259</v>
      </c>
      <c r="D28" s="1099" t="s">
        <v>1259</v>
      </c>
      <c r="E28" s="1100" t="s">
        <v>330</v>
      </c>
      <c r="F28" s="1101" t="s">
        <v>646</v>
      </c>
      <c r="G28" s="1097" t="s">
        <v>1886</v>
      </c>
      <c r="H28" s="1217" t="s">
        <v>1287</v>
      </c>
      <c r="I28" s="1102"/>
      <c r="J28" s="1102"/>
      <c r="K28" s="1102"/>
      <c r="L28" s="1103" t="s">
        <v>1488</v>
      </c>
      <c r="M28" s="1102"/>
      <c r="N28" s="1166" t="s">
        <v>7672</v>
      </c>
      <c r="O28" s="1102"/>
      <c r="P28" s="1145"/>
      <c r="Q28" s="1256" t="s">
        <v>7673</v>
      </c>
      <c r="R28" s="1108"/>
      <c r="S28" s="1107" t="s">
        <v>5850</v>
      </c>
      <c r="T28" s="1111" t="s">
        <v>620</v>
      </c>
      <c r="U28" s="1257" t="s">
        <v>7674</v>
      </c>
      <c r="V28" s="1107" t="s">
        <v>7675</v>
      </c>
      <c r="W28" s="1145"/>
      <c r="X28" s="1184"/>
      <c r="Y28" s="1112" t="s">
        <v>4073</v>
      </c>
      <c r="Z28" s="1112" t="s">
        <v>5241</v>
      </c>
      <c r="AA28" s="1258" t="s">
        <v>1764</v>
      </c>
      <c r="AB28" s="1112" t="s">
        <v>6183</v>
      </c>
      <c r="AC28" s="1112" t="s">
        <v>3512</v>
      </c>
      <c r="AD28" s="1112" t="s">
        <v>3047</v>
      </c>
      <c r="AE28" s="1147" t="s">
        <v>241</v>
      </c>
      <c r="AF28" s="1171"/>
      <c r="AG28" s="1184"/>
      <c r="AH28" s="1259" t="s">
        <v>4075</v>
      </c>
      <c r="AI28" s="1145"/>
      <c r="AJ28" s="1118"/>
      <c r="AK28" s="1118" t="s">
        <v>7676</v>
      </c>
      <c r="AL28" s="1118" t="s">
        <v>7677</v>
      </c>
      <c r="AM28" s="1118" t="s">
        <v>1644</v>
      </c>
      <c r="AN28" s="1118"/>
      <c r="AO28" s="1119"/>
      <c r="AP28" s="1123" t="s">
        <v>6905</v>
      </c>
      <c r="AQ28" s="1119"/>
      <c r="AR28" s="1118" t="s">
        <v>7678</v>
      </c>
      <c r="AS28" s="1118" t="s">
        <v>7679</v>
      </c>
      <c r="AT28" s="1150"/>
      <c r="AU28" s="1118" t="s">
        <v>7680</v>
      </c>
      <c r="AV28" s="1119"/>
      <c r="AW28" s="1123" t="s">
        <v>2703</v>
      </c>
      <c r="AX28" s="1118" t="s">
        <v>7681</v>
      </c>
      <c r="AY28" s="1118" t="s">
        <v>7682</v>
      </c>
      <c r="AZ28" s="1106"/>
      <c r="BA28" s="1209"/>
      <c r="BB28" s="1209"/>
      <c r="BC28" s="1175" t="s">
        <v>2203</v>
      </c>
      <c r="BD28" s="1175"/>
      <c r="BE28" s="1175" t="s">
        <v>7683</v>
      </c>
      <c r="BF28" s="1106"/>
      <c r="BG28" s="1131"/>
      <c r="BH28" s="1129" t="s">
        <v>7684</v>
      </c>
      <c r="BI28" s="1131"/>
      <c r="BJ28" s="1188"/>
      <c r="BK28" s="1131"/>
      <c r="BL28" s="1129" t="s">
        <v>7685</v>
      </c>
      <c r="BM28" s="1131"/>
      <c r="BN28" s="1145"/>
      <c r="BO28" s="1190" t="s">
        <v>7686</v>
      </c>
      <c r="BP28" s="1156"/>
      <c r="BQ28" s="1133"/>
      <c r="BR28" s="1133"/>
      <c r="BS28" s="1179" t="s">
        <v>7628</v>
      </c>
      <c r="BT28" s="1190" t="s">
        <v>316</v>
      </c>
      <c r="BU28" s="1179" t="s">
        <v>7687</v>
      </c>
      <c r="BV28" s="1133"/>
      <c r="BW28" s="1134" t="s">
        <v>3799</v>
      </c>
      <c r="BX28" s="1145"/>
      <c r="BY28" s="1139"/>
      <c r="BZ28" s="1139"/>
      <c r="CA28" s="1161"/>
      <c r="CB28" s="1161"/>
      <c r="CC28" s="1161"/>
      <c r="CD28" s="1139"/>
      <c r="CE28" s="1138" t="s">
        <v>7629</v>
      </c>
      <c r="CF28" s="1138" t="s">
        <v>7688</v>
      </c>
      <c r="CG28" s="1139"/>
      <c r="CH28" s="1139"/>
      <c r="CI28" s="1139"/>
      <c r="CJ28" s="1161"/>
      <c r="CK28" s="1161"/>
    </row>
    <row r="29">
      <c r="A29" s="1260" t="s">
        <v>6455</v>
      </c>
      <c r="B29" s="1097" t="s">
        <v>7689</v>
      </c>
      <c r="C29" s="1098" t="s">
        <v>1259</v>
      </c>
      <c r="D29" s="1099" t="s">
        <v>1259</v>
      </c>
      <c r="E29" s="1100" t="s">
        <v>1259</v>
      </c>
      <c r="F29" s="1101" t="s">
        <v>437</v>
      </c>
      <c r="G29" s="1097" t="s">
        <v>1061</v>
      </c>
      <c r="H29" s="1217" t="s">
        <v>4213</v>
      </c>
      <c r="I29" s="1103" t="s">
        <v>7690</v>
      </c>
      <c r="J29" s="1103"/>
      <c r="K29" s="1103"/>
      <c r="L29" s="1143" t="s">
        <v>7691</v>
      </c>
      <c r="M29" s="1102"/>
      <c r="N29" s="1166" t="s">
        <v>7692</v>
      </c>
      <c r="O29" s="1102"/>
      <c r="P29" s="1145"/>
      <c r="Q29" s="1108"/>
      <c r="R29" s="1108"/>
      <c r="S29" s="1108"/>
      <c r="T29" s="1108"/>
      <c r="U29" s="1107" t="s">
        <v>414</v>
      </c>
      <c r="V29" s="1111" t="s">
        <v>7693</v>
      </c>
      <c r="W29" s="1145"/>
      <c r="X29" s="1170" t="s">
        <v>4852</v>
      </c>
      <c r="Y29" s="1112" t="s">
        <v>7694</v>
      </c>
      <c r="Z29" s="1170" t="s">
        <v>5917</v>
      </c>
      <c r="AA29" s="1233" t="s">
        <v>4607</v>
      </c>
      <c r="AB29" s="1170" t="s">
        <v>2498</v>
      </c>
      <c r="AC29" s="1147" t="s">
        <v>7695</v>
      </c>
      <c r="AD29" s="1184"/>
      <c r="AE29" s="1147" t="str">
        <f>HYPERLINK("https://twitter.com/Qbe_Root/status/1242884733232648192","56.04")</f>
        <v>56.04</v>
      </c>
      <c r="AF29" s="1171"/>
      <c r="AG29" s="1147" t="s">
        <v>7696</v>
      </c>
      <c r="AH29" s="1117"/>
      <c r="AI29" s="1145"/>
      <c r="AJ29" s="1118"/>
      <c r="AK29" s="1118" t="s">
        <v>7697</v>
      </c>
      <c r="AL29" s="1118" t="s">
        <v>7698</v>
      </c>
      <c r="AM29" s="1118" t="s">
        <v>7699</v>
      </c>
      <c r="AN29" s="1118"/>
      <c r="AO29" s="1119"/>
      <c r="AP29" s="112" t="s">
        <v>7700</v>
      </c>
      <c r="AQ29" s="1119"/>
      <c r="AR29" s="1119"/>
      <c r="AS29" s="1119"/>
      <c r="AT29" s="1150"/>
      <c r="AU29" s="1119"/>
      <c r="AV29" s="1119"/>
      <c r="AW29" s="1118" t="s">
        <v>1618</v>
      </c>
      <c r="AX29" s="1118" t="s">
        <v>7701</v>
      </c>
      <c r="AY29" s="1119"/>
      <c r="AZ29" s="1106"/>
      <c r="BA29" s="1209"/>
      <c r="BB29" s="1209"/>
      <c r="BC29" s="1209"/>
      <c r="BD29" s="1209"/>
      <c r="BE29" s="1235" t="s">
        <v>7702</v>
      </c>
      <c r="BF29" s="1106"/>
      <c r="BG29" s="1129" t="s">
        <v>1469</v>
      </c>
      <c r="BH29" s="1131"/>
      <c r="BI29" s="1131"/>
      <c r="BJ29" s="1188"/>
      <c r="BK29" s="1129" t="s">
        <v>7703</v>
      </c>
      <c r="BL29" s="1131"/>
      <c r="BM29" s="1129" t="s">
        <v>7704</v>
      </c>
      <c r="BN29" s="1145"/>
      <c r="BO29" s="1134" t="s">
        <v>7705</v>
      </c>
      <c r="BP29" s="1156"/>
      <c r="BQ29" s="1133"/>
      <c r="BR29" s="1133"/>
      <c r="BS29" s="1133"/>
      <c r="BT29" s="1190" t="s">
        <v>1476</v>
      </c>
      <c r="BU29" s="1133"/>
      <c r="BV29" s="1261" t="str">
        <f>HYPERLINK("https://twitter.com/Qbe_Root/status/1400138849058275330", "1:53.21")</f>
        <v>1:53.21</v>
      </c>
      <c r="BW29" s="1134" t="s">
        <v>2589</v>
      </c>
      <c r="BX29" s="1145"/>
      <c r="BY29" s="1139"/>
      <c r="BZ29" s="1139"/>
      <c r="CA29" s="1161"/>
      <c r="CB29" s="1161"/>
      <c r="CC29" s="1161"/>
      <c r="CD29" s="1191" t="s">
        <v>4938</v>
      </c>
      <c r="CE29" s="1139"/>
      <c r="CF29" s="1139"/>
      <c r="CG29" s="1139"/>
      <c r="CH29" s="1139"/>
      <c r="CI29" s="1139"/>
      <c r="CJ29" s="1161"/>
      <c r="CK29" s="1161"/>
    </row>
    <row r="30">
      <c r="A30" s="1096" t="s">
        <v>3983</v>
      </c>
      <c r="B30" s="1097" t="s">
        <v>7706</v>
      </c>
      <c r="C30" s="1098" t="s">
        <v>1259</v>
      </c>
      <c r="D30" s="1099" t="s">
        <v>1259</v>
      </c>
      <c r="E30" s="1100" t="s">
        <v>1259</v>
      </c>
      <c r="F30" s="1101" t="s">
        <v>436</v>
      </c>
      <c r="G30" s="1097" t="s">
        <v>2962</v>
      </c>
      <c r="H30" s="1103" t="s">
        <v>2300</v>
      </c>
      <c r="I30" s="1102"/>
      <c r="J30" s="1102"/>
      <c r="K30" s="1102"/>
      <c r="L30" s="1103" t="s">
        <v>6315</v>
      </c>
      <c r="M30" s="1102"/>
      <c r="N30" s="1103" t="s">
        <v>7707</v>
      </c>
      <c r="O30" s="1102"/>
      <c r="P30" s="1145"/>
      <c r="Q30" s="1107" t="s">
        <v>7708</v>
      </c>
      <c r="R30" s="1108"/>
      <c r="S30" s="1108"/>
      <c r="T30" s="1108"/>
      <c r="U30" s="1182" t="s">
        <v>7327</v>
      </c>
      <c r="V30" s="1107" t="s">
        <v>7709</v>
      </c>
      <c r="W30" s="1145"/>
      <c r="X30" s="1184"/>
      <c r="Y30" s="1184"/>
      <c r="Z30" s="1112" t="s">
        <v>7710</v>
      </c>
      <c r="AA30" s="1237"/>
      <c r="AB30" s="1112" t="s">
        <v>4779</v>
      </c>
      <c r="AC30" s="1112" t="s">
        <v>307</v>
      </c>
      <c r="AD30" s="1184"/>
      <c r="AE30" s="1112" t="s">
        <v>3168</v>
      </c>
      <c r="AF30" s="1112"/>
      <c r="AG30" s="1147" t="s">
        <v>7711</v>
      </c>
      <c r="AH30" s="1240" t="s">
        <v>7712</v>
      </c>
      <c r="AI30" s="1145"/>
      <c r="AJ30" s="1118"/>
      <c r="AK30" s="1118" t="s">
        <v>7713</v>
      </c>
      <c r="AL30" s="1118" t="s">
        <v>7714</v>
      </c>
      <c r="AM30" s="1118" t="s">
        <v>4182</v>
      </c>
      <c r="AN30" s="1118"/>
      <c r="AO30" s="1119"/>
      <c r="AP30" s="1119"/>
      <c r="AQ30" s="1119"/>
      <c r="AR30" s="1118" t="s">
        <v>7715</v>
      </c>
      <c r="AS30" s="1118" t="s">
        <v>7716</v>
      </c>
      <c r="AT30" s="1186"/>
      <c r="AU30" s="1118" t="s">
        <v>7717</v>
      </c>
      <c r="AV30" s="1118"/>
      <c r="AW30" s="1118" t="s">
        <v>768</v>
      </c>
      <c r="AX30" s="1119"/>
      <c r="AY30" s="1118" t="s">
        <v>7718</v>
      </c>
      <c r="AZ30" s="1106"/>
      <c r="BA30" s="1175"/>
      <c r="BB30" s="1175" t="s">
        <v>7719</v>
      </c>
      <c r="BC30" s="1235" t="s">
        <v>4425</v>
      </c>
      <c r="BD30" s="1175"/>
      <c r="BE30" s="1235" t="s">
        <v>7720</v>
      </c>
      <c r="BF30" s="1106"/>
      <c r="BG30" s="1129" t="s">
        <v>7721</v>
      </c>
      <c r="BH30" s="1131"/>
      <c r="BI30" s="1131"/>
      <c r="BJ30" s="1188"/>
      <c r="BK30" s="1131"/>
      <c r="BL30" s="1129" t="s">
        <v>7722</v>
      </c>
      <c r="BM30" s="1129" t="s">
        <v>7723</v>
      </c>
      <c r="BN30" s="1145"/>
      <c r="BO30" s="1134" t="s">
        <v>3390</v>
      </c>
      <c r="BP30" s="1156"/>
      <c r="BQ30" s="1133"/>
      <c r="BR30" s="1134" t="s">
        <v>7724</v>
      </c>
      <c r="BS30" s="1190" t="s">
        <v>7725</v>
      </c>
      <c r="BT30" s="1133"/>
      <c r="BU30" s="1133"/>
      <c r="BV30" s="1134" t="s">
        <v>5256</v>
      </c>
      <c r="BW30" s="1134" t="s">
        <v>7726</v>
      </c>
      <c r="BX30" s="1145"/>
      <c r="BY30" s="1139"/>
      <c r="BZ30" s="1139"/>
      <c r="CA30" s="1161"/>
      <c r="CB30" s="1161"/>
      <c r="CC30" s="1161"/>
      <c r="CD30" s="1139"/>
      <c r="CE30" s="1139"/>
      <c r="CF30" s="1138" t="s">
        <v>7727</v>
      </c>
      <c r="CG30" s="1139"/>
      <c r="CH30" s="1139"/>
      <c r="CI30" s="1164" t="s">
        <v>7728</v>
      </c>
      <c r="CJ30" s="1161"/>
      <c r="CK30" s="1161"/>
    </row>
    <row r="31">
      <c r="A31" s="1096" t="s">
        <v>2757</v>
      </c>
      <c r="B31" s="1097" t="s">
        <v>7729</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7730</v>
      </c>
      <c r="V31" s="1107" t="s">
        <v>7731</v>
      </c>
      <c r="W31" s="1145"/>
      <c r="X31" s="1184"/>
      <c r="Y31" s="1184"/>
      <c r="Z31" s="1184"/>
      <c r="AA31" s="1237"/>
      <c r="AB31" s="1112"/>
      <c r="AC31" s="1113" t="s">
        <v>7732</v>
      </c>
      <c r="AD31" s="1112" t="s">
        <v>7733</v>
      </c>
      <c r="AE31" s="1112" t="s">
        <v>4551</v>
      </c>
      <c r="AF31" s="1112"/>
      <c r="AG31" s="1184"/>
      <c r="AH31" s="1117"/>
      <c r="AI31" s="1145"/>
      <c r="AJ31" s="1119"/>
      <c r="AK31" s="1119"/>
      <c r="AL31" s="1119"/>
      <c r="AM31" s="1119"/>
      <c r="AN31" s="1119"/>
      <c r="AO31" s="1119"/>
      <c r="AP31" s="1149" t="s">
        <v>7734</v>
      </c>
      <c r="AQ31" s="1119"/>
      <c r="AR31" s="1119"/>
      <c r="AS31" s="1119"/>
      <c r="AT31" s="1150"/>
      <c r="AU31" s="1119"/>
      <c r="AV31" s="1119"/>
      <c r="AW31" s="1118" t="s">
        <v>1701</v>
      </c>
      <c r="AX31" s="1119"/>
      <c r="AY31" s="1119"/>
      <c r="AZ31" s="1106"/>
      <c r="BA31" s="1209"/>
      <c r="BB31" s="1209"/>
      <c r="BC31" s="1126" t="s">
        <v>5558</v>
      </c>
      <c r="BD31" s="1124"/>
      <c r="BE31" s="1175" t="s">
        <v>7735</v>
      </c>
      <c r="BF31" s="1106"/>
      <c r="BG31" s="1131"/>
      <c r="BH31" s="1131"/>
      <c r="BI31" s="1131"/>
      <c r="BJ31" s="1188"/>
      <c r="BK31" s="1131"/>
      <c r="BL31" s="1131"/>
      <c r="BM31" s="1131"/>
      <c r="BN31" s="1145"/>
      <c r="BO31" s="1134" t="s">
        <v>7736</v>
      </c>
      <c r="BP31" s="1156"/>
      <c r="BQ31" s="1133"/>
      <c r="BR31" s="1133"/>
      <c r="BS31" s="1133"/>
      <c r="BT31" s="1133"/>
      <c r="BU31" s="1133"/>
      <c r="BV31" s="1134" t="s">
        <v>7737</v>
      </c>
      <c r="BW31" s="1133"/>
      <c r="BX31" s="1145"/>
      <c r="BY31" s="1139"/>
      <c r="BZ31" s="1139"/>
      <c r="CA31" s="1161"/>
      <c r="CB31" s="1161"/>
      <c r="CC31" s="1161"/>
      <c r="CD31" s="1139"/>
      <c r="CE31" s="1139"/>
      <c r="CF31" s="1139"/>
      <c r="CG31" s="1139"/>
      <c r="CH31" s="1139"/>
      <c r="CI31" s="1139"/>
      <c r="CJ31" s="1161"/>
      <c r="CK31" s="1161"/>
    </row>
    <row r="32">
      <c r="A32" s="1096" t="s">
        <v>7738</v>
      </c>
      <c r="B32" s="1097" t="s">
        <v>2691</v>
      </c>
      <c r="C32" s="1098" t="s">
        <v>1259</v>
      </c>
      <c r="D32" s="1099" t="s">
        <v>1259</v>
      </c>
      <c r="E32" s="1100" t="s">
        <v>1259</v>
      </c>
      <c r="F32" s="1101" t="s">
        <v>1259</v>
      </c>
      <c r="G32" s="1097" t="s">
        <v>331</v>
      </c>
      <c r="H32" s="1102"/>
      <c r="I32" s="1102"/>
      <c r="J32" s="1103" t="s">
        <v>7739</v>
      </c>
      <c r="K32" s="1102"/>
      <c r="L32" s="1102"/>
      <c r="M32" s="1102"/>
      <c r="N32" s="1102"/>
      <c r="O32" s="1103" t="s">
        <v>7740</v>
      </c>
      <c r="P32" s="1145"/>
      <c r="Q32" s="1108"/>
      <c r="R32" s="1108"/>
      <c r="S32" s="1108"/>
      <c r="T32" s="1108"/>
      <c r="U32" s="1108"/>
      <c r="V32" s="1107" t="s">
        <v>7741</v>
      </c>
      <c r="W32" s="1145"/>
      <c r="X32" s="1184"/>
      <c r="Y32" s="1184"/>
      <c r="Z32" s="1184"/>
      <c r="AA32" s="1237"/>
      <c r="AB32" s="1184"/>
      <c r="AC32" s="1184"/>
      <c r="AD32" s="1184"/>
      <c r="AE32" s="1112" t="s">
        <v>2291</v>
      </c>
      <c r="AF32" s="1112"/>
      <c r="AG32" s="1112" t="s">
        <v>7742</v>
      </c>
      <c r="AH32" s="1117"/>
      <c r="AI32" s="1145"/>
      <c r="AJ32" s="1119"/>
      <c r="AK32" s="1119"/>
      <c r="AL32" s="1119"/>
      <c r="AM32" s="1119"/>
      <c r="AN32" s="1119"/>
      <c r="AO32" s="1119"/>
      <c r="AP32" s="1118" t="s">
        <v>7743</v>
      </c>
      <c r="AQ32" s="1119"/>
      <c r="AR32" s="1119"/>
      <c r="AS32" s="1119"/>
      <c r="AT32" s="1150"/>
      <c r="AU32" s="1119"/>
      <c r="AV32" s="1119"/>
      <c r="AW32" s="1119"/>
      <c r="AX32" s="1119"/>
      <c r="AY32" s="1119"/>
      <c r="AZ32" s="1106"/>
      <c r="BA32" s="1175" t="s">
        <v>7744</v>
      </c>
      <c r="BB32" s="1209"/>
      <c r="BC32" s="1175"/>
      <c r="BD32" s="1175"/>
      <c r="BE32" s="1175" t="s">
        <v>7745</v>
      </c>
      <c r="BF32" s="1106"/>
      <c r="BG32" s="1131"/>
      <c r="BH32" s="1131"/>
      <c r="BI32" s="1131"/>
      <c r="BJ32" s="1188"/>
      <c r="BK32" s="1131"/>
      <c r="BL32" s="1131"/>
      <c r="BM32" s="1129" t="s">
        <v>7746</v>
      </c>
      <c r="BN32" s="1145"/>
      <c r="BO32" s="1133"/>
      <c r="BP32" s="1156"/>
      <c r="BQ32" s="1133"/>
      <c r="BR32" s="1134" t="s">
        <v>2465</v>
      </c>
      <c r="BS32" s="1133"/>
      <c r="BT32" s="1133"/>
      <c r="BU32" s="1133"/>
      <c r="BV32" s="1190" t="s">
        <v>7747</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7748</v>
      </c>
      <c r="M33" s="1102"/>
      <c r="N33" s="1103" t="s">
        <v>7749</v>
      </c>
      <c r="O33" s="1103"/>
      <c r="P33" s="1145"/>
      <c r="Q33" s="1107" t="s">
        <v>7750</v>
      </c>
      <c r="R33" s="1108"/>
      <c r="S33" s="1108"/>
      <c r="T33" s="1108"/>
      <c r="U33" s="1108"/>
      <c r="V33" s="1107" t="s">
        <v>7751</v>
      </c>
      <c r="W33" s="1145"/>
      <c r="X33" s="1184"/>
      <c r="Y33" s="1184"/>
      <c r="Z33" s="1112" t="s">
        <v>7752</v>
      </c>
      <c r="AA33" s="1112" t="s">
        <v>7753</v>
      </c>
      <c r="AB33" s="1112" t="s">
        <v>3977</v>
      </c>
      <c r="AC33" s="1112" t="s">
        <v>7754</v>
      </c>
      <c r="AD33" s="1184"/>
      <c r="AE33" s="1112" t="s">
        <v>2560</v>
      </c>
      <c r="AF33" s="1112"/>
      <c r="AG33" s="1184"/>
      <c r="AH33" s="1240" t="s">
        <v>7755</v>
      </c>
      <c r="AI33" s="1145"/>
      <c r="AJ33" s="1119"/>
      <c r="AK33" s="1119"/>
      <c r="AL33" s="1119"/>
      <c r="AM33" s="1119"/>
      <c r="AN33" s="1119"/>
      <c r="AO33" s="1119"/>
      <c r="AP33" s="1118" t="s">
        <v>7756</v>
      </c>
      <c r="AQ33" s="1119"/>
      <c r="AR33" s="1119"/>
      <c r="AS33" s="1119"/>
      <c r="AT33" s="1150"/>
      <c r="AU33" s="1119"/>
      <c r="AV33" s="1119"/>
      <c r="AW33" s="1118" t="s">
        <v>432</v>
      </c>
      <c r="AX33" s="1119"/>
      <c r="AY33" s="1118" t="s">
        <v>7757</v>
      </c>
      <c r="AZ33" s="1106"/>
      <c r="BA33" s="1175" t="s">
        <v>7758</v>
      </c>
      <c r="BB33" s="1175" t="s">
        <v>7759</v>
      </c>
      <c r="BC33" s="1209"/>
      <c r="BD33" s="1209"/>
      <c r="BE33" s="1175" t="s">
        <v>7760</v>
      </c>
      <c r="BF33" s="1106"/>
      <c r="BG33" s="1131"/>
      <c r="BH33" s="1131"/>
      <c r="BI33" s="1131"/>
      <c r="BJ33" s="1188"/>
      <c r="BK33" s="1131"/>
      <c r="BL33" s="1154" t="s">
        <v>7761</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7762</v>
      </c>
      <c r="I34" s="1102"/>
      <c r="J34" s="1102"/>
      <c r="K34" s="1102"/>
      <c r="L34" s="1102"/>
      <c r="M34" s="1102"/>
      <c r="N34" s="1102"/>
      <c r="O34" s="1102"/>
      <c r="P34" s="1145"/>
      <c r="Q34" s="1108"/>
      <c r="R34" s="1108"/>
      <c r="S34" s="1107" t="s">
        <v>1026</v>
      </c>
      <c r="T34" s="1107" t="s">
        <v>1969</v>
      </c>
      <c r="U34" s="1107" t="s">
        <v>4548</v>
      </c>
      <c r="V34" s="1107" t="s">
        <v>7763</v>
      </c>
      <c r="W34" s="1145"/>
      <c r="X34" s="1112" t="s">
        <v>1667</v>
      </c>
      <c r="Y34" s="1184"/>
      <c r="Z34" s="1184"/>
      <c r="AA34" s="1237"/>
      <c r="AB34" s="1184"/>
      <c r="AC34" s="1184"/>
      <c r="AD34" s="1184"/>
      <c r="AE34" s="1184"/>
      <c r="AF34" s="1112"/>
      <c r="AG34" s="1184"/>
      <c r="AH34" s="1117"/>
      <c r="AI34" s="1145"/>
      <c r="AJ34" s="1119"/>
      <c r="AK34" s="1119"/>
      <c r="AL34" s="1119"/>
      <c r="AM34" s="1118" t="s">
        <v>7764</v>
      </c>
      <c r="AN34" s="1119"/>
      <c r="AO34" s="1119"/>
      <c r="AP34" s="1118" t="s">
        <v>7765</v>
      </c>
      <c r="AQ34" s="1119"/>
      <c r="AR34" s="1123" t="s">
        <v>7766</v>
      </c>
      <c r="AS34" s="1119"/>
      <c r="AT34" s="1150"/>
      <c r="AU34" s="1119"/>
      <c r="AV34" s="1119"/>
      <c r="AW34" s="1118" t="s">
        <v>1439</v>
      </c>
      <c r="AX34" s="1119"/>
      <c r="AY34" s="1119"/>
      <c r="AZ34" s="1106"/>
      <c r="BA34" s="1209"/>
      <c r="BB34" s="1175" t="s">
        <v>7767</v>
      </c>
      <c r="BC34" s="1175" t="s">
        <v>419</v>
      </c>
      <c r="BD34" s="1175"/>
      <c r="BE34" s="1175" t="s">
        <v>7768</v>
      </c>
      <c r="BF34" s="1106"/>
      <c r="BG34" s="1131"/>
      <c r="BH34" s="1131"/>
      <c r="BI34" s="1131"/>
      <c r="BJ34" s="1188"/>
      <c r="BK34" s="1131"/>
      <c r="BL34" s="1131"/>
      <c r="BM34" s="1131"/>
      <c r="BN34" s="1145"/>
      <c r="BO34" s="1135" t="s">
        <v>7769</v>
      </c>
      <c r="BP34" s="1156"/>
      <c r="BQ34" s="1135" t="s">
        <v>1036</v>
      </c>
      <c r="BR34" s="1133"/>
      <c r="BS34" s="1133"/>
      <c r="BT34" s="1133"/>
      <c r="BU34" s="1133"/>
      <c r="BV34" s="1134" t="s">
        <v>7770</v>
      </c>
      <c r="BW34" s="1134" t="s">
        <v>7771</v>
      </c>
      <c r="BX34" s="1145"/>
      <c r="BY34" s="1139"/>
      <c r="BZ34" s="1164" t="s">
        <v>6507</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7772</v>
      </c>
      <c r="O35" s="1102"/>
      <c r="P35" s="1145"/>
      <c r="Q35" s="1108"/>
      <c r="R35" s="1108"/>
      <c r="S35" s="1215" t="s">
        <v>2839</v>
      </c>
      <c r="T35" s="1108"/>
      <c r="U35" s="1108"/>
      <c r="V35" s="1107" t="s">
        <v>7773</v>
      </c>
      <c r="W35" s="1145"/>
      <c r="X35" s="1184"/>
      <c r="Y35" s="1184"/>
      <c r="Z35" s="1112" t="s">
        <v>7544</v>
      </c>
      <c r="AA35" s="1183" t="s">
        <v>606</v>
      </c>
      <c r="AB35" s="1184"/>
      <c r="AC35" s="1184"/>
      <c r="AD35" s="1112" t="s">
        <v>4867</v>
      </c>
      <c r="AE35" s="1112" t="s">
        <v>748</v>
      </c>
      <c r="AF35" s="1184"/>
      <c r="AG35" s="1184"/>
      <c r="AH35" s="1244" t="s">
        <v>7774</v>
      </c>
      <c r="AI35" s="1145"/>
      <c r="AJ35" s="1119"/>
      <c r="AK35" s="1119"/>
      <c r="AL35" s="1119"/>
      <c r="AM35" s="1118" t="s">
        <v>7775</v>
      </c>
      <c r="AN35" s="1119"/>
      <c r="AO35" s="1119"/>
      <c r="AP35" s="1119"/>
      <c r="AQ35" s="1119"/>
      <c r="AR35" s="1119"/>
      <c r="AS35" s="1119"/>
      <c r="AT35" s="1150"/>
      <c r="AU35" s="1119"/>
      <c r="AV35" s="1119"/>
      <c r="AW35" s="1119"/>
      <c r="AX35" s="1119"/>
      <c r="AY35" s="1118" t="s">
        <v>7776</v>
      </c>
      <c r="AZ35" s="1106"/>
      <c r="BA35" s="1209"/>
      <c r="BB35" s="1209"/>
      <c r="BC35" s="1209"/>
      <c r="BD35" s="1175" t="s">
        <v>7777</v>
      </c>
      <c r="BE35" s="1175" t="s">
        <v>7778</v>
      </c>
      <c r="BF35" s="1106"/>
      <c r="BG35" s="1129" t="s">
        <v>1394</v>
      </c>
      <c r="BH35" s="1131"/>
      <c r="BI35" s="1131"/>
      <c r="BJ35" s="1188"/>
      <c r="BK35" s="1131"/>
      <c r="BL35" s="1129" t="s">
        <v>7779</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2690</v>
      </c>
      <c r="H36" s="1102"/>
      <c r="I36" s="1102"/>
      <c r="J36" s="1102"/>
      <c r="K36" s="1102"/>
      <c r="L36" s="1103" t="s">
        <v>7780</v>
      </c>
      <c r="M36" s="1102"/>
      <c r="N36" s="1103" t="s">
        <v>7781</v>
      </c>
      <c r="O36" s="1102"/>
      <c r="P36" s="1145"/>
      <c r="Q36" s="1108"/>
      <c r="R36" s="1108"/>
      <c r="S36" s="1108"/>
      <c r="T36" s="1108"/>
      <c r="U36" s="1107" t="s">
        <v>4497</v>
      </c>
      <c r="V36" s="1107" t="s">
        <v>7782</v>
      </c>
      <c r="W36" s="1145"/>
      <c r="X36" s="1184"/>
      <c r="Y36" s="1184"/>
      <c r="Z36" s="1112" t="s">
        <v>7783</v>
      </c>
      <c r="AA36" s="1237"/>
      <c r="AB36" s="1184"/>
      <c r="AC36" s="1184"/>
      <c r="AD36" s="1112" t="s">
        <v>1414</v>
      </c>
      <c r="AE36" s="1112" t="s">
        <v>2902</v>
      </c>
      <c r="AF36" s="1112"/>
      <c r="AG36" s="1184"/>
      <c r="AH36" s="1240" t="s">
        <v>7784</v>
      </c>
      <c r="AI36" s="1145"/>
      <c r="AJ36" s="1119"/>
      <c r="AK36" s="1119"/>
      <c r="AL36" s="1119"/>
      <c r="AM36" s="1118" t="s">
        <v>2808</v>
      </c>
      <c r="AN36" s="1119"/>
      <c r="AO36" s="1119"/>
      <c r="AP36" s="1119"/>
      <c r="AQ36" s="1119"/>
      <c r="AR36" s="1119"/>
      <c r="AS36" s="1119"/>
      <c r="AT36" s="1150"/>
      <c r="AU36" s="1119"/>
      <c r="AV36" s="1119"/>
      <c r="AW36" s="1118" t="s">
        <v>1283</v>
      </c>
      <c r="AX36" s="1119"/>
      <c r="AY36" s="1119"/>
      <c r="AZ36" s="1106"/>
      <c r="BA36" s="1209"/>
      <c r="BB36" s="1209"/>
      <c r="BC36" s="1209"/>
      <c r="BD36" s="1209"/>
      <c r="BE36" s="1175" t="s">
        <v>7785</v>
      </c>
      <c r="BF36" s="1106"/>
      <c r="BG36" s="1129" t="s">
        <v>7786</v>
      </c>
      <c r="BH36" s="1129" t="s">
        <v>2971</v>
      </c>
      <c r="BI36" s="1131"/>
      <c r="BJ36" s="1188"/>
      <c r="BK36" s="1131"/>
      <c r="BL36" s="1129" t="s">
        <v>7787</v>
      </c>
      <c r="BM36" s="1131"/>
      <c r="BN36" s="1145"/>
      <c r="BO36" s="1134" t="s">
        <v>1904</v>
      </c>
      <c r="BP36" s="1156"/>
      <c r="BQ36" s="1133"/>
      <c r="BR36" s="1133"/>
      <c r="BS36" s="1133"/>
      <c r="BT36" s="1134" t="s">
        <v>4316</v>
      </c>
      <c r="BU36" s="1133"/>
      <c r="BV36" s="1134" t="s">
        <v>7788</v>
      </c>
      <c r="BW36" s="1134" t="s">
        <v>7789</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7790</v>
      </c>
      <c r="O37" s="1102"/>
      <c r="P37" s="1145"/>
      <c r="Q37" s="1108"/>
      <c r="R37" s="1108"/>
      <c r="S37" s="1107" t="s">
        <v>7791</v>
      </c>
      <c r="T37" s="1108"/>
      <c r="U37" s="1108"/>
      <c r="V37" s="1108"/>
      <c r="W37" s="1145"/>
      <c r="X37" s="1184"/>
      <c r="Y37" s="1184"/>
      <c r="Z37" s="1184"/>
      <c r="AA37" s="1243" t="s">
        <v>6762</v>
      </c>
      <c r="AB37" s="1172" t="s">
        <v>7792</v>
      </c>
      <c r="AC37" s="1184"/>
      <c r="AD37" s="1184"/>
      <c r="AE37" s="1184"/>
      <c r="AF37" s="1184"/>
      <c r="AG37" s="1184"/>
      <c r="AH37" s="1240" t="s">
        <v>7793</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7794</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7795</v>
      </c>
      <c r="BX37" s="1145"/>
      <c r="BY37" s="1139"/>
      <c r="BZ37" s="1241" t="s">
        <v>2693</v>
      </c>
      <c r="CA37" s="1161"/>
      <c r="CB37" s="1161"/>
      <c r="CC37" s="1161"/>
      <c r="CD37" s="1139"/>
      <c r="CE37" s="1139"/>
      <c r="CF37" s="1138" t="s">
        <v>7796</v>
      </c>
      <c r="CG37" s="1139"/>
      <c r="CH37" s="1139"/>
      <c r="CI37" s="1164" t="s">
        <v>4951</v>
      </c>
      <c r="CJ37" s="1161"/>
      <c r="CK37" s="1161"/>
    </row>
    <row r="38">
      <c r="A38" s="1096" t="s">
        <v>7797</v>
      </c>
      <c r="B38" s="1097" t="s">
        <v>7798</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7799</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7800</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7801</v>
      </c>
      <c r="Z39" s="856"/>
      <c r="AA39" s="856"/>
      <c r="AB39" s="834" t="s">
        <v>5090</v>
      </c>
      <c r="AC39" s="856"/>
      <c r="AD39" s="1267"/>
      <c r="AE39" s="1267"/>
      <c r="AF39" s="1267"/>
      <c r="AG39" s="834" t="s">
        <v>7802</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7803</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3251</v>
      </c>
      <c r="C41" s="1098" t="s">
        <v>1259</v>
      </c>
      <c r="D41" s="1099" t="s">
        <v>1259</v>
      </c>
      <c r="E41" s="1100" t="s">
        <v>1259</v>
      </c>
      <c r="F41" s="1101" t="s">
        <v>1259</v>
      </c>
      <c r="G41" s="1097" t="s">
        <v>913</v>
      </c>
      <c r="H41" s="1102"/>
      <c r="I41" s="1102"/>
      <c r="J41" s="1103" t="s">
        <v>7804</v>
      </c>
      <c r="K41" s="1103"/>
      <c r="L41" s="1103"/>
      <c r="M41" s="1103" t="s">
        <v>7805</v>
      </c>
      <c r="N41" s="1102"/>
      <c r="O41" s="1103" t="s">
        <v>7806</v>
      </c>
      <c r="P41" s="1145"/>
      <c r="Q41" s="1108"/>
      <c r="R41" s="1107" t="s">
        <v>7088</v>
      </c>
      <c r="S41" s="1108"/>
      <c r="T41" s="1108"/>
      <c r="U41" s="1108"/>
      <c r="V41" s="1107" t="s">
        <v>7807</v>
      </c>
      <c r="W41" s="1145"/>
      <c r="X41" s="1184"/>
      <c r="Y41" s="1184"/>
      <c r="Z41" s="1184"/>
      <c r="AA41" s="1243" t="s">
        <v>7808</v>
      </c>
      <c r="AB41" s="1112" t="s">
        <v>7809</v>
      </c>
      <c r="AC41" s="1184"/>
      <c r="AD41" s="1184"/>
      <c r="AE41" s="1184"/>
      <c r="AF41" s="1184"/>
      <c r="AG41" s="1112" t="s">
        <v>7810</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7811</v>
      </c>
      <c r="BF41" s="1106"/>
      <c r="BG41" s="1131"/>
      <c r="BH41" s="1131"/>
      <c r="BI41" s="1131"/>
      <c r="BJ41" s="1188"/>
      <c r="BK41" s="1131"/>
      <c r="BL41" s="1131"/>
      <c r="BM41" s="1129" t="s">
        <v>7812</v>
      </c>
      <c r="BN41" s="1145"/>
      <c r="BO41" s="1133"/>
      <c r="BP41" s="1156"/>
      <c r="BQ41" s="1133"/>
      <c r="BR41" s="1133"/>
      <c r="BS41" s="1133"/>
      <c r="BT41" s="1133"/>
      <c r="BU41" s="1133"/>
      <c r="BV41" s="1134" t="s">
        <v>7293</v>
      </c>
      <c r="BW41" s="1134" t="s">
        <v>7813</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7814</v>
      </c>
      <c r="M42" s="1102"/>
      <c r="N42" s="1166" t="s">
        <v>7815</v>
      </c>
      <c r="O42" s="1102"/>
      <c r="P42" s="1145"/>
      <c r="Q42" s="1107" t="s">
        <v>7816</v>
      </c>
      <c r="R42" s="1108"/>
      <c r="S42" s="1108"/>
      <c r="T42" s="1108"/>
      <c r="U42" s="1108"/>
      <c r="V42" s="1107" t="s">
        <v>7817</v>
      </c>
      <c r="W42" s="1145"/>
      <c r="X42" s="1184"/>
      <c r="Y42" s="1184"/>
      <c r="Z42" s="1184"/>
      <c r="AA42" s="1237"/>
      <c r="AB42" s="1184"/>
      <c r="AC42" s="1184"/>
      <c r="AD42" s="1184"/>
      <c r="AE42" s="1184"/>
      <c r="AF42" s="1184"/>
      <c r="AG42" s="1184"/>
      <c r="AH42" s="1240" t="s">
        <v>7818</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7819</v>
      </c>
      <c r="BD42" s="1175"/>
      <c r="BE42" s="1175" t="s">
        <v>7820</v>
      </c>
      <c r="BF42" s="1106"/>
      <c r="BG42" s="1131"/>
      <c r="BH42" s="1131"/>
      <c r="BI42" s="1131"/>
      <c r="BJ42" s="1188"/>
      <c r="BK42" s="1131"/>
      <c r="BL42" s="1131"/>
      <c r="BM42" s="1131"/>
      <c r="BN42" s="1145"/>
      <c r="BO42" s="1133"/>
      <c r="BP42" s="1156"/>
      <c r="BQ42" s="1134" t="s">
        <v>3566</v>
      </c>
      <c r="BR42" s="1133"/>
      <c r="BS42" s="1133"/>
      <c r="BT42" s="1133"/>
      <c r="BU42" s="1135" t="s">
        <v>7821</v>
      </c>
      <c r="BV42" s="1133"/>
      <c r="BW42" s="1134" t="s">
        <v>7822</v>
      </c>
      <c r="BX42" s="1145"/>
      <c r="BY42" s="1139"/>
      <c r="BZ42" s="1139"/>
      <c r="CA42" s="1161"/>
      <c r="CB42" s="1161"/>
      <c r="CC42" s="1161"/>
      <c r="CD42" s="1139"/>
      <c r="CE42" s="1139"/>
      <c r="CF42" s="1139"/>
      <c r="CG42" s="1139"/>
      <c r="CH42" s="1139"/>
      <c r="CI42" s="1164" t="s">
        <v>7823</v>
      </c>
      <c r="CJ42" s="1161"/>
      <c r="CK42" s="1161"/>
    </row>
    <row r="43">
      <c r="A43" s="1096" t="s">
        <v>5826</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7824</v>
      </c>
      <c r="BX43" s="1145"/>
      <c r="BY43" s="1139"/>
      <c r="BZ43" s="1139"/>
      <c r="CA43" s="1161"/>
      <c r="CB43" s="1161"/>
      <c r="CC43" s="1161"/>
      <c r="CD43" s="1139"/>
      <c r="CE43" s="1139"/>
      <c r="CF43" s="1139"/>
      <c r="CG43" s="1139"/>
      <c r="CH43" s="1139"/>
      <c r="CI43" s="1139"/>
      <c r="CJ43" s="1161"/>
      <c r="CK43" s="1161"/>
    </row>
    <row r="44">
      <c r="A44" s="1096" t="s">
        <v>2637</v>
      </c>
      <c r="B44" s="1097" t="s">
        <v>1808</v>
      </c>
      <c r="C44" s="1098" t="s">
        <v>1259</v>
      </c>
      <c r="D44" s="1099" t="s">
        <v>1259</v>
      </c>
      <c r="E44" s="1100" t="s">
        <v>1259</v>
      </c>
      <c r="F44" s="1101" t="s">
        <v>1259</v>
      </c>
      <c r="G44" s="1097" t="s">
        <v>330</v>
      </c>
      <c r="H44" s="1102"/>
      <c r="I44" s="1102"/>
      <c r="J44" s="1102"/>
      <c r="K44" s="1102"/>
      <c r="L44" s="1271" t="s">
        <v>7825</v>
      </c>
      <c r="M44" s="1143" t="s">
        <v>2684</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7826</v>
      </c>
      <c r="BF44" s="1106"/>
      <c r="BG44" s="1225" t="s">
        <v>7827</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7828</v>
      </c>
      <c r="O46" s="1102"/>
      <c r="P46" s="1145"/>
      <c r="Q46" s="1108"/>
      <c r="R46" s="1108"/>
      <c r="S46" s="1108"/>
      <c r="T46" s="1108"/>
      <c r="U46" s="1107"/>
      <c r="V46" s="1107" t="s">
        <v>7829</v>
      </c>
      <c r="W46" s="1145"/>
      <c r="X46" s="1184"/>
      <c r="Y46" s="1184"/>
      <c r="Z46" s="1170" t="s">
        <v>7830</v>
      </c>
      <c r="AA46" s="1237"/>
      <c r="AB46" s="1112" t="s">
        <v>815</v>
      </c>
      <c r="AC46" s="1184"/>
      <c r="AD46" s="1184"/>
      <c r="AE46" s="1184"/>
      <c r="AF46" s="1184"/>
      <c r="AG46" s="1112" t="s">
        <v>7831</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7832</v>
      </c>
      <c r="BF46" s="1106"/>
      <c r="BG46" s="1131"/>
      <c r="BH46" s="1131"/>
      <c r="BI46" s="1131"/>
      <c r="BJ46" s="1188"/>
      <c r="BK46" s="1131"/>
      <c r="BL46" s="1131"/>
      <c r="BM46" s="1131"/>
      <c r="BN46" s="1145"/>
      <c r="BO46" s="1134" t="s">
        <v>7833</v>
      </c>
      <c r="BP46" s="1156"/>
      <c r="BQ46" s="1133"/>
      <c r="BR46" s="1133"/>
      <c r="BS46" s="1133"/>
      <c r="BT46" s="1133"/>
      <c r="BU46" s="1133"/>
      <c r="BV46" s="1133"/>
      <c r="BW46" s="1190" t="s">
        <v>7834</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7835</v>
      </c>
      <c r="W47" s="1145"/>
      <c r="X47" s="1184"/>
      <c r="Y47" s="1184"/>
      <c r="Z47" s="1184"/>
      <c r="AA47" s="1237"/>
      <c r="AB47" s="1184"/>
      <c r="AC47" s="1184"/>
      <c r="AD47" s="1184"/>
      <c r="AE47" s="1184"/>
      <c r="AF47" s="1184"/>
      <c r="AG47" s="1184"/>
      <c r="AH47" s="1240" t="s">
        <v>7836</v>
      </c>
      <c r="AI47" s="1145"/>
      <c r="AJ47" s="1119"/>
      <c r="AK47" s="1119"/>
      <c r="AL47" s="1119"/>
      <c r="AM47" s="1119"/>
      <c r="AN47" s="1119"/>
      <c r="AO47" s="1119"/>
      <c r="AP47" s="1119"/>
      <c r="AQ47" s="1119"/>
      <c r="AR47" s="1119"/>
      <c r="AS47" s="1119"/>
      <c r="AT47" s="1150"/>
      <c r="AU47" s="1119"/>
      <c r="AV47" s="1119"/>
      <c r="AW47" s="1119"/>
      <c r="AX47" s="1119"/>
      <c r="AY47" s="1240" t="s">
        <v>7837</v>
      </c>
      <c r="AZ47" s="1106"/>
      <c r="BA47" s="1209"/>
      <c r="BB47" s="1209"/>
      <c r="BC47" s="1209"/>
      <c r="BD47" s="1209"/>
      <c r="BE47" s="1240" t="s">
        <v>7838</v>
      </c>
      <c r="BF47" s="1106"/>
      <c r="BG47" s="1131"/>
      <c r="BH47" s="1131"/>
      <c r="BI47" s="1131"/>
      <c r="BJ47" s="1188"/>
      <c r="BK47" s="1131"/>
      <c r="BL47" s="1240" t="s">
        <v>7839</v>
      </c>
      <c r="BM47" s="1129"/>
      <c r="BN47" s="1145"/>
      <c r="BO47" s="1133"/>
      <c r="BP47" s="1156"/>
      <c r="BQ47" s="1133"/>
      <c r="BR47" s="1133"/>
      <c r="BS47" s="1133"/>
      <c r="BT47" s="1133"/>
      <c r="BU47" s="1133"/>
      <c r="BV47" s="1133"/>
      <c r="BW47" s="1240" t="s">
        <v>7840</v>
      </c>
      <c r="BX47" s="1145"/>
      <c r="BY47" s="1139"/>
      <c r="BZ47" s="1139"/>
      <c r="CA47" s="1161"/>
      <c r="CB47" s="1161"/>
      <c r="CC47" s="1161"/>
      <c r="CD47" s="1139"/>
      <c r="CE47" s="1139"/>
      <c r="CF47" s="1139"/>
      <c r="CG47" s="1139"/>
      <c r="CH47" s="1139"/>
      <c r="CI47" s="1139"/>
      <c r="CJ47" s="1161"/>
      <c r="CK47" s="1161"/>
    </row>
    <row r="48">
      <c r="A48" s="1249" t="s">
        <v>7841</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7842</v>
      </c>
      <c r="AA48" s="1184"/>
      <c r="AB48" s="1204" t="s">
        <v>7843</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7844</v>
      </c>
      <c r="B49" s="1097" t="s">
        <v>3317</v>
      </c>
      <c r="C49" s="1098" t="s">
        <v>1259</v>
      </c>
      <c r="D49" s="1099" t="s">
        <v>1259</v>
      </c>
      <c r="E49" s="1100" t="s">
        <v>1259</v>
      </c>
      <c r="F49" s="1101" t="s">
        <v>1259</v>
      </c>
      <c r="G49" s="1097" t="s">
        <v>330</v>
      </c>
      <c r="H49" s="1102"/>
      <c r="I49" s="1102"/>
      <c r="J49" s="1102"/>
      <c r="K49" s="1102"/>
      <c r="L49" s="1102"/>
      <c r="M49" s="1102"/>
      <c r="N49" s="1103" t="s">
        <v>7845</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7846</v>
      </c>
      <c r="BF49" s="1106"/>
      <c r="BG49" s="1131"/>
      <c r="BH49" s="1131"/>
      <c r="BI49" s="1131"/>
      <c r="BJ49" s="1188"/>
      <c r="BK49" s="1131"/>
      <c r="BL49" s="1131"/>
      <c r="BM49" s="1131"/>
      <c r="BN49" s="1145"/>
      <c r="BO49" s="1133"/>
      <c r="BP49" s="1156"/>
      <c r="BQ49" s="1133"/>
      <c r="BR49" s="1133"/>
      <c r="BS49" s="1133"/>
      <c r="BT49" s="1133"/>
      <c r="BU49" s="1133"/>
      <c r="BV49" s="1133"/>
      <c r="BW49" s="1134" t="s">
        <v>7847</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7848</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7849</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7850</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7851</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7852</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7853</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7854</v>
      </c>
      <c r="W56" s="1145"/>
      <c r="X56" s="1184"/>
      <c r="Y56" s="1184"/>
      <c r="Z56" s="1184"/>
      <c r="AA56" s="1237"/>
      <c r="AB56" s="1184"/>
      <c r="AC56" s="1184"/>
      <c r="AD56" s="1184"/>
      <c r="AE56" s="1184"/>
      <c r="AF56" s="1184"/>
      <c r="AG56" s="1184"/>
      <c r="AH56" s="1240" t="s">
        <v>7855</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7856</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7857</v>
      </c>
      <c r="B58" s="1097" t="s">
        <v>330</v>
      </c>
      <c r="C58" s="1098" t="s">
        <v>1259</v>
      </c>
      <c r="D58" s="1099" t="s">
        <v>1259</v>
      </c>
      <c r="E58" s="1100" t="s">
        <v>1259</v>
      </c>
      <c r="F58" s="1101" t="s">
        <v>436</v>
      </c>
      <c r="G58" s="1097" t="s">
        <v>436</v>
      </c>
      <c r="H58" s="1102"/>
      <c r="I58" s="1102"/>
      <c r="J58" s="1102"/>
      <c r="K58" s="1102"/>
      <c r="L58" s="1166" t="s">
        <v>7858</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7232</v>
      </c>
      <c r="BV58" s="1133"/>
      <c r="BW58" s="1133"/>
      <c r="BX58" s="1145"/>
      <c r="BY58" s="1139"/>
      <c r="BZ58" s="1139"/>
      <c r="CA58" s="1161"/>
      <c r="CB58" s="1161"/>
      <c r="CC58" s="1161"/>
      <c r="CD58" s="1139"/>
      <c r="CE58" s="1139"/>
      <c r="CF58" s="1139"/>
      <c r="CG58" s="1139"/>
      <c r="CH58" s="1139"/>
      <c r="CI58" s="1139"/>
      <c r="CJ58" s="1161"/>
      <c r="CK58" s="1161"/>
    </row>
    <row r="59">
      <c r="A59" s="1096" t="s">
        <v>7859</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6680</v>
      </c>
      <c r="Q1" s="29" t="s">
        <v>38</v>
      </c>
      <c r="T1" s="30" t="s">
        <v>39</v>
      </c>
      <c r="W1" s="32" t="s">
        <v>6914</v>
      </c>
      <c r="Z1" s="33" t="s">
        <v>6974</v>
      </c>
      <c r="AC1" s="34" t="s">
        <v>42</v>
      </c>
      <c r="AF1" s="1283"/>
      <c r="AG1" s="1283"/>
    </row>
    <row r="2" ht="38.25" customHeight="1">
      <c r="A2" s="35" t="s">
        <v>43</v>
      </c>
      <c r="B2" s="36" t="s">
        <v>44</v>
      </c>
      <c r="C2" s="36" t="s">
        <v>45</v>
      </c>
      <c r="F2" s="36" t="s">
        <v>7861</v>
      </c>
      <c r="H2" s="1284" t="s">
        <v>7862</v>
      </c>
      <c r="I2" s="1285"/>
      <c r="J2" s="1285"/>
      <c r="K2" s="1286" t="s">
        <v>7863</v>
      </c>
      <c r="L2" s="1286" t="s">
        <v>7864</v>
      </c>
      <c r="M2" s="1286" t="s">
        <v>7865</v>
      </c>
      <c r="N2" s="1287" t="s">
        <v>54</v>
      </c>
      <c r="O2" s="1287"/>
      <c r="P2" s="1287"/>
      <c r="Q2" s="42" t="s">
        <v>48</v>
      </c>
      <c r="R2" s="42" t="s">
        <v>7866</v>
      </c>
      <c r="S2" s="42"/>
      <c r="T2" s="44" t="s">
        <v>50</v>
      </c>
      <c r="U2" s="44" t="s">
        <v>54</v>
      </c>
      <c r="V2" s="44" t="s">
        <v>62</v>
      </c>
      <c r="W2" s="45" t="s">
        <v>52</v>
      </c>
      <c r="X2" s="45"/>
      <c r="Y2" s="45"/>
      <c r="Z2" s="47" t="s">
        <v>51</v>
      </c>
      <c r="AA2" s="1288" t="s">
        <v>7867</v>
      </c>
      <c r="AB2" s="47"/>
      <c r="AC2" s="1289" t="s">
        <v>7868</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7869</v>
      </c>
      <c r="X3" s="1301"/>
      <c r="Y3" s="1301"/>
      <c r="Z3" s="1304" t="s">
        <v>7870</v>
      </c>
      <c r="AA3" s="1301"/>
      <c r="AB3" s="1267"/>
      <c r="AC3" s="1301"/>
      <c r="AD3" s="1301"/>
      <c r="AE3" s="1301"/>
      <c r="AF3" s="1305"/>
      <c r="AG3" s="1305"/>
    </row>
    <row r="4">
      <c r="A4" s="1306" t="s">
        <v>5373</v>
      </c>
      <c r="B4" s="1292" t="s">
        <v>2602</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7871</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7872</v>
      </c>
      <c r="X5" s="1301"/>
      <c r="Y5" s="1301"/>
      <c r="Z5" s="1310" t="s">
        <v>7873</v>
      </c>
      <c r="AA5" s="1301"/>
      <c r="AB5" s="1267"/>
      <c r="AC5" s="1301"/>
      <c r="AD5" s="1301"/>
      <c r="AE5" s="1301"/>
      <c r="AF5" s="1305"/>
      <c r="AG5" s="1305"/>
    </row>
    <row r="6">
      <c r="A6" s="1291" t="s">
        <v>2450</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7721</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7874</v>
      </c>
      <c r="S7" s="1267"/>
      <c r="T7" s="1301"/>
      <c r="U7" s="1301"/>
      <c r="V7" s="1301"/>
      <c r="W7" s="1267"/>
      <c r="X7" s="1301"/>
      <c r="Y7" s="1301"/>
      <c r="Z7" s="1302" t="s">
        <v>7875</v>
      </c>
      <c r="AA7" s="1302" t="s">
        <v>6249</v>
      </c>
      <c r="AB7" s="1267"/>
      <c r="AC7" s="1301"/>
      <c r="AD7" s="1301"/>
      <c r="AE7" s="1301"/>
      <c r="AF7" s="1305"/>
      <c r="AG7" s="1305"/>
    </row>
    <row r="8">
      <c r="A8" s="1272" t="s">
        <v>7844</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7876</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7877</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7878</v>
      </c>
      <c r="L12" s="1267"/>
      <c r="M12" s="1267"/>
      <c r="N12" s="1267"/>
      <c r="O12" s="1301"/>
      <c r="P12" s="1301"/>
      <c r="Q12" s="1301"/>
      <c r="R12" s="1267"/>
      <c r="S12" s="1267"/>
      <c r="T12" s="1301"/>
      <c r="U12" s="1301"/>
      <c r="V12" s="1301"/>
      <c r="W12" s="1302" t="s">
        <v>7871</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7879</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7880</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7881</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7882</v>
      </c>
      <c r="W19" s="1267"/>
      <c r="X19" s="1301"/>
      <c r="Y19" s="1301"/>
      <c r="Z19" s="1267"/>
      <c r="AA19" s="1301"/>
      <c r="AB19" s="1267"/>
      <c r="AC19" s="1301"/>
      <c r="AD19" s="1301"/>
      <c r="AE19" s="1301"/>
      <c r="AF19" s="1305"/>
      <c r="AG19" s="1305"/>
    </row>
    <row r="20">
      <c r="A20" s="1291" t="s">
        <v>7883</v>
      </c>
      <c r="B20" s="1292" t="s">
        <v>330</v>
      </c>
      <c r="C20" s="1293" t="s">
        <v>436</v>
      </c>
      <c r="D20" s="1294" t="s">
        <v>1259</v>
      </c>
      <c r="E20" s="1295" t="s">
        <v>1259</v>
      </c>
      <c r="F20" s="1296" t="s">
        <v>436</v>
      </c>
      <c r="G20" s="1292" t="s">
        <v>436</v>
      </c>
      <c r="H20" s="1267"/>
      <c r="I20" s="96"/>
      <c r="J20" s="92"/>
      <c r="K20" s="1302" t="s">
        <v>7884</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7885</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7886</v>
      </c>
      <c r="W23" s="1267"/>
      <c r="X23" s="1301"/>
      <c r="Y23" s="1301"/>
      <c r="Z23" s="1267"/>
      <c r="AA23" s="1301"/>
      <c r="AB23" s="1267"/>
      <c r="AC23" s="1301"/>
      <c r="AD23" s="1301"/>
      <c r="AE23" s="1301"/>
      <c r="AF23" s="1305"/>
      <c r="AG23" s="1305"/>
    </row>
    <row r="24">
      <c r="A24" s="1291" t="s">
        <v>2532</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7887</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326" t="s">
        <v>7889</v>
      </c>
      <c r="W1" s="1327" t="s">
        <v>7890</v>
      </c>
      <c r="AM1" s="1328" t="s">
        <v>7891</v>
      </c>
      <c r="BG1" s="1329" t="s">
        <v>7892</v>
      </c>
      <c r="BQ1" s="1330" t="s">
        <v>7893</v>
      </c>
      <c r="BV1" s="1331" t="s">
        <v>7894</v>
      </c>
      <c r="CE1" s="1326" t="s">
        <v>7895</v>
      </c>
      <c r="CM1" s="1332" t="s">
        <v>7896</v>
      </c>
      <c r="CP1" s="1333" t="s">
        <v>7897</v>
      </c>
      <c r="CT1" s="1334" t="s">
        <v>7898</v>
      </c>
    </row>
    <row r="2">
      <c r="A2" s="1335" t="s">
        <v>43</v>
      </c>
      <c r="B2" s="36" t="s">
        <v>44</v>
      </c>
      <c r="C2" s="36" t="s">
        <v>45</v>
      </c>
      <c r="F2" s="36" t="s">
        <v>7899</v>
      </c>
      <c r="H2" s="1336" t="s">
        <v>7900</v>
      </c>
      <c r="I2" s="1336" t="s">
        <v>7901</v>
      </c>
      <c r="J2" s="1336" t="s">
        <v>7902</v>
      </c>
      <c r="K2" s="1336" t="s">
        <v>7903</v>
      </c>
      <c r="L2" s="1336" t="s">
        <v>7904</v>
      </c>
      <c r="M2" s="1336" t="s">
        <v>7905</v>
      </c>
      <c r="N2" s="1336" t="s">
        <v>7906</v>
      </c>
      <c r="O2" s="1336" t="s">
        <v>7907</v>
      </c>
      <c r="P2" s="1336" t="s">
        <v>7908</v>
      </c>
      <c r="Q2" s="1336" t="s">
        <v>7909</v>
      </c>
      <c r="R2" s="1336" t="s">
        <v>7910</v>
      </c>
      <c r="S2" s="1336" t="s">
        <v>7911</v>
      </c>
      <c r="T2" s="1336" t="s">
        <v>7912</v>
      </c>
      <c r="U2" s="1336" t="s">
        <v>7913</v>
      </c>
      <c r="V2" s="1336" t="s">
        <v>7914</v>
      </c>
      <c r="W2" s="1337" t="s">
        <v>7915</v>
      </c>
      <c r="X2" s="1337" t="s">
        <v>7916</v>
      </c>
      <c r="Y2" s="1337" t="s">
        <v>7917</v>
      </c>
      <c r="Z2" s="1337" t="s">
        <v>7918</v>
      </c>
      <c r="AA2" s="1337" t="s">
        <v>7919</v>
      </c>
      <c r="AB2" s="1337" t="s">
        <v>7920</v>
      </c>
      <c r="AC2" s="1337" t="s">
        <v>7921</v>
      </c>
      <c r="AD2" s="1337" t="s">
        <v>7922</v>
      </c>
      <c r="AE2" s="1337" t="s">
        <v>7923</v>
      </c>
      <c r="AF2" s="1337" t="s">
        <v>7924</v>
      </c>
      <c r="AG2" s="1337" t="s">
        <v>7925</v>
      </c>
      <c r="AH2" s="1337" t="s">
        <v>7926</v>
      </c>
      <c r="AI2" s="1337" t="s">
        <v>7927</v>
      </c>
      <c r="AJ2" s="1337" t="s">
        <v>7928</v>
      </c>
      <c r="AK2" s="1337" t="s">
        <v>7929</v>
      </c>
      <c r="AL2" s="1337" t="s">
        <v>7930</v>
      </c>
      <c r="AM2" s="1338" t="s">
        <v>7931</v>
      </c>
      <c r="AN2" s="1338" t="s">
        <v>7932</v>
      </c>
      <c r="AO2" s="1338" t="s">
        <v>7933</v>
      </c>
      <c r="AP2" s="1338" t="s">
        <v>7934</v>
      </c>
      <c r="AQ2" s="1338" t="s">
        <v>7935</v>
      </c>
      <c r="AR2" s="1338" t="s">
        <v>7936</v>
      </c>
      <c r="AS2" s="1338" t="s">
        <v>7937</v>
      </c>
      <c r="AT2" s="1338" t="s">
        <v>7938</v>
      </c>
      <c r="AU2" s="1338" t="s">
        <v>7939</v>
      </c>
      <c r="AV2" s="1338" t="s">
        <v>7940</v>
      </c>
      <c r="AW2" s="1338" t="s">
        <v>7941</v>
      </c>
      <c r="AX2" s="1338" t="s">
        <v>7942</v>
      </c>
      <c r="AY2" s="1338" t="s">
        <v>7943</v>
      </c>
      <c r="AZ2" s="1338" t="s">
        <v>7944</v>
      </c>
      <c r="BA2" s="1338" t="s">
        <v>7945</v>
      </c>
      <c r="BB2" s="1338" t="s">
        <v>7946</v>
      </c>
      <c r="BC2" s="1338" t="s">
        <v>7947</v>
      </c>
      <c r="BD2" s="1338" t="s">
        <v>7948</v>
      </c>
      <c r="BE2" s="1338" t="s">
        <v>7949</v>
      </c>
      <c r="BF2" s="1338" t="s">
        <v>7950</v>
      </c>
      <c r="BG2" s="1339" t="s">
        <v>7951</v>
      </c>
      <c r="BH2" s="1339" t="s">
        <v>7952</v>
      </c>
      <c r="BI2" s="1339" t="s">
        <v>7953</v>
      </c>
      <c r="BJ2" s="1339" t="s">
        <v>7954</v>
      </c>
      <c r="BK2" s="1339" t="s">
        <v>7955</v>
      </c>
      <c r="BL2" s="1339" t="s">
        <v>7956</v>
      </c>
      <c r="BM2" s="1339" t="s">
        <v>7957</v>
      </c>
      <c r="BN2" s="1339" t="s">
        <v>7958</v>
      </c>
      <c r="BO2" s="1339" t="s">
        <v>7959</v>
      </c>
      <c r="BP2" s="1339" t="s">
        <v>7960</v>
      </c>
      <c r="BQ2" s="1340" t="s">
        <v>7961</v>
      </c>
      <c r="BR2" s="1340" t="s">
        <v>7962</v>
      </c>
      <c r="BS2" s="1340" t="s">
        <v>7963</v>
      </c>
      <c r="BT2" s="1340" t="s">
        <v>7964</v>
      </c>
      <c r="BU2" s="1340" t="s">
        <v>7965</v>
      </c>
      <c r="BV2" s="1341" t="s">
        <v>7966</v>
      </c>
      <c r="BW2" s="1341" t="s">
        <v>7967</v>
      </c>
      <c r="BX2" s="1341" t="s">
        <v>7968</v>
      </c>
      <c r="BY2" s="1341" t="s">
        <v>7969</v>
      </c>
      <c r="BZ2" s="1341" t="s">
        <v>7970</v>
      </c>
      <c r="CA2" s="1341" t="s">
        <v>7971</v>
      </c>
      <c r="CB2" s="1341" t="s">
        <v>7972</v>
      </c>
      <c r="CC2" s="1341" t="s">
        <v>7973</v>
      </c>
      <c r="CD2" s="1341" t="s">
        <v>7974</v>
      </c>
      <c r="CE2" s="1342" t="s">
        <v>7900</v>
      </c>
      <c r="CF2" s="1342" t="s">
        <v>7903</v>
      </c>
      <c r="CG2" s="1342" t="s">
        <v>7907</v>
      </c>
      <c r="CH2" s="1342" t="s">
        <v>7909</v>
      </c>
      <c r="CI2" s="1342" t="s">
        <v>7910</v>
      </c>
      <c r="CJ2" s="1342" t="s">
        <v>7913</v>
      </c>
      <c r="CK2" s="1342" t="s">
        <v>7975</v>
      </c>
      <c r="CL2" s="1342" t="s">
        <v>7976</v>
      </c>
      <c r="CM2" s="1343" t="s">
        <v>7977</v>
      </c>
      <c r="CN2" s="1343" t="s">
        <v>7978</v>
      </c>
      <c r="CO2" s="1343" t="s">
        <v>7979</v>
      </c>
      <c r="CP2" s="1286" t="s">
        <v>7980</v>
      </c>
      <c r="CQ2" s="1286" t="s">
        <v>7981</v>
      </c>
      <c r="CR2" s="1286" t="s">
        <v>7982</v>
      </c>
      <c r="CS2" s="1286" t="s">
        <v>7983</v>
      </c>
      <c r="CT2" s="1344" t="s">
        <v>7984</v>
      </c>
    </row>
    <row r="3">
      <c r="A3" s="1345" t="s">
        <v>6471</v>
      </c>
      <c r="B3" s="1097" t="s">
        <v>7985</v>
      </c>
      <c r="C3" s="1098" t="s">
        <v>913</v>
      </c>
      <c r="D3" s="1099" t="s">
        <v>436</v>
      </c>
      <c r="E3" s="1100" t="s">
        <v>330</v>
      </c>
      <c r="F3" s="1101" t="s">
        <v>2690</v>
      </c>
      <c r="G3" s="1097" t="s">
        <v>3584</v>
      </c>
      <c r="H3" s="856" t="s">
        <v>7986</v>
      </c>
      <c r="I3" s="1307" t="s">
        <v>7987</v>
      </c>
      <c r="J3" s="856" t="s">
        <v>7662</v>
      </c>
      <c r="K3" s="821" t="s">
        <v>7988</v>
      </c>
      <c r="L3" s="1307" t="s">
        <v>7989</v>
      </c>
      <c r="M3" s="1346" t="s">
        <v>7990</v>
      </c>
      <c r="N3" s="856" t="s">
        <v>7991</v>
      </c>
      <c r="O3" s="1307" t="s">
        <v>7992</v>
      </c>
      <c r="P3" s="1308" t="s">
        <v>7993</v>
      </c>
      <c r="Q3" s="1308" t="s">
        <v>7994</v>
      </c>
      <c r="R3" s="856" t="s">
        <v>7995</v>
      </c>
      <c r="S3" s="1310" t="s">
        <v>7996</v>
      </c>
      <c r="T3" s="834" t="s">
        <v>7997</v>
      </c>
      <c r="U3" s="1302" t="s">
        <v>7998</v>
      </c>
      <c r="V3" s="856" t="s">
        <v>7999</v>
      </c>
      <c r="W3" s="856" t="s">
        <v>2348</v>
      </c>
      <c r="X3" s="1310" t="s">
        <v>1777</v>
      </c>
      <c r="Y3" s="856" t="s">
        <v>1876</v>
      </c>
      <c r="Z3" s="1310" t="s">
        <v>8000</v>
      </c>
      <c r="AA3" s="856" t="s">
        <v>4449</v>
      </c>
      <c r="AB3" s="1310"/>
      <c r="AC3" s="856" t="s">
        <v>3489</v>
      </c>
      <c r="AD3" s="856" t="s">
        <v>3814</v>
      </c>
      <c r="AE3" s="856" t="s">
        <v>8001</v>
      </c>
      <c r="AF3" s="1310" t="s">
        <v>8002</v>
      </c>
      <c r="AG3" s="1310"/>
      <c r="AH3" s="1310" t="s">
        <v>8003</v>
      </c>
      <c r="AI3" s="1310" t="s">
        <v>8004</v>
      </c>
      <c r="AJ3" s="1301"/>
      <c r="AK3" s="1310"/>
      <c r="AL3" s="856"/>
      <c r="AM3" s="1310" t="s">
        <v>8005</v>
      </c>
      <c r="AN3" s="1302" t="s">
        <v>8006</v>
      </c>
      <c r="AO3" s="1302" t="s">
        <v>8007</v>
      </c>
      <c r="AP3" s="1302" t="s">
        <v>8008</v>
      </c>
      <c r="AQ3" s="1302" t="s">
        <v>8009</v>
      </c>
      <c r="AR3" s="1302" t="s">
        <v>8010</v>
      </c>
      <c r="AS3" s="1302" t="s">
        <v>8011</v>
      </c>
      <c r="AT3" s="1346" t="s">
        <v>8012</v>
      </c>
      <c r="AU3" s="1302" t="s">
        <v>8013</v>
      </c>
      <c r="AV3" s="1302" t="s">
        <v>8014</v>
      </c>
      <c r="AW3" s="834" t="s">
        <v>8015</v>
      </c>
      <c r="AX3" s="1302" t="s">
        <v>8016</v>
      </c>
      <c r="AY3" s="1310" t="s">
        <v>8017</v>
      </c>
      <c r="AZ3" s="1310" t="s">
        <v>3251</v>
      </c>
      <c r="BA3" s="1302" t="s">
        <v>8018</v>
      </c>
      <c r="BB3" s="1310" t="s">
        <v>8019</v>
      </c>
      <c r="BC3" s="1310" t="s">
        <v>8020</v>
      </c>
      <c r="BD3" s="856" t="s">
        <v>8021</v>
      </c>
      <c r="BE3" s="1310"/>
      <c r="BF3" s="1302" t="s">
        <v>8022</v>
      </c>
      <c r="BG3" s="1310"/>
      <c r="BH3" s="1310"/>
      <c r="BI3" s="1310" t="s">
        <v>8023</v>
      </c>
      <c r="BJ3" s="1310"/>
      <c r="BK3" s="1310"/>
      <c r="BL3" s="856"/>
      <c r="BM3" s="1310" t="s">
        <v>8024</v>
      </c>
      <c r="BN3" s="1310"/>
      <c r="BO3" s="1310"/>
      <c r="BP3" s="1310"/>
      <c r="BQ3" s="856" t="s">
        <v>8025</v>
      </c>
      <c r="BR3" s="1301"/>
      <c r="BS3" s="856" t="s">
        <v>8026</v>
      </c>
      <c r="BT3" s="1301"/>
      <c r="BU3" s="856" t="s">
        <v>8027</v>
      </c>
      <c r="BV3" s="1267"/>
      <c r="BW3" s="1301"/>
      <c r="BX3" s="1310" t="s">
        <v>3979</v>
      </c>
      <c r="BY3" s="1301"/>
      <c r="BZ3" s="1267"/>
      <c r="CA3" s="1310" t="s">
        <v>3522</v>
      </c>
      <c r="CB3" s="1310" t="s">
        <v>370</v>
      </c>
      <c r="CC3" s="1310" t="s">
        <v>2408</v>
      </c>
      <c r="CD3" s="1310"/>
      <c r="CE3" s="856" t="s">
        <v>8028</v>
      </c>
      <c r="CF3" s="856" t="s">
        <v>8029</v>
      </c>
      <c r="CG3" s="1310"/>
      <c r="CH3" s="1310"/>
      <c r="CI3" s="1310"/>
      <c r="CJ3" s="1310"/>
      <c r="CK3" s="1310"/>
      <c r="CL3" s="1310"/>
      <c r="CM3" s="1310"/>
      <c r="CN3" s="856"/>
      <c r="CO3" s="1310"/>
      <c r="CP3" s="856" t="s">
        <v>8030</v>
      </c>
      <c r="CQ3" s="856" t="s">
        <v>8031</v>
      </c>
      <c r="CR3" s="1310"/>
      <c r="CS3" s="1310"/>
      <c r="CT3" s="1310" t="s">
        <v>8032</v>
      </c>
    </row>
    <row r="4">
      <c r="A4" s="1347" t="s">
        <v>6449</v>
      </c>
      <c r="B4" s="1097" t="s">
        <v>8033</v>
      </c>
      <c r="C4" s="1098" t="s">
        <v>332</v>
      </c>
      <c r="D4" s="1099" t="s">
        <v>438</v>
      </c>
      <c r="E4" s="1100" t="s">
        <v>3317</v>
      </c>
      <c r="F4" s="1101" t="s">
        <v>8034</v>
      </c>
      <c r="G4" s="1097" t="s">
        <v>1886</v>
      </c>
      <c r="H4" s="1348" t="s">
        <v>8035</v>
      </c>
      <c r="I4" s="1349" t="s">
        <v>8036</v>
      </c>
      <c r="J4" s="1267"/>
      <c r="K4" s="856" t="s">
        <v>8037</v>
      </c>
      <c r="L4" s="1301"/>
      <c r="M4" s="1302" t="s">
        <v>8038</v>
      </c>
      <c r="N4" s="1267"/>
      <c r="O4" s="834" t="s">
        <v>8039</v>
      </c>
      <c r="P4" s="1307" t="s">
        <v>8040</v>
      </c>
      <c r="Q4" s="1301"/>
      <c r="R4" s="834" t="s">
        <v>8041</v>
      </c>
      <c r="S4" s="1267"/>
      <c r="T4" s="856" t="s">
        <v>8042</v>
      </c>
      <c r="U4" s="834" t="s">
        <v>7516</v>
      </c>
      <c r="V4" s="1302" t="s">
        <v>8043</v>
      </c>
      <c r="W4" s="834" t="s">
        <v>1295</v>
      </c>
      <c r="X4" s="834" t="s">
        <v>1725</v>
      </c>
      <c r="Y4" s="834" t="s">
        <v>1586</v>
      </c>
      <c r="Z4" s="1302" t="s">
        <v>3140</v>
      </c>
      <c r="AA4" s="1297"/>
      <c r="AB4" s="1350" t="s">
        <v>8044</v>
      </c>
      <c r="AC4" s="834" t="s">
        <v>3401</v>
      </c>
      <c r="AD4" s="834" t="s">
        <v>6301</v>
      </c>
      <c r="AE4" s="1297"/>
      <c r="AF4" s="1307" t="s">
        <v>7764</v>
      </c>
      <c r="AG4" s="1301"/>
      <c r="AH4" s="1308" t="s">
        <v>8045</v>
      </c>
      <c r="AI4" s="1308" t="s">
        <v>5004</v>
      </c>
      <c r="AJ4" s="1301"/>
      <c r="AK4" s="834" t="s">
        <v>8046</v>
      </c>
      <c r="AL4" s="1267"/>
      <c r="AM4" s="1307" t="s">
        <v>8047</v>
      </c>
      <c r="AN4" s="856" t="s">
        <v>8048</v>
      </c>
      <c r="AO4" s="856" t="s">
        <v>8049</v>
      </c>
      <c r="AP4" s="1307" t="s">
        <v>8005</v>
      </c>
      <c r="AQ4" s="1267"/>
      <c r="AR4" s="856" t="s">
        <v>8050</v>
      </c>
      <c r="AS4" s="1267"/>
      <c r="AT4" s="1307" t="s">
        <v>8012</v>
      </c>
      <c r="AU4" s="1307" t="s">
        <v>8051</v>
      </c>
      <c r="AV4" s="1267"/>
      <c r="AW4" s="1307" t="s">
        <v>8052</v>
      </c>
      <c r="AX4" s="1267"/>
      <c r="AY4" s="1267"/>
      <c r="AZ4" s="1307" t="s">
        <v>1579</v>
      </c>
      <c r="BA4" s="1308" t="s">
        <v>5224</v>
      </c>
      <c r="BB4" s="1307" t="s">
        <v>8053</v>
      </c>
      <c r="BC4" s="834" t="s">
        <v>8054</v>
      </c>
      <c r="BD4" s="1302" t="s">
        <v>8055</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8056</v>
      </c>
      <c r="I5" s="856" t="s">
        <v>7717</v>
      </c>
      <c r="J5" s="856"/>
      <c r="K5" s="1308" t="s">
        <v>8057</v>
      </c>
      <c r="L5" s="1302" t="s">
        <v>8058</v>
      </c>
      <c r="M5" s="856"/>
      <c r="N5" s="856"/>
      <c r="O5" s="834" t="s">
        <v>8059</v>
      </c>
      <c r="P5" s="856" t="s">
        <v>8060</v>
      </c>
      <c r="Q5" s="856" t="s">
        <v>8061</v>
      </c>
      <c r="R5" s="1302" t="s">
        <v>8062</v>
      </c>
      <c r="S5" s="856"/>
      <c r="T5" s="1308" t="s">
        <v>8063</v>
      </c>
      <c r="U5" s="1308" t="s">
        <v>8064</v>
      </c>
      <c r="V5" s="856"/>
      <c r="W5" s="856" t="s">
        <v>6496</v>
      </c>
      <c r="X5" s="856"/>
      <c r="Y5" s="856" t="s">
        <v>8065</v>
      </c>
      <c r="Z5" s="1308" t="s">
        <v>1137</v>
      </c>
      <c r="AA5" s="1297"/>
      <c r="AB5" s="1297"/>
      <c r="AC5" s="856" t="s">
        <v>8066</v>
      </c>
      <c r="AD5" s="1267"/>
      <c r="AE5" s="856"/>
      <c r="AF5" s="856" t="s">
        <v>8067</v>
      </c>
      <c r="AG5" s="856"/>
      <c r="AH5" s="856" t="s">
        <v>8068</v>
      </c>
      <c r="AI5" s="856" t="s">
        <v>2025</v>
      </c>
      <c r="AJ5" s="1267"/>
      <c r="AK5" s="856"/>
      <c r="AL5" s="856"/>
      <c r="AM5" s="856" t="s">
        <v>8069</v>
      </c>
      <c r="AN5" s="1267"/>
      <c r="AO5" s="1267"/>
      <c r="AP5" s="856" t="s">
        <v>8070</v>
      </c>
      <c r="AQ5" s="1308" t="s">
        <v>8071</v>
      </c>
      <c r="AR5" s="856" t="s">
        <v>8072</v>
      </c>
      <c r="AS5" s="856"/>
      <c r="AT5" s="856" t="s">
        <v>8073</v>
      </c>
      <c r="AU5" s="834" t="s">
        <v>8074</v>
      </c>
      <c r="AV5" s="856"/>
      <c r="AW5" s="1311" t="s">
        <v>8075</v>
      </c>
      <c r="AX5" s="112"/>
      <c r="AY5" s="112" t="s">
        <v>8076</v>
      </c>
      <c r="AZ5" s="856" t="s">
        <v>2925</v>
      </c>
      <c r="BA5" s="856"/>
      <c r="BB5" s="856" t="s">
        <v>8055</v>
      </c>
      <c r="BC5" s="1302" t="s">
        <v>8077</v>
      </c>
      <c r="BD5" s="856" t="s">
        <v>8078</v>
      </c>
      <c r="BE5" s="856"/>
      <c r="BF5" s="856"/>
      <c r="BG5" s="856" t="s">
        <v>8079</v>
      </c>
      <c r="BH5" s="856"/>
      <c r="BI5" s="856"/>
      <c r="BJ5" s="856"/>
      <c r="BK5" s="856" t="s">
        <v>8080</v>
      </c>
      <c r="BL5" s="856"/>
      <c r="BM5" s="856"/>
      <c r="BN5" s="856"/>
      <c r="BO5" s="856"/>
      <c r="BP5" s="856" t="s">
        <v>8081</v>
      </c>
      <c r="BQ5" s="1267"/>
      <c r="BR5" s="1267"/>
      <c r="BS5" s="1267"/>
      <c r="BT5" s="1267"/>
      <c r="BU5" s="1267"/>
      <c r="BV5" s="856"/>
      <c r="BW5" s="856" t="s">
        <v>6744</v>
      </c>
      <c r="BX5" s="856"/>
      <c r="BY5" s="856"/>
      <c r="BZ5" s="856"/>
      <c r="CA5" s="856"/>
      <c r="CB5" s="856" t="s">
        <v>2441</v>
      </c>
      <c r="CC5" s="856"/>
      <c r="CD5" s="856"/>
      <c r="CE5" s="856"/>
      <c r="CF5" s="856"/>
      <c r="CG5" s="856"/>
      <c r="CH5" s="856"/>
      <c r="CI5" s="856"/>
      <c r="CJ5" s="856"/>
      <c r="CK5" s="856"/>
      <c r="CL5" s="856"/>
      <c r="CM5" s="856"/>
      <c r="CN5" s="856"/>
      <c r="CO5" s="856"/>
      <c r="CP5" s="856"/>
      <c r="CQ5" s="856"/>
      <c r="CR5" s="856"/>
      <c r="CS5" s="856"/>
      <c r="CT5" s="112"/>
    </row>
    <row r="6">
      <c r="A6" s="1352" t="s">
        <v>6470</v>
      </c>
      <c r="B6" s="1097" t="s">
        <v>8082</v>
      </c>
      <c r="C6" s="1098" t="s">
        <v>3317</v>
      </c>
      <c r="D6" s="1099" t="s">
        <v>913</v>
      </c>
      <c r="E6" s="1100" t="s">
        <v>438</v>
      </c>
      <c r="F6" s="1101" t="s">
        <v>8034</v>
      </c>
      <c r="G6" s="1097" t="s">
        <v>5802</v>
      </c>
      <c r="H6" s="1308" t="s">
        <v>8083</v>
      </c>
      <c r="I6" s="834" t="s">
        <v>8084</v>
      </c>
      <c r="J6" s="856"/>
      <c r="K6" s="1307" t="s">
        <v>8085</v>
      </c>
      <c r="L6" s="834" t="s">
        <v>8086</v>
      </c>
      <c r="M6" s="1267"/>
      <c r="N6" s="1267"/>
      <c r="O6" s="834" t="s">
        <v>8087</v>
      </c>
      <c r="P6" s="1267"/>
      <c r="Q6" s="856" t="s">
        <v>8088</v>
      </c>
      <c r="R6" s="1308" t="s">
        <v>8089</v>
      </c>
      <c r="S6" s="1267"/>
      <c r="T6" s="1307" t="s">
        <v>8090</v>
      </c>
      <c r="U6" s="1307" t="s">
        <v>671</v>
      </c>
      <c r="V6" s="856" t="s">
        <v>8091</v>
      </c>
      <c r="W6" s="1267"/>
      <c r="X6" s="1307" t="s">
        <v>6086</v>
      </c>
      <c r="Y6" s="1308" t="s">
        <v>2530</v>
      </c>
      <c r="Z6" s="1267"/>
      <c r="AA6" s="1267"/>
      <c r="AB6" s="1267"/>
      <c r="AC6" s="1267"/>
      <c r="AD6" s="856" t="s">
        <v>8092</v>
      </c>
      <c r="AE6" s="1297"/>
      <c r="AF6" s="834" t="s">
        <v>464</v>
      </c>
      <c r="AG6" s="1297"/>
      <c r="AH6" s="1267"/>
      <c r="AI6" s="1267"/>
      <c r="AJ6" s="1302" t="s">
        <v>2208</v>
      </c>
      <c r="AK6" s="1308" t="s">
        <v>6041</v>
      </c>
      <c r="AL6" s="1353" t="s">
        <v>8093</v>
      </c>
      <c r="AM6" s="1308" t="s">
        <v>8094</v>
      </c>
      <c r="AN6" s="1267"/>
      <c r="AO6" s="1267"/>
      <c r="AP6" s="856" t="s">
        <v>8005</v>
      </c>
      <c r="AQ6" s="856"/>
      <c r="AR6" s="1308" t="s">
        <v>8095</v>
      </c>
      <c r="AS6" s="1297"/>
      <c r="AT6" s="1302" t="s">
        <v>8096</v>
      </c>
      <c r="AU6" s="834" t="s">
        <v>8097</v>
      </c>
      <c r="AV6" s="1308" t="s">
        <v>8098</v>
      </c>
      <c r="AW6" s="1308" t="s">
        <v>8099</v>
      </c>
      <c r="AX6" s="1267"/>
      <c r="AY6" s="1267"/>
      <c r="AZ6" s="1302" t="s">
        <v>4577</v>
      </c>
      <c r="BA6" s="1297"/>
      <c r="BB6" s="1308" t="s">
        <v>8100</v>
      </c>
      <c r="BC6" s="1308" t="s">
        <v>8101</v>
      </c>
      <c r="BD6" s="1267"/>
      <c r="BE6" s="1267"/>
      <c r="BF6" s="1267"/>
      <c r="BG6" s="1354" t="s">
        <v>8102</v>
      </c>
      <c r="BH6" s="1209"/>
      <c r="BI6" s="1209"/>
      <c r="BJ6" s="1209"/>
      <c r="BK6" s="1354" t="s">
        <v>8103</v>
      </c>
      <c r="BL6" s="1209"/>
      <c r="BM6" s="1152" t="s">
        <v>8104</v>
      </c>
      <c r="BN6" s="1125" t="s">
        <v>8105</v>
      </c>
      <c r="BO6" s="1209"/>
      <c r="BP6" s="1209"/>
      <c r="BQ6" s="1355"/>
      <c r="BR6" s="1267"/>
      <c r="BS6" s="1302" t="s">
        <v>8106</v>
      </c>
      <c r="BT6" s="1267"/>
      <c r="BU6" s="1267"/>
      <c r="BV6" s="1267"/>
      <c r="BW6" s="1267"/>
      <c r="BX6" s="1267"/>
      <c r="BY6" s="1267"/>
      <c r="BZ6" s="1267"/>
      <c r="CA6" s="1267"/>
      <c r="CB6" s="1267"/>
      <c r="CC6" s="1308" t="s">
        <v>450</v>
      </c>
      <c r="CD6" s="1297"/>
      <c r="CE6" s="1356"/>
      <c r="CF6" s="1356"/>
      <c r="CG6" s="1357"/>
      <c r="CH6" s="1357"/>
      <c r="CI6" s="1356" t="s">
        <v>8107</v>
      </c>
      <c r="CJ6" s="1357"/>
      <c r="CK6" s="1357"/>
      <c r="CL6" s="1356" t="s">
        <v>5555</v>
      </c>
      <c r="CM6" s="1358" t="s">
        <v>2220</v>
      </c>
      <c r="CN6" s="1358" t="s">
        <v>3370</v>
      </c>
      <c r="CO6" s="1356"/>
      <c r="CP6" s="1356"/>
      <c r="CQ6" s="1356"/>
      <c r="CR6" s="1356"/>
      <c r="CS6" s="1358" t="s">
        <v>8108</v>
      </c>
      <c r="CT6" s="92"/>
    </row>
    <row r="7">
      <c r="A7" s="1359" t="s">
        <v>7270</v>
      </c>
      <c r="B7" s="1097" t="s">
        <v>8109</v>
      </c>
      <c r="C7" s="1098" t="s">
        <v>438</v>
      </c>
      <c r="D7" s="1099" t="s">
        <v>437</v>
      </c>
      <c r="E7" s="1100" t="s">
        <v>437</v>
      </c>
      <c r="F7" s="1101" t="s">
        <v>2866</v>
      </c>
      <c r="G7" s="1097" t="s">
        <v>2925</v>
      </c>
      <c r="H7" s="834" t="s">
        <v>8110</v>
      </c>
      <c r="I7" s="821" t="s">
        <v>8111</v>
      </c>
      <c r="J7" s="1360"/>
      <c r="K7" s="834" t="s">
        <v>8112</v>
      </c>
      <c r="L7" s="1319"/>
      <c r="M7" s="1307" t="s">
        <v>8113</v>
      </c>
      <c r="N7" s="1267"/>
      <c r="O7" s="1267"/>
      <c r="P7" s="1310" t="s">
        <v>8114</v>
      </c>
      <c r="Q7" s="1301"/>
      <c r="R7" s="856"/>
      <c r="S7" s="1267"/>
      <c r="T7" s="1267"/>
      <c r="U7" s="1310" t="s">
        <v>8115</v>
      </c>
      <c r="V7" s="1310"/>
      <c r="W7" s="1307" t="s">
        <v>2121</v>
      </c>
      <c r="X7" s="834" t="s">
        <v>1895</v>
      </c>
      <c r="Y7" s="834" t="s">
        <v>2052</v>
      </c>
      <c r="Z7" s="1307" t="s">
        <v>8116</v>
      </c>
      <c r="AA7" s="1297"/>
      <c r="AB7" s="1297"/>
      <c r="AC7" s="1310" t="s">
        <v>8117</v>
      </c>
      <c r="AD7" s="834" t="s">
        <v>4471</v>
      </c>
      <c r="AE7" s="1297"/>
      <c r="AF7" s="834" t="s">
        <v>8118</v>
      </c>
      <c r="AG7" s="1319"/>
      <c r="AH7" s="1310" t="s">
        <v>8119</v>
      </c>
      <c r="AI7" s="1310" t="s">
        <v>119</v>
      </c>
      <c r="AJ7" s="1310"/>
      <c r="AK7" s="856" t="s">
        <v>5759</v>
      </c>
      <c r="AL7" s="1310" t="s">
        <v>6227</v>
      </c>
      <c r="AM7" s="1361" t="s">
        <v>8120</v>
      </c>
      <c r="AN7" s="1307" t="s">
        <v>8121</v>
      </c>
      <c r="AO7" s="1308" t="s">
        <v>8122</v>
      </c>
      <c r="AP7" s="834" t="s">
        <v>8123</v>
      </c>
      <c r="AQ7" s="1297"/>
      <c r="AR7" s="834" t="s">
        <v>8124</v>
      </c>
      <c r="AS7" s="1297"/>
      <c r="AT7" s="1308" t="s">
        <v>8080</v>
      </c>
      <c r="AU7" s="834" t="s">
        <v>8125</v>
      </c>
      <c r="AV7" s="1297"/>
      <c r="AW7" s="1309" t="s">
        <v>8126</v>
      </c>
      <c r="AX7" s="1297"/>
      <c r="AY7" s="1308" t="s">
        <v>8127</v>
      </c>
      <c r="AZ7" s="834" t="s">
        <v>5080</v>
      </c>
      <c r="BA7" s="1297"/>
      <c r="BB7" s="834" t="s">
        <v>8128</v>
      </c>
      <c r="BC7" s="1309" t="s">
        <v>8129</v>
      </c>
      <c r="BD7" s="1307" t="s">
        <v>8130</v>
      </c>
      <c r="BE7" s="1297"/>
      <c r="BF7" s="1297"/>
      <c r="BG7" s="1267"/>
      <c r="BH7" s="1267"/>
      <c r="BI7" s="1301"/>
      <c r="BJ7" s="1301"/>
      <c r="BK7" s="1301"/>
      <c r="BL7" s="1267"/>
      <c r="BM7" s="1301"/>
      <c r="BN7" s="1301"/>
      <c r="BO7" s="1301"/>
      <c r="BP7" s="1301"/>
      <c r="BQ7" s="1301"/>
      <c r="BR7" s="1301"/>
      <c r="BS7" s="1301"/>
      <c r="BT7" s="1301"/>
      <c r="BU7" s="1301"/>
      <c r="BV7" s="1362" t="s">
        <v>2458</v>
      </c>
      <c r="BW7" s="1308" t="s">
        <v>2468</v>
      </c>
      <c r="BX7" s="1307" t="s">
        <v>2480</v>
      </c>
      <c r="BY7" s="1302" t="s">
        <v>8131</v>
      </c>
      <c r="BZ7" s="1308" t="s">
        <v>8132</v>
      </c>
      <c r="CA7" s="1302" t="s">
        <v>1280</v>
      </c>
      <c r="CB7" s="1302" t="s">
        <v>8133</v>
      </c>
      <c r="CC7" s="1302" t="s">
        <v>476</v>
      </c>
      <c r="CD7" s="1363" t="s">
        <v>2507</v>
      </c>
      <c r="CE7" s="1301"/>
      <c r="CF7" s="1267"/>
      <c r="CG7" s="1301"/>
      <c r="CH7" s="1301"/>
      <c r="CI7" s="1301"/>
      <c r="CJ7" s="1301"/>
      <c r="CK7" s="1301"/>
      <c r="CL7" s="1301"/>
      <c r="CM7" s="1301"/>
      <c r="CN7" s="1267"/>
      <c r="CO7" s="1301"/>
      <c r="CP7" s="1301"/>
      <c r="CQ7" s="1301"/>
      <c r="CR7" s="1301"/>
      <c r="CS7" s="1301"/>
      <c r="CT7" s="856" t="s">
        <v>8134</v>
      </c>
    </row>
    <row r="8">
      <c r="A8" s="1364" t="s">
        <v>8135</v>
      </c>
      <c r="B8" s="1097" t="s">
        <v>8136</v>
      </c>
      <c r="C8" s="1098" t="s">
        <v>545</v>
      </c>
      <c r="D8" s="1099" t="s">
        <v>438</v>
      </c>
      <c r="E8" s="1100" t="s">
        <v>332</v>
      </c>
      <c r="F8" s="1101" t="s">
        <v>219</v>
      </c>
      <c r="G8" s="1097" t="s">
        <v>7408</v>
      </c>
      <c r="H8" s="834" t="s">
        <v>8137</v>
      </c>
      <c r="I8" s="834" t="s">
        <v>8138</v>
      </c>
      <c r="J8" s="1297"/>
      <c r="K8" s="1267"/>
      <c r="L8" s="1301"/>
      <c r="M8" s="1267"/>
      <c r="N8" s="1267"/>
      <c r="O8" s="1267"/>
      <c r="P8" s="856" t="s">
        <v>8139</v>
      </c>
      <c r="Q8" s="1301"/>
      <c r="R8" s="1307" t="s">
        <v>8140</v>
      </c>
      <c r="S8" s="1267"/>
      <c r="T8" s="1267"/>
      <c r="U8" s="1361" t="s">
        <v>8141</v>
      </c>
      <c r="V8" s="1319"/>
      <c r="W8" s="1346" t="s">
        <v>783</v>
      </c>
      <c r="X8" s="1319" t="s">
        <v>3739</v>
      </c>
      <c r="Y8" s="1365" t="s">
        <v>5001</v>
      </c>
      <c r="Z8" s="1297"/>
      <c r="AA8" s="1297" t="s">
        <v>8142</v>
      </c>
      <c r="AB8" s="1319"/>
      <c r="AC8" s="1307" t="s">
        <v>8143</v>
      </c>
      <c r="AD8" s="834" t="s">
        <v>818</v>
      </c>
      <c r="AE8" s="1297"/>
      <c r="AF8" s="1297"/>
      <c r="AG8" s="1319"/>
      <c r="AH8" s="1301"/>
      <c r="AI8" s="1301"/>
      <c r="AJ8" s="1301"/>
      <c r="AK8" s="1310" t="s">
        <v>323</v>
      </c>
      <c r="AL8" s="856"/>
      <c r="AM8" s="1302" t="s">
        <v>8144</v>
      </c>
      <c r="AN8" s="1310" t="s">
        <v>8145</v>
      </c>
      <c r="AO8" s="1267"/>
      <c r="AP8" s="834" t="s">
        <v>8121</v>
      </c>
      <c r="AQ8" s="1297"/>
      <c r="AR8" s="1267"/>
      <c r="AS8" s="1267"/>
      <c r="AT8" s="834" t="s">
        <v>8146</v>
      </c>
      <c r="AU8" s="856"/>
      <c r="AV8" s="856"/>
      <c r="AW8" s="834" t="s">
        <v>8147</v>
      </c>
      <c r="AX8" s="1267"/>
      <c r="AY8" s="1267"/>
      <c r="AZ8" s="1267"/>
      <c r="BA8" s="1267"/>
      <c r="BB8" s="834" t="s">
        <v>8148</v>
      </c>
      <c r="BC8" s="1310" t="s">
        <v>8149</v>
      </c>
      <c r="BD8" s="1267"/>
      <c r="BE8" s="1301"/>
      <c r="BF8" s="1267"/>
      <c r="BG8" s="1210"/>
      <c r="BH8" s="1175" t="s">
        <v>8150</v>
      </c>
      <c r="BI8" s="1210"/>
      <c r="BJ8" s="1210"/>
      <c r="BK8" s="1210"/>
      <c r="BL8" s="1209"/>
      <c r="BM8" s="1210"/>
      <c r="BN8" s="1210"/>
      <c r="BO8" s="1210"/>
      <c r="BP8" s="1210"/>
      <c r="BQ8" s="1301"/>
      <c r="BR8" s="1301"/>
      <c r="BS8" s="1308" t="s">
        <v>8151</v>
      </c>
      <c r="BT8" s="1301"/>
      <c r="BU8" s="1301"/>
      <c r="BV8" s="1366" t="s">
        <v>1136</v>
      </c>
      <c r="BW8" s="1307" t="s">
        <v>3540</v>
      </c>
      <c r="BX8" s="1308" t="s">
        <v>2307</v>
      </c>
      <c r="BY8" s="1361" t="s">
        <v>3202</v>
      </c>
      <c r="BZ8" s="1297"/>
      <c r="CA8" s="1308" t="s">
        <v>1966</v>
      </c>
      <c r="CB8" s="1361" t="s">
        <v>2851</v>
      </c>
      <c r="CC8" s="1367" t="s">
        <v>3449</v>
      </c>
      <c r="CD8" s="1312"/>
      <c r="CE8" s="1368"/>
      <c r="CF8" s="1357"/>
      <c r="CG8" s="1368"/>
      <c r="CH8" s="1368"/>
      <c r="CI8" s="1368"/>
      <c r="CJ8" s="1368"/>
      <c r="CK8" s="1368"/>
      <c r="CL8" s="1368"/>
      <c r="CM8" s="1369" t="s">
        <v>3684</v>
      </c>
      <c r="CN8" s="1357"/>
      <c r="CO8" s="1368"/>
      <c r="CP8" s="1368"/>
      <c r="CQ8" s="1370" t="s">
        <v>8126</v>
      </c>
      <c r="CR8" s="1368"/>
      <c r="CS8" s="1368"/>
      <c r="CT8" s="1371"/>
    </row>
    <row r="9">
      <c r="A9" s="1372" t="s">
        <v>2960</v>
      </c>
      <c r="B9" s="1097" t="s">
        <v>8152</v>
      </c>
      <c r="C9" s="1098" t="s">
        <v>436</v>
      </c>
      <c r="D9" s="1099" t="s">
        <v>436</v>
      </c>
      <c r="E9" s="1100" t="s">
        <v>1259</v>
      </c>
      <c r="F9" s="1101" t="s">
        <v>914</v>
      </c>
      <c r="G9" s="1097" t="s">
        <v>1886</v>
      </c>
      <c r="H9" s="1373"/>
      <c r="I9" s="1373" t="s">
        <v>8153</v>
      </c>
      <c r="J9" s="1267"/>
      <c r="K9" s="856" t="s">
        <v>8154</v>
      </c>
      <c r="L9" s="834" t="s">
        <v>8155</v>
      </c>
      <c r="M9" s="856" t="s">
        <v>8156</v>
      </c>
      <c r="N9" s="1267"/>
      <c r="O9" s="856" t="s">
        <v>8157</v>
      </c>
      <c r="P9" s="856" t="s">
        <v>8158</v>
      </c>
      <c r="Q9" s="856" t="s">
        <v>8159</v>
      </c>
      <c r="R9" s="856" t="s">
        <v>8160</v>
      </c>
      <c r="S9" s="1308" t="s">
        <v>2998</v>
      </c>
      <c r="T9" s="1267"/>
      <c r="U9" s="856" t="s">
        <v>3887</v>
      </c>
      <c r="V9" s="1301"/>
      <c r="W9" s="856" t="s">
        <v>4958</v>
      </c>
      <c r="X9" s="834" t="s">
        <v>3569</v>
      </c>
      <c r="Y9" s="834" t="s">
        <v>8161</v>
      </c>
      <c r="Z9" s="1267"/>
      <c r="AA9" s="1302" t="s">
        <v>5623</v>
      </c>
      <c r="AB9" s="1301"/>
      <c r="AC9" s="856" t="s">
        <v>5723</v>
      </c>
      <c r="AD9" s="856" t="s">
        <v>1982</v>
      </c>
      <c r="AE9" s="856"/>
      <c r="AF9" s="856" t="s">
        <v>5580</v>
      </c>
      <c r="AG9" s="1301"/>
      <c r="AH9" s="1301"/>
      <c r="AI9" s="1301"/>
      <c r="AJ9" s="1301"/>
      <c r="AK9" s="1267"/>
      <c r="AL9" s="1267"/>
      <c r="AM9" s="1310" t="s">
        <v>8126</v>
      </c>
      <c r="AN9" s="1267"/>
      <c r="AO9" s="1267"/>
      <c r="AP9" s="856" t="s">
        <v>8162</v>
      </c>
      <c r="AQ9" s="856" t="s">
        <v>8162</v>
      </c>
      <c r="AR9" s="856" t="s">
        <v>8163</v>
      </c>
      <c r="AS9" s="856" t="s">
        <v>8164</v>
      </c>
      <c r="AT9" s="856" t="s">
        <v>8164</v>
      </c>
      <c r="AU9" s="1308" t="s">
        <v>8165</v>
      </c>
      <c r="AV9" s="856" t="s">
        <v>8146</v>
      </c>
      <c r="AW9" s="856" t="s">
        <v>8120</v>
      </c>
      <c r="AX9" s="1267"/>
      <c r="AY9" s="1302" t="s">
        <v>8166</v>
      </c>
      <c r="AZ9" s="856" t="s">
        <v>3251</v>
      </c>
      <c r="BA9" s="856"/>
      <c r="BB9" s="856" t="s">
        <v>8130</v>
      </c>
      <c r="BC9" s="1310" t="s">
        <v>8167</v>
      </c>
      <c r="BD9" s="1310" t="s">
        <v>8168</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8169</v>
      </c>
      <c r="CT9" s="1267"/>
    </row>
    <row r="10">
      <c r="A10" s="1375" t="s">
        <v>2141</v>
      </c>
      <c r="B10" s="1097" t="s">
        <v>8170</v>
      </c>
      <c r="C10" s="1098" t="s">
        <v>1259</v>
      </c>
      <c r="D10" s="1099" t="s">
        <v>436</v>
      </c>
      <c r="E10" s="1100" t="s">
        <v>436</v>
      </c>
      <c r="F10" s="1101" t="s">
        <v>438</v>
      </c>
      <c r="G10" s="1097" t="s">
        <v>4577</v>
      </c>
      <c r="H10" s="1373" t="s">
        <v>8171</v>
      </c>
      <c r="I10" s="1376" t="s">
        <v>2154</v>
      </c>
      <c r="J10" s="856" t="s">
        <v>8172</v>
      </c>
      <c r="K10" s="856" t="s">
        <v>8173</v>
      </c>
      <c r="L10" s="856" t="s">
        <v>8174</v>
      </c>
      <c r="M10" s="856" t="s">
        <v>8175</v>
      </c>
      <c r="N10" s="856" t="s">
        <v>8176</v>
      </c>
      <c r="O10" s="856" t="s">
        <v>8177</v>
      </c>
      <c r="P10" s="856" t="s">
        <v>8178</v>
      </c>
      <c r="Q10" s="856" t="s">
        <v>8179</v>
      </c>
      <c r="R10" s="856" t="s">
        <v>8180</v>
      </c>
      <c r="S10" s="1307" t="s">
        <v>8181</v>
      </c>
      <c r="T10" s="856" t="s">
        <v>8182</v>
      </c>
      <c r="U10" s="856" t="s">
        <v>8183</v>
      </c>
      <c r="V10" s="1307" t="s">
        <v>8184</v>
      </c>
      <c r="W10" s="856" t="s">
        <v>3886</v>
      </c>
      <c r="X10" s="856" t="s">
        <v>8185</v>
      </c>
      <c r="Y10" s="1310" t="s">
        <v>1982</v>
      </c>
      <c r="Z10" s="1267"/>
      <c r="AA10" s="1267"/>
      <c r="AB10" s="1301"/>
      <c r="AC10" s="1310" t="s">
        <v>8186</v>
      </c>
      <c r="AD10" s="1310" t="s">
        <v>5395</v>
      </c>
      <c r="AE10" s="1308" t="s">
        <v>2517</v>
      </c>
      <c r="AF10" s="1310" t="s">
        <v>8187</v>
      </c>
      <c r="AG10" s="856" t="s">
        <v>8188</v>
      </c>
      <c r="AH10" s="1301"/>
      <c r="AI10" s="1301"/>
      <c r="AJ10" s="1301"/>
      <c r="AK10" s="856" t="s">
        <v>8189</v>
      </c>
      <c r="AL10" s="856" t="s">
        <v>2747</v>
      </c>
      <c r="AM10" s="1267"/>
      <c r="AN10" s="1267"/>
      <c r="AO10" s="1267"/>
      <c r="AP10" s="1267"/>
      <c r="AQ10" s="1267"/>
      <c r="AR10" s="1267"/>
      <c r="AS10" s="1267"/>
      <c r="AT10" s="856" t="s">
        <v>8190</v>
      </c>
      <c r="AU10" s="856" t="s">
        <v>8130</v>
      </c>
      <c r="AV10" s="1267"/>
      <c r="AW10" s="856" t="s">
        <v>8128</v>
      </c>
      <c r="AX10" s="856" t="s">
        <v>8191</v>
      </c>
      <c r="AY10" s="1267"/>
      <c r="AZ10" s="856"/>
      <c r="BA10" s="856"/>
      <c r="BB10" s="1297"/>
      <c r="BC10" s="856" t="s">
        <v>8167</v>
      </c>
      <c r="BD10" s="856" t="s">
        <v>8192</v>
      </c>
      <c r="BE10" s="856"/>
      <c r="BF10" s="856" t="s">
        <v>8193</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8194</v>
      </c>
    </row>
    <row r="11">
      <c r="A11" s="1378" t="s">
        <v>8195</v>
      </c>
      <c r="B11" s="1097" t="s">
        <v>8196</v>
      </c>
      <c r="C11" s="1098" t="s">
        <v>545</v>
      </c>
      <c r="D11" s="1099" t="s">
        <v>438</v>
      </c>
      <c r="E11" s="1100" t="s">
        <v>330</v>
      </c>
      <c r="F11" s="1101" t="s">
        <v>219</v>
      </c>
      <c r="G11" s="1097" t="s">
        <v>5966</v>
      </c>
      <c r="H11" s="1373" t="s">
        <v>8197</v>
      </c>
      <c r="I11" s="1373" t="s">
        <v>8198</v>
      </c>
      <c r="J11" s="1267"/>
      <c r="K11" s="856" t="s">
        <v>8199</v>
      </c>
      <c r="L11" s="1301"/>
      <c r="M11" s="1267"/>
      <c r="N11" s="1267"/>
      <c r="O11" s="1267"/>
      <c r="P11" s="856" t="s">
        <v>8200</v>
      </c>
      <c r="Q11" s="1301"/>
      <c r="R11" s="1267"/>
      <c r="S11" s="1267"/>
      <c r="T11" s="856" t="s">
        <v>8201</v>
      </c>
      <c r="U11" s="856" t="s">
        <v>760</v>
      </c>
      <c r="V11" s="1301"/>
      <c r="W11" s="1267"/>
      <c r="X11" s="834" t="s">
        <v>145</v>
      </c>
      <c r="Y11" s="834" t="s">
        <v>4194</v>
      </c>
      <c r="Z11" s="1267"/>
      <c r="AA11" s="1308" t="s">
        <v>6046</v>
      </c>
      <c r="AB11" s="1301"/>
      <c r="AC11" s="834" t="s">
        <v>2209</v>
      </c>
      <c r="AD11" s="834" t="s">
        <v>2290</v>
      </c>
      <c r="AE11" s="834" t="s">
        <v>5992</v>
      </c>
      <c r="AF11" s="1267"/>
      <c r="AG11" s="1301"/>
      <c r="AH11" s="1301"/>
      <c r="AI11" s="1301"/>
      <c r="AJ11" s="1301"/>
      <c r="AK11" s="1301"/>
      <c r="AL11" s="1267"/>
      <c r="AM11" s="856" t="s">
        <v>8030</v>
      </c>
      <c r="AN11" s="1308" t="s">
        <v>8099</v>
      </c>
      <c r="AO11" s="1267"/>
      <c r="AP11" s="953" t="s">
        <v>8030</v>
      </c>
      <c r="AQ11" s="1307" t="s">
        <v>8202</v>
      </c>
      <c r="AR11" s="1307" t="s">
        <v>8192</v>
      </c>
      <c r="AS11" s="1267"/>
      <c r="AT11" s="834" t="s">
        <v>8203</v>
      </c>
      <c r="AU11" s="834" t="s">
        <v>8204</v>
      </c>
      <c r="AV11" s="1307" t="s">
        <v>8205</v>
      </c>
      <c r="AW11" s="834" t="s">
        <v>8162</v>
      </c>
      <c r="AX11" s="1308" t="s">
        <v>8206</v>
      </c>
      <c r="AY11" s="1267"/>
      <c r="AZ11" s="1267"/>
      <c r="BA11" s="1267"/>
      <c r="BB11" s="834" t="s">
        <v>8204</v>
      </c>
      <c r="BC11" s="1267"/>
      <c r="BD11" s="1308" t="s">
        <v>8207</v>
      </c>
      <c r="BE11" s="1379" t="s">
        <v>8208</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8209</v>
      </c>
      <c r="C12" s="1098" t="s">
        <v>438</v>
      </c>
      <c r="D12" s="1099" t="s">
        <v>914</v>
      </c>
      <c r="E12" s="1100" t="s">
        <v>545</v>
      </c>
      <c r="F12" s="1101" t="s">
        <v>219</v>
      </c>
      <c r="G12" s="1097" t="s">
        <v>2866</v>
      </c>
      <c r="H12" s="1383" t="str">
        <f>HYPERLINK("https://www.twitch.tv/videos/990301696","3:46.19")</f>
        <v>3:46.19</v>
      </c>
      <c r="I12" s="1373" t="s">
        <v>8210</v>
      </c>
      <c r="J12" s="856"/>
      <c r="K12" s="856" t="s">
        <v>8211</v>
      </c>
      <c r="L12" s="1301"/>
      <c r="M12" s="1384" t="str">
        <f>HYPERLINK("https://youtu.be/muKa7MrNAp8","2:59.41")</f>
        <v>2:59.41</v>
      </c>
      <c r="N12" s="1346"/>
      <c r="O12" s="112" t="s">
        <v>8212</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8213</v>
      </c>
      <c r="X12" s="856"/>
      <c r="Y12" s="856" t="s">
        <v>8214</v>
      </c>
      <c r="Z12" s="1267"/>
      <c r="AA12" s="1267"/>
      <c r="AB12" s="1301"/>
      <c r="AC12" s="1267"/>
      <c r="AD12" s="856" t="s">
        <v>4246</v>
      </c>
      <c r="AE12" s="1267"/>
      <c r="AF12" s="1267"/>
      <c r="AG12" s="1301"/>
      <c r="AH12" s="856" t="s">
        <v>5950</v>
      </c>
      <c r="AI12" s="1310"/>
      <c r="AJ12" s="1310"/>
      <c r="AK12" s="1307" t="s">
        <v>8215</v>
      </c>
      <c r="AL12" s="1297"/>
      <c r="AM12" s="1310" t="s">
        <v>8162</v>
      </c>
      <c r="AN12" s="1267"/>
      <c r="AO12" s="1267"/>
      <c r="AP12" s="1267"/>
      <c r="AQ12" s="1267"/>
      <c r="AR12" s="1267"/>
      <c r="AS12" s="1267"/>
      <c r="AT12" s="856" t="s">
        <v>8216</v>
      </c>
      <c r="AU12" s="856" t="s">
        <v>8217</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6279</v>
      </c>
      <c r="C13" s="1098" t="s">
        <v>1259</v>
      </c>
      <c r="D13" s="1099" t="s">
        <v>545</v>
      </c>
      <c r="E13" s="1100" t="s">
        <v>1259</v>
      </c>
      <c r="F13" s="1101" t="s">
        <v>545</v>
      </c>
      <c r="G13" s="1097" t="s">
        <v>3838</v>
      </c>
      <c r="H13" s="1373"/>
      <c r="I13" s="1373" t="s">
        <v>8218</v>
      </c>
      <c r="J13" s="856" t="s">
        <v>8219</v>
      </c>
      <c r="K13" s="856" t="s">
        <v>8220</v>
      </c>
      <c r="L13" s="1301"/>
      <c r="M13" s="856" t="s">
        <v>8221</v>
      </c>
      <c r="N13" s="856" t="s">
        <v>8222</v>
      </c>
      <c r="O13" s="1267"/>
      <c r="P13" s="856" t="s">
        <v>8223</v>
      </c>
      <c r="Q13" s="1301"/>
      <c r="R13" s="1310" t="s">
        <v>8224</v>
      </c>
      <c r="S13" s="856" t="s">
        <v>8225</v>
      </c>
      <c r="T13" s="856" t="s">
        <v>8103</v>
      </c>
      <c r="U13" s="856" t="s">
        <v>8226</v>
      </c>
      <c r="V13" s="856" t="s">
        <v>8227</v>
      </c>
      <c r="W13" s="856" t="s">
        <v>4967</v>
      </c>
      <c r="X13" s="856" t="s">
        <v>4875</v>
      </c>
      <c r="Y13" s="856" t="s">
        <v>375</v>
      </c>
      <c r="Z13" s="1310" t="s">
        <v>3283</v>
      </c>
      <c r="AA13" s="856" t="s">
        <v>8228</v>
      </c>
      <c r="AB13" s="1310"/>
      <c r="AC13" s="1310" t="s">
        <v>2205</v>
      </c>
      <c r="AD13" s="1310" t="s">
        <v>8229</v>
      </c>
      <c r="AE13" s="856" t="s">
        <v>5139</v>
      </c>
      <c r="AF13" s="856" t="s">
        <v>8230</v>
      </c>
      <c r="AG13" s="1301"/>
      <c r="AH13" s="1301"/>
      <c r="AI13" s="1301"/>
      <c r="AJ13" s="1301"/>
      <c r="AK13" s="1301"/>
      <c r="AL13" s="856" t="s">
        <v>5532</v>
      </c>
      <c r="AM13" s="1310" t="s">
        <v>8148</v>
      </c>
      <c r="AN13" s="1310" t="s">
        <v>8231</v>
      </c>
      <c r="AO13" s="1267"/>
      <c r="AP13" s="856" t="s">
        <v>8232</v>
      </c>
      <c r="AQ13" s="856" t="s">
        <v>8030</v>
      </c>
      <c r="AR13" s="1310" t="s">
        <v>8233</v>
      </c>
      <c r="AS13" s="856" t="s">
        <v>8234</v>
      </c>
      <c r="AT13" s="856" t="s">
        <v>8235</v>
      </c>
      <c r="AU13" s="856" t="s">
        <v>8236</v>
      </c>
      <c r="AV13" s="112" t="s">
        <v>8237</v>
      </c>
      <c r="AW13" s="856" t="s">
        <v>8238</v>
      </c>
      <c r="AX13" s="856" t="s">
        <v>8216</v>
      </c>
      <c r="AY13" s="1267"/>
      <c r="AZ13" s="1310" t="s">
        <v>1724</v>
      </c>
      <c r="BA13" s="856"/>
      <c r="BB13" s="1310" t="s">
        <v>8239</v>
      </c>
      <c r="BC13" s="1310" t="s">
        <v>8240</v>
      </c>
      <c r="BD13" s="856" t="s">
        <v>8241</v>
      </c>
      <c r="BE13" s="856"/>
      <c r="BF13" s="1267"/>
      <c r="BG13" s="1380"/>
      <c r="BH13" s="1380"/>
      <c r="BI13" s="1380"/>
      <c r="BJ13" s="1380"/>
      <c r="BK13" s="1380"/>
      <c r="BL13" s="1381"/>
      <c r="BM13" s="1380"/>
      <c r="BN13" s="1380"/>
      <c r="BO13" s="1380"/>
      <c r="BP13" s="1380"/>
      <c r="BQ13" s="1301"/>
      <c r="BR13" s="1301"/>
      <c r="BS13" s="1301"/>
      <c r="BT13" s="1301"/>
      <c r="BU13" s="1301"/>
      <c r="BV13" s="856" t="s">
        <v>8242</v>
      </c>
      <c r="BW13" s="1301"/>
      <c r="BX13" s="856" t="s">
        <v>4519</v>
      </c>
      <c r="BY13" s="856" t="s">
        <v>2939</v>
      </c>
      <c r="BZ13" s="1267"/>
      <c r="CA13" s="1301"/>
      <c r="CB13" s="856" t="s">
        <v>1667</v>
      </c>
      <c r="CC13" s="1301"/>
      <c r="CD13" s="1301"/>
      <c r="CE13" s="1368"/>
      <c r="CF13" s="1267"/>
      <c r="CG13" s="1301"/>
      <c r="CH13" s="1368"/>
      <c r="CI13" s="1368"/>
      <c r="CJ13" s="1356" t="s">
        <v>8243</v>
      </c>
      <c r="CK13" s="1356"/>
      <c r="CL13" s="1369" t="s">
        <v>8034</v>
      </c>
      <c r="CM13" s="1356" t="s">
        <v>8244</v>
      </c>
      <c r="CN13" s="1356" t="s">
        <v>6064</v>
      </c>
      <c r="CO13" s="1356" t="s">
        <v>5687</v>
      </c>
      <c r="CP13" s="1356" t="s">
        <v>8125</v>
      </c>
      <c r="CQ13" s="1356" t="s">
        <v>8122</v>
      </c>
      <c r="CR13" s="1368"/>
      <c r="CS13" s="1368"/>
      <c r="CT13" s="96"/>
    </row>
    <row r="14">
      <c r="A14" s="1394" t="s">
        <v>4848</v>
      </c>
      <c r="B14" s="1097" t="s">
        <v>8245</v>
      </c>
      <c r="C14" s="1098" t="s">
        <v>330</v>
      </c>
      <c r="D14" s="1099" t="s">
        <v>330</v>
      </c>
      <c r="E14" s="1100" t="s">
        <v>1259</v>
      </c>
      <c r="F14" s="1101" t="s">
        <v>989</v>
      </c>
      <c r="G14" s="1097" t="s">
        <v>3985</v>
      </c>
      <c r="H14" s="1373"/>
      <c r="I14" s="1373" t="s">
        <v>8124</v>
      </c>
      <c r="J14" s="1267"/>
      <c r="K14" s="834" t="s">
        <v>8246</v>
      </c>
      <c r="L14" s="1301"/>
      <c r="M14" s="834" t="s">
        <v>8247</v>
      </c>
      <c r="N14" s="1267"/>
      <c r="O14" s="834" t="s">
        <v>8248</v>
      </c>
      <c r="P14" s="834" t="s">
        <v>8249</v>
      </c>
      <c r="Q14" s="1301"/>
      <c r="R14" s="1310" t="s">
        <v>8250</v>
      </c>
      <c r="S14" s="834" t="s">
        <v>8251</v>
      </c>
      <c r="T14" s="1267"/>
      <c r="U14" s="834" t="s">
        <v>8252</v>
      </c>
      <c r="V14" s="1297"/>
      <c r="W14" s="856" t="s">
        <v>5086</v>
      </c>
      <c r="X14" s="834" t="s">
        <v>6915</v>
      </c>
      <c r="Y14" s="1310" t="s">
        <v>2675</v>
      </c>
      <c r="Z14" s="1267"/>
      <c r="AA14" s="1267"/>
      <c r="AB14" s="1301"/>
      <c r="AC14" s="856" t="s">
        <v>8253</v>
      </c>
      <c r="AD14" s="821" t="s">
        <v>4246</v>
      </c>
      <c r="AE14" s="1267"/>
      <c r="AF14" s="1267"/>
      <c r="AG14" s="1301"/>
      <c r="AH14" s="1310" t="s">
        <v>5332</v>
      </c>
      <c r="AI14" s="1301"/>
      <c r="AJ14" s="1301"/>
      <c r="AK14" s="1310" t="s">
        <v>4757</v>
      </c>
      <c r="AL14" s="856"/>
      <c r="AM14" s="834" t="s">
        <v>8145</v>
      </c>
      <c r="AN14" s="1267"/>
      <c r="AO14" s="1267"/>
      <c r="AP14" s="834" t="s">
        <v>8254</v>
      </c>
      <c r="AQ14" s="1267"/>
      <c r="AR14" s="1267"/>
      <c r="AS14" s="1267"/>
      <c r="AT14" s="856" t="s">
        <v>8255</v>
      </c>
      <c r="AU14" s="1267"/>
      <c r="AV14" s="1267"/>
      <c r="AW14" s="1267"/>
      <c r="AX14" s="1267"/>
      <c r="AY14" s="1267"/>
      <c r="AZ14" s="1308" t="s">
        <v>8256</v>
      </c>
      <c r="BA14" s="1297"/>
      <c r="BB14" s="834" t="s">
        <v>8257</v>
      </c>
      <c r="BC14" s="1361" t="s">
        <v>8240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8258</v>
      </c>
      <c r="CF14" s="1358" t="s">
        <v>8259</v>
      </c>
      <c r="CG14" s="1395" t="s">
        <v>8260</v>
      </c>
      <c r="CH14" s="1368"/>
      <c r="CI14" s="1368"/>
      <c r="CJ14" s="1368"/>
      <c r="CK14" s="1368"/>
      <c r="CL14" s="1368"/>
      <c r="CM14" s="1368"/>
      <c r="CN14" s="1369" t="s">
        <v>6064</v>
      </c>
      <c r="CO14" s="1368"/>
      <c r="CP14" s="1368"/>
      <c r="CQ14" s="1368"/>
      <c r="CR14" s="1395" t="s">
        <v>7408</v>
      </c>
      <c r="CS14" s="1368"/>
      <c r="CT14" s="1301"/>
    </row>
    <row r="15">
      <c r="A15" s="1351" t="s">
        <v>1884</v>
      </c>
      <c r="B15" s="1097" t="s">
        <v>8261</v>
      </c>
      <c r="C15" s="1098" t="s">
        <v>330</v>
      </c>
      <c r="D15" s="1099" t="s">
        <v>545</v>
      </c>
      <c r="E15" s="1100" t="s">
        <v>545</v>
      </c>
      <c r="F15" s="1101" t="s">
        <v>437</v>
      </c>
      <c r="G15" s="1097" t="s">
        <v>331</v>
      </c>
      <c r="H15" s="1373"/>
      <c r="I15" s="1373"/>
      <c r="J15" s="1267"/>
      <c r="K15" s="1267"/>
      <c r="L15" s="1301"/>
      <c r="M15" s="1310" t="s">
        <v>8262</v>
      </c>
      <c r="N15" s="1267"/>
      <c r="O15" s="1267"/>
      <c r="P15" s="1267"/>
      <c r="Q15" s="1302" t="s">
        <v>8263</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8121</v>
      </c>
      <c r="AQ15" s="856"/>
      <c r="AR15" s="1310" t="s">
        <v>8264</v>
      </c>
      <c r="AS15" s="856"/>
      <c r="AT15" s="1267"/>
      <c r="AU15" s="1310" t="s">
        <v>8204</v>
      </c>
      <c r="AV15" s="856"/>
      <c r="AW15" s="1310" t="s">
        <v>8265</v>
      </c>
      <c r="AX15" s="1267"/>
      <c r="AY15" s="1267"/>
      <c r="AZ15" s="1267"/>
      <c r="BA15" s="1267"/>
      <c r="BB15" s="1302" t="s">
        <v>8266</v>
      </c>
      <c r="BC15" s="1307" t="s">
        <v>8028</v>
      </c>
      <c r="BD15" s="1267"/>
      <c r="BE15" s="1301"/>
      <c r="BF15" s="1267"/>
      <c r="BG15" s="1301"/>
      <c r="BH15" s="1301"/>
      <c r="BI15" s="1301"/>
      <c r="BJ15" s="1301"/>
      <c r="BK15" s="1301"/>
      <c r="BL15" s="1267"/>
      <c r="BM15" s="1302" t="s">
        <v>8267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2757</v>
      </c>
      <c r="B16" s="1097" t="s">
        <v>8268</v>
      </c>
      <c r="C16" s="1098" t="s">
        <v>914</v>
      </c>
      <c r="D16" s="1099" t="s">
        <v>545</v>
      </c>
      <c r="E16" s="1100" t="s">
        <v>1259</v>
      </c>
      <c r="F16" s="1101" t="s">
        <v>646</v>
      </c>
      <c r="G16" s="1097" t="s">
        <v>331</v>
      </c>
      <c r="H16" s="1397" t="s">
        <v>8269</v>
      </c>
      <c r="I16" s="1397" t="s">
        <v>8252</v>
      </c>
      <c r="J16" s="1302" t="s">
        <v>8270</v>
      </c>
      <c r="K16" s="1302" t="s">
        <v>8271</v>
      </c>
      <c r="L16" s="856" t="s">
        <v>8272</v>
      </c>
      <c r="M16" s="1267"/>
      <c r="N16" s="1302" t="s">
        <v>3635</v>
      </c>
      <c r="O16" s="1308" t="s">
        <v>8273</v>
      </c>
      <c r="P16" s="1267"/>
      <c r="Q16" s="856" t="s">
        <v>8274</v>
      </c>
      <c r="R16" s="856" t="s">
        <v>8275</v>
      </c>
      <c r="S16" s="1302" t="s">
        <v>8276</v>
      </c>
      <c r="T16" s="1302" t="s">
        <v>8277</v>
      </c>
      <c r="U16" s="856" t="s">
        <v>8278</v>
      </c>
      <c r="V16" s="856" t="s">
        <v>8279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7880</v>
      </c>
      <c r="B17" s="1097" t="s">
        <v>8280</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8281</v>
      </c>
      <c r="X17" s="1308" t="s">
        <v>1740</v>
      </c>
      <c r="Y17" s="1267"/>
      <c r="Z17" s="1267"/>
      <c r="AA17" s="1267"/>
      <c r="AB17" s="1302" t="s">
        <v>8282</v>
      </c>
      <c r="AC17" s="1308" t="s">
        <v>2452</v>
      </c>
      <c r="AD17" s="834" t="s">
        <v>3132</v>
      </c>
      <c r="AE17" s="1297"/>
      <c r="AF17" s="1302" t="s">
        <v>8283</v>
      </c>
      <c r="AG17" s="1301"/>
      <c r="AH17" s="1302" t="s">
        <v>1699</v>
      </c>
      <c r="AI17" s="1302" t="s">
        <v>3080</v>
      </c>
      <c r="AJ17" s="1301"/>
      <c r="AK17" s="856" t="s">
        <v>4248</v>
      </c>
      <c r="AL17" s="1267"/>
      <c r="AM17" s="1267"/>
      <c r="AN17" s="1267"/>
      <c r="AO17" s="1267"/>
      <c r="AP17" s="834" t="s">
        <v>8284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8285</v>
      </c>
      <c r="C18" s="1098" t="s">
        <v>545</v>
      </c>
      <c r="D18" s="1099" t="s">
        <v>1259</v>
      </c>
      <c r="E18" s="1100" t="s">
        <v>545</v>
      </c>
      <c r="F18" s="1101" t="s">
        <v>436</v>
      </c>
      <c r="G18" s="1097" t="s">
        <v>2925</v>
      </c>
      <c r="H18" s="1373"/>
      <c r="I18" s="1373" t="s">
        <v>8286</v>
      </c>
      <c r="J18" s="856"/>
      <c r="K18" s="1310" t="s">
        <v>8287</v>
      </c>
      <c r="L18" s="1310"/>
      <c r="M18" s="1310" t="s">
        <v>8288</v>
      </c>
      <c r="N18" s="1267"/>
      <c r="O18" s="1310" t="s">
        <v>8289</v>
      </c>
      <c r="P18" s="1267"/>
      <c r="Q18" s="1301"/>
      <c r="R18" s="856" t="s">
        <v>8290</v>
      </c>
      <c r="S18" s="1346" t="s">
        <v>4018</v>
      </c>
      <c r="T18" s="1310" t="s">
        <v>8291</v>
      </c>
      <c r="U18" s="856" t="s">
        <v>3750</v>
      </c>
      <c r="V18" s="1310"/>
      <c r="W18" s="1310" t="s">
        <v>4440</v>
      </c>
      <c r="X18" s="856" t="s">
        <v>3689</v>
      </c>
      <c r="Y18" s="1310" t="s">
        <v>2826</v>
      </c>
      <c r="Z18" s="1267"/>
      <c r="AA18" s="1267"/>
      <c r="AB18" s="1301"/>
      <c r="AC18" s="1310" t="s">
        <v>8292</v>
      </c>
      <c r="AD18" s="856" t="s">
        <v>2016</v>
      </c>
      <c r="AE18" s="856"/>
      <c r="AF18" s="1310" t="s">
        <v>8293</v>
      </c>
      <c r="AG18" s="1302" t="s">
        <v>8294</v>
      </c>
      <c r="AH18" s="1307" t="s">
        <v>1268</v>
      </c>
      <c r="AI18" s="1301"/>
      <c r="AJ18" s="1301"/>
      <c r="AK18" s="1310" t="s">
        <v>707</v>
      </c>
      <c r="AL18" s="1267"/>
      <c r="AM18" s="1310" t="s">
        <v>8207</v>
      </c>
      <c r="AN18" s="1267"/>
      <c r="AO18" s="1267"/>
      <c r="AP18" s="856" t="s">
        <v>8048</v>
      </c>
      <c r="AQ18" s="856"/>
      <c r="AR18" s="856" t="s">
        <v>8073</v>
      </c>
      <c r="AS18" s="856" t="s">
        <v>8295</v>
      </c>
      <c r="AT18" s="856" t="s">
        <v>8296</v>
      </c>
      <c r="AU18" s="856" t="s">
        <v>8297</v>
      </c>
      <c r="AV18" s="856"/>
      <c r="AW18" s="1267"/>
      <c r="AX18" s="1267"/>
      <c r="AY18" s="1267"/>
      <c r="AZ18" s="1310" t="s">
        <v>2014</v>
      </c>
      <c r="BA18" s="856"/>
      <c r="BB18" s="1310" t="s">
        <v>8204</v>
      </c>
      <c r="BC18" s="1310" t="s">
        <v>8298</v>
      </c>
      <c r="BD18" s="1310" t="s">
        <v>8103</v>
      </c>
      <c r="BE18" s="1310"/>
      <c r="BF18" s="856"/>
      <c r="BG18" s="1301"/>
      <c r="BH18" s="1301"/>
      <c r="BI18" s="1301"/>
      <c r="BJ18" s="1301"/>
      <c r="BK18" s="1301"/>
      <c r="BL18" s="1267"/>
      <c r="BM18" s="1301"/>
      <c r="BN18" s="1310" t="s">
        <v>8299</v>
      </c>
      <c r="BO18" s="1310" t="s">
        <v>8300</v>
      </c>
      <c r="BP18" s="1310"/>
      <c r="BQ18" s="1301"/>
      <c r="BR18" s="1301"/>
      <c r="BS18" s="1301"/>
      <c r="BT18" s="1301"/>
      <c r="BU18" s="1301"/>
      <c r="BV18" s="1374" t="s">
        <v>4808</v>
      </c>
      <c r="BW18" s="1301"/>
      <c r="BX18" s="1267"/>
      <c r="BY18" s="856" t="s">
        <v>2181</v>
      </c>
      <c r="BZ18" s="1267"/>
      <c r="CA18" s="1301"/>
      <c r="CB18" s="856" t="s">
        <v>4514</v>
      </c>
      <c r="CC18" s="1310" t="s">
        <v>8301</v>
      </c>
      <c r="CD18" s="1310"/>
      <c r="CE18" s="1301"/>
      <c r="CF18" s="1267"/>
      <c r="CG18" s="1301"/>
      <c r="CH18" s="1301"/>
      <c r="CI18" s="1301"/>
      <c r="CJ18" s="1301"/>
      <c r="CK18" s="1301"/>
      <c r="CL18" s="1301"/>
      <c r="CM18" s="1310" t="s">
        <v>8302</v>
      </c>
      <c r="CN18" s="1310" t="s">
        <v>1808</v>
      </c>
      <c r="CO18" s="1310" t="s">
        <v>5115</v>
      </c>
      <c r="CP18" s="1310" t="s">
        <v>8303</v>
      </c>
      <c r="CQ18" s="856" t="s">
        <v>8304</v>
      </c>
      <c r="CR18" s="1310" t="s">
        <v>3217</v>
      </c>
      <c r="CS18" s="856" t="s">
        <v>8305</v>
      </c>
      <c r="CT18" s="96"/>
    </row>
    <row r="19">
      <c r="A19" s="1400" t="s">
        <v>4724</v>
      </c>
      <c r="B19" s="1097" t="s">
        <v>8306</v>
      </c>
      <c r="C19" s="1098" t="s">
        <v>1259</v>
      </c>
      <c r="D19" s="1099" t="s">
        <v>1259</v>
      </c>
      <c r="E19" s="1100" t="s">
        <v>1259</v>
      </c>
      <c r="F19" s="1101" t="s">
        <v>545</v>
      </c>
      <c r="G19" s="1097" t="s">
        <v>3370</v>
      </c>
      <c r="H19" s="1373"/>
      <c r="I19" s="1373" t="s">
        <v>8307</v>
      </c>
      <c r="J19" s="856"/>
      <c r="K19" s="856" t="s">
        <v>7243</v>
      </c>
      <c r="L19" s="1310"/>
      <c r="M19" s="1267"/>
      <c r="N19" s="1267"/>
      <c r="O19" s="1267"/>
      <c r="P19" s="1267"/>
      <c r="Q19" s="1301"/>
      <c r="R19" s="1310" t="s">
        <v>8308</v>
      </c>
      <c r="S19" s="1267"/>
      <c r="T19" s="1310" t="s">
        <v>8309</v>
      </c>
      <c r="U19" s="1310" t="s">
        <v>8310</v>
      </c>
      <c r="V19" s="1310" t="s">
        <v>8311</v>
      </c>
      <c r="W19" s="1310" t="s">
        <v>3592</v>
      </c>
      <c r="X19" s="856" t="s">
        <v>2575</v>
      </c>
      <c r="Y19" s="1310" t="s">
        <v>8312</v>
      </c>
      <c r="Z19" s="1267"/>
      <c r="AA19" s="1267"/>
      <c r="AB19" s="1301"/>
      <c r="AC19" s="834" t="s">
        <v>342</v>
      </c>
      <c r="AD19" s="1310" t="s">
        <v>3812</v>
      </c>
      <c r="AE19" s="856"/>
      <c r="AF19" s="1310" t="s">
        <v>8313</v>
      </c>
      <c r="AG19" s="1310"/>
      <c r="AH19" s="1310" t="s">
        <v>8314</v>
      </c>
      <c r="AI19" s="1301"/>
      <c r="AJ19" s="1301"/>
      <c r="AK19" s="1301"/>
      <c r="AL19" s="1267"/>
      <c r="AM19" s="1267"/>
      <c r="AN19" s="1267"/>
      <c r="AO19" s="1267"/>
      <c r="AP19" s="856" t="s">
        <v>8048</v>
      </c>
      <c r="AQ19" s="1267"/>
      <c r="AR19" s="856" t="s">
        <v>8315</v>
      </c>
      <c r="AS19" s="1267"/>
      <c r="AT19" s="1267"/>
      <c r="AU19" s="856" t="s">
        <v>8316</v>
      </c>
      <c r="AV19" s="856"/>
      <c r="AW19" s="856" t="s">
        <v>8078</v>
      </c>
      <c r="AX19" s="1267"/>
      <c r="AY19" s="1267"/>
      <c r="AZ19" s="1310" t="s">
        <v>2220</v>
      </c>
      <c r="BA19" s="856"/>
      <c r="BB19" s="1267"/>
      <c r="BC19" s="1310" t="s">
        <v>8317</v>
      </c>
      <c r="BD19" s="856" t="s">
        <v>8318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8319</v>
      </c>
      <c r="C20" s="1098" t="s">
        <v>1259</v>
      </c>
      <c r="D20" s="1099" t="s">
        <v>1259</v>
      </c>
      <c r="E20" s="1100" t="s">
        <v>1259</v>
      </c>
      <c r="F20" s="1101" t="s">
        <v>1259</v>
      </c>
      <c r="G20" s="1097" t="s">
        <v>3370</v>
      </c>
      <c r="H20" s="1373" t="s">
        <v>8320</v>
      </c>
      <c r="I20" s="1373" t="s">
        <v>8321</v>
      </c>
      <c r="J20" s="856" t="s">
        <v>8322</v>
      </c>
      <c r="K20" s="1373" t="s">
        <v>8323</v>
      </c>
      <c r="L20" s="856" t="s">
        <v>8324</v>
      </c>
      <c r="M20" s="856" t="s">
        <v>8110</v>
      </c>
      <c r="N20" s="856" t="s">
        <v>8325</v>
      </c>
      <c r="O20" s="856" t="s">
        <v>8326</v>
      </c>
      <c r="P20" s="856" t="s">
        <v>8327</v>
      </c>
      <c r="Q20" s="1301"/>
      <c r="R20" s="856" t="s">
        <v>8212</v>
      </c>
      <c r="S20" s="112" t="s">
        <v>8328</v>
      </c>
      <c r="T20" s="1267"/>
      <c r="U20" s="1401" t="s">
        <v>8329</v>
      </c>
      <c r="V20" s="856" t="s">
        <v>8330</v>
      </c>
      <c r="W20" s="1310" t="s">
        <v>8331</v>
      </c>
      <c r="X20" s="856" t="s">
        <v>8332</v>
      </c>
      <c r="Y20" s="856" t="s">
        <v>245</v>
      </c>
      <c r="Z20" s="1267"/>
      <c r="AA20" s="1267"/>
      <c r="AB20" s="1301"/>
      <c r="AC20" s="1310" t="s">
        <v>8333</v>
      </c>
      <c r="AD20" s="856" t="s">
        <v>4156</v>
      </c>
      <c r="AE20" s="1267"/>
      <c r="AF20" s="1267"/>
      <c r="AG20" s="1301"/>
      <c r="AH20" s="1301"/>
      <c r="AI20" s="1301"/>
      <c r="AJ20" s="1301"/>
      <c r="AK20" s="1301"/>
      <c r="AL20" s="1267"/>
      <c r="AM20" s="856"/>
      <c r="AN20" s="1267"/>
      <c r="AO20" s="1267"/>
      <c r="AP20" s="856" t="s">
        <v>8123</v>
      </c>
      <c r="AQ20" s="856" t="s">
        <v>8334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8335</v>
      </c>
      <c r="C21" s="1098" t="s">
        <v>1259</v>
      </c>
      <c r="D21" s="1099" t="s">
        <v>1259</v>
      </c>
      <c r="E21" s="1100" t="s">
        <v>1259</v>
      </c>
      <c r="F21" s="1101" t="s">
        <v>1259</v>
      </c>
      <c r="G21" s="1097" t="s">
        <v>219</v>
      </c>
      <c r="H21" s="1373"/>
      <c r="I21" s="1373" t="s">
        <v>8336</v>
      </c>
      <c r="J21" s="856"/>
      <c r="K21" s="1310" t="s">
        <v>8337</v>
      </c>
      <c r="L21" s="1310"/>
      <c r="M21" s="856"/>
      <c r="N21" s="856"/>
      <c r="O21" s="1310" t="s">
        <v>8338</v>
      </c>
      <c r="P21" s="856"/>
      <c r="Q21" s="1301"/>
      <c r="R21" s="1267"/>
      <c r="S21" s="1267"/>
      <c r="T21" s="856"/>
      <c r="U21" s="1310" t="s">
        <v>8339</v>
      </c>
      <c r="V21" s="1310"/>
      <c r="W21" s="1310" t="s">
        <v>2297</v>
      </c>
      <c r="X21" s="856"/>
      <c r="Y21" s="1310" t="s">
        <v>3297</v>
      </c>
      <c r="Z21" s="856"/>
      <c r="AA21" s="856"/>
      <c r="AB21" s="1310"/>
      <c r="AC21" s="1310" t="s">
        <v>8340</v>
      </c>
      <c r="AD21" s="1310" t="s">
        <v>4841</v>
      </c>
      <c r="AE21" s="856"/>
      <c r="AF21" s="856"/>
      <c r="AG21" s="1310"/>
      <c r="AH21" s="1301"/>
      <c r="AI21" s="1301"/>
      <c r="AJ21" s="1301"/>
      <c r="AK21" s="1301"/>
      <c r="AL21" s="1267"/>
      <c r="AM21" s="1310" t="s">
        <v>8254</v>
      </c>
      <c r="AN21" s="1267"/>
      <c r="AO21" s="1267"/>
      <c r="AP21" s="1310" t="s">
        <v>8341</v>
      </c>
      <c r="AQ21" s="856"/>
      <c r="AR21" s="1310" t="s">
        <v>8342</v>
      </c>
      <c r="AS21" s="856"/>
      <c r="AT21" s="1310" t="s">
        <v>8343</v>
      </c>
      <c r="AU21" s="1310" t="s">
        <v>8344</v>
      </c>
      <c r="AV21" s="856"/>
      <c r="AW21" s="856"/>
      <c r="AX21" s="1267"/>
      <c r="AY21" s="1267"/>
      <c r="AZ21" s="1310" t="s">
        <v>3251</v>
      </c>
      <c r="BA21" s="856"/>
      <c r="BB21" s="1310" t="s">
        <v>8079</v>
      </c>
      <c r="BC21" s="1310" t="s">
        <v>8202</v>
      </c>
      <c r="BD21" s="1310" t="s">
        <v>8241</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7850</v>
      </c>
      <c r="B22" s="1097" t="s">
        <v>6346</v>
      </c>
      <c r="C22" s="1098" t="s">
        <v>1259</v>
      </c>
      <c r="D22" s="1099" t="s">
        <v>1259</v>
      </c>
      <c r="E22" s="1100" t="s">
        <v>545</v>
      </c>
      <c r="F22" s="1101" t="s">
        <v>436</v>
      </c>
      <c r="G22" s="1097" t="s">
        <v>219</v>
      </c>
      <c r="H22" s="1373" t="s">
        <v>8345</v>
      </c>
      <c r="I22" s="1373"/>
      <c r="J22" s="1267"/>
      <c r="K22" s="1310" t="s">
        <v>8346</v>
      </c>
      <c r="L22" s="1310"/>
      <c r="M22" s="1267"/>
      <c r="N22" s="1267"/>
      <c r="O22" s="1267"/>
      <c r="P22" s="1267"/>
      <c r="Q22" s="1310" t="s">
        <v>8347</v>
      </c>
      <c r="R22" s="1310" t="s">
        <v>8348</v>
      </c>
      <c r="S22" s="1267"/>
      <c r="T22" s="1310" t="s">
        <v>8349</v>
      </c>
      <c r="U22" s="1403" t="s">
        <v>2897</v>
      </c>
      <c r="V22" s="1403"/>
      <c r="W22" s="1310" t="s">
        <v>367</v>
      </c>
      <c r="X22" s="856"/>
      <c r="Y22" s="1310" t="s">
        <v>4881</v>
      </c>
      <c r="Z22" s="1267"/>
      <c r="AA22" s="1267"/>
      <c r="AB22" s="1301"/>
      <c r="AC22" s="1310" t="s">
        <v>8350</v>
      </c>
      <c r="AD22" s="1310" t="s">
        <v>4046</v>
      </c>
      <c r="AE22" s="1297"/>
      <c r="AF22" s="834" t="s">
        <v>723</v>
      </c>
      <c r="AG22" s="1319"/>
      <c r="AH22" s="1310" t="s">
        <v>3310</v>
      </c>
      <c r="AI22" s="1310" t="s">
        <v>5536</v>
      </c>
      <c r="AJ22" s="1301"/>
      <c r="AK22" s="1301"/>
      <c r="AL22" s="1267"/>
      <c r="AM22" s="1267"/>
      <c r="AN22" s="1267"/>
      <c r="AO22" s="1267"/>
      <c r="AP22" s="1267"/>
      <c r="AQ22" s="1267"/>
      <c r="AR22" s="1267"/>
      <c r="AS22" s="1267"/>
      <c r="AT22" s="1267"/>
      <c r="AU22" s="1267"/>
      <c r="AV22" s="1267"/>
      <c r="AW22" s="1267"/>
      <c r="AX22" s="856"/>
      <c r="AY22" s="1310" t="s">
        <v>8240</v>
      </c>
      <c r="AZ22" s="1267"/>
      <c r="BA22" s="1267"/>
      <c r="BB22" s="1310" t="s">
        <v>8208</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8351</v>
      </c>
    </row>
    <row r="23">
      <c r="A23" s="1406" t="s">
        <v>7841</v>
      </c>
      <c r="B23" s="1097" t="s">
        <v>8352</v>
      </c>
      <c r="C23" s="1098" t="s">
        <v>1259</v>
      </c>
      <c r="D23" s="1099" t="s">
        <v>1259</v>
      </c>
      <c r="E23" s="1100" t="s">
        <v>1259</v>
      </c>
      <c r="F23" s="1101" t="s">
        <v>1259</v>
      </c>
      <c r="G23" s="1097" t="s">
        <v>2690</v>
      </c>
      <c r="H23" s="1373"/>
      <c r="I23" s="1373" t="s">
        <v>8353</v>
      </c>
      <c r="J23" s="856"/>
      <c r="K23" s="856" t="s">
        <v>8354</v>
      </c>
      <c r="L23" s="1310"/>
      <c r="M23" s="1267"/>
      <c r="N23" s="1301" t="s">
        <v>8355</v>
      </c>
      <c r="O23" s="1267"/>
      <c r="P23" s="1267"/>
      <c r="Q23" s="1301"/>
      <c r="R23" s="1310" t="s">
        <v>8356</v>
      </c>
      <c r="S23" s="1267"/>
      <c r="T23" s="1310" t="s">
        <v>8357</v>
      </c>
      <c r="U23" s="1310" t="s">
        <v>8358</v>
      </c>
      <c r="V23" s="1310"/>
      <c r="W23" s="1310" t="s">
        <v>3163</v>
      </c>
      <c r="X23" s="856"/>
      <c r="Y23" s="1310" t="s">
        <v>1017</v>
      </c>
      <c r="Z23" s="1301" t="s">
        <v>8359</v>
      </c>
      <c r="AA23" s="1267"/>
      <c r="AB23" s="1301"/>
      <c r="AC23" s="856"/>
      <c r="AD23" s="1310" t="s">
        <v>1837</v>
      </c>
      <c r="AE23" s="856"/>
      <c r="AF23" s="856"/>
      <c r="AG23" s="1310"/>
      <c r="AH23" s="1310"/>
      <c r="AI23" s="1301" t="s">
        <v>8360</v>
      </c>
      <c r="AJ23" s="1301"/>
      <c r="AK23" s="1301"/>
      <c r="AL23" s="1267"/>
      <c r="AM23" s="1301" t="s">
        <v>8361</v>
      </c>
      <c r="AN23" s="1267"/>
      <c r="AO23" s="1267"/>
      <c r="AP23" s="856" t="s">
        <v>8362</v>
      </c>
      <c r="AQ23" s="1267"/>
      <c r="AR23" s="1301" t="s">
        <v>8363</v>
      </c>
      <c r="AS23" s="1267"/>
      <c r="AT23" s="1301" t="s">
        <v>8364</v>
      </c>
      <c r="AU23" s="856" t="s">
        <v>8365</v>
      </c>
      <c r="AV23" s="856"/>
      <c r="AW23" s="856" t="s">
        <v>8254</v>
      </c>
      <c r="AX23" s="1267"/>
      <c r="AY23" s="1301" t="s">
        <v>8258</v>
      </c>
      <c r="AZ23" s="856"/>
      <c r="BA23" s="856"/>
      <c r="BB23" s="1301" t="s">
        <v>8366</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8367</v>
      </c>
      <c r="C24" s="1098" t="s">
        <v>1259</v>
      </c>
      <c r="D24" s="1099" t="s">
        <v>545</v>
      </c>
      <c r="E24" s="1100" t="s">
        <v>436</v>
      </c>
      <c r="F24" s="1101" t="s">
        <v>437</v>
      </c>
      <c r="G24" s="1097" t="s">
        <v>3251</v>
      </c>
      <c r="H24" s="1383" t="s">
        <v>8368</v>
      </c>
      <c r="I24" s="1383" t="s">
        <v>5228</v>
      </c>
      <c r="J24" s="1297"/>
      <c r="K24" s="1310" t="s">
        <v>8369</v>
      </c>
      <c r="L24" s="1310"/>
      <c r="M24" s="856"/>
      <c r="N24" s="1310" t="s">
        <v>8370</v>
      </c>
      <c r="O24" s="1310" t="s">
        <v>8371</v>
      </c>
      <c r="P24" s="1310" t="s">
        <v>8372</v>
      </c>
      <c r="Q24" s="1310" t="s">
        <v>8373</v>
      </c>
      <c r="R24" s="1310" t="s">
        <v>8374</v>
      </c>
      <c r="S24" s="1310" t="s">
        <v>5248</v>
      </c>
      <c r="T24" s="1310" t="s">
        <v>8375</v>
      </c>
      <c r="U24" s="1310" t="s">
        <v>8376</v>
      </c>
      <c r="V24" s="1310"/>
      <c r="W24" s="1310" t="s">
        <v>5923</v>
      </c>
      <c r="X24" s="856"/>
      <c r="Y24" s="1267"/>
      <c r="Z24" s="1267"/>
      <c r="AA24" s="1267"/>
      <c r="AB24" s="1301"/>
      <c r="AC24" s="1310" t="s">
        <v>8377</v>
      </c>
      <c r="AD24" s="1310" t="s">
        <v>5731</v>
      </c>
      <c r="AE24" s="856"/>
      <c r="AF24" s="1310" t="s">
        <v>7469</v>
      </c>
      <c r="AG24" s="1310"/>
      <c r="AH24" s="1310" t="s">
        <v>3357</v>
      </c>
      <c r="AI24" s="1310"/>
      <c r="AJ24" s="1310"/>
      <c r="AK24" s="1301"/>
      <c r="AL24" s="1267"/>
      <c r="AM24" s="1310" t="s">
        <v>8378</v>
      </c>
      <c r="AN24" s="1310" t="s">
        <v>8217</v>
      </c>
      <c r="AO24" s="1310" t="s">
        <v>8146</v>
      </c>
      <c r="AP24" s="1310" t="s">
        <v>8379</v>
      </c>
      <c r="AQ24" s="856"/>
      <c r="AR24" s="1310" t="s">
        <v>8295</v>
      </c>
      <c r="AS24" s="856"/>
      <c r="AT24" s="1310" t="s">
        <v>8380</v>
      </c>
      <c r="AU24" s="1310" t="s">
        <v>8381</v>
      </c>
      <c r="AV24" s="856"/>
      <c r="AW24" s="1310" t="s">
        <v>8207</v>
      </c>
      <c r="AX24" s="856"/>
      <c r="AY24" s="1310" t="s">
        <v>8284</v>
      </c>
      <c r="AZ24" s="1267"/>
      <c r="BA24" s="1267"/>
      <c r="BB24" s="1310" t="s">
        <v>8231</v>
      </c>
      <c r="BC24" s="856" t="s">
        <v>8284</v>
      </c>
      <c r="BD24" s="1310" t="s">
        <v>8297</v>
      </c>
      <c r="BE24" s="1310"/>
      <c r="BF24" s="856"/>
      <c r="BG24" s="1408" t="s">
        <v>8382</v>
      </c>
      <c r="BH24" s="1409" t="s">
        <v>8383</v>
      </c>
      <c r="BI24" s="1210"/>
      <c r="BJ24" s="1210"/>
      <c r="BK24" s="1210"/>
      <c r="BL24" s="1210" t="s">
        <v>8384</v>
      </c>
      <c r="BM24" s="1210" t="s">
        <v>8385</v>
      </c>
      <c r="BN24" s="1210"/>
      <c r="BO24" s="1210"/>
      <c r="BP24" s="1210"/>
      <c r="BQ24" s="1301"/>
      <c r="BR24" s="1410" t="s">
        <v>8386</v>
      </c>
      <c r="BS24" s="1301"/>
      <c r="BT24" s="1301"/>
      <c r="BU24" s="1301"/>
      <c r="BV24" s="1411" t="s">
        <v>161</v>
      </c>
      <c r="BW24" s="1310" t="s">
        <v>1780</v>
      </c>
      <c r="BX24" s="1310" t="s">
        <v>1630</v>
      </c>
      <c r="BY24" s="1307" t="s">
        <v>4918</v>
      </c>
      <c r="BZ24" s="1310" t="s">
        <v>2205</v>
      </c>
      <c r="CA24" s="1310" t="s">
        <v>5443</v>
      </c>
      <c r="CB24" s="1310" t="s">
        <v>2122</v>
      </c>
      <c r="CC24" s="1310" t="s">
        <v>8387</v>
      </c>
      <c r="CD24" s="1310"/>
      <c r="CE24" s="1370" t="s">
        <v>8317</v>
      </c>
      <c r="CF24" s="1370" t="s">
        <v>8017</v>
      </c>
      <c r="CG24" s="1370" t="s">
        <v>8388</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3370</v>
      </c>
      <c r="H25" s="1373"/>
      <c r="I25" s="1373" t="s">
        <v>8389</v>
      </c>
      <c r="J25" s="856"/>
      <c r="K25" s="856" t="s">
        <v>8390</v>
      </c>
      <c r="L25" s="1308" t="s">
        <v>3728</v>
      </c>
      <c r="M25" s="1267"/>
      <c r="N25" s="1267"/>
      <c r="O25" s="1267"/>
      <c r="P25" s="856" t="s">
        <v>8391</v>
      </c>
      <c r="Q25" s="1301"/>
      <c r="R25" s="834" t="s">
        <v>8392</v>
      </c>
      <c r="S25" s="1267"/>
      <c r="T25" s="1267"/>
      <c r="U25" s="856" t="s">
        <v>751</v>
      </c>
      <c r="V25" s="1310"/>
      <c r="W25" s="1310" t="s">
        <v>4365</v>
      </c>
      <c r="X25" s="856" t="s">
        <v>3597</v>
      </c>
      <c r="Y25" s="834" t="s">
        <v>8393</v>
      </c>
      <c r="Z25" s="1267"/>
      <c r="AA25" s="1267"/>
      <c r="AB25" s="1301"/>
      <c r="AC25" s="1310" t="s">
        <v>8394</v>
      </c>
      <c r="AD25" s="1310" t="s">
        <v>8395</v>
      </c>
      <c r="AE25" s="856"/>
      <c r="AF25" s="1310" t="s">
        <v>8396</v>
      </c>
      <c r="AG25" s="1310"/>
      <c r="AH25" s="1310" t="s">
        <v>8397</v>
      </c>
      <c r="AI25" s="1301"/>
      <c r="AJ25" s="1301"/>
      <c r="AK25" s="1315" t="s">
        <v>3774</v>
      </c>
      <c r="AL25" s="1360"/>
      <c r="AM25" s="1267"/>
      <c r="AN25" s="1267"/>
      <c r="AO25" s="1267"/>
      <c r="AP25" s="1267"/>
      <c r="AQ25" s="1267"/>
      <c r="AR25" s="1310" t="s">
        <v>8398</v>
      </c>
      <c r="AS25" s="856"/>
      <c r="AT25" s="1267"/>
      <c r="AU25" s="1267"/>
      <c r="AV25" s="1267"/>
      <c r="AW25" s="1310" t="s">
        <v>8055</v>
      </c>
      <c r="AX25" s="1267"/>
      <c r="AY25" s="1267"/>
      <c r="AZ25" s="1267"/>
      <c r="BA25" s="1267"/>
      <c r="BB25" s="1310" t="s">
        <v>8130</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4792</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2805</v>
      </c>
      <c r="Y26" s="1302" t="s">
        <v>8215</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8399</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7852</v>
      </c>
      <c r="B27" s="1097" t="s">
        <v>439</v>
      </c>
      <c r="C27" s="1098" t="s">
        <v>1259</v>
      </c>
      <c r="D27" s="1099" t="s">
        <v>1259</v>
      </c>
      <c r="E27" s="1100" t="s">
        <v>545</v>
      </c>
      <c r="F27" s="1101" t="s">
        <v>436</v>
      </c>
      <c r="G27" s="1097" t="s">
        <v>913</v>
      </c>
      <c r="H27" s="1373"/>
      <c r="I27" s="1373" t="s">
        <v>8400</v>
      </c>
      <c r="J27" s="1267"/>
      <c r="K27" s="856" t="s">
        <v>8401</v>
      </c>
      <c r="L27" s="1301"/>
      <c r="M27" s="1267"/>
      <c r="N27" s="1267"/>
      <c r="O27" s="1267"/>
      <c r="P27" s="856" t="s">
        <v>8402</v>
      </c>
      <c r="Q27" s="1301"/>
      <c r="R27" s="1267"/>
      <c r="S27" s="1267"/>
      <c r="T27" s="1267"/>
      <c r="U27" s="821" t="s">
        <v>8403</v>
      </c>
      <c r="V27" s="1301"/>
      <c r="W27" s="1267"/>
      <c r="X27" s="856" t="s">
        <v>6648</v>
      </c>
      <c r="Y27" s="834" t="s">
        <v>6740</v>
      </c>
      <c r="Z27" s="1267"/>
      <c r="AA27" s="856" t="s">
        <v>8404</v>
      </c>
      <c r="AB27" s="1301"/>
      <c r="AC27" s="856" t="s">
        <v>8405</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2143</v>
      </c>
      <c r="C28" s="1098" t="s">
        <v>545</v>
      </c>
      <c r="D28" s="1099" t="s">
        <v>1259</v>
      </c>
      <c r="E28" s="1100" t="s">
        <v>1259</v>
      </c>
      <c r="F28" s="1101" t="s">
        <v>436</v>
      </c>
      <c r="G28" s="1097" t="s">
        <v>2690</v>
      </c>
      <c r="H28" s="1373"/>
      <c r="I28" s="1349" t="s">
        <v>8406</v>
      </c>
      <c r="J28" s="1267"/>
      <c r="K28" s="856" t="s">
        <v>8407</v>
      </c>
      <c r="L28" s="1301"/>
      <c r="M28" s="856" t="s">
        <v>8408</v>
      </c>
      <c r="N28" s="1267"/>
      <c r="O28" s="1267"/>
      <c r="P28" s="1310" t="s">
        <v>5822</v>
      </c>
      <c r="Q28" s="1301"/>
      <c r="R28" s="1267"/>
      <c r="S28" s="856" t="s">
        <v>8409</v>
      </c>
      <c r="T28" s="856"/>
      <c r="U28" s="1310" t="s">
        <v>3716</v>
      </c>
      <c r="V28" s="1301"/>
      <c r="W28" s="1267"/>
      <c r="X28" s="856" t="s">
        <v>8410</v>
      </c>
      <c r="Y28" s="856" t="s">
        <v>5049</v>
      </c>
      <c r="Z28" s="1267"/>
      <c r="AA28" s="856" t="s">
        <v>8411</v>
      </c>
      <c r="AB28" s="1301"/>
      <c r="AC28" s="856" t="s">
        <v>8412</v>
      </c>
      <c r="AD28" s="856" t="s">
        <v>5396</v>
      </c>
      <c r="AE28" s="856" t="s">
        <v>8413</v>
      </c>
      <c r="AF28" s="856" t="s">
        <v>7732</v>
      </c>
      <c r="AG28" s="1301"/>
      <c r="AH28" s="1301"/>
      <c r="AI28" s="1301"/>
      <c r="AJ28" s="1301"/>
      <c r="AK28" s="1301"/>
      <c r="AL28" s="1267"/>
      <c r="AM28" s="1267"/>
      <c r="AN28" s="856" t="s">
        <v>8414</v>
      </c>
      <c r="AO28" s="1310" t="s">
        <v>8415</v>
      </c>
      <c r="AP28" s="1267"/>
      <c r="AQ28" s="856" t="s">
        <v>8145</v>
      </c>
      <c r="AR28" s="1267"/>
      <c r="AS28" s="1267"/>
      <c r="AT28" s="1267"/>
      <c r="AU28" s="856" t="s">
        <v>8365</v>
      </c>
      <c r="AV28" s="1267"/>
      <c r="AW28" s="1267"/>
      <c r="AX28" s="1267"/>
      <c r="AY28" s="1267"/>
      <c r="AZ28" s="1267"/>
      <c r="BA28" s="1267"/>
      <c r="BB28" s="1267"/>
      <c r="BC28" s="1267"/>
      <c r="BD28" s="1267"/>
      <c r="BE28" s="1301"/>
      <c r="BF28" s="1267"/>
      <c r="BG28" s="1380"/>
      <c r="BH28" s="1380"/>
      <c r="BI28" s="1380"/>
      <c r="BJ28" s="1380"/>
      <c r="BK28" s="1380"/>
      <c r="BL28" s="1414" t="s">
        <v>8416</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7272</v>
      </c>
      <c r="C30" s="1098" t="s">
        <v>1259</v>
      </c>
      <c r="D30" s="1099" t="s">
        <v>1259</v>
      </c>
      <c r="E30" s="1100" t="s">
        <v>1259</v>
      </c>
      <c r="F30" s="1101" t="s">
        <v>436</v>
      </c>
      <c r="G30" s="1097" t="s">
        <v>330</v>
      </c>
      <c r="H30" s="1373"/>
      <c r="I30" s="1373"/>
      <c r="J30" s="92"/>
      <c r="K30" s="92"/>
      <c r="L30" s="96"/>
      <c r="M30" s="92"/>
      <c r="N30" s="92"/>
      <c r="O30" s="92"/>
      <c r="P30" s="92"/>
      <c r="Q30" s="96"/>
      <c r="R30" s="112" t="s">
        <v>8417</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8418</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8419</v>
      </c>
      <c r="L31" s="1301"/>
      <c r="M31" s="1267"/>
      <c r="N31" s="1267"/>
      <c r="O31" s="1267"/>
      <c r="P31" s="856" t="s">
        <v>8420</v>
      </c>
      <c r="Q31" s="1301"/>
      <c r="R31" s="1267"/>
      <c r="S31" s="1267"/>
      <c r="T31" s="856" t="s">
        <v>8421</v>
      </c>
      <c r="U31" s="856" t="s">
        <v>8422</v>
      </c>
      <c r="V31" s="1301"/>
      <c r="W31" s="856" t="s">
        <v>246</v>
      </c>
      <c r="X31" s="856" t="s">
        <v>8423</v>
      </c>
      <c r="Y31" s="856" t="s">
        <v>364</v>
      </c>
      <c r="Z31" s="1267"/>
      <c r="AA31" s="1267"/>
      <c r="AB31" s="1301"/>
      <c r="AC31" s="1267"/>
      <c r="AD31" s="1267"/>
      <c r="AE31" s="1267"/>
      <c r="AF31" s="1267"/>
      <c r="AG31" s="1301"/>
      <c r="AH31" s="1301"/>
      <c r="AI31" s="1301"/>
      <c r="AJ31" s="1301"/>
      <c r="AK31" s="1301"/>
      <c r="AL31" s="1267"/>
      <c r="AM31" s="1267"/>
      <c r="AN31" s="1267"/>
      <c r="AO31" s="1267"/>
      <c r="AP31" s="821" t="s">
        <v>8120</v>
      </c>
      <c r="AQ31" s="821"/>
      <c r="AR31" s="1267"/>
      <c r="AS31" s="856" t="s">
        <v>8296</v>
      </c>
      <c r="AT31" s="1267"/>
      <c r="AU31" s="856" t="s">
        <v>8398</v>
      </c>
      <c r="AV31" s="1267"/>
      <c r="AW31" s="1267"/>
      <c r="AX31" s="1267"/>
      <c r="AY31" s="1267"/>
      <c r="AZ31" s="856" t="s">
        <v>2397</v>
      </c>
      <c r="BA31" s="1267"/>
      <c r="BB31" s="821" t="s">
        <v>8424</v>
      </c>
      <c r="BC31" s="856" t="s">
        <v>8047</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8425</v>
      </c>
      <c r="AD32" s="856" t="s">
        <v>2116</v>
      </c>
      <c r="AE32" s="856"/>
      <c r="AF32" s="1310" t="s">
        <v>7659</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8217</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8426</v>
      </c>
      <c r="I33" s="1373"/>
      <c r="J33" s="1267"/>
      <c r="K33" s="1267"/>
      <c r="L33" s="1301"/>
      <c r="M33" s="1267"/>
      <c r="N33" s="1267"/>
      <c r="O33" s="1267"/>
      <c r="P33" s="1267"/>
      <c r="Q33" s="1301"/>
      <c r="R33" s="1267"/>
      <c r="S33" s="1267"/>
      <c r="T33" s="834" t="s">
        <v>8427</v>
      </c>
      <c r="U33" s="856" t="s">
        <v>8428</v>
      </c>
      <c r="V33" s="856" t="s">
        <v>8429</v>
      </c>
      <c r="W33" s="1267"/>
      <c r="X33" s="856" t="s">
        <v>8430</v>
      </c>
      <c r="Y33" s="856" t="s">
        <v>8431</v>
      </c>
      <c r="Z33" s="1267"/>
      <c r="AA33" s="1267"/>
      <c r="AB33" s="1301"/>
      <c r="AC33" s="834" t="s">
        <v>1653</v>
      </c>
      <c r="AD33" s="856" t="s">
        <v>5463</v>
      </c>
      <c r="AE33" s="1267"/>
      <c r="AF33" s="1267"/>
      <c r="AG33" s="1301"/>
      <c r="AH33" s="1301"/>
      <c r="AI33" s="1301"/>
      <c r="AJ33" s="1301"/>
      <c r="AK33" s="1301"/>
      <c r="AL33" s="1267"/>
      <c r="AM33" s="856" t="s">
        <v>8432</v>
      </c>
      <c r="AN33" s="1267"/>
      <c r="AO33" s="1267"/>
      <c r="AP33" s="856" t="s">
        <v>8102</v>
      </c>
      <c r="AQ33" s="1267"/>
      <c r="AR33" s="1267"/>
      <c r="AS33" s="1267"/>
      <c r="AT33" s="1267"/>
      <c r="AU33" s="856" t="s">
        <v>8164</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8433</v>
      </c>
      <c r="CF33" s="1267"/>
      <c r="CG33" s="1301"/>
      <c r="CH33" s="1301"/>
      <c r="CI33" s="1301"/>
      <c r="CJ33" s="1301"/>
      <c r="CK33" s="1301"/>
      <c r="CL33" s="1301"/>
      <c r="CM33" s="1301"/>
      <c r="CN33" s="1267"/>
      <c r="CO33" s="1301"/>
      <c r="CP33" s="1301"/>
      <c r="CQ33" s="1301"/>
      <c r="CR33" s="1301"/>
      <c r="CS33" s="1301"/>
      <c r="CT33" s="1301"/>
    </row>
    <row r="34">
      <c r="A34" s="1347" t="s">
        <v>8434</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3718</v>
      </c>
      <c r="BZ34" s="1361" t="s">
        <v>8435</v>
      </c>
      <c r="CA34" s="1301"/>
      <c r="CB34" s="1361" t="s">
        <v>1078</v>
      </c>
      <c r="CC34" s="1361" t="s">
        <v>2698</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2962</v>
      </c>
      <c r="C35" s="1098" t="s">
        <v>436</v>
      </c>
      <c r="D35" s="1099" t="s">
        <v>1259</v>
      </c>
      <c r="E35" s="1100" t="s">
        <v>1259</v>
      </c>
      <c r="F35" s="1101" t="s">
        <v>436</v>
      </c>
      <c r="G35" s="1097" t="s">
        <v>436</v>
      </c>
      <c r="H35" s="1099"/>
      <c r="I35" s="1373"/>
      <c r="J35" s="1267"/>
      <c r="K35" s="1267"/>
      <c r="L35" s="1301"/>
      <c r="M35" s="1267"/>
      <c r="N35" s="1267"/>
      <c r="O35" s="1302" t="s">
        <v>8436</v>
      </c>
      <c r="P35" s="1302" t="s">
        <v>8437</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2759</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8438</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8070</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2690</v>
      </c>
      <c r="C41" s="1098" t="s">
        <v>1259</v>
      </c>
      <c r="D41" s="1099" t="s">
        <v>1259</v>
      </c>
      <c r="E41" s="1100" t="s">
        <v>1259</v>
      </c>
      <c r="F41" s="1101" t="s">
        <v>1259</v>
      </c>
      <c r="G41" s="1097" t="s">
        <v>436</v>
      </c>
      <c r="H41" s="1412"/>
      <c r="I41" s="1412"/>
      <c r="J41" s="1267"/>
      <c r="K41" s="1267"/>
      <c r="L41" s="1301"/>
      <c r="M41" s="1267"/>
      <c r="N41" s="1267"/>
      <c r="O41" s="1267"/>
      <c r="P41" s="1267"/>
      <c r="Q41" s="1301"/>
      <c r="R41" s="856" t="s">
        <v>8439</v>
      </c>
      <c r="S41" s="1267"/>
      <c r="T41" s="1267"/>
      <c r="U41" s="856" t="s">
        <v>8440</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2602</v>
      </c>
      <c r="C42" s="1098" t="s">
        <v>1259</v>
      </c>
      <c r="D42" s="1099" t="s">
        <v>1259</v>
      </c>
      <c r="E42" s="1100" t="s">
        <v>1259</v>
      </c>
      <c r="F42" s="1101" t="s">
        <v>545</v>
      </c>
      <c r="G42" s="1097" t="s">
        <v>545</v>
      </c>
      <c r="H42" s="1373"/>
      <c r="I42" s="1373"/>
      <c r="J42" s="1267"/>
      <c r="K42" s="1267"/>
      <c r="L42" s="1301"/>
      <c r="M42" s="1267"/>
      <c r="N42" s="1267"/>
      <c r="O42" s="1267"/>
      <c r="P42" s="1267"/>
      <c r="Q42" s="1301"/>
      <c r="R42" s="834" t="s">
        <v>8441</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8442</v>
      </c>
      <c r="L43" s="1301"/>
      <c r="M43" s="1267"/>
      <c r="N43" s="1267"/>
      <c r="O43" s="1267"/>
      <c r="P43" s="1267"/>
      <c r="Q43" s="1301"/>
      <c r="R43" s="1267"/>
      <c r="S43" s="1267"/>
      <c r="T43" s="1267"/>
      <c r="U43" s="1267"/>
      <c r="V43" s="1301"/>
      <c r="W43" s="1310" t="s">
        <v>6326</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8073</v>
      </c>
      <c r="AV43" s="856"/>
      <c r="AW43" s="1267"/>
      <c r="AX43" s="1267"/>
      <c r="AY43" s="1267"/>
      <c r="AZ43" s="1267"/>
      <c r="BA43" s="1267"/>
      <c r="BB43" s="1267"/>
      <c r="BC43" s="856" t="s">
        <v>8162</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8443</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8444</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8445</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8446</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8447</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8448</v>
      </c>
      <c r="S51" s="1267"/>
      <c r="T51" s="1267"/>
      <c r="U51" s="834" t="s">
        <v>8449</v>
      </c>
      <c r="V51" s="1301"/>
      <c r="W51" s="856" t="s">
        <v>8450</v>
      </c>
      <c r="X51" s="856" t="s">
        <v>8450</v>
      </c>
      <c r="Y51" s="1267"/>
      <c r="Z51" s="1267"/>
      <c r="AA51" s="1267"/>
      <c r="AB51" s="1301"/>
      <c r="AC51" s="1267"/>
      <c r="AD51" s="1267"/>
      <c r="AE51" s="1267"/>
      <c r="AF51" s="1267"/>
      <c r="AG51" s="1301"/>
      <c r="AH51" s="1301"/>
      <c r="AI51" s="1301"/>
      <c r="AJ51" s="1301"/>
      <c r="AK51" s="1301"/>
      <c r="AL51" s="1267"/>
      <c r="AM51" s="1267"/>
      <c r="AN51" s="1267"/>
      <c r="AO51" s="1267"/>
      <c r="AP51" s="856" t="s">
        <v>8451</v>
      </c>
      <c r="AQ51" s="834" t="s">
        <v>8452</v>
      </c>
      <c r="AR51" s="834" t="s">
        <v>8453</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8454</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8005</v>
      </c>
      <c r="BD53" s="1310" t="s">
        <v>8398</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8455</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8456</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8457</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8156</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8458</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8459</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8460</v>
      </c>
      <c r="C1" s="1433" t="s">
        <v>8461</v>
      </c>
      <c r="D1" s="1434" t="s">
        <v>8462</v>
      </c>
      <c r="E1" s="1434" t="s">
        <v>7901</v>
      </c>
      <c r="F1" s="1434" t="s">
        <v>7902</v>
      </c>
      <c r="G1" s="1434" t="s">
        <v>8463</v>
      </c>
      <c r="H1" s="1435" t="s">
        <v>8464</v>
      </c>
      <c r="I1" s="1435" t="s">
        <v>8465</v>
      </c>
      <c r="J1" s="1436" t="s">
        <v>7913</v>
      </c>
      <c r="K1" s="1436" t="s">
        <v>8466</v>
      </c>
      <c r="L1" s="1436" t="s">
        <v>8467</v>
      </c>
      <c r="M1" s="1436" t="s">
        <v>8468</v>
      </c>
      <c r="N1" s="1436" t="s">
        <v>7976</v>
      </c>
      <c r="O1" s="1436" t="s">
        <v>8469</v>
      </c>
      <c r="P1" s="1436" t="s">
        <v>8470</v>
      </c>
      <c r="Q1" s="1437" t="s">
        <v>8471</v>
      </c>
      <c r="R1" s="1437" t="s">
        <v>7909</v>
      </c>
      <c r="S1" s="1437" t="s">
        <v>8472</v>
      </c>
      <c r="T1" s="1437" t="s">
        <v>8473</v>
      </c>
      <c r="U1" s="1437" t="s">
        <v>8474</v>
      </c>
      <c r="V1" s="1437" t="s">
        <v>8475</v>
      </c>
      <c r="W1" s="1438" t="s">
        <v>7903</v>
      </c>
      <c r="X1" s="1438" t="s">
        <v>7904</v>
      </c>
      <c r="Y1" s="1438" t="s">
        <v>8476</v>
      </c>
      <c r="Z1" s="1438" t="s">
        <v>8477</v>
      </c>
      <c r="AA1" s="1438" t="s">
        <v>7906</v>
      </c>
      <c r="AB1" s="1438" t="s">
        <v>8478</v>
      </c>
      <c r="AC1" s="1438" t="s">
        <v>8479</v>
      </c>
      <c r="AD1" s="1434" t="s">
        <v>8480</v>
      </c>
      <c r="AE1" s="1434" t="s">
        <v>8481</v>
      </c>
      <c r="AF1" s="1439" t="s">
        <v>7910</v>
      </c>
      <c r="AG1" s="1439" t="s">
        <v>8482</v>
      </c>
      <c r="AH1" s="1439" t="s">
        <v>8483</v>
      </c>
      <c r="AI1" s="1439" t="s">
        <v>7911</v>
      </c>
      <c r="AJ1" s="1439" t="s">
        <v>8484</v>
      </c>
      <c r="AK1" s="1439" t="s">
        <v>8485</v>
      </c>
      <c r="AL1" s="1439" t="s">
        <v>8486</v>
      </c>
      <c r="AM1" s="1440" t="s">
        <v>7912</v>
      </c>
      <c r="AN1" s="1440" t="s">
        <v>8487</v>
      </c>
      <c r="AO1" s="1440" t="s">
        <v>8488</v>
      </c>
      <c r="AP1" s="1440" t="s">
        <v>8489</v>
      </c>
      <c r="AQ1" s="1440" t="s">
        <v>8490</v>
      </c>
      <c r="AR1" s="1440" t="s">
        <v>8491</v>
      </c>
      <c r="AS1" s="1440" t="s">
        <v>8492</v>
      </c>
      <c r="AT1" s="1441" t="s">
        <v>8493</v>
      </c>
      <c r="AU1" s="1431" t="s">
        <v>8494</v>
      </c>
      <c r="AV1" s="1442" t="s">
        <v>8495</v>
      </c>
      <c r="AW1" s="1443" t="s">
        <v>8496</v>
      </c>
    </row>
    <row r="2" ht="15.75" customHeight="1">
      <c r="A2" s="1444" t="s">
        <v>8497</v>
      </c>
      <c r="B2" s="1445" t="s">
        <v>8498</v>
      </c>
      <c r="C2" s="1446" t="s">
        <v>8499</v>
      </c>
      <c r="D2" s="1447" t="s">
        <v>8500</v>
      </c>
      <c r="E2" s="1447" t="s">
        <v>8501</v>
      </c>
      <c r="F2" s="1448" t="s">
        <v>8502</v>
      </c>
      <c r="G2" s="1447" t="s">
        <v>8503</v>
      </c>
      <c r="H2" s="1449" t="s">
        <v>6131</v>
      </c>
      <c r="I2" s="1450" t="s">
        <v>8504</v>
      </c>
      <c r="J2" s="1451" t="s">
        <v>8505</v>
      </c>
      <c r="K2" s="1452" t="s">
        <v>4190</v>
      </c>
      <c r="L2" s="1452" t="s">
        <v>231</v>
      </c>
      <c r="M2" s="1453" t="s">
        <v>8506</v>
      </c>
      <c r="N2" s="1453" t="s">
        <v>4002</v>
      </c>
      <c r="O2" s="1453" t="s">
        <v>8507</v>
      </c>
      <c r="P2" s="1452" t="s">
        <v>1285</v>
      </c>
      <c r="Q2" s="1454" t="s">
        <v>8508</v>
      </c>
      <c r="R2" s="1455" t="s">
        <v>8509</v>
      </c>
      <c r="S2" s="1454" t="s">
        <v>815</v>
      </c>
      <c r="T2" s="1455" t="s">
        <v>8510</v>
      </c>
      <c r="U2" s="1454" t="s">
        <v>8511</v>
      </c>
      <c r="V2" s="1456">
        <v>58.55</v>
      </c>
      <c r="W2" s="1457" t="s">
        <v>8512</v>
      </c>
      <c r="X2" s="1458" t="s">
        <v>8513</v>
      </c>
      <c r="Y2" s="1458">
        <v>46.63</v>
      </c>
      <c r="Z2" s="1459" t="s">
        <v>8514</v>
      </c>
      <c r="AA2" s="1458" t="s">
        <v>5224</v>
      </c>
      <c r="AB2" s="1458" t="s">
        <v>8515</v>
      </c>
      <c r="AC2" s="1459" t="s">
        <v>4026</v>
      </c>
      <c r="AD2" s="1460" t="s">
        <v>8516</v>
      </c>
      <c r="AE2" s="1448" t="s">
        <v>4727</v>
      </c>
      <c r="AF2" s="1461" t="s">
        <v>8517</v>
      </c>
      <c r="AG2" s="1461" t="s">
        <v>8518</v>
      </c>
      <c r="AH2" s="1461" t="s">
        <v>3785</v>
      </c>
      <c r="AI2" s="1462" t="s">
        <v>8519</v>
      </c>
      <c r="AJ2" s="1462" t="s">
        <v>8520</v>
      </c>
      <c r="AK2" s="1462" t="s">
        <v>8521</v>
      </c>
      <c r="AL2" s="1463" t="s">
        <v>5520</v>
      </c>
      <c r="AM2" s="1464" t="s">
        <v>8522</v>
      </c>
      <c r="AN2" s="1465" t="s">
        <v>8523</v>
      </c>
      <c r="AO2" s="1466" t="s">
        <v>6355</v>
      </c>
      <c r="AP2" s="1467" t="s">
        <v>8524</v>
      </c>
      <c r="AQ2" s="1464" t="s">
        <v>8525</v>
      </c>
      <c r="AR2" s="1466" t="s">
        <v>414</v>
      </c>
      <c r="AS2" s="1464">
        <v>42.83</v>
      </c>
      <c r="AT2" s="1468" t="s">
        <v>8526</v>
      </c>
      <c r="AU2" s="1446" t="s">
        <v>8527</v>
      </c>
      <c r="AV2" s="1446" t="str">
        <f t="shared" ref="AV2:AV74" si="1">TEXT(AU2-C2,"m:ss")</f>
        <v>2:24</v>
      </c>
      <c r="AW2" s="1469"/>
    </row>
    <row r="3" ht="15.75" customHeight="1">
      <c r="A3" s="1470" t="s">
        <v>8528</v>
      </c>
      <c r="B3" s="1471" t="s">
        <v>8529</v>
      </c>
      <c r="C3" s="1472">
        <v>0.04940949074074073</v>
      </c>
      <c r="D3" s="1473" t="s">
        <v>8530</v>
      </c>
      <c r="E3" s="1473" t="s">
        <v>7205</v>
      </c>
      <c r="F3" s="1473" t="s">
        <v>8531</v>
      </c>
      <c r="G3" s="1473" t="s">
        <v>8532</v>
      </c>
      <c r="H3" s="1474" t="s">
        <v>8533</v>
      </c>
      <c r="I3" s="1474" t="s">
        <v>8534</v>
      </c>
      <c r="J3" s="1475" t="s">
        <v>8535</v>
      </c>
      <c r="K3" s="1475" t="s">
        <v>6024</v>
      </c>
      <c r="L3" s="1475" t="s">
        <v>2770</v>
      </c>
      <c r="M3" s="1475" t="s">
        <v>8536</v>
      </c>
      <c r="N3" s="1475" t="s">
        <v>2489</v>
      </c>
      <c r="O3" s="1475" t="s">
        <v>8537</v>
      </c>
      <c r="P3" s="1475" t="s">
        <v>5485</v>
      </c>
      <c r="Q3" s="1476" t="s">
        <v>8538</v>
      </c>
      <c r="R3" s="1476" t="s">
        <v>8539</v>
      </c>
      <c r="S3" s="1477" t="s">
        <v>2424</v>
      </c>
      <c r="T3" s="1476" t="s">
        <v>8540</v>
      </c>
      <c r="U3" s="1478" t="s">
        <v>7821</v>
      </c>
      <c r="V3" s="1476" t="s">
        <v>4103</v>
      </c>
      <c r="W3" s="1479" t="s">
        <v>4132</v>
      </c>
      <c r="X3" s="1479" t="s">
        <v>7456</v>
      </c>
      <c r="Y3" s="1480" t="s">
        <v>8541</v>
      </c>
      <c r="Z3" s="1480" t="s">
        <v>442</v>
      </c>
      <c r="AA3" s="1480" t="s">
        <v>8542</v>
      </c>
      <c r="AB3" s="1479" t="s">
        <v>2809</v>
      </c>
      <c r="AC3" s="1480" t="s">
        <v>5030</v>
      </c>
      <c r="AD3" s="1473" t="s">
        <v>8543</v>
      </c>
      <c r="AE3" s="1473" t="s">
        <v>6661</v>
      </c>
      <c r="AF3" s="1481" t="s">
        <v>8544</v>
      </c>
      <c r="AG3" s="1482" t="s">
        <v>3882</v>
      </c>
      <c r="AH3" s="1482" t="s">
        <v>8545</v>
      </c>
      <c r="AI3" s="1482" t="s">
        <v>7544</v>
      </c>
      <c r="AJ3" s="1481" t="s">
        <v>8546</v>
      </c>
      <c r="AK3" s="1482" t="s">
        <v>8547</v>
      </c>
      <c r="AL3" s="1482" t="s">
        <v>6080</v>
      </c>
      <c r="AM3" s="1483" t="s">
        <v>8548</v>
      </c>
      <c r="AN3" s="1483" t="s">
        <v>3277</v>
      </c>
      <c r="AO3" s="1484" t="s">
        <v>7710</v>
      </c>
      <c r="AP3" s="1484" t="s">
        <v>8549</v>
      </c>
      <c r="AQ3" s="1484" t="s">
        <v>8550</v>
      </c>
      <c r="AR3" s="1485" t="s">
        <v>4009</v>
      </c>
      <c r="AS3" s="1483" t="s">
        <v>5197</v>
      </c>
      <c r="AT3" s="1486" t="s">
        <v>8551</v>
      </c>
      <c r="AU3" s="1487" t="s">
        <v>8552</v>
      </c>
      <c r="AV3" s="1487" t="str">
        <f t="shared" si="1"/>
        <v>3:58</v>
      </c>
    </row>
    <row r="4" ht="15.75" customHeight="1">
      <c r="A4" s="1488" t="s">
        <v>8553</v>
      </c>
      <c r="B4" s="1489" t="s">
        <v>8554</v>
      </c>
      <c r="C4" s="1490">
        <v>0.050637731481481485</v>
      </c>
      <c r="D4" s="1491" t="s">
        <v>8555</v>
      </c>
      <c r="E4" s="1491" t="s">
        <v>8556</v>
      </c>
      <c r="F4" s="1491" t="s">
        <v>8557</v>
      </c>
      <c r="G4" s="1491" t="s">
        <v>8558</v>
      </c>
      <c r="H4" s="1492" t="s">
        <v>8559</v>
      </c>
      <c r="I4" s="1492" t="s">
        <v>348</v>
      </c>
      <c r="J4" s="1493" t="s">
        <v>8560</v>
      </c>
      <c r="K4" s="1493" t="s">
        <v>6144</v>
      </c>
      <c r="L4" s="1493" t="s">
        <v>3773</v>
      </c>
      <c r="M4" s="1493" t="s">
        <v>8561</v>
      </c>
      <c r="N4" s="1493" t="s">
        <v>8522</v>
      </c>
      <c r="O4" s="1493" t="s">
        <v>8562</v>
      </c>
      <c r="P4" s="1493" t="s">
        <v>8563</v>
      </c>
      <c r="Q4" s="1494" t="s">
        <v>8564</v>
      </c>
      <c r="R4" s="1494" t="s">
        <v>8565</v>
      </c>
      <c r="S4" s="1494" t="s">
        <v>2259</v>
      </c>
      <c r="T4" s="1494" t="s">
        <v>8566</v>
      </c>
      <c r="U4" s="1494" t="s">
        <v>8567</v>
      </c>
      <c r="V4" s="1494" t="s">
        <v>8568</v>
      </c>
      <c r="W4" s="1495" t="s">
        <v>8569</v>
      </c>
      <c r="X4" s="1495" t="s">
        <v>8570</v>
      </c>
      <c r="Y4" s="1495">
        <v>47.93</v>
      </c>
      <c r="Z4" s="1495" t="s">
        <v>8571</v>
      </c>
      <c r="AA4" s="1495" t="s">
        <v>8572</v>
      </c>
      <c r="AB4" s="1495" t="s">
        <v>8573</v>
      </c>
      <c r="AC4" s="1495">
        <v>49.24</v>
      </c>
      <c r="AD4" s="1496" t="s">
        <v>8574</v>
      </c>
      <c r="AE4" s="1491" t="s">
        <v>8575</v>
      </c>
      <c r="AF4" s="1497" t="s">
        <v>2668</v>
      </c>
      <c r="AG4" s="1497" t="s">
        <v>4602</v>
      </c>
      <c r="AH4" s="1497" t="s">
        <v>5199</v>
      </c>
      <c r="AI4" s="1497" t="s">
        <v>8576</v>
      </c>
      <c r="AJ4" s="1497" t="s">
        <v>8577</v>
      </c>
      <c r="AK4" s="1497" t="s">
        <v>972</v>
      </c>
      <c r="AL4" s="1497" t="s">
        <v>8578</v>
      </c>
      <c r="AM4" s="1498" t="s">
        <v>8579</v>
      </c>
      <c r="AN4" s="1499" t="s">
        <v>8580</v>
      </c>
      <c r="AO4" s="1498" t="s">
        <v>8581</v>
      </c>
      <c r="AP4" s="1499" t="s">
        <v>8582</v>
      </c>
      <c r="AQ4" s="1498" t="s">
        <v>8583</v>
      </c>
      <c r="AR4" s="1498" t="s">
        <v>6485</v>
      </c>
      <c r="AS4" s="1498" t="s">
        <v>754</v>
      </c>
      <c r="AT4" s="1500" t="s">
        <v>8584</v>
      </c>
      <c r="AU4" s="1501" t="s">
        <v>8585</v>
      </c>
      <c r="AV4" s="1502" t="str">
        <f t="shared" si="1"/>
        <v>2:38</v>
      </c>
    </row>
    <row r="5" ht="15.75" customHeight="1">
      <c r="A5" s="1503" t="s">
        <v>1059</v>
      </c>
      <c r="B5" s="1504" t="s">
        <v>8498</v>
      </c>
      <c r="C5" s="1505">
        <v>0.04912037037037037</v>
      </c>
      <c r="D5" s="1506" t="s">
        <v>8500</v>
      </c>
      <c r="E5" s="1506" t="s">
        <v>8501</v>
      </c>
      <c r="F5" s="1507" t="s">
        <v>8586</v>
      </c>
      <c r="G5" s="1507" t="s">
        <v>8587</v>
      </c>
      <c r="H5" s="1506" t="s">
        <v>6131</v>
      </c>
      <c r="I5" s="1506" t="s">
        <v>8504</v>
      </c>
      <c r="J5" s="1508" t="s">
        <v>8588</v>
      </c>
      <c r="K5" s="1509" t="s">
        <v>2062</v>
      </c>
      <c r="L5" s="1507" t="s">
        <v>8589</v>
      </c>
      <c r="M5" s="1510" t="s">
        <v>6180</v>
      </c>
      <c r="N5" s="1511" t="s">
        <v>4002</v>
      </c>
      <c r="O5" s="1507" t="s">
        <v>8590</v>
      </c>
      <c r="P5" s="1509" t="s">
        <v>4172</v>
      </c>
      <c r="Q5" s="1511" t="s">
        <v>8508</v>
      </c>
      <c r="R5" s="1512" t="s">
        <v>8509</v>
      </c>
      <c r="S5" s="1511" t="s">
        <v>815</v>
      </c>
      <c r="T5" s="1507" t="s">
        <v>8591</v>
      </c>
      <c r="U5" s="1511" t="s">
        <v>8511</v>
      </c>
      <c r="V5" s="1513" t="s">
        <v>1814</v>
      </c>
      <c r="W5" s="1506" t="s">
        <v>8512</v>
      </c>
      <c r="X5" s="1514" t="s">
        <v>8592</v>
      </c>
      <c r="Y5" s="1507" t="s">
        <v>7493</v>
      </c>
      <c r="Z5" s="1507" t="s">
        <v>5032</v>
      </c>
      <c r="AA5" s="1512" t="s">
        <v>5224</v>
      </c>
      <c r="AB5" s="1514" t="s">
        <v>7752</v>
      </c>
      <c r="AC5" s="1511" t="s">
        <v>4026</v>
      </c>
      <c r="AD5" s="1512" t="s">
        <v>8516</v>
      </c>
      <c r="AE5" s="1515" t="s">
        <v>8593</v>
      </c>
      <c r="AF5" s="1515" t="s">
        <v>8594</v>
      </c>
      <c r="AG5" s="1516" t="s">
        <v>8595</v>
      </c>
      <c r="AH5" s="1514" t="s">
        <v>5510</v>
      </c>
      <c r="AI5" s="1511" t="s">
        <v>8519</v>
      </c>
      <c r="AJ5" s="1516" t="s">
        <v>8596</v>
      </c>
      <c r="AK5" s="1511" t="s">
        <v>8521</v>
      </c>
      <c r="AL5" s="1512" t="s">
        <v>5520</v>
      </c>
      <c r="AM5" s="1512" t="s">
        <v>8522</v>
      </c>
      <c r="AN5" s="1507" t="s">
        <v>5266</v>
      </c>
      <c r="AO5" s="1517" t="s">
        <v>8597</v>
      </c>
      <c r="AP5" s="1514" t="s">
        <v>8598</v>
      </c>
      <c r="AQ5" s="1512" t="s">
        <v>8525</v>
      </c>
      <c r="AR5" s="1516" t="s">
        <v>8599</v>
      </c>
      <c r="AS5" s="1507" t="s">
        <v>4421</v>
      </c>
      <c r="AT5" s="1514" t="s">
        <v>8600</v>
      </c>
      <c r="AU5" s="1508" t="s">
        <v>8527</v>
      </c>
      <c r="AV5" s="1515" t="str">
        <f t="shared" si="1"/>
        <v>2:06</v>
      </c>
      <c r="AW5" s="1518" t="s">
        <v>8601</v>
      </c>
    </row>
    <row r="6" ht="15.75" customHeight="1">
      <c r="A6" s="1519" t="s">
        <v>434</v>
      </c>
      <c r="B6" s="1504" t="s">
        <v>8498</v>
      </c>
      <c r="C6" s="1505">
        <v>0.0493287037037037</v>
      </c>
      <c r="D6" s="1520" t="s">
        <v>8602</v>
      </c>
      <c r="E6" s="1521" t="s">
        <v>8603</v>
      </c>
      <c r="F6" s="1521" t="s">
        <v>8604</v>
      </c>
      <c r="G6" s="1521" t="s">
        <v>8605</v>
      </c>
      <c r="H6" s="1521" t="s">
        <v>8606</v>
      </c>
      <c r="I6" s="1517" t="s">
        <v>8607</v>
      </c>
      <c r="J6" s="1522" t="s">
        <v>8505</v>
      </c>
      <c r="K6" s="1521" t="s">
        <v>781</v>
      </c>
      <c r="L6" s="1521" t="s">
        <v>8608</v>
      </c>
      <c r="M6" s="1521" t="s">
        <v>8609</v>
      </c>
      <c r="N6" s="1521" t="s">
        <v>8610</v>
      </c>
      <c r="O6" s="1521" t="s">
        <v>8611</v>
      </c>
      <c r="P6" s="1522" t="s">
        <v>1285</v>
      </c>
      <c r="Q6" s="1509" t="s">
        <v>1570</v>
      </c>
      <c r="R6" s="1521" t="s">
        <v>4448</v>
      </c>
      <c r="S6" s="1521" t="s">
        <v>8505</v>
      </c>
      <c r="T6" s="1522" t="s">
        <v>8510</v>
      </c>
      <c r="U6" s="1509" t="s">
        <v>8524</v>
      </c>
      <c r="V6" s="1523" t="s">
        <v>8350</v>
      </c>
      <c r="W6" s="1521" t="s">
        <v>8612</v>
      </c>
      <c r="X6" s="1522" t="s">
        <v>8513</v>
      </c>
      <c r="Y6" s="1524">
        <v>46.72</v>
      </c>
      <c r="Z6" s="1524" t="s">
        <v>3637</v>
      </c>
      <c r="AA6" s="1521" t="s">
        <v>3649</v>
      </c>
      <c r="AB6" s="1522" t="s">
        <v>8515</v>
      </c>
      <c r="AC6" s="1521" t="s">
        <v>5467</v>
      </c>
      <c r="AD6" s="1521" t="s">
        <v>7419</v>
      </c>
      <c r="AE6" s="1525" t="s">
        <v>4727</v>
      </c>
      <c r="AF6" s="1524" t="s">
        <v>8613</v>
      </c>
      <c r="AG6" s="1523" t="s">
        <v>8614</v>
      </c>
      <c r="AH6" s="1522" t="s">
        <v>3785</v>
      </c>
      <c r="AI6" s="1521" t="s">
        <v>5886</v>
      </c>
      <c r="AJ6" s="1524" t="s">
        <v>8615</v>
      </c>
      <c r="AK6" s="1524" t="s">
        <v>5804</v>
      </c>
      <c r="AL6" s="1523" t="s">
        <v>6113</v>
      </c>
      <c r="AM6" s="1521" t="s">
        <v>8616</v>
      </c>
      <c r="AN6" s="1523" t="s">
        <v>3263</v>
      </c>
      <c r="AO6" s="1523" t="s">
        <v>2841</v>
      </c>
      <c r="AP6" s="1523" t="s">
        <v>8617</v>
      </c>
      <c r="AQ6" s="1515" t="s">
        <v>8618</v>
      </c>
      <c r="AR6" s="1523" t="s">
        <v>8619</v>
      </c>
      <c r="AS6" s="1523" t="s">
        <v>8620</v>
      </c>
      <c r="AT6" s="1523" t="s">
        <v>8621</v>
      </c>
      <c r="AU6" s="1526" t="s">
        <v>8622</v>
      </c>
      <c r="AV6" s="1515" t="str">
        <f t="shared" si="1"/>
        <v>2:15</v>
      </c>
      <c r="AW6" s="1518"/>
    </row>
    <row r="7" ht="15.75" customHeight="1">
      <c r="A7" s="1503" t="s">
        <v>6460</v>
      </c>
      <c r="B7" s="1504" t="s">
        <v>8498</v>
      </c>
      <c r="C7" s="1505">
        <v>0.049444444444444444</v>
      </c>
      <c r="D7" s="1507" t="s">
        <v>8623</v>
      </c>
      <c r="E7" s="1507" t="s">
        <v>8624</v>
      </c>
      <c r="F7" s="1517" t="s">
        <v>8625</v>
      </c>
      <c r="G7" s="1511" t="s">
        <v>8503</v>
      </c>
      <c r="H7" s="1517" t="s">
        <v>8626</v>
      </c>
      <c r="I7" s="1517" t="s">
        <v>2776</v>
      </c>
      <c r="J7" s="1507" t="s">
        <v>8627</v>
      </c>
      <c r="K7" s="1517" t="s">
        <v>3470</v>
      </c>
      <c r="L7" s="1517" t="s">
        <v>4174</v>
      </c>
      <c r="M7" s="1517" t="s">
        <v>6404</v>
      </c>
      <c r="N7" s="1507" t="s">
        <v>8628</v>
      </c>
      <c r="O7" s="1517" t="s">
        <v>8629</v>
      </c>
      <c r="P7" s="1515" t="s">
        <v>7007</v>
      </c>
      <c r="Q7" s="1507" t="s">
        <v>8630</v>
      </c>
      <c r="R7" s="1517" t="s">
        <v>7307</v>
      </c>
      <c r="S7" s="1517" t="s">
        <v>3426</v>
      </c>
      <c r="T7" s="1515" t="s">
        <v>8631</v>
      </c>
      <c r="U7" s="1517" t="s">
        <v>8632</v>
      </c>
      <c r="V7" s="1517" t="s">
        <v>5188</v>
      </c>
      <c r="W7" s="1527" t="s">
        <v>8633</v>
      </c>
      <c r="X7" s="1515" t="s">
        <v>8634</v>
      </c>
      <c r="Y7" s="1528" t="s">
        <v>8635</v>
      </c>
      <c r="Z7" s="1517" t="s">
        <v>7659</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8636</v>
      </c>
      <c r="AF7" s="1515" t="s">
        <v>8637</v>
      </c>
      <c r="AG7" s="1529" t="str">
        <f>HYPERLINK("https://www.twitch.tv/videos/566334947","1:28.73")</f>
        <v>1:28.73</v>
      </c>
      <c r="AH7" s="1517" t="s">
        <v>8638</v>
      </c>
      <c r="AI7" s="1531" t="str">
        <f>HYPERLINK("https://www.twitch.tv/videos/584107631","1:27.68")</f>
        <v>1:27.68</v>
      </c>
      <c r="AJ7" s="1515" t="s">
        <v>8639</v>
      </c>
      <c r="AK7" s="1517" t="s">
        <v>7238</v>
      </c>
      <c r="AL7" s="1517" t="s">
        <v>8640</v>
      </c>
      <c r="AM7" s="1507" t="s">
        <v>4523</v>
      </c>
      <c r="AN7" s="1507" t="s">
        <v>2649</v>
      </c>
      <c r="AO7" s="1507" t="s">
        <v>5819</v>
      </c>
      <c r="AP7" s="1517" t="s">
        <v>8641</v>
      </c>
      <c r="AQ7" s="1515" t="s">
        <v>8642</v>
      </c>
      <c r="AR7" s="1507" t="s">
        <v>8643</v>
      </c>
      <c r="AS7" s="1530" t="str">
        <f>HYPERLINK("https://www.twitch.tv/videos/571767101","42.91")</f>
        <v>42.91</v>
      </c>
      <c r="AT7" s="1514" t="s">
        <v>8644</v>
      </c>
      <c r="AU7" s="1526" t="s">
        <v>8645</v>
      </c>
      <c r="AV7" s="1515" t="str">
        <f t="shared" si="1"/>
        <v>2:32</v>
      </c>
      <c r="AW7" s="1532" t="s">
        <v>8646</v>
      </c>
    </row>
    <row r="8" ht="15.75" customHeight="1">
      <c r="A8" s="1503" t="s">
        <v>1884</v>
      </c>
      <c r="B8" s="1504" t="s">
        <v>8498</v>
      </c>
      <c r="C8" s="1505">
        <v>0.04949074074074074</v>
      </c>
      <c r="D8" s="1533" t="s">
        <v>8647</v>
      </c>
      <c r="E8" s="1528" t="s">
        <v>8648</v>
      </c>
      <c r="F8" s="1528" t="s">
        <v>2124</v>
      </c>
      <c r="G8" s="1528" t="s">
        <v>8649</v>
      </c>
      <c r="H8" s="1507" t="s">
        <v>8650</v>
      </c>
      <c r="I8" s="1521">
        <v>47.34</v>
      </c>
      <c r="J8" s="1528" t="s">
        <v>1726</v>
      </c>
      <c r="K8" s="1528" t="s">
        <v>8651</v>
      </c>
      <c r="L8" s="1528">
        <v>55.97</v>
      </c>
      <c r="M8" s="1528" t="s">
        <v>1973</v>
      </c>
      <c r="N8" s="1528" t="s">
        <v>8652</v>
      </c>
      <c r="O8" s="1534" t="s">
        <v>8507</v>
      </c>
      <c r="P8" s="1528">
        <v>47.49</v>
      </c>
      <c r="Q8" s="1528" t="s">
        <v>8653</v>
      </c>
      <c r="R8" s="1528" t="s">
        <v>1226</v>
      </c>
      <c r="S8" s="1535" t="s">
        <v>1904</v>
      </c>
      <c r="T8" s="1528" t="s">
        <v>8654</v>
      </c>
      <c r="U8" s="1507" t="s">
        <v>8655</v>
      </c>
      <c r="V8" s="1528">
        <v>59.32</v>
      </c>
      <c r="W8" s="1533" t="s">
        <v>8656</v>
      </c>
      <c r="X8" s="1536" t="s">
        <v>8657</v>
      </c>
      <c r="Y8" s="1528">
        <v>46.65</v>
      </c>
      <c r="Z8" s="1528" t="s">
        <v>8658</v>
      </c>
      <c r="AA8" s="1528" t="s">
        <v>2486</v>
      </c>
      <c r="AB8" s="1528" t="s">
        <v>8659</v>
      </c>
      <c r="AC8" s="1528">
        <v>47.89</v>
      </c>
      <c r="AD8" s="1528" t="s">
        <v>1903</v>
      </c>
      <c r="AE8" s="1528">
        <v>47.98</v>
      </c>
      <c r="AF8" s="1536" t="s">
        <v>8660</v>
      </c>
      <c r="AG8" s="1528" t="s">
        <v>8661</v>
      </c>
      <c r="AH8" s="1528">
        <v>57.45</v>
      </c>
      <c r="AI8" s="1524" t="s">
        <v>7179</v>
      </c>
      <c r="AJ8" s="1537" t="s">
        <v>8596</v>
      </c>
      <c r="AK8" s="1528" t="s">
        <v>5435</v>
      </c>
      <c r="AL8" s="1528">
        <v>56.23</v>
      </c>
      <c r="AM8" s="1533" t="s">
        <v>3907</v>
      </c>
      <c r="AN8" s="1533" t="s">
        <v>8662</v>
      </c>
      <c r="AO8" s="1528" t="s">
        <v>3178</v>
      </c>
      <c r="AP8" s="1528" t="s">
        <v>8663</v>
      </c>
      <c r="AQ8" s="1528" t="s">
        <v>8664</v>
      </c>
      <c r="AR8" s="1528" t="s">
        <v>4432</v>
      </c>
      <c r="AS8" s="1528">
        <v>46.19</v>
      </c>
      <c r="AT8" s="1538" t="s">
        <v>8526</v>
      </c>
      <c r="AU8" s="1528" t="s">
        <v>8665</v>
      </c>
      <c r="AV8" s="1515" t="str">
        <f t="shared" si="1"/>
        <v>1:52</v>
      </c>
      <c r="AW8" s="1532" t="s">
        <v>8666</v>
      </c>
    </row>
    <row r="9" ht="15.75" customHeight="1">
      <c r="A9" s="1519" t="s">
        <v>328</v>
      </c>
      <c r="B9" s="1504" t="s">
        <v>8498</v>
      </c>
      <c r="C9" s="1505">
        <v>0.04957175925925926</v>
      </c>
      <c r="D9" s="1539" t="s">
        <v>8667</v>
      </c>
      <c r="E9" s="1521" t="s">
        <v>8668</v>
      </c>
      <c r="F9" s="1540" t="s">
        <v>8502</v>
      </c>
      <c r="G9" s="1523" t="s">
        <v>8669</v>
      </c>
      <c r="H9" s="1541" t="s">
        <v>5343</v>
      </c>
      <c r="I9" s="1523" t="s">
        <v>1389</v>
      </c>
      <c r="J9" s="1542" t="s">
        <v>8670</v>
      </c>
      <c r="K9" s="1523" t="s">
        <v>6765</v>
      </c>
      <c r="L9" s="1522" t="s">
        <v>231</v>
      </c>
      <c r="M9" s="1542" t="s">
        <v>8671</v>
      </c>
      <c r="N9" s="1521" t="s">
        <v>8672</v>
      </c>
      <c r="O9" s="1542" t="s">
        <v>8673</v>
      </c>
      <c r="P9" s="1523" t="s">
        <v>6396</v>
      </c>
      <c r="Q9" s="1523" t="s">
        <v>8653</v>
      </c>
      <c r="R9" s="1523" t="s">
        <v>5575</v>
      </c>
      <c r="S9" s="1523" t="s">
        <v>8674</v>
      </c>
      <c r="T9" s="1523" t="s">
        <v>4011</v>
      </c>
      <c r="U9" s="1523" t="s">
        <v>8675</v>
      </c>
      <c r="V9" s="1313" t="s">
        <v>8676</v>
      </c>
      <c r="W9" s="1543" t="s">
        <v>8677</v>
      </c>
      <c r="X9" s="1523" t="s">
        <v>8678</v>
      </c>
      <c r="Y9" s="1522">
        <v>46.63</v>
      </c>
      <c r="Z9" s="1544" t="s">
        <v>304</v>
      </c>
      <c r="AA9" s="1521" t="s">
        <v>8679</v>
      </c>
      <c r="AB9" s="1522" t="s">
        <v>8515</v>
      </c>
      <c r="AC9" s="1523" t="s">
        <v>5465</v>
      </c>
      <c r="AD9" s="1523" t="s">
        <v>8680</v>
      </c>
      <c r="AE9" s="1524" t="s">
        <v>8681</v>
      </c>
      <c r="AF9" s="1521" t="s">
        <v>8682</v>
      </c>
      <c r="AG9" s="1528" t="s">
        <v>8683</v>
      </c>
      <c r="AH9" s="1523" t="s">
        <v>8684</v>
      </c>
      <c r="AI9" s="1313" t="s">
        <v>8685</v>
      </c>
      <c r="AJ9" s="1524" t="s">
        <v>8686</v>
      </c>
      <c r="AK9" s="1523" t="s">
        <v>1298</v>
      </c>
      <c r="AL9" s="1523" t="s">
        <v>5139</v>
      </c>
      <c r="AM9" s="1523" t="s">
        <v>4011</v>
      </c>
      <c r="AN9" s="1542" t="s">
        <v>8687</v>
      </c>
      <c r="AO9" s="1523" t="s">
        <v>8619</v>
      </c>
      <c r="AP9" s="1523" t="s">
        <v>8688</v>
      </c>
      <c r="AQ9" s="1523" t="s">
        <v>8689</v>
      </c>
      <c r="AR9" s="1523" t="s">
        <v>4578</v>
      </c>
      <c r="AS9" s="1523" t="s">
        <v>8690</v>
      </c>
      <c r="AT9" s="1508" t="s">
        <v>8691</v>
      </c>
      <c r="AU9" s="1545" t="s">
        <v>8692</v>
      </c>
      <c r="AV9" s="1515" t="str">
        <f t="shared" si="1"/>
        <v>2:59</v>
      </c>
      <c r="AW9" s="1546"/>
    </row>
    <row r="10">
      <c r="A10" s="1519" t="s">
        <v>6401</v>
      </c>
      <c r="B10" s="1547" t="s">
        <v>8498</v>
      </c>
      <c r="C10" s="1505">
        <v>0.04958333333333333</v>
      </c>
      <c r="D10" s="1313" t="s">
        <v>8693</v>
      </c>
      <c r="E10" s="1528" t="s">
        <v>6353</v>
      </c>
      <c r="F10" s="1528" t="s">
        <v>8694</v>
      </c>
      <c r="G10" s="1528" t="s">
        <v>8695</v>
      </c>
      <c r="H10" s="1533" t="s">
        <v>8696</v>
      </c>
      <c r="I10" s="1533" t="s">
        <v>5631</v>
      </c>
      <c r="J10" s="1533" t="s">
        <v>149</v>
      </c>
      <c r="K10" s="1533" t="s">
        <v>7409</v>
      </c>
      <c r="L10" s="1528">
        <v>56.42</v>
      </c>
      <c r="M10" s="1528" t="s">
        <v>5211</v>
      </c>
      <c r="N10" s="1528" t="s">
        <v>8697</v>
      </c>
      <c r="O10" s="1533" t="s">
        <v>8698</v>
      </c>
      <c r="P10" s="1533" t="s">
        <v>277</v>
      </c>
      <c r="Q10" s="1533" t="s">
        <v>8699</v>
      </c>
      <c r="R10" s="1528" t="s">
        <v>8700</v>
      </c>
      <c r="S10" s="1533" t="s">
        <v>8701</v>
      </c>
      <c r="T10" s="1533" t="s">
        <v>4983</v>
      </c>
      <c r="U10" s="1533" t="s">
        <v>8702</v>
      </c>
      <c r="V10" s="1528">
        <v>59.45</v>
      </c>
      <c r="W10" s="1533" t="s">
        <v>8703</v>
      </c>
      <c r="X10" s="1533" t="s">
        <v>8704</v>
      </c>
      <c r="Y10" s="1533" t="s">
        <v>5091</v>
      </c>
      <c r="Z10" s="1528" t="s">
        <v>4168</v>
      </c>
      <c r="AA10" s="1528" t="s">
        <v>8705</v>
      </c>
      <c r="AB10" s="1528" t="s">
        <v>4595</v>
      </c>
      <c r="AC10" s="1533" t="s">
        <v>4840</v>
      </c>
      <c r="AD10" s="1533" t="s">
        <v>8706</v>
      </c>
      <c r="AE10" s="1528">
        <v>47.89</v>
      </c>
      <c r="AF10" s="1528" t="s">
        <v>8707</v>
      </c>
      <c r="AG10" s="1525" t="s">
        <v>8518</v>
      </c>
      <c r="AH10" s="1528">
        <v>57.71</v>
      </c>
      <c r="AI10" s="1533" t="s">
        <v>2180</v>
      </c>
      <c r="AJ10" s="1528" t="s">
        <v>8708</v>
      </c>
      <c r="AK10" s="1533" t="s">
        <v>7246</v>
      </c>
      <c r="AL10" s="1528">
        <v>56.69</v>
      </c>
      <c r="AM10" s="1533" t="s">
        <v>8709</v>
      </c>
      <c r="AN10" s="1533" t="s">
        <v>4127</v>
      </c>
      <c r="AO10" s="1533" t="s">
        <v>2760</v>
      </c>
      <c r="AP10" s="1528" t="s">
        <v>8710</v>
      </c>
      <c r="AQ10" s="1533" t="s">
        <v>8711</v>
      </c>
      <c r="AR10" s="1533" t="s">
        <v>8712</v>
      </c>
      <c r="AS10" s="1528">
        <v>43.65</v>
      </c>
      <c r="AT10" s="1533" t="s">
        <v>8713</v>
      </c>
      <c r="AU10" s="1526" t="s">
        <v>8714</v>
      </c>
      <c r="AV10" s="1515" t="str">
        <f t="shared" si="1"/>
        <v>1:34</v>
      </c>
      <c r="AW10" s="1548" t="s">
        <v>8715</v>
      </c>
    </row>
    <row r="11">
      <c r="A11" s="1549" t="s">
        <v>911</v>
      </c>
      <c r="B11" s="1550" t="s">
        <v>8498</v>
      </c>
      <c r="C11" s="1505">
        <v>0.049652777777777775</v>
      </c>
      <c r="D11" s="1523" t="s">
        <v>8716</v>
      </c>
      <c r="E11" s="1523" t="s">
        <v>8717</v>
      </c>
      <c r="F11" s="1523" t="s">
        <v>8718</v>
      </c>
      <c r="G11" s="1524" t="s">
        <v>8719</v>
      </c>
      <c r="H11" s="1523" t="s">
        <v>7601</v>
      </c>
      <c r="I11" s="1523" t="s">
        <v>8456</v>
      </c>
      <c r="J11" s="1521" t="s">
        <v>8720</v>
      </c>
      <c r="K11" s="1523" t="s">
        <v>8721</v>
      </c>
      <c r="L11" s="1523" t="s">
        <v>3376</v>
      </c>
      <c r="M11" s="1525" t="s">
        <v>8506</v>
      </c>
      <c r="N11" s="1523" t="s">
        <v>8722</v>
      </c>
      <c r="O11" s="1523" t="s">
        <v>8723</v>
      </c>
      <c r="P11" s="1523" t="s">
        <v>5992</v>
      </c>
      <c r="Q11" s="1523" t="s">
        <v>4721</v>
      </c>
      <c r="R11" s="1523" t="s">
        <v>8724</v>
      </c>
      <c r="S11" s="1507" t="s">
        <v>2723</v>
      </c>
      <c r="T11" s="1523" t="s">
        <v>8725</v>
      </c>
      <c r="U11" s="1523" t="s">
        <v>8726</v>
      </c>
      <c r="V11" s="1523" t="s">
        <v>5341</v>
      </c>
      <c r="W11" s="1523" t="s">
        <v>1931</v>
      </c>
      <c r="X11" s="1507" t="s">
        <v>8727</v>
      </c>
      <c r="Y11" s="1523" t="s">
        <v>8728</v>
      </c>
      <c r="Z11" s="1534" t="s">
        <v>8514</v>
      </c>
      <c r="AA11" s="1507" t="s">
        <v>8729</v>
      </c>
      <c r="AB11" s="1523" t="s">
        <v>8730</v>
      </c>
      <c r="AC11" s="1523" t="s">
        <v>4719</v>
      </c>
      <c r="AD11" s="1523" t="s">
        <v>5635</v>
      </c>
      <c r="AE11" s="1524">
        <v>47.81</v>
      </c>
      <c r="AF11" s="1523" t="s">
        <v>8731</v>
      </c>
      <c r="AG11" s="1523" t="s">
        <v>8732</v>
      </c>
      <c r="AH11" s="1523" t="s">
        <v>748</v>
      </c>
      <c r="AI11" s="1523" t="s">
        <v>864</v>
      </c>
      <c r="AJ11" s="1523" t="s">
        <v>8733</v>
      </c>
      <c r="AK11" s="1523" t="s">
        <v>8540</v>
      </c>
      <c r="AL11" s="1523" t="s">
        <v>8734</v>
      </c>
      <c r="AM11" s="1523" t="s">
        <v>4523</v>
      </c>
      <c r="AN11" s="1534" t="s">
        <v>8523</v>
      </c>
      <c r="AO11" s="1534" t="s">
        <v>6355</v>
      </c>
      <c r="AP11" s="1523" t="s">
        <v>8735</v>
      </c>
      <c r="AQ11" s="1523" t="s">
        <v>8736</v>
      </c>
      <c r="AR11" s="1534" t="s">
        <v>414</v>
      </c>
      <c r="AS11" s="1523" t="s">
        <v>3346</v>
      </c>
      <c r="AT11" s="1523" t="s">
        <v>3575</v>
      </c>
      <c r="AU11" s="1545" t="s">
        <v>8737</v>
      </c>
      <c r="AV11" s="1515" t="str">
        <f t="shared" si="1"/>
        <v>2:27</v>
      </c>
      <c r="AW11" s="1551" t="s">
        <v>8738</v>
      </c>
    </row>
    <row r="12" ht="15.75" customHeight="1">
      <c r="A12" s="1552" t="s">
        <v>6458</v>
      </c>
      <c r="B12" s="1504" t="s">
        <v>8498</v>
      </c>
      <c r="C12" s="1505">
        <v>0.04967592592592593</v>
      </c>
      <c r="D12" s="1313" t="s">
        <v>8739</v>
      </c>
      <c r="E12" s="1517" t="s">
        <v>885</v>
      </c>
      <c r="F12" s="1517" t="s">
        <v>8740</v>
      </c>
      <c r="G12" s="1517" t="s">
        <v>8741</v>
      </c>
      <c r="H12" s="1313" t="s">
        <v>8742</v>
      </c>
      <c r="I12" s="1517" t="s">
        <v>8743</v>
      </c>
      <c r="J12" s="1517" t="s">
        <v>8744</v>
      </c>
      <c r="K12" s="1517" t="s">
        <v>6333</v>
      </c>
      <c r="L12" s="1517" t="s">
        <v>4427</v>
      </c>
      <c r="M12" s="1517" t="s">
        <v>8313</v>
      </c>
      <c r="N12" s="1517" t="s">
        <v>2176</v>
      </c>
      <c r="O12" s="1517" t="s">
        <v>3360</v>
      </c>
      <c r="P12" s="1517" t="s">
        <v>8743</v>
      </c>
      <c r="Q12" s="1517" t="s">
        <v>8745</v>
      </c>
      <c r="R12" s="1517" t="s">
        <v>1226</v>
      </c>
      <c r="S12" s="1553" t="s">
        <v>8746</v>
      </c>
      <c r="T12" s="1517" t="s">
        <v>4894</v>
      </c>
      <c r="U12" s="1517" t="s">
        <v>8747</v>
      </c>
      <c r="V12" s="1517" t="s">
        <v>8748</v>
      </c>
      <c r="W12" s="1517" t="s">
        <v>8749</v>
      </c>
      <c r="X12" s="1517" t="s">
        <v>960</v>
      </c>
      <c r="Y12" s="1517" t="s">
        <v>4314</v>
      </c>
      <c r="Z12" s="1517" t="s">
        <v>8750</v>
      </c>
      <c r="AA12" s="1517" t="s">
        <v>8751</v>
      </c>
      <c r="AB12" s="1517" t="s">
        <v>1912</v>
      </c>
      <c r="AC12" s="1517" t="s">
        <v>759</v>
      </c>
      <c r="AD12" s="1517" t="s">
        <v>8752</v>
      </c>
      <c r="AE12" s="1517" t="s">
        <v>6408</v>
      </c>
      <c r="AF12" s="1507" t="s">
        <v>8753</v>
      </c>
      <c r="AG12" s="1517" t="s">
        <v>8754</v>
      </c>
      <c r="AH12" s="1517" t="s">
        <v>4746</v>
      </c>
      <c r="AI12" s="1517" t="s">
        <v>2988</v>
      </c>
      <c r="AJ12" s="1517" t="s">
        <v>8755</v>
      </c>
      <c r="AK12" s="1517" t="s">
        <v>4176</v>
      </c>
      <c r="AL12" s="1517" t="s">
        <v>8756</v>
      </c>
      <c r="AM12" s="1517" t="s">
        <v>8757</v>
      </c>
      <c r="AN12" s="1313" t="s">
        <v>8608</v>
      </c>
      <c r="AO12" s="1517" t="s">
        <v>8758</v>
      </c>
      <c r="AP12" s="1517" t="s">
        <v>8759</v>
      </c>
      <c r="AQ12" s="1507" t="s">
        <v>8760</v>
      </c>
      <c r="AR12" s="1517" t="s">
        <v>8761</v>
      </c>
      <c r="AS12" s="1517" t="s">
        <v>1576</v>
      </c>
      <c r="AT12" s="1517" t="s">
        <v>8762</v>
      </c>
      <c r="AU12" s="1517" t="s">
        <v>8763</v>
      </c>
      <c r="AV12" s="1515" t="str">
        <f t="shared" si="1"/>
        <v>2:47</v>
      </c>
      <c r="AW12" s="1518" t="s">
        <v>8764</v>
      </c>
    </row>
    <row r="13" ht="15.75" customHeight="1">
      <c r="A13" s="1554" t="s">
        <v>2637</v>
      </c>
      <c r="B13" s="1504" t="s">
        <v>8498</v>
      </c>
      <c r="C13" s="1555">
        <v>0.04971064814814815</v>
      </c>
      <c r="D13" s="1556" t="s">
        <v>8765</v>
      </c>
      <c r="E13" s="1557" t="s">
        <v>511</v>
      </c>
      <c r="F13" s="1557" t="s">
        <v>8766</v>
      </c>
      <c r="G13" s="1557" t="s">
        <v>8767</v>
      </c>
      <c r="H13" s="1507" t="s">
        <v>8768</v>
      </c>
      <c r="I13" s="1558" t="s">
        <v>5666</v>
      </c>
      <c r="J13" s="1559" t="s">
        <v>8769</v>
      </c>
      <c r="K13" s="1559" t="s">
        <v>4263</v>
      </c>
      <c r="L13" s="1559" t="s">
        <v>4656</v>
      </c>
      <c r="M13" s="1560" t="s">
        <v>8506</v>
      </c>
      <c r="N13" s="1559" t="s">
        <v>2620</v>
      </c>
      <c r="O13" s="1559" t="s">
        <v>8770</v>
      </c>
      <c r="P13" s="1559" t="s">
        <v>8771</v>
      </c>
      <c r="Q13" s="1507" t="s">
        <v>8772</v>
      </c>
      <c r="R13" s="1561" t="s">
        <v>8773</v>
      </c>
      <c r="S13" s="1507" t="s">
        <v>1904</v>
      </c>
      <c r="T13" s="1561" t="s">
        <v>8774</v>
      </c>
      <c r="U13" s="1507" t="s">
        <v>7296</v>
      </c>
      <c r="V13" s="1561" t="s">
        <v>3489</v>
      </c>
      <c r="W13" s="1562" t="s">
        <v>8775</v>
      </c>
      <c r="X13" s="1562" t="s">
        <v>4037</v>
      </c>
      <c r="Y13" s="1562" t="s">
        <v>7018</v>
      </c>
      <c r="Z13" s="1562" t="s">
        <v>8776</v>
      </c>
      <c r="AA13" s="1562" t="s">
        <v>8614</v>
      </c>
      <c r="AB13" s="1562" t="s">
        <v>4413</v>
      </c>
      <c r="AC13" s="1562" t="s">
        <v>1147</v>
      </c>
      <c r="AD13" s="1557" t="s">
        <v>8777</v>
      </c>
      <c r="AE13" s="1557" t="s">
        <v>5301</v>
      </c>
      <c r="AF13" s="1563" t="s">
        <v>8778</v>
      </c>
      <c r="AG13" s="1563" t="s">
        <v>7791</v>
      </c>
      <c r="AH13" s="1563" t="s">
        <v>5311</v>
      </c>
      <c r="AI13" s="1563" t="s">
        <v>8779</v>
      </c>
      <c r="AJ13" s="1563" t="s">
        <v>8780</v>
      </c>
      <c r="AK13" s="1563" t="s">
        <v>8781</v>
      </c>
      <c r="AL13" s="1563" t="s">
        <v>4070</v>
      </c>
      <c r="AM13" s="1564" t="s">
        <v>8782</v>
      </c>
      <c r="AN13" s="1565" t="s">
        <v>4656</v>
      </c>
      <c r="AO13" s="1565" t="s">
        <v>8783</v>
      </c>
      <c r="AP13" s="1564" t="s">
        <v>8784</v>
      </c>
      <c r="AQ13" s="1564" t="s">
        <v>8785</v>
      </c>
      <c r="AR13" s="1565" t="s">
        <v>8786</v>
      </c>
      <c r="AS13" s="1564" t="s">
        <v>270</v>
      </c>
      <c r="AT13" s="1526" t="s">
        <v>8787</v>
      </c>
      <c r="AU13" s="1545" t="s">
        <v>8788</v>
      </c>
      <c r="AV13" s="1515" t="str">
        <f t="shared" si="1"/>
        <v>2:35</v>
      </c>
      <c r="AW13" s="1566" t="s">
        <v>8789</v>
      </c>
    </row>
    <row r="14" ht="15.75" customHeight="1">
      <c r="A14" s="1552" t="s">
        <v>2217</v>
      </c>
      <c r="B14" s="1567" t="s">
        <v>8529</v>
      </c>
      <c r="C14" s="1505">
        <v>0.04981481481481481</v>
      </c>
      <c r="D14" s="1568" t="s">
        <v>8790</v>
      </c>
      <c r="E14" s="1313" t="s">
        <v>7882</v>
      </c>
      <c r="F14" s="1313" t="s">
        <v>8791</v>
      </c>
      <c r="G14" s="1569" t="s">
        <v>8792</v>
      </c>
      <c r="H14" s="1570" t="s">
        <v>8533</v>
      </c>
      <c r="I14" s="1313" t="s">
        <v>6050</v>
      </c>
      <c r="J14" s="1313" t="s">
        <v>5730</v>
      </c>
      <c r="K14" s="1571" t="s">
        <v>6024</v>
      </c>
      <c r="L14" s="1571" t="s">
        <v>2770</v>
      </c>
      <c r="M14" s="1313" t="s">
        <v>6375</v>
      </c>
      <c r="N14" s="1559" t="s">
        <v>3849</v>
      </c>
      <c r="O14" s="1313" t="s">
        <v>8793</v>
      </c>
      <c r="P14" s="1559" t="s">
        <v>5465</v>
      </c>
      <c r="Q14" s="1313" t="s">
        <v>8794</v>
      </c>
      <c r="R14" s="1571" t="s">
        <v>8539</v>
      </c>
      <c r="S14" s="1572" t="s">
        <v>2424</v>
      </c>
      <c r="T14" s="1573" t="s">
        <v>8540</v>
      </c>
      <c r="U14" s="1561" t="s">
        <v>8795</v>
      </c>
      <c r="V14" s="1313" t="s">
        <v>8796</v>
      </c>
      <c r="W14" s="1574" t="s">
        <v>4132</v>
      </c>
      <c r="X14" s="1574" t="s">
        <v>7456</v>
      </c>
      <c r="Y14" s="1571" t="s">
        <v>8541</v>
      </c>
      <c r="Z14" s="1571" t="s">
        <v>442</v>
      </c>
      <c r="AA14" s="1562" t="s">
        <v>5835</v>
      </c>
      <c r="AB14" s="1313" t="s">
        <v>8797</v>
      </c>
      <c r="AC14" s="1313" t="s">
        <v>410</v>
      </c>
      <c r="AD14" s="1313" t="s">
        <v>5959</v>
      </c>
      <c r="AE14" s="1575" t="s">
        <v>6661</v>
      </c>
      <c r="AF14" s="1516" t="s">
        <v>8798</v>
      </c>
      <c r="AG14" s="1572" t="s">
        <v>4607</v>
      </c>
      <c r="AH14" s="1576" t="s">
        <v>8545</v>
      </c>
      <c r="AI14" s="1577" t="s">
        <v>8729</v>
      </c>
      <c r="AJ14" s="1313" t="s">
        <v>8799</v>
      </c>
      <c r="AK14" s="1313" t="s">
        <v>8750</v>
      </c>
      <c r="AL14" s="1574" t="s">
        <v>6080</v>
      </c>
      <c r="AM14" s="1571" t="s">
        <v>8548</v>
      </c>
      <c r="AN14" s="1565" t="s">
        <v>8800</v>
      </c>
      <c r="AO14" s="1571" t="s">
        <v>7710</v>
      </c>
      <c r="AP14" s="1578" t="s">
        <v>8801</v>
      </c>
      <c r="AQ14" s="1579" t="s">
        <v>8550</v>
      </c>
      <c r="AR14" s="1579" t="s">
        <v>4009</v>
      </c>
      <c r="AS14" s="1580" t="s">
        <v>5197</v>
      </c>
      <c r="AT14" s="1571" t="s">
        <v>8802</v>
      </c>
      <c r="AU14" s="1545" t="s">
        <v>8803</v>
      </c>
      <c r="AV14" s="1515" t="str">
        <f t="shared" si="1"/>
        <v>4:19</v>
      </c>
      <c r="AW14" s="1551" t="s">
        <v>8804</v>
      </c>
    </row>
    <row r="15" ht="15.75" customHeight="1">
      <c r="A15" s="1503" t="s">
        <v>6211</v>
      </c>
      <c r="B15" s="1581" t="s">
        <v>8498</v>
      </c>
      <c r="C15" s="1505">
        <v>0.04982638888888889</v>
      </c>
      <c r="D15" s="1556" t="s">
        <v>8805</v>
      </c>
      <c r="E15" s="1556" t="s">
        <v>4769</v>
      </c>
      <c r="F15" s="1556" t="s">
        <v>8806</v>
      </c>
      <c r="G15" s="1556" t="s">
        <v>8807</v>
      </c>
      <c r="H15" s="1556" t="s">
        <v>8808</v>
      </c>
      <c r="I15" s="1556" t="s">
        <v>5642</v>
      </c>
      <c r="J15" s="1556" t="s">
        <v>8809</v>
      </c>
      <c r="K15" s="1313" t="s">
        <v>8810</v>
      </c>
      <c r="L15" s="1556" t="s">
        <v>8811</v>
      </c>
      <c r="M15" s="1556" t="s">
        <v>8812</v>
      </c>
      <c r="N15" s="1556" t="s">
        <v>2087</v>
      </c>
      <c r="O15" s="1556" t="s">
        <v>8813</v>
      </c>
      <c r="P15" s="1313" t="s">
        <v>4475</v>
      </c>
      <c r="Q15" s="1556" t="s">
        <v>8814</v>
      </c>
      <c r="R15" s="1556" t="s">
        <v>1943</v>
      </c>
      <c r="S15" s="1556" t="s">
        <v>3426</v>
      </c>
      <c r="T15" s="1556" t="s">
        <v>8815</v>
      </c>
      <c r="U15" s="1556" t="s">
        <v>8816</v>
      </c>
      <c r="V15" s="1556" t="s">
        <v>6647</v>
      </c>
      <c r="W15" s="1556" t="s">
        <v>5453</v>
      </c>
      <c r="X15" s="1556" t="s">
        <v>8518</v>
      </c>
      <c r="Y15" s="1556" t="s">
        <v>8607</v>
      </c>
      <c r="Z15" s="1556" t="s">
        <v>6773</v>
      </c>
      <c r="AA15" s="1582" t="s">
        <v>8817</v>
      </c>
      <c r="AB15" s="1556" t="s">
        <v>5777</v>
      </c>
      <c r="AC15" s="1556" t="s">
        <v>1031</v>
      </c>
      <c r="AD15" s="1556" t="s">
        <v>7448</v>
      </c>
      <c r="AE15" s="1556" t="s">
        <v>4253</v>
      </c>
      <c r="AF15" s="1556" t="s">
        <v>8818</v>
      </c>
      <c r="AG15" s="1556" t="s">
        <v>1534</v>
      </c>
      <c r="AH15" s="1313" t="s">
        <v>8819</v>
      </c>
      <c r="AI15" s="1556" t="s">
        <v>8194</v>
      </c>
      <c r="AJ15" s="1556" t="s">
        <v>8820</v>
      </c>
      <c r="AK15" s="1556" t="s">
        <v>8821</v>
      </c>
      <c r="AL15" s="1556" t="s">
        <v>4405</v>
      </c>
      <c r="AM15" s="1556" t="s">
        <v>3496</v>
      </c>
      <c r="AN15" s="1556" t="s">
        <v>8822</v>
      </c>
      <c r="AO15" s="1556" t="s">
        <v>8643</v>
      </c>
      <c r="AP15" s="1583" t="s">
        <v>8524</v>
      </c>
      <c r="AQ15" s="1556" t="s">
        <v>8823</v>
      </c>
      <c r="AR15" s="1556" t="s">
        <v>8824</v>
      </c>
      <c r="AS15" s="1556" t="s">
        <v>8825</v>
      </c>
      <c r="AT15" s="1556" t="s">
        <v>8826</v>
      </c>
      <c r="AU15" s="1584" t="s">
        <v>8827</v>
      </c>
      <c r="AV15" s="1515" t="str">
        <f t="shared" si="1"/>
        <v>2:18</v>
      </c>
      <c r="AW15" s="1585" t="s">
        <v>8828</v>
      </c>
    </row>
    <row r="16" ht="15.75" customHeight="1">
      <c r="A16" s="1503" t="s">
        <v>2075</v>
      </c>
      <c r="B16" s="1504" t="s">
        <v>8498</v>
      </c>
      <c r="C16" s="1505">
        <v>0.049895833333333334</v>
      </c>
      <c r="D16" s="1313" t="s">
        <v>8829</v>
      </c>
      <c r="E16" s="1586" t="s">
        <v>885</v>
      </c>
      <c r="F16" s="1557" t="s">
        <v>8830</v>
      </c>
      <c r="G16" s="1586" t="s">
        <v>8831</v>
      </c>
      <c r="H16" s="1587" t="s">
        <v>8832</v>
      </c>
      <c r="I16" s="1558" t="s">
        <v>5537</v>
      </c>
      <c r="J16" s="1559" t="s">
        <v>8833</v>
      </c>
      <c r="K16" s="1588" t="s">
        <v>8834</v>
      </c>
      <c r="L16" s="1559" t="s">
        <v>8800</v>
      </c>
      <c r="M16" s="1559" t="s">
        <v>5034</v>
      </c>
      <c r="N16" s="1559" t="s">
        <v>8835</v>
      </c>
      <c r="O16" s="1588" t="s">
        <v>8836</v>
      </c>
      <c r="P16" s="1313" t="s">
        <v>4966</v>
      </c>
      <c r="Q16" s="1561" t="s">
        <v>3453</v>
      </c>
      <c r="R16" s="1589" t="s">
        <v>8837</v>
      </c>
      <c r="S16" s="1589" t="s">
        <v>8838</v>
      </c>
      <c r="T16" s="1589" t="s">
        <v>8839</v>
      </c>
      <c r="U16" s="1589" t="s">
        <v>8840</v>
      </c>
      <c r="V16" s="1561" t="s">
        <v>4456</v>
      </c>
      <c r="W16" s="1562" t="s">
        <v>8841</v>
      </c>
      <c r="X16" s="1590" t="s">
        <v>8842</v>
      </c>
      <c r="Y16" s="1562" t="s">
        <v>8843</v>
      </c>
      <c r="Z16" s="1562" t="s">
        <v>8844</v>
      </c>
      <c r="AA16" s="1562" t="s">
        <v>3347</v>
      </c>
      <c r="AB16" s="1590" t="s">
        <v>7752</v>
      </c>
      <c r="AC16" s="1590" t="s">
        <v>1219</v>
      </c>
      <c r="AD16" s="1586" t="s">
        <v>8845</v>
      </c>
      <c r="AE16" s="1586" t="s">
        <v>8846</v>
      </c>
      <c r="AF16" s="1591" t="s">
        <v>8847</v>
      </c>
      <c r="AG16" s="1563" t="s">
        <v>8848</v>
      </c>
      <c r="AH16" s="1563" t="s">
        <v>8849</v>
      </c>
      <c r="AI16" s="1563" t="s">
        <v>8732</v>
      </c>
      <c r="AJ16" s="1591" t="s">
        <v>8850</v>
      </c>
      <c r="AK16" s="1591" t="s">
        <v>892</v>
      </c>
      <c r="AL16" s="1563" t="s">
        <v>8851</v>
      </c>
      <c r="AM16" s="1565" t="s">
        <v>8852</v>
      </c>
      <c r="AN16" s="1564" t="s">
        <v>3094</v>
      </c>
      <c r="AO16" s="1565" t="s">
        <v>8853</v>
      </c>
      <c r="AP16" s="1564" t="s">
        <v>5582</v>
      </c>
      <c r="AQ16" s="1565" t="s">
        <v>8854</v>
      </c>
      <c r="AR16" s="1564" t="s">
        <v>1162</v>
      </c>
      <c r="AS16" s="1564" t="s">
        <v>3965</v>
      </c>
      <c r="AT16" s="1588" t="s">
        <v>6373</v>
      </c>
      <c r="AU16" s="1592" t="s">
        <v>8855</v>
      </c>
      <c r="AV16" s="1515" t="str">
        <f t="shared" si="1"/>
        <v>2:22</v>
      </c>
      <c r="AW16" s="1546" t="s">
        <v>8856</v>
      </c>
    </row>
    <row r="17">
      <c r="A17" s="1552" t="s">
        <v>2012</v>
      </c>
      <c r="B17" s="1547" t="s">
        <v>8498</v>
      </c>
      <c r="C17" s="1593">
        <v>0.04990740740740741</v>
      </c>
      <c r="D17" s="1533" t="s">
        <v>8857</v>
      </c>
      <c r="E17" s="1533" t="s">
        <v>8858</v>
      </c>
      <c r="F17" s="1533" t="s">
        <v>8816</v>
      </c>
      <c r="G17" s="1533" t="s">
        <v>8859</v>
      </c>
      <c r="H17" s="1533" t="s">
        <v>8860</v>
      </c>
      <c r="I17" s="1533" t="s">
        <v>3719</v>
      </c>
      <c r="J17" s="1533" t="s">
        <v>8861</v>
      </c>
      <c r="K17" s="1594" t="s">
        <v>4190</v>
      </c>
      <c r="L17" s="1533" t="s">
        <v>8862</v>
      </c>
      <c r="M17" s="1533" t="s">
        <v>8863</v>
      </c>
      <c r="N17" s="1533" t="s">
        <v>7221</v>
      </c>
      <c r="O17" s="1533" t="s">
        <v>8864</v>
      </c>
      <c r="P17" s="1533" t="s">
        <v>6396</v>
      </c>
      <c r="Q17" s="1533" t="s">
        <v>8865</v>
      </c>
      <c r="R17" s="1533" t="s">
        <v>8866</v>
      </c>
      <c r="S17" s="1533" t="s">
        <v>8867</v>
      </c>
      <c r="T17" s="1533" t="s">
        <v>5711</v>
      </c>
      <c r="U17" s="1533" t="s">
        <v>8868</v>
      </c>
      <c r="V17" s="1533" t="s">
        <v>8869</v>
      </c>
      <c r="W17" s="1533" t="s">
        <v>5438</v>
      </c>
      <c r="X17" s="1533" t="s">
        <v>8595</v>
      </c>
      <c r="Y17" s="1533" t="s">
        <v>8635</v>
      </c>
      <c r="Z17" s="1533" t="s">
        <v>8870</v>
      </c>
      <c r="AA17" s="1533" t="s">
        <v>8871</v>
      </c>
      <c r="AB17" s="1533" t="s">
        <v>8872</v>
      </c>
      <c r="AC17" s="1533" t="s">
        <v>595</v>
      </c>
      <c r="AD17" s="1533" t="s">
        <v>8873</v>
      </c>
      <c r="AE17" s="1533" t="s">
        <v>5535</v>
      </c>
      <c r="AF17" s="1533" t="s">
        <v>8874</v>
      </c>
      <c r="AG17" s="1533" t="s">
        <v>8875</v>
      </c>
      <c r="AH17" s="1533" t="s">
        <v>2832</v>
      </c>
      <c r="AI17" s="1533" t="s">
        <v>8705</v>
      </c>
      <c r="AJ17" s="1533" t="s">
        <v>8876</v>
      </c>
      <c r="AK17" s="1533" t="s">
        <v>8877</v>
      </c>
      <c r="AL17" s="1533" t="s">
        <v>342</v>
      </c>
      <c r="AM17" s="1533" t="s">
        <v>2178</v>
      </c>
      <c r="AN17" s="1533" t="s">
        <v>231</v>
      </c>
      <c r="AO17" s="1533" t="s">
        <v>8878</v>
      </c>
      <c r="AP17" s="1533" t="s">
        <v>8879</v>
      </c>
      <c r="AQ17" s="1507" t="s">
        <v>7667</v>
      </c>
      <c r="AR17" s="1533" t="s">
        <v>2594</v>
      </c>
      <c r="AS17" s="1533" t="s">
        <v>925</v>
      </c>
      <c r="AT17" s="1533" t="s">
        <v>2431</v>
      </c>
      <c r="AU17" s="1517" t="s">
        <v>8880</v>
      </c>
      <c r="AV17" s="1515" t="str">
        <f t="shared" si="1"/>
        <v>2:24</v>
      </c>
      <c r="AW17" s="1595"/>
    </row>
    <row r="18">
      <c r="A18" s="1552" t="s">
        <v>1555</v>
      </c>
      <c r="B18" s="1550" t="s">
        <v>8498</v>
      </c>
      <c r="C18" s="1505">
        <v>0.04991898148148148</v>
      </c>
      <c r="D18" s="1596" t="s">
        <v>8881</v>
      </c>
      <c r="E18" s="1597" t="s">
        <v>8882</v>
      </c>
      <c r="F18" s="1597" t="s">
        <v>8883</v>
      </c>
      <c r="G18" s="1597" t="s">
        <v>8884</v>
      </c>
      <c r="H18" s="1597" t="s">
        <v>8885</v>
      </c>
      <c r="I18" s="1597">
        <v>48.07</v>
      </c>
      <c r="J18" s="1597" t="s">
        <v>8886</v>
      </c>
      <c r="K18" s="1597" t="s">
        <v>1702</v>
      </c>
      <c r="L18" s="1597">
        <v>56.32</v>
      </c>
      <c r="M18" s="1597" t="s">
        <v>862</v>
      </c>
      <c r="N18" s="1597" t="s">
        <v>8887</v>
      </c>
      <c r="O18" s="1597" t="s">
        <v>8888</v>
      </c>
      <c r="P18" s="1597">
        <v>47.77</v>
      </c>
      <c r="Q18" s="1597" t="s">
        <v>8889</v>
      </c>
      <c r="R18" s="1597" t="s">
        <v>7333</v>
      </c>
      <c r="S18" s="1597" t="s">
        <v>8890</v>
      </c>
      <c r="T18" s="1597" t="s">
        <v>4568</v>
      </c>
      <c r="U18" s="1597" t="s">
        <v>8891</v>
      </c>
      <c r="V18" s="1597">
        <v>59.79</v>
      </c>
      <c r="W18" s="1597" t="s">
        <v>8892</v>
      </c>
      <c r="X18" s="1597" t="s">
        <v>2054</v>
      </c>
      <c r="Y18" s="1597">
        <v>47.0</v>
      </c>
      <c r="Z18" s="1597" t="s">
        <v>8893</v>
      </c>
      <c r="AA18" s="1597" t="s">
        <v>8894</v>
      </c>
      <c r="AB18" s="1597" t="s">
        <v>7300</v>
      </c>
      <c r="AC18" s="1597">
        <v>47.56</v>
      </c>
      <c r="AD18" s="1597" t="s">
        <v>8543</v>
      </c>
      <c r="AE18" s="1597">
        <v>47.95</v>
      </c>
      <c r="AF18" s="1597" t="s">
        <v>8895</v>
      </c>
      <c r="AG18" s="1597" t="s">
        <v>8896</v>
      </c>
      <c r="AH18" s="1597">
        <v>57.67</v>
      </c>
      <c r="AI18" s="1597" t="s">
        <v>960</v>
      </c>
      <c r="AJ18" s="1597" t="s">
        <v>8897</v>
      </c>
      <c r="AK18" s="1597" t="s">
        <v>7786</v>
      </c>
      <c r="AL18" s="1597">
        <v>56.37</v>
      </c>
      <c r="AM18" s="1597" t="s">
        <v>8898</v>
      </c>
      <c r="AN18" s="1597">
        <v>55.92</v>
      </c>
      <c r="AO18" s="1597" t="s">
        <v>4432</v>
      </c>
      <c r="AP18" s="1597" t="s">
        <v>8418</v>
      </c>
      <c r="AQ18" s="1597" t="s">
        <v>8899</v>
      </c>
      <c r="AR18" s="1597" t="s">
        <v>6484</v>
      </c>
      <c r="AS18" s="1597">
        <v>46.83</v>
      </c>
      <c r="AT18" s="1598" t="s">
        <v>8900</v>
      </c>
      <c r="AU18" s="1533" t="s">
        <v>8901</v>
      </c>
      <c r="AV18" s="1515" t="str">
        <f t="shared" si="1"/>
        <v>1:53</v>
      </c>
      <c r="AW18" s="1551" t="s">
        <v>8902</v>
      </c>
    </row>
    <row r="19">
      <c r="A19" s="1552" t="s">
        <v>2094</v>
      </c>
      <c r="B19" s="1550" t="s">
        <v>8498</v>
      </c>
      <c r="C19" s="1599">
        <v>0.049930555555555554</v>
      </c>
      <c r="D19" s="1600" t="s">
        <v>8903</v>
      </c>
      <c r="E19" s="1533" t="s">
        <v>8904</v>
      </c>
      <c r="F19" s="1533" t="s">
        <v>4256</v>
      </c>
      <c r="G19" s="1533" t="s">
        <v>8905</v>
      </c>
      <c r="H19" s="1533" t="s">
        <v>8906</v>
      </c>
      <c r="I19" s="1533" t="s">
        <v>5631</v>
      </c>
      <c r="J19" s="1533" t="s">
        <v>6238</v>
      </c>
      <c r="K19" s="1533" t="s">
        <v>8907</v>
      </c>
      <c r="L19" s="1533" t="s">
        <v>4070</v>
      </c>
      <c r="M19" s="1533" t="s">
        <v>1090</v>
      </c>
      <c r="N19" s="1533" t="s">
        <v>8908</v>
      </c>
      <c r="O19" s="1533" t="s">
        <v>798</v>
      </c>
      <c r="P19" s="1528">
        <v>47.54</v>
      </c>
      <c r="Q19" s="1601" t="s">
        <v>5638</v>
      </c>
      <c r="R19" s="1528" t="s">
        <v>8866</v>
      </c>
      <c r="S19" s="1601" t="s">
        <v>8746</v>
      </c>
      <c r="T19" s="1528" t="s">
        <v>8909</v>
      </c>
      <c r="U19" s="1601" t="s">
        <v>8910</v>
      </c>
      <c r="V19" s="1602">
        <v>58.55</v>
      </c>
      <c r="W19" s="1601" t="s">
        <v>8911</v>
      </c>
      <c r="X19" s="1601" t="s">
        <v>8912</v>
      </c>
      <c r="Y19" s="1507" t="s">
        <v>8635</v>
      </c>
      <c r="Z19" s="1601" t="s">
        <v>8913</v>
      </c>
      <c r="AA19" s="1533" t="s">
        <v>8871</v>
      </c>
      <c r="AB19" s="1601" t="s">
        <v>8872</v>
      </c>
      <c r="AC19" s="1515">
        <v>47.2</v>
      </c>
      <c r="AD19" s="1601" t="s">
        <v>8914</v>
      </c>
      <c r="AE19" s="1528">
        <v>47.88</v>
      </c>
      <c r="AF19" s="1601" t="s">
        <v>8915</v>
      </c>
      <c r="AG19" s="1601" t="s">
        <v>8916</v>
      </c>
      <c r="AH19" s="1601">
        <v>57.68</v>
      </c>
      <c r="AI19" s="1601" t="s">
        <v>2747</v>
      </c>
      <c r="AJ19" s="1528" t="s">
        <v>8917</v>
      </c>
      <c r="AK19" s="1507" t="s">
        <v>8918</v>
      </c>
      <c r="AL19" s="1601">
        <v>55.92</v>
      </c>
      <c r="AM19" s="1601" t="s">
        <v>2788</v>
      </c>
      <c r="AN19" s="1507" t="s">
        <v>5670</v>
      </c>
      <c r="AO19" s="1601" t="s">
        <v>6758</v>
      </c>
      <c r="AP19" s="1601" t="s">
        <v>8919</v>
      </c>
      <c r="AQ19" s="1601" t="s">
        <v>7418</v>
      </c>
      <c r="AR19" s="1601" t="s">
        <v>6336</v>
      </c>
      <c r="AS19" s="1603">
        <v>42.83</v>
      </c>
      <c r="AT19" s="1528" t="s">
        <v>7997</v>
      </c>
      <c r="AU19" s="1545" t="s">
        <v>8920</v>
      </c>
      <c r="AV19" s="1515" t="str">
        <f t="shared" si="1"/>
        <v>4:29</v>
      </c>
      <c r="AW19" s="1551" t="s">
        <v>8921</v>
      </c>
    </row>
    <row r="20" ht="15.75" customHeight="1">
      <c r="A20" s="1552" t="s">
        <v>2256</v>
      </c>
      <c r="B20" s="1504" t="s">
        <v>8498</v>
      </c>
      <c r="C20" s="1505">
        <v>0.0499537037037037</v>
      </c>
      <c r="D20" s="1517" t="s">
        <v>8922</v>
      </c>
      <c r="E20" s="1517" t="s">
        <v>2697</v>
      </c>
      <c r="F20" s="1517" t="s">
        <v>8923</v>
      </c>
      <c r="G20" s="1507" t="s">
        <v>8924</v>
      </c>
      <c r="H20" s="1517" t="s">
        <v>8925</v>
      </c>
      <c r="I20" s="1604" t="s">
        <v>8846</v>
      </c>
      <c r="J20" s="1517" t="s">
        <v>1421</v>
      </c>
      <c r="K20" s="1517" t="s">
        <v>5179</v>
      </c>
      <c r="L20" s="1517" t="s">
        <v>8926</v>
      </c>
      <c r="M20" s="1517" t="s">
        <v>8927</v>
      </c>
      <c r="N20" s="1517" t="s">
        <v>8928</v>
      </c>
      <c r="O20" s="1517" t="s">
        <v>8929</v>
      </c>
      <c r="P20" s="1517" t="s">
        <v>8930</v>
      </c>
      <c r="Q20" s="1517" t="s">
        <v>4621</v>
      </c>
      <c r="R20" s="1561" t="s">
        <v>8931</v>
      </c>
      <c r="S20" s="1517" t="s">
        <v>4002</v>
      </c>
      <c r="T20" s="1517" t="s">
        <v>8727</v>
      </c>
      <c r="U20" s="1517" t="s">
        <v>8932</v>
      </c>
      <c r="V20" s="1517" t="s">
        <v>8933</v>
      </c>
      <c r="W20" s="1517" t="s">
        <v>8934</v>
      </c>
      <c r="X20" s="1517" t="s">
        <v>7753</v>
      </c>
      <c r="Y20" s="1517" t="s">
        <v>4270</v>
      </c>
      <c r="Z20" s="1517" t="s">
        <v>8935</v>
      </c>
      <c r="AA20" s="1517" t="s">
        <v>7753</v>
      </c>
      <c r="AB20" s="1517" t="s">
        <v>8722</v>
      </c>
      <c r="AC20" s="1517" t="s">
        <v>5594</v>
      </c>
      <c r="AD20" s="1517" t="s">
        <v>7804</v>
      </c>
      <c r="AE20" s="1517" t="s">
        <v>5765</v>
      </c>
      <c r="AF20" s="1517" t="s">
        <v>8936</v>
      </c>
      <c r="AG20" s="1517" t="s">
        <v>5039</v>
      </c>
      <c r="AH20" s="1517" t="s">
        <v>5213</v>
      </c>
      <c r="AI20" s="1517" t="s">
        <v>8937</v>
      </c>
      <c r="AJ20" s="1511" t="s">
        <v>8520</v>
      </c>
      <c r="AK20" s="1517" t="s">
        <v>2518</v>
      </c>
      <c r="AL20" s="1517" t="s">
        <v>8862</v>
      </c>
      <c r="AM20" s="1517" t="s">
        <v>8657</v>
      </c>
      <c r="AN20" s="1517" t="s">
        <v>556</v>
      </c>
      <c r="AO20" s="1517" t="s">
        <v>8938</v>
      </c>
      <c r="AP20" s="1517" t="s">
        <v>8939</v>
      </c>
      <c r="AQ20" s="1517" t="s">
        <v>4755</v>
      </c>
      <c r="AR20" s="1517" t="s">
        <v>6485</v>
      </c>
      <c r="AS20" s="1517" t="s">
        <v>8940</v>
      </c>
      <c r="AT20" s="1517" t="s">
        <v>2948</v>
      </c>
      <c r="AU20" s="1517" t="s">
        <v>8941</v>
      </c>
      <c r="AV20" s="1515" t="str">
        <f t="shared" si="1"/>
        <v>3:21</v>
      </c>
      <c r="AW20" s="1585" t="s">
        <v>8942</v>
      </c>
    </row>
    <row r="21" ht="15.75" customHeight="1">
      <c r="A21" s="1503" t="s">
        <v>8943</v>
      </c>
      <c r="B21" s="1504" t="s">
        <v>8498</v>
      </c>
      <c r="C21" s="1505">
        <v>0.049965277777777775</v>
      </c>
      <c r="D21" s="1313" t="s">
        <v>8944</v>
      </c>
      <c r="E21" s="1517" t="s">
        <v>4295</v>
      </c>
      <c r="F21" s="1517" t="s">
        <v>8945</v>
      </c>
      <c r="G21" s="1517" t="s">
        <v>8946</v>
      </c>
      <c r="H21" s="1515" t="s">
        <v>2280</v>
      </c>
      <c r="I21" s="1517" t="s">
        <v>1389</v>
      </c>
      <c r="J21" s="1517" t="s">
        <v>380</v>
      </c>
      <c r="K21" s="1517" t="s">
        <v>8947</v>
      </c>
      <c r="L21" s="1517" t="s">
        <v>5349</v>
      </c>
      <c r="M21" s="1517" t="s">
        <v>6404</v>
      </c>
      <c r="N21" s="1517" t="s">
        <v>8948</v>
      </c>
      <c r="O21" s="1517" t="s">
        <v>2566</v>
      </c>
      <c r="P21" s="1515" t="s">
        <v>5409</v>
      </c>
      <c r="Q21" s="1517" t="s">
        <v>8949</v>
      </c>
      <c r="R21" s="1517" t="s">
        <v>3325</v>
      </c>
      <c r="S21" s="1517" t="s">
        <v>7670</v>
      </c>
      <c r="T21" s="1517" t="s">
        <v>8282</v>
      </c>
      <c r="U21" s="1517" t="s">
        <v>8950</v>
      </c>
      <c r="V21" s="1517" t="s">
        <v>4995</v>
      </c>
      <c r="W21" s="1517" t="s">
        <v>8951</v>
      </c>
      <c r="X21" s="1515" t="s">
        <v>6764</v>
      </c>
      <c r="Y21" s="1515" t="s">
        <v>5497</v>
      </c>
      <c r="Z21" s="1517" t="s">
        <v>8952</v>
      </c>
      <c r="AA21" s="1517" t="s">
        <v>2322</v>
      </c>
      <c r="AB21" s="1517" t="s">
        <v>8953</v>
      </c>
      <c r="AC21" s="1517" t="s">
        <v>785</v>
      </c>
      <c r="AD21" s="1517" t="s">
        <v>5419</v>
      </c>
      <c r="AE21" s="1517" t="s">
        <v>8954</v>
      </c>
      <c r="AF21" s="1517" t="s">
        <v>872</v>
      </c>
      <c r="AG21" s="1517" t="s">
        <v>8955</v>
      </c>
      <c r="AH21" s="1517" t="s">
        <v>8956</v>
      </c>
      <c r="AI21" s="1517" t="s">
        <v>690</v>
      </c>
      <c r="AJ21" s="1515" t="s">
        <v>8957</v>
      </c>
      <c r="AK21" s="1563" t="s">
        <v>7582</v>
      </c>
      <c r="AL21" s="1517" t="s">
        <v>4613</v>
      </c>
      <c r="AM21" s="1517" t="s">
        <v>3649</v>
      </c>
      <c r="AN21" s="1515" t="s">
        <v>6113</v>
      </c>
      <c r="AO21" s="1515" t="s">
        <v>6485</v>
      </c>
      <c r="AP21" s="1515" t="s">
        <v>8958</v>
      </c>
      <c r="AQ21" s="1515" t="s">
        <v>8618</v>
      </c>
      <c r="AR21" s="1515" t="s">
        <v>490</v>
      </c>
      <c r="AS21" s="1515" t="s">
        <v>5680</v>
      </c>
      <c r="AT21" s="1515" t="s">
        <v>8818</v>
      </c>
      <c r="AU21" s="1517" t="s">
        <v>8959</v>
      </c>
      <c r="AV21" s="1515" t="str">
        <f t="shared" si="1"/>
        <v>3:46</v>
      </c>
      <c r="AW21" s="1595" t="s">
        <v>8076</v>
      </c>
    </row>
    <row r="22" ht="15.75" customHeight="1">
      <c r="A22" s="1605" t="s">
        <v>6154</v>
      </c>
      <c r="B22" s="1504" t="s">
        <v>8498</v>
      </c>
      <c r="C22" s="1505">
        <v>0.05</v>
      </c>
      <c r="D22" s="1313" t="s">
        <v>8960</v>
      </c>
      <c r="E22" s="1517" t="s">
        <v>8313</v>
      </c>
      <c r="F22" s="1517" t="s">
        <v>8923</v>
      </c>
      <c r="G22" s="1515" t="s">
        <v>8961</v>
      </c>
      <c r="H22" s="1517" t="s">
        <v>8962</v>
      </c>
      <c r="I22" s="1515" t="s">
        <v>1921</v>
      </c>
      <c r="J22" s="1517" t="s">
        <v>2862</v>
      </c>
      <c r="K22" s="1517" t="s">
        <v>8963</v>
      </c>
      <c r="L22" s="1517" t="s">
        <v>3345</v>
      </c>
      <c r="M22" s="1517" t="s">
        <v>8964</v>
      </c>
      <c r="N22" s="1517" t="s">
        <v>8965</v>
      </c>
      <c r="O22" s="1517" t="s">
        <v>8911</v>
      </c>
      <c r="P22" s="1515" t="s">
        <v>3901</v>
      </c>
      <c r="Q22" s="1517" t="s">
        <v>8966</v>
      </c>
      <c r="R22" s="1517" t="s">
        <v>6689</v>
      </c>
      <c r="S22" s="1517" t="s">
        <v>6934</v>
      </c>
      <c r="T22" s="1517" t="s">
        <v>7335</v>
      </c>
      <c r="U22" s="1517" t="s">
        <v>8967</v>
      </c>
      <c r="V22" s="1517" t="s">
        <v>8968</v>
      </c>
      <c r="W22" s="1517" t="s">
        <v>8969</v>
      </c>
      <c r="X22" s="1517" t="s">
        <v>7049</v>
      </c>
      <c r="Y22" s="1517" t="s">
        <v>8970</v>
      </c>
      <c r="Z22" s="1517" t="s">
        <v>8971</v>
      </c>
      <c r="AA22" s="1517" t="s">
        <v>8972</v>
      </c>
      <c r="AB22" s="1517" t="s">
        <v>8973</v>
      </c>
      <c r="AC22" s="1515" t="s">
        <v>4938</v>
      </c>
      <c r="AD22" s="1517" t="s">
        <v>8974</v>
      </c>
      <c r="AE22" s="1515" t="s">
        <v>5485</v>
      </c>
      <c r="AF22" s="1606" t="s">
        <v>8517</v>
      </c>
      <c r="AG22" s="1517" t="s">
        <v>606</v>
      </c>
      <c r="AH22" s="1517" t="s">
        <v>6919</v>
      </c>
      <c r="AI22" s="1517" t="s">
        <v>307</v>
      </c>
      <c r="AJ22" s="1515" t="s">
        <v>8975</v>
      </c>
      <c r="AK22" s="1517" t="s">
        <v>8976</v>
      </c>
      <c r="AL22" s="1515" t="s">
        <v>3194</v>
      </c>
      <c r="AM22" s="1517" t="s">
        <v>1981</v>
      </c>
      <c r="AN22" s="1515" t="s">
        <v>2584</v>
      </c>
      <c r="AO22" s="1517" t="s">
        <v>3523</v>
      </c>
      <c r="AP22" s="1517" t="s">
        <v>8977</v>
      </c>
      <c r="AQ22" s="1515" t="s">
        <v>8978</v>
      </c>
      <c r="AR22" s="1517" t="s">
        <v>1671</v>
      </c>
      <c r="AS22" s="1515" t="s">
        <v>8825</v>
      </c>
      <c r="AT22" s="1517" t="s">
        <v>8979</v>
      </c>
      <c r="AU22" s="1517" t="s">
        <v>8980</v>
      </c>
      <c r="AV22" s="1515" t="str">
        <f t="shared" si="1"/>
        <v>1:53</v>
      </c>
      <c r="AW22" s="1595"/>
    </row>
    <row r="23" ht="15.75" customHeight="1">
      <c r="A23" s="1552" t="s">
        <v>2600</v>
      </c>
      <c r="B23" s="1550" t="s">
        <v>8529</v>
      </c>
      <c r="C23" s="1505">
        <v>0.05009259259259259</v>
      </c>
      <c r="D23" s="1313" t="s">
        <v>8981</v>
      </c>
      <c r="E23" s="1313" t="s">
        <v>8982</v>
      </c>
      <c r="F23" s="1313" t="s">
        <v>8983</v>
      </c>
      <c r="G23" s="1313" t="s">
        <v>8984</v>
      </c>
      <c r="H23" s="1313" t="s">
        <v>5892</v>
      </c>
      <c r="I23" s="1313" t="s">
        <v>696</v>
      </c>
      <c r="J23" s="1571" t="s">
        <v>8535</v>
      </c>
      <c r="K23" s="1313" t="s">
        <v>1093</v>
      </c>
      <c r="L23" s="1313" t="s">
        <v>8985</v>
      </c>
      <c r="M23" s="1559" t="s">
        <v>8986</v>
      </c>
      <c r="N23" s="1571" t="s">
        <v>2489</v>
      </c>
      <c r="O23" s="1313" t="s">
        <v>8987</v>
      </c>
      <c r="P23" s="1571" t="s">
        <v>5485</v>
      </c>
      <c r="Q23" s="1571" t="s">
        <v>8538</v>
      </c>
      <c r="R23" s="1313" t="s">
        <v>7275</v>
      </c>
      <c r="S23" s="1313" t="s">
        <v>8988</v>
      </c>
      <c r="T23" s="1313" t="s">
        <v>4518</v>
      </c>
      <c r="U23" s="1313" t="s">
        <v>8989</v>
      </c>
      <c r="V23" s="1571" t="s">
        <v>4103</v>
      </c>
      <c r="W23" s="1313" t="s">
        <v>7184</v>
      </c>
      <c r="X23" s="1313" t="s">
        <v>5711</v>
      </c>
      <c r="Y23" s="1313" t="s">
        <v>5091</v>
      </c>
      <c r="Z23" s="1313" t="s">
        <v>1131</v>
      </c>
      <c r="AA23" s="1313" t="s">
        <v>8990</v>
      </c>
      <c r="AB23" s="1313" t="s">
        <v>5730</v>
      </c>
      <c r="AC23" s="1313" t="s">
        <v>1905</v>
      </c>
      <c r="AD23" s="1313" t="s">
        <v>8991</v>
      </c>
      <c r="AE23" s="1313" t="s">
        <v>3339</v>
      </c>
      <c r="AF23" s="1313" t="s">
        <v>8992</v>
      </c>
      <c r="AG23" s="1313" t="s">
        <v>5592</v>
      </c>
      <c r="AH23" s="1313" t="s">
        <v>4601</v>
      </c>
      <c r="AI23" s="1313" t="s">
        <v>3411</v>
      </c>
      <c r="AJ23" s="1313" t="s">
        <v>8993</v>
      </c>
      <c r="AK23" s="1313" t="s">
        <v>3029</v>
      </c>
      <c r="AL23" s="1313" t="s">
        <v>8994</v>
      </c>
      <c r="AM23" s="1313" t="s">
        <v>8995</v>
      </c>
      <c r="AN23" s="1313" t="s">
        <v>4397</v>
      </c>
      <c r="AO23" s="1313" t="s">
        <v>7360</v>
      </c>
      <c r="AP23" s="1313" t="s">
        <v>8996</v>
      </c>
      <c r="AQ23" s="1313" t="s">
        <v>3195</v>
      </c>
      <c r="AR23" s="1313" t="s">
        <v>2986</v>
      </c>
      <c r="AS23" s="1313" t="s">
        <v>6633</v>
      </c>
      <c r="AT23" s="1313" t="s">
        <v>3141</v>
      </c>
      <c r="AU23" s="1563" t="s">
        <v>8552</v>
      </c>
      <c r="AV23" s="1515" t="str">
        <f t="shared" si="1"/>
        <v>2:59</v>
      </c>
      <c r="AW23" s="1607"/>
    </row>
    <row r="24">
      <c r="A24" s="1608" t="s">
        <v>2894</v>
      </c>
      <c r="B24" s="1609" t="s">
        <v>8498</v>
      </c>
      <c r="C24" s="1610">
        <v>0.05011574074074074</v>
      </c>
      <c r="D24" s="1611" t="s">
        <v>8997</v>
      </c>
      <c r="E24" s="1612" t="s">
        <v>7585</v>
      </c>
      <c r="F24" s="1613" t="s">
        <v>7321</v>
      </c>
      <c r="G24" s="1611" t="s">
        <v>8998</v>
      </c>
      <c r="H24" s="1614" t="s">
        <v>8999</v>
      </c>
      <c r="I24" s="1614" t="s">
        <v>1921</v>
      </c>
      <c r="J24" s="1615" t="s">
        <v>9000</v>
      </c>
      <c r="K24" s="1616" t="s">
        <v>9001</v>
      </c>
      <c r="L24" s="1617" t="s">
        <v>9002</v>
      </c>
      <c r="M24" s="1616" t="s">
        <v>8986</v>
      </c>
      <c r="N24" s="1616" t="s">
        <v>9003</v>
      </c>
      <c r="O24" s="1615" t="s">
        <v>9004</v>
      </c>
      <c r="P24" s="1617" t="s">
        <v>6408</v>
      </c>
      <c r="Q24" s="1618" t="s">
        <v>9005</v>
      </c>
      <c r="R24" s="1618" t="s">
        <v>5530</v>
      </c>
      <c r="S24" s="1619" t="s">
        <v>1051</v>
      </c>
      <c r="T24" s="1620" t="s">
        <v>1916</v>
      </c>
      <c r="U24" s="1621" t="s">
        <v>9006</v>
      </c>
      <c r="V24" s="1618" t="s">
        <v>3936</v>
      </c>
      <c r="W24" s="1622" t="s">
        <v>7500</v>
      </c>
      <c r="X24" s="1623" t="s">
        <v>9007</v>
      </c>
      <c r="Y24" s="1624" t="s">
        <v>7018</v>
      </c>
      <c r="Z24" s="1622" t="s">
        <v>223</v>
      </c>
      <c r="AA24" s="1623" t="s">
        <v>7456</v>
      </c>
      <c r="AB24" s="1625" t="s">
        <v>2041</v>
      </c>
      <c r="AC24" s="1626" t="s">
        <v>4840</v>
      </c>
      <c r="AD24" s="1627" t="s">
        <v>9008</v>
      </c>
      <c r="AE24" s="1628" t="s">
        <v>5535</v>
      </c>
      <c r="AF24" s="1629" t="s">
        <v>9009</v>
      </c>
      <c r="AG24" s="1629" t="s">
        <v>194</v>
      </c>
      <c r="AH24" s="1630" t="s">
        <v>9010</v>
      </c>
      <c r="AI24" s="1629" t="s">
        <v>9011</v>
      </c>
      <c r="AJ24" s="1630" t="s">
        <v>9012</v>
      </c>
      <c r="AK24" s="1629" t="s">
        <v>9013</v>
      </c>
      <c r="AL24" s="1629" t="s">
        <v>8956</v>
      </c>
      <c r="AM24" s="1631" t="s">
        <v>8548</v>
      </c>
      <c r="AN24" s="1632" t="s">
        <v>4590</v>
      </c>
      <c r="AO24" s="1633" t="s">
        <v>1477</v>
      </c>
      <c r="AP24" s="1634" t="s">
        <v>9014</v>
      </c>
      <c r="AQ24" s="1635" t="s">
        <v>9015</v>
      </c>
      <c r="AR24" s="1635" t="s">
        <v>8697</v>
      </c>
      <c r="AS24" s="1636" t="s">
        <v>9016</v>
      </c>
      <c r="AT24" s="1615" t="s">
        <v>1988</v>
      </c>
      <c r="AU24" s="1637" t="s">
        <v>9017</v>
      </c>
      <c r="AV24" s="1638" t="str">
        <f t="shared" si="1"/>
        <v>3:01</v>
      </c>
      <c r="AW24" s="1639"/>
    </row>
    <row r="25">
      <c r="A25" s="1552" t="s">
        <v>6462</v>
      </c>
      <c r="B25" s="1547" t="s">
        <v>8529</v>
      </c>
      <c r="C25" s="1505">
        <v>0.05016203703703704</v>
      </c>
      <c r="D25" s="1528" t="s">
        <v>9018</v>
      </c>
      <c r="E25" s="1640" t="s">
        <v>7205</v>
      </c>
      <c r="F25" s="1528" t="s">
        <v>9019</v>
      </c>
      <c r="G25" s="1528" t="s">
        <v>9020</v>
      </c>
      <c r="H25" s="1528" t="s">
        <v>9021</v>
      </c>
      <c r="I25" s="1528" t="s">
        <v>5269</v>
      </c>
      <c r="J25" s="1528" t="s">
        <v>4083</v>
      </c>
      <c r="K25" s="1528" t="s">
        <v>9022</v>
      </c>
      <c r="L25" s="1313" t="s">
        <v>5086</v>
      </c>
      <c r="M25" s="1571" t="s">
        <v>8536</v>
      </c>
      <c r="N25" s="1528" t="s">
        <v>9023</v>
      </c>
      <c r="O25" s="1528" t="s">
        <v>9024</v>
      </c>
      <c r="P25" s="1528" t="s">
        <v>5792</v>
      </c>
      <c r="Q25" s="1528" t="s">
        <v>2670</v>
      </c>
      <c r="R25" s="1528" t="s">
        <v>899</v>
      </c>
      <c r="S25" s="1528" t="s">
        <v>9025</v>
      </c>
      <c r="T25" s="1528" t="s">
        <v>1394</v>
      </c>
      <c r="U25" s="1528" t="s">
        <v>9026</v>
      </c>
      <c r="V25" s="1528" t="s">
        <v>9027</v>
      </c>
      <c r="W25" s="1528" t="s">
        <v>9028</v>
      </c>
      <c r="X25" s="1528" t="s">
        <v>1301</v>
      </c>
      <c r="Y25" s="1528" t="s">
        <v>1094</v>
      </c>
      <c r="Z25" s="1528" t="s">
        <v>8913</v>
      </c>
      <c r="AA25" s="1641" t="s">
        <v>8542</v>
      </c>
      <c r="AB25" s="1528" t="s">
        <v>9029</v>
      </c>
      <c r="AC25" s="1528" t="s">
        <v>4727</v>
      </c>
      <c r="AD25" s="1528" t="s">
        <v>9030</v>
      </c>
      <c r="AE25" s="1528" t="s">
        <v>4874</v>
      </c>
      <c r="AF25" s="1528" t="s">
        <v>5643</v>
      </c>
      <c r="AG25" s="1528" t="s">
        <v>9031</v>
      </c>
      <c r="AH25" s="1528" t="s">
        <v>4334</v>
      </c>
      <c r="AI25" s="1517" t="s">
        <v>4146</v>
      </c>
      <c r="AJ25" s="1528" t="s">
        <v>9032</v>
      </c>
      <c r="AK25" s="1528" t="s">
        <v>9033</v>
      </c>
      <c r="AL25" s="1528" t="s">
        <v>2501</v>
      </c>
      <c r="AM25" s="1528" t="s">
        <v>4007</v>
      </c>
      <c r="AN25" s="1528" t="s">
        <v>5891</v>
      </c>
      <c r="AO25" s="1528" t="s">
        <v>9034</v>
      </c>
      <c r="AP25" s="1528" t="s">
        <v>9035</v>
      </c>
      <c r="AQ25" s="1528" t="s">
        <v>3992</v>
      </c>
      <c r="AR25" s="1528" t="s">
        <v>3153</v>
      </c>
      <c r="AS25" s="1528" t="s">
        <v>754</v>
      </c>
      <c r="AT25" s="1528" t="s">
        <v>9036</v>
      </c>
      <c r="AU25" s="1517" t="s">
        <v>9037</v>
      </c>
      <c r="AV25" s="1515" t="str">
        <f t="shared" si="1"/>
        <v>3:20</v>
      </c>
      <c r="AW25" s="1642"/>
    </row>
    <row r="26" ht="15.75" customHeight="1">
      <c r="A26" s="1519" t="s">
        <v>1417</v>
      </c>
      <c r="B26" s="1504" t="s">
        <v>8498</v>
      </c>
      <c r="C26" s="1505">
        <v>0.05025462962962963</v>
      </c>
      <c r="D26" s="1313" t="s">
        <v>9038</v>
      </c>
      <c r="E26" s="1557" t="s">
        <v>9039</v>
      </c>
      <c r="F26" s="1586" t="s">
        <v>9040</v>
      </c>
      <c r="G26" s="1507" t="s">
        <v>9041</v>
      </c>
      <c r="H26" s="1558" t="s">
        <v>9042</v>
      </c>
      <c r="I26" s="1558" t="s">
        <v>1047</v>
      </c>
      <c r="J26" s="1559" t="s">
        <v>8651</v>
      </c>
      <c r="K26" s="1588" t="s">
        <v>9043</v>
      </c>
      <c r="L26" s="1588" t="s">
        <v>5135</v>
      </c>
      <c r="M26" s="1643" t="str">
        <f>HYPERLINK("https://youtu.be/teAIifUZjFw","1:14.18")</f>
        <v>1:14.18</v>
      </c>
      <c r="N26" s="1588" t="s">
        <v>3741</v>
      </c>
      <c r="O26" s="1588" t="s">
        <v>9044</v>
      </c>
      <c r="P26" s="1588" t="s">
        <v>2085</v>
      </c>
      <c r="Q26" s="1589" t="s">
        <v>9045</v>
      </c>
      <c r="R26" s="1561" t="s">
        <v>9046</v>
      </c>
      <c r="S26" s="1561" t="s">
        <v>5444</v>
      </c>
      <c r="T26" s="1644" t="str">
        <f>HYPERLINK("https://youtu.be/AiXricVH5ss","1:24.99")</f>
        <v>1:24.99</v>
      </c>
      <c r="U26" s="1645" t="str">
        <f>HYPERLINK("https://www.twitch.tv/videos/450151935","2:00.31")</f>
        <v>2:00.31</v>
      </c>
      <c r="V26" s="1561" t="s">
        <v>9047</v>
      </c>
      <c r="W26" s="1646" t="str">
        <f>HYPERLINK("https://youtu.be/eafNhBoXVWA","1:46.09")</f>
        <v>1:46.09</v>
      </c>
      <c r="X26" s="1590" t="s">
        <v>4473</v>
      </c>
      <c r="Y26" s="1590" t="s">
        <v>8743</v>
      </c>
      <c r="Z26" s="1590" t="s">
        <v>9048</v>
      </c>
      <c r="AA26" s="1562" t="s">
        <v>8683</v>
      </c>
      <c r="AB26" s="1590" t="s">
        <v>7045</v>
      </c>
      <c r="AC26" s="1590" t="s">
        <v>7635</v>
      </c>
      <c r="AD26" s="1647" t="str">
        <f>HYPERLINK("https://youtu.be/8FEcTKESSh0","1:49.80")</f>
        <v>1:49.80</v>
      </c>
      <c r="AE26" s="1557" t="s">
        <v>6408</v>
      </c>
      <c r="AF26" s="1591" t="s">
        <v>9049</v>
      </c>
      <c r="AG26" s="1591" t="s">
        <v>9050</v>
      </c>
      <c r="AH26" s="1591" t="s">
        <v>9051</v>
      </c>
      <c r="AI26" s="1591" t="s">
        <v>4008</v>
      </c>
      <c r="AJ26" s="1591" t="s">
        <v>9052</v>
      </c>
      <c r="AK26" s="1563" t="s">
        <v>8909</v>
      </c>
      <c r="AL26" s="1591" t="s">
        <v>9053</v>
      </c>
      <c r="AM26" s="1565" t="s">
        <v>8852</v>
      </c>
      <c r="AN26" s="1565" t="s">
        <v>8283</v>
      </c>
      <c r="AO26" s="1565" t="s">
        <v>9054</v>
      </c>
      <c r="AP26" s="1564" t="s">
        <v>9055</v>
      </c>
      <c r="AQ26" s="1564" t="s">
        <v>9056</v>
      </c>
      <c r="AR26" s="1565" t="s">
        <v>9057</v>
      </c>
      <c r="AS26" s="1564" t="s">
        <v>5514</v>
      </c>
      <c r="AT26" s="1643" t="str">
        <f>HYPERLINK("https://youtu.be/xDirVtS1AZ4?t=4416","2:27.45")</f>
        <v>2:27.45</v>
      </c>
      <c r="AU26" s="1592" t="s">
        <v>9058</v>
      </c>
      <c r="AV26" s="1515" t="str">
        <f t="shared" si="1"/>
        <v>2:34</v>
      </c>
      <c r="AW26" s="1546" t="s">
        <v>9059</v>
      </c>
    </row>
    <row r="27">
      <c r="A27" s="1552" t="s">
        <v>6449</v>
      </c>
      <c r="B27" s="1547" t="s">
        <v>8498</v>
      </c>
      <c r="C27" s="1505">
        <v>0.0502662037037037</v>
      </c>
      <c r="D27" s="1313" t="s">
        <v>9060</v>
      </c>
      <c r="E27" s="1517" t="s">
        <v>8671</v>
      </c>
      <c r="F27" s="1517" t="s">
        <v>9061</v>
      </c>
      <c r="G27" s="1517" t="s">
        <v>9062</v>
      </c>
      <c r="H27" s="1517" t="s">
        <v>9063</v>
      </c>
      <c r="I27" s="1313" t="s">
        <v>260</v>
      </c>
      <c r="J27" s="1313" t="s">
        <v>9064</v>
      </c>
      <c r="K27" s="1517" t="s">
        <v>8963</v>
      </c>
      <c r="L27" s="1517" t="s">
        <v>4070</v>
      </c>
      <c r="M27" s="1313" t="s">
        <v>2653</v>
      </c>
      <c r="N27" s="1517" t="s">
        <v>9065</v>
      </c>
      <c r="O27" s="1517" t="s">
        <v>9066</v>
      </c>
      <c r="P27" s="1313" t="s">
        <v>9067</v>
      </c>
      <c r="Q27" s="1517" t="s">
        <v>9068</v>
      </c>
      <c r="R27" s="1313" t="s">
        <v>9069</v>
      </c>
      <c r="S27" s="1517" t="s">
        <v>9070</v>
      </c>
      <c r="T27" s="1313" t="s">
        <v>9071</v>
      </c>
      <c r="U27" s="1517" t="s">
        <v>1033</v>
      </c>
      <c r="V27" s="1313" t="s">
        <v>4995</v>
      </c>
      <c r="W27" s="1313" t="s">
        <v>7186</v>
      </c>
      <c r="X27" s="1313" t="s">
        <v>6764</v>
      </c>
      <c r="Y27" s="1313" t="s">
        <v>969</v>
      </c>
      <c r="Z27" s="1313" t="s">
        <v>9072</v>
      </c>
      <c r="AA27" s="1517" t="s">
        <v>9073</v>
      </c>
      <c r="AB27" s="1313" t="s">
        <v>7634</v>
      </c>
      <c r="AC27" s="1517" t="s">
        <v>9074</v>
      </c>
      <c r="AD27" s="1313" t="s">
        <v>6150</v>
      </c>
      <c r="AE27" s="1517" t="s">
        <v>9075</v>
      </c>
      <c r="AF27" s="1517" t="s">
        <v>9076</v>
      </c>
      <c r="AG27" s="1313" t="s">
        <v>2042</v>
      </c>
      <c r="AH27" s="1313" t="s">
        <v>2591</v>
      </c>
      <c r="AI27" s="1517" t="s">
        <v>9077</v>
      </c>
      <c r="AJ27" s="1313" t="s">
        <v>9078</v>
      </c>
      <c r="AK27" s="1313" t="s">
        <v>8513</v>
      </c>
      <c r="AL27" s="1313" t="s">
        <v>4613</v>
      </c>
      <c r="AM27" s="1313" t="s">
        <v>9079</v>
      </c>
      <c r="AN27" s="1313" t="s">
        <v>4613</v>
      </c>
      <c r="AO27" s="1313" t="s">
        <v>1917</v>
      </c>
      <c r="AP27" s="1517" t="s">
        <v>9080</v>
      </c>
      <c r="AQ27" s="1313" t="s">
        <v>2179</v>
      </c>
      <c r="AR27" s="1517" t="s">
        <v>8399</v>
      </c>
      <c r="AS27" s="1313" t="s">
        <v>1830</v>
      </c>
      <c r="AT27" s="1517" t="s">
        <v>9081</v>
      </c>
      <c r="AU27" s="1517" t="s">
        <v>9082</v>
      </c>
      <c r="AV27" s="1515" t="str">
        <f t="shared" si="1"/>
        <v>2:28</v>
      </c>
      <c r="AW27" s="1548" t="s">
        <v>9083</v>
      </c>
    </row>
    <row r="28">
      <c r="A28" s="1552" t="s">
        <v>9084</v>
      </c>
      <c r="B28" s="1648" t="s">
        <v>8498</v>
      </c>
      <c r="C28" s="1505">
        <v>0.0503125</v>
      </c>
      <c r="D28" s="1313" t="s">
        <v>9085</v>
      </c>
      <c r="E28" s="1557" t="s">
        <v>9086</v>
      </c>
      <c r="F28" s="1557" t="s">
        <v>9087</v>
      </c>
      <c r="G28" s="1557" t="s">
        <v>8111</v>
      </c>
      <c r="H28" s="1649" t="s">
        <v>9088</v>
      </c>
      <c r="I28" s="1649" t="s">
        <v>7017</v>
      </c>
      <c r="J28" s="1559" t="s">
        <v>1913</v>
      </c>
      <c r="K28" s="1559" t="s">
        <v>5917</v>
      </c>
      <c r="L28" s="1559" t="s">
        <v>3457</v>
      </c>
      <c r="M28" s="1559" t="s">
        <v>9089</v>
      </c>
      <c r="N28" s="1559" t="s">
        <v>9090</v>
      </c>
      <c r="O28" s="1559" t="s">
        <v>4132</v>
      </c>
      <c r="P28" s="1559" t="s">
        <v>5161</v>
      </c>
      <c r="Q28" s="1561" t="s">
        <v>9091</v>
      </c>
      <c r="R28" s="1561" t="s">
        <v>9092</v>
      </c>
      <c r="S28" s="1561" t="s">
        <v>548</v>
      </c>
      <c r="T28" s="1561" t="s">
        <v>9093</v>
      </c>
      <c r="U28" s="1561" t="s">
        <v>9094</v>
      </c>
      <c r="V28" s="1561" t="s">
        <v>9095</v>
      </c>
      <c r="W28" s="1562" t="s">
        <v>9096</v>
      </c>
      <c r="X28" s="1562" t="s">
        <v>4473</v>
      </c>
      <c r="Y28" s="1562" t="s">
        <v>1551</v>
      </c>
      <c r="Z28" s="1562" t="s">
        <v>2424</v>
      </c>
      <c r="AA28" s="1562" t="s">
        <v>9097</v>
      </c>
      <c r="AB28" s="1562" t="s">
        <v>3771</v>
      </c>
      <c r="AC28" s="1562" t="s">
        <v>9098</v>
      </c>
      <c r="AD28" s="1557" t="s">
        <v>9099</v>
      </c>
      <c r="AE28" s="1557" t="s">
        <v>5765</v>
      </c>
      <c r="AF28" s="1563" t="s">
        <v>9100</v>
      </c>
      <c r="AG28" s="1563" t="s">
        <v>7830</v>
      </c>
      <c r="AH28" s="1563" t="s">
        <v>9101</v>
      </c>
      <c r="AI28" s="1563" t="s">
        <v>5105</v>
      </c>
      <c r="AJ28" s="1563" t="s">
        <v>9102</v>
      </c>
      <c r="AK28" s="1563" t="s">
        <v>9103</v>
      </c>
      <c r="AL28" s="1563" t="s">
        <v>8734</v>
      </c>
      <c r="AM28" s="1565" t="s">
        <v>8779</v>
      </c>
      <c r="AN28" s="1565" t="s">
        <v>9104</v>
      </c>
      <c r="AO28" s="1565" t="s">
        <v>3275</v>
      </c>
      <c r="AP28" s="1565" t="s">
        <v>9105</v>
      </c>
      <c r="AQ28" s="1565" t="s">
        <v>9106</v>
      </c>
      <c r="AR28" s="1565" t="s">
        <v>2986</v>
      </c>
      <c r="AS28" s="1565" t="s">
        <v>299</v>
      </c>
      <c r="AT28" s="1559" t="s">
        <v>9107</v>
      </c>
      <c r="AU28" s="1545" t="s">
        <v>9108</v>
      </c>
      <c r="AV28" s="1515" t="str">
        <f t="shared" si="1"/>
        <v>2:59</v>
      </c>
      <c r="AW28" s="1551" t="s">
        <v>9109</v>
      </c>
    </row>
    <row r="29" ht="15.75" customHeight="1">
      <c r="A29" s="1503" t="s">
        <v>9110</v>
      </c>
      <c r="B29" s="1581" t="s">
        <v>8529</v>
      </c>
      <c r="C29" s="1505">
        <v>0.05042824074074074</v>
      </c>
      <c r="D29" s="1313" t="s">
        <v>8805</v>
      </c>
      <c r="E29" s="1557" t="s">
        <v>6180</v>
      </c>
      <c r="F29" s="1557" t="s">
        <v>9111</v>
      </c>
      <c r="G29" s="1586" t="s">
        <v>9112</v>
      </c>
      <c r="H29" s="1558" t="s">
        <v>9113</v>
      </c>
      <c r="I29" s="1649" t="s">
        <v>3237</v>
      </c>
      <c r="J29" s="1559" t="s">
        <v>4789</v>
      </c>
      <c r="K29" s="1559" t="s">
        <v>9022</v>
      </c>
      <c r="L29" s="1559" t="s">
        <v>2464</v>
      </c>
      <c r="M29" s="1559" t="s">
        <v>2031</v>
      </c>
      <c r="N29" s="1559" t="s">
        <v>4177</v>
      </c>
      <c r="O29" s="1559" t="s">
        <v>9114</v>
      </c>
      <c r="P29" s="1588" t="s">
        <v>759</v>
      </c>
      <c r="Q29" s="1561" t="s">
        <v>9115</v>
      </c>
      <c r="R29" s="1561" t="s">
        <v>3426</v>
      </c>
      <c r="S29" s="1561" t="s">
        <v>7608</v>
      </c>
      <c r="T29" s="1589" t="s">
        <v>8705</v>
      </c>
      <c r="U29" s="1561" t="s">
        <v>8655</v>
      </c>
      <c r="V29" s="1589" t="s">
        <v>4976</v>
      </c>
      <c r="W29" s="1590" t="s">
        <v>7395</v>
      </c>
      <c r="X29" s="1562" t="s">
        <v>2563</v>
      </c>
      <c r="Y29" s="1590" t="s">
        <v>9116</v>
      </c>
      <c r="Z29" s="1562" t="s">
        <v>9117</v>
      </c>
      <c r="AA29" s="1590" t="s">
        <v>9118</v>
      </c>
      <c r="AB29" s="1313" t="s">
        <v>7461</v>
      </c>
      <c r="AC29" s="1590" t="s">
        <v>3626</v>
      </c>
      <c r="AD29" s="1575" t="s">
        <v>8543</v>
      </c>
      <c r="AE29" s="1557" t="s">
        <v>3339</v>
      </c>
      <c r="AF29" s="1563" t="s">
        <v>9119</v>
      </c>
      <c r="AG29" s="1591" t="s">
        <v>3881</v>
      </c>
      <c r="AH29" s="1591" t="s">
        <v>9120</v>
      </c>
      <c r="AI29" s="1515" t="s">
        <v>9073</v>
      </c>
      <c r="AJ29" s="1591" t="s">
        <v>9121</v>
      </c>
      <c r="AK29" s="1650" t="s">
        <v>8547</v>
      </c>
      <c r="AL29" s="1591" t="s">
        <v>3631</v>
      </c>
      <c r="AM29" s="1565" t="s">
        <v>9122</v>
      </c>
      <c r="AN29" s="1565" t="s">
        <v>5022</v>
      </c>
      <c r="AO29" s="1565" t="s">
        <v>2066</v>
      </c>
      <c r="AP29" s="1565" t="s">
        <v>9123</v>
      </c>
      <c r="AQ29" s="1564" t="s">
        <v>9124</v>
      </c>
      <c r="AR29" s="1564" t="s">
        <v>3676</v>
      </c>
      <c r="AS29" s="1564" t="s">
        <v>5210</v>
      </c>
      <c r="AT29" s="1559" t="s">
        <v>9125</v>
      </c>
      <c r="AU29" s="1545" t="s">
        <v>9126</v>
      </c>
      <c r="AV29" s="1515" t="str">
        <f t="shared" si="1"/>
        <v>2:55</v>
      </c>
      <c r="AW29" s="1651"/>
    </row>
    <row r="30" ht="15.75" customHeight="1">
      <c r="A30" s="1503" t="s">
        <v>4261</v>
      </c>
      <c r="B30" s="1504" t="s">
        <v>8498</v>
      </c>
      <c r="C30" s="1652">
        <v>0.05043981481481481</v>
      </c>
      <c r="D30" s="1313" t="s">
        <v>9127</v>
      </c>
      <c r="E30" s="1515" t="s">
        <v>7365</v>
      </c>
      <c r="F30" s="1515" t="s">
        <v>1578</v>
      </c>
      <c r="G30" s="1515" t="s">
        <v>9128</v>
      </c>
      <c r="H30" s="1515" t="s">
        <v>8696</v>
      </c>
      <c r="I30" s="1515" t="s">
        <v>4677</v>
      </c>
      <c r="J30" s="1515" t="s">
        <v>4483</v>
      </c>
      <c r="K30" s="1515" t="s">
        <v>8947</v>
      </c>
      <c r="L30" s="1515" t="s">
        <v>3810</v>
      </c>
      <c r="M30" s="1515" t="s">
        <v>9129</v>
      </c>
      <c r="N30" s="1515" t="s">
        <v>9130</v>
      </c>
      <c r="O30" s="1515" t="s">
        <v>9131</v>
      </c>
      <c r="P30" s="1515" t="s">
        <v>5301</v>
      </c>
      <c r="Q30" s="1515" t="s">
        <v>9132</v>
      </c>
      <c r="R30" s="1515" t="s">
        <v>9133</v>
      </c>
      <c r="S30" s="1515" t="s">
        <v>8867</v>
      </c>
      <c r="T30" s="1515" t="s">
        <v>9134</v>
      </c>
      <c r="U30" s="1515" t="s">
        <v>9135</v>
      </c>
      <c r="V30" s="1515" t="s">
        <v>2276</v>
      </c>
      <c r="W30" s="1515" t="s">
        <v>9136</v>
      </c>
      <c r="X30" s="1515" t="s">
        <v>9137</v>
      </c>
      <c r="Y30" s="1515" t="s">
        <v>8970</v>
      </c>
      <c r="Z30" s="1515" t="s">
        <v>1131</v>
      </c>
      <c r="AA30" s="1515" t="s">
        <v>3411</v>
      </c>
      <c r="AB30" s="1515" t="s">
        <v>4789</v>
      </c>
      <c r="AC30" s="1515" t="s">
        <v>7635</v>
      </c>
      <c r="AD30" s="1515" t="s">
        <v>6131</v>
      </c>
      <c r="AE30" s="1515" t="s">
        <v>5535</v>
      </c>
      <c r="AF30" s="1515" t="s">
        <v>9138</v>
      </c>
      <c r="AG30" s="1515" t="s">
        <v>5755</v>
      </c>
      <c r="AH30" s="1515" t="s">
        <v>4033</v>
      </c>
      <c r="AI30" s="1515" t="s">
        <v>5105</v>
      </c>
      <c r="AJ30" s="1515" t="s">
        <v>9139</v>
      </c>
      <c r="AK30" s="1515" t="s">
        <v>9140</v>
      </c>
      <c r="AL30" s="1515" t="s">
        <v>5848</v>
      </c>
      <c r="AM30" s="1515" t="s">
        <v>1231</v>
      </c>
      <c r="AN30" s="1515" t="s">
        <v>4180</v>
      </c>
      <c r="AO30" s="1515" t="s">
        <v>9141</v>
      </c>
      <c r="AP30" s="1531" t="str">
        <f>HYPERLINK("https://www.twitch.tv/videos/511415405","2:00.79")</f>
        <v>2:00.79</v>
      </c>
      <c r="AQ30" s="1515" t="s">
        <v>9142</v>
      </c>
      <c r="AR30" s="1515" t="s">
        <v>7360</v>
      </c>
      <c r="AS30" s="1515" t="s">
        <v>9143</v>
      </c>
      <c r="AT30" s="1515" t="s">
        <v>9144</v>
      </c>
      <c r="AU30" s="1515" t="s">
        <v>9145</v>
      </c>
      <c r="AV30" s="1515" t="str">
        <f t="shared" si="1"/>
        <v>2:36</v>
      </c>
      <c r="AW30" s="1532" t="s">
        <v>6532</v>
      </c>
    </row>
    <row r="31">
      <c r="A31" s="1552" t="s">
        <v>1198</v>
      </c>
      <c r="B31" s="1550" t="s">
        <v>8498</v>
      </c>
      <c r="C31" s="1505">
        <v>0.050486111111111114</v>
      </c>
      <c r="D31" s="1557" t="s">
        <v>9146</v>
      </c>
      <c r="E31" s="1557" t="s">
        <v>4239</v>
      </c>
      <c r="F31" s="1557" t="s">
        <v>9147</v>
      </c>
      <c r="G31" s="1557" t="s">
        <v>9148</v>
      </c>
      <c r="H31" s="1313" t="s">
        <v>9149</v>
      </c>
      <c r="I31" s="1649" t="s">
        <v>854</v>
      </c>
      <c r="J31" s="1559" t="s">
        <v>5660</v>
      </c>
      <c r="K31" s="1559" t="s">
        <v>7842</v>
      </c>
      <c r="L31" s="1559" t="s">
        <v>6358</v>
      </c>
      <c r="M31" s="1559" t="s">
        <v>4986</v>
      </c>
      <c r="N31" s="1559" t="s">
        <v>9150</v>
      </c>
      <c r="O31" s="1559" t="s">
        <v>9151</v>
      </c>
      <c r="P31" s="1559" t="s">
        <v>8846</v>
      </c>
      <c r="Q31" s="1561" t="s">
        <v>878</v>
      </c>
      <c r="R31" s="1561" t="s">
        <v>4736</v>
      </c>
      <c r="S31" s="1561" t="s">
        <v>9033</v>
      </c>
      <c r="T31" s="1561" t="s">
        <v>9152</v>
      </c>
      <c r="U31" s="1561" t="s">
        <v>9153</v>
      </c>
      <c r="V31" s="1561" t="s">
        <v>9154</v>
      </c>
      <c r="W31" s="1562" t="s">
        <v>9155</v>
      </c>
      <c r="X31" s="1562" t="s">
        <v>9156</v>
      </c>
      <c r="Y31" s="1562" t="s">
        <v>6978</v>
      </c>
      <c r="Z31" s="1562" t="s">
        <v>9157</v>
      </c>
      <c r="AA31" s="1517" t="s">
        <v>9158</v>
      </c>
      <c r="AB31" s="1562" t="s">
        <v>3393</v>
      </c>
      <c r="AC31" s="1562" t="s">
        <v>1047</v>
      </c>
      <c r="AD31" s="1557" t="s">
        <v>9159</v>
      </c>
      <c r="AE31" s="1557" t="s">
        <v>2175</v>
      </c>
      <c r="AF31" s="1563" t="s">
        <v>9160</v>
      </c>
      <c r="AG31" s="1563" t="s">
        <v>527</v>
      </c>
      <c r="AH31" s="1563" t="s">
        <v>9161</v>
      </c>
      <c r="AI31" s="1563" t="s">
        <v>2631</v>
      </c>
      <c r="AJ31" s="1563" t="s">
        <v>9162</v>
      </c>
      <c r="AK31" s="1563" t="s">
        <v>7436</v>
      </c>
      <c r="AL31" s="1563" t="s">
        <v>2706</v>
      </c>
      <c r="AM31" s="1565" t="s">
        <v>9163</v>
      </c>
      <c r="AN31" s="1565" t="s">
        <v>8985</v>
      </c>
      <c r="AO31" s="1565" t="s">
        <v>9164</v>
      </c>
      <c r="AP31" s="1565" t="s">
        <v>9165</v>
      </c>
      <c r="AQ31" s="1565" t="s">
        <v>9166</v>
      </c>
      <c r="AR31" s="1565" t="s">
        <v>1159</v>
      </c>
      <c r="AS31" s="1565" t="s">
        <v>1551</v>
      </c>
      <c r="AT31" s="1559" t="s">
        <v>9167</v>
      </c>
      <c r="AU31" s="1545" t="s">
        <v>9168</v>
      </c>
      <c r="AV31" s="1515" t="str">
        <f t="shared" si="1"/>
        <v>3:47</v>
      </c>
      <c r="AW31" s="1551"/>
    </row>
    <row r="32" ht="15.75" customHeight="1">
      <c r="A32" s="1552" t="s">
        <v>1633</v>
      </c>
      <c r="B32" s="1504" t="s">
        <v>8498</v>
      </c>
      <c r="C32" s="1505">
        <v>0.05049768518518519</v>
      </c>
      <c r="D32" s="1313" t="s">
        <v>9169</v>
      </c>
      <c r="E32" s="1586" t="s">
        <v>9170</v>
      </c>
      <c r="F32" s="1647" t="str">
        <f>HYPERLINK("https://www.youtube.com/watch?v=rtR6KkKhM6I","1:59.91")</f>
        <v>1:59.91</v>
      </c>
      <c r="G32" s="1586" t="s">
        <v>9171</v>
      </c>
      <c r="H32" s="1653" t="str">
        <f>HYPERLINK("https://www.youtube.com/watch?v=cg-eipYsN1s","1:54.47")</f>
        <v>1:54.47</v>
      </c>
      <c r="I32" s="1558" t="s">
        <v>9116</v>
      </c>
      <c r="J32" s="1588" t="s">
        <v>6336</v>
      </c>
      <c r="K32" s="1559" t="s">
        <v>6483</v>
      </c>
      <c r="L32" s="1643" t="str">
        <f>HYPERLINK("https://www.youtube.com/watch?v=tJdjPKdAbw4","57.01")</f>
        <v>57.01</v>
      </c>
      <c r="M32" s="1588" t="s">
        <v>7307</v>
      </c>
      <c r="N32" s="1559" t="s">
        <v>2294</v>
      </c>
      <c r="O32" s="1588" t="s">
        <v>9172</v>
      </c>
      <c r="P32" s="1588" t="s">
        <v>277</v>
      </c>
      <c r="Q32" s="1589" t="s">
        <v>235</v>
      </c>
      <c r="R32" s="1589" t="s">
        <v>9173</v>
      </c>
      <c r="S32" s="1645" t="str">
        <f>HYPERLINK("https://www.youtube.com/watch?v=_3ms_ZhYFzo","1:18.01")</f>
        <v>1:18.01</v>
      </c>
      <c r="T32" s="1589" t="s">
        <v>6013</v>
      </c>
      <c r="U32" s="1645" t="str">
        <f>HYPERLINK("https://www.youtube.com/watch?v=ZOy_TI3Zw14","2:02.38")</f>
        <v>2:02.38</v>
      </c>
      <c r="V32" s="1589" t="s">
        <v>9154</v>
      </c>
      <c r="W32" s="1590" t="s">
        <v>3337</v>
      </c>
      <c r="X32" s="1590" t="s">
        <v>7436</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7635</v>
      </c>
      <c r="AD32" s="1647" t="str">
        <f>HYPERLINK("https://www.youtube.com/watch?v=ikF77QyREZg","1:50.30")</f>
        <v>1:50.30</v>
      </c>
      <c r="AE32" s="1586" t="s">
        <v>8846</v>
      </c>
      <c r="AF32" s="1591" t="s">
        <v>9174</v>
      </c>
      <c r="AG32" s="1654" t="str">
        <f>HYPERLINK("https://www.youtube.com/watch?v=KXwTRrVVluY","1:30.62")</f>
        <v>1:30.62</v>
      </c>
      <c r="AH32" s="1591" t="s">
        <v>3022</v>
      </c>
      <c r="AI32" s="1591" t="s">
        <v>9050</v>
      </c>
      <c r="AJ32" s="1591" t="s">
        <v>9175</v>
      </c>
      <c r="AK32" s="1563" t="s">
        <v>9176</v>
      </c>
      <c r="AL32" s="1591" t="s">
        <v>9177</v>
      </c>
      <c r="AM32" s="1655" t="str">
        <f>HYPERLINK("https://www.youtube.com/watch?v=BAoEwuQ0LoI","1:25.68")</f>
        <v>1:25.68</v>
      </c>
      <c r="AN32" s="1655" t="str">
        <f>HYPERLINK("https://www.youtube.com/watch?v=F-LtZeEZXek","56.36")</f>
        <v>56.36</v>
      </c>
      <c r="AO32" s="1564" t="s">
        <v>9178</v>
      </c>
      <c r="AP32" s="1564" t="s">
        <v>9179</v>
      </c>
      <c r="AQ32" s="1564" t="s">
        <v>9180</v>
      </c>
      <c r="AR32" s="1655" t="str">
        <f>HYPERLINK("https://www.youtube.com/watch?v=WSIIkWWbKgE","1:21.74")</f>
        <v>1:21.74</v>
      </c>
      <c r="AS32" s="1564" t="s">
        <v>5505</v>
      </c>
      <c r="AT32" s="1643" t="str">
        <f>HYPERLINK("https://www.youtube.com/watch?v=H67SXBLcISI","2:29.09")</f>
        <v>2:29.09</v>
      </c>
      <c r="AU32" s="1592" t="s">
        <v>9181</v>
      </c>
      <c r="AV32" s="1515" t="str">
        <f t="shared" si="1"/>
        <v>2:03</v>
      </c>
      <c r="AW32" s="1656" t="s">
        <v>9182</v>
      </c>
    </row>
    <row r="33">
      <c r="A33" s="1552" t="s">
        <v>2923</v>
      </c>
      <c r="B33" s="1550" t="s">
        <v>8529</v>
      </c>
      <c r="C33" s="1505">
        <v>0.050520833333333334</v>
      </c>
      <c r="D33" s="1557" t="s">
        <v>9183</v>
      </c>
      <c r="E33" s="1600" t="s">
        <v>4599</v>
      </c>
      <c r="F33" s="1600" t="s">
        <v>8801</v>
      </c>
      <c r="G33" s="1557" t="s">
        <v>9184</v>
      </c>
      <c r="H33" s="1600" t="s">
        <v>9185</v>
      </c>
      <c r="I33" s="1600" t="s">
        <v>2947</v>
      </c>
      <c r="J33" s="1559" t="s">
        <v>9186</v>
      </c>
      <c r="K33" s="1657" t="s">
        <v>9187</v>
      </c>
      <c r="L33" s="1559" t="s">
        <v>9188</v>
      </c>
      <c r="M33" s="1507" t="s">
        <v>5689</v>
      </c>
      <c r="N33" s="1559" t="s">
        <v>973</v>
      </c>
      <c r="O33" s="1559" t="s">
        <v>9044</v>
      </c>
      <c r="P33" s="1559" t="s">
        <v>410</v>
      </c>
      <c r="Q33" s="1530" t="str">
        <f>HYPERLINK("https://www.twitch.tv/planktonsecretformula/v/1588460220?sr=a", "2:12.43")</f>
        <v>2:12.43</v>
      </c>
      <c r="R33" s="1561" t="s">
        <v>9133</v>
      </c>
      <c r="S33" s="1561" t="s">
        <v>9189</v>
      </c>
      <c r="T33" s="1658" t="s">
        <v>9190</v>
      </c>
      <c r="U33" s="1600" t="s">
        <v>9191</v>
      </c>
      <c r="V33" s="1600" t="s">
        <v>9192</v>
      </c>
      <c r="W33" s="1582" t="s">
        <v>9193</v>
      </c>
      <c r="X33" s="1562" t="s">
        <v>944</v>
      </c>
      <c r="Y33" s="1562" t="s">
        <v>8930</v>
      </c>
      <c r="Z33" s="1562" t="s">
        <v>8652</v>
      </c>
      <c r="AA33" s="1517" t="s">
        <v>9194</v>
      </c>
      <c r="AB33" s="1562" t="s">
        <v>4128</v>
      </c>
      <c r="AC33" s="1562" t="s">
        <v>869</v>
      </c>
      <c r="AD33" s="1557" t="s">
        <v>3971</v>
      </c>
      <c r="AE33" s="1557" t="s">
        <v>5792</v>
      </c>
      <c r="AF33" s="1563" t="s">
        <v>9195</v>
      </c>
      <c r="AG33" s="1600" t="s">
        <v>4586</v>
      </c>
      <c r="AH33" s="1563" t="s">
        <v>9196</v>
      </c>
      <c r="AI33" s="1563" t="s">
        <v>6759</v>
      </c>
      <c r="AJ33" s="1563" t="s">
        <v>9197</v>
      </c>
      <c r="AK33" s="1563" t="s">
        <v>9198</v>
      </c>
      <c r="AL33" s="1563" t="s">
        <v>9199</v>
      </c>
      <c r="AM33" s="1565" t="s">
        <v>8705</v>
      </c>
      <c r="AN33" s="1565" t="s">
        <v>8849</v>
      </c>
      <c r="AO33" s="1565" t="s">
        <v>2986</v>
      </c>
      <c r="AP33" s="1571" t="s">
        <v>8549</v>
      </c>
      <c r="AQ33" s="1530" t="str">
        <f>HYPERLINK("https://www.twitch.tv/planktonsecretformula/v/1678454360?sr=a&amp;t=0s", "1:37.46")</f>
        <v>1:37.46</v>
      </c>
      <c r="AR33" s="1565" t="s">
        <v>9200</v>
      </c>
      <c r="AS33" s="1565" t="s">
        <v>718</v>
      </c>
      <c r="AT33" s="1559" t="s">
        <v>9201</v>
      </c>
      <c r="AU33" s="1545" t="s">
        <v>9202</v>
      </c>
      <c r="AV33" s="1515" t="str">
        <f t="shared" si="1"/>
        <v>4:40</v>
      </c>
      <c r="AW33" s="1551" t="s">
        <v>9203</v>
      </c>
    </row>
    <row r="34" ht="15.75" customHeight="1">
      <c r="A34" s="1605" t="s">
        <v>9204</v>
      </c>
      <c r="B34" s="1504" t="s">
        <v>8498</v>
      </c>
      <c r="C34" s="1505">
        <v>0.050555555555555555</v>
      </c>
      <c r="D34" s="1313" t="s">
        <v>9205</v>
      </c>
      <c r="E34" s="1557" t="s">
        <v>9206</v>
      </c>
      <c r="F34" s="1557" t="s">
        <v>9207</v>
      </c>
      <c r="G34" s="1557" t="s">
        <v>9208</v>
      </c>
      <c r="H34" s="1649" t="s">
        <v>9209</v>
      </c>
      <c r="I34" s="1649" t="s">
        <v>9210</v>
      </c>
      <c r="J34" s="1559" t="s">
        <v>9211</v>
      </c>
      <c r="K34" s="1559" t="s">
        <v>9212</v>
      </c>
      <c r="L34" s="1559" t="s">
        <v>9213</v>
      </c>
      <c r="M34" s="1559" t="s">
        <v>3266</v>
      </c>
      <c r="N34" s="1559" t="s">
        <v>9214</v>
      </c>
      <c r="O34" s="1559" t="s">
        <v>9114</v>
      </c>
      <c r="P34" s="1559" t="s">
        <v>4840</v>
      </c>
      <c r="Q34" s="1561" t="s">
        <v>9215</v>
      </c>
      <c r="R34" s="1561" t="s">
        <v>2636</v>
      </c>
      <c r="S34" s="1561" t="s">
        <v>9216</v>
      </c>
      <c r="T34" s="1561" t="s">
        <v>9217</v>
      </c>
      <c r="U34" s="1561" t="s">
        <v>9218</v>
      </c>
      <c r="V34" s="1561" t="s">
        <v>9047</v>
      </c>
      <c r="W34" s="1562" t="s">
        <v>9219</v>
      </c>
      <c r="X34" s="1562" t="s">
        <v>9220</v>
      </c>
      <c r="Y34" s="1562" t="s">
        <v>9221</v>
      </c>
      <c r="Z34" s="1562" t="s">
        <v>1385</v>
      </c>
      <c r="AA34" s="1562" t="s">
        <v>9222</v>
      </c>
      <c r="AB34" s="1562" t="s">
        <v>6482</v>
      </c>
      <c r="AC34" s="1590" t="s">
        <v>2239</v>
      </c>
      <c r="AD34" s="1557" t="s">
        <v>9223</v>
      </c>
      <c r="AE34" s="1557" t="s">
        <v>8846</v>
      </c>
      <c r="AF34" s="1563" t="s">
        <v>9224</v>
      </c>
      <c r="AG34" s="1563" t="s">
        <v>9225</v>
      </c>
      <c r="AH34" s="1563" t="s">
        <v>5595</v>
      </c>
      <c r="AI34" s="1563" t="s">
        <v>9226</v>
      </c>
      <c r="AJ34" s="1563" t="s">
        <v>9227</v>
      </c>
      <c r="AK34" s="1563" t="s">
        <v>4473</v>
      </c>
      <c r="AL34" s="1563" t="s">
        <v>5622</v>
      </c>
      <c r="AM34" s="1565" t="s">
        <v>2054</v>
      </c>
      <c r="AN34" s="1565" t="s">
        <v>4620</v>
      </c>
      <c r="AO34" s="1565" t="s">
        <v>9228</v>
      </c>
      <c r="AP34" s="1565" t="s">
        <v>9229</v>
      </c>
      <c r="AQ34" s="1565" t="s">
        <v>9230</v>
      </c>
      <c r="AR34" s="1565" t="s">
        <v>8887</v>
      </c>
      <c r="AS34" s="1565" t="s">
        <v>969</v>
      </c>
      <c r="AT34" s="1559" t="s">
        <v>9231</v>
      </c>
      <c r="AU34" s="1545" t="s">
        <v>9232</v>
      </c>
      <c r="AV34" s="1515" t="str">
        <f t="shared" si="1"/>
        <v>2:07</v>
      </c>
      <c r="AW34" s="1651"/>
    </row>
    <row r="35">
      <c r="A35" s="1552" t="s">
        <v>644</v>
      </c>
      <c r="B35" s="1550" t="s">
        <v>8498</v>
      </c>
      <c r="C35" s="1505">
        <v>0.050555555555555555</v>
      </c>
      <c r="D35" s="1313" t="s">
        <v>9233</v>
      </c>
      <c r="E35" s="1313" t="s">
        <v>9234</v>
      </c>
      <c r="F35" s="1313" t="s">
        <v>9235</v>
      </c>
      <c r="G35" s="1313" t="s">
        <v>9236</v>
      </c>
      <c r="H35" s="1313" t="s">
        <v>9237</v>
      </c>
      <c r="I35" s="1313" t="s">
        <v>9238</v>
      </c>
      <c r="J35" s="1313" t="s">
        <v>1302</v>
      </c>
      <c r="K35" s="1313" t="s">
        <v>9239</v>
      </c>
      <c r="L35" s="1313" t="s">
        <v>4233</v>
      </c>
      <c r="M35" s="1313" t="s">
        <v>4157</v>
      </c>
      <c r="N35" s="1313" t="s">
        <v>9240</v>
      </c>
      <c r="O35" s="1313" t="s">
        <v>9241</v>
      </c>
      <c r="P35" s="1313" t="s">
        <v>9242</v>
      </c>
      <c r="Q35" s="1313" t="s">
        <v>9243</v>
      </c>
      <c r="R35" s="1313" t="s">
        <v>8588</v>
      </c>
      <c r="S35" s="1313" t="s">
        <v>9244</v>
      </c>
      <c r="T35" s="1313" t="s">
        <v>9103</v>
      </c>
      <c r="U35" s="1313" t="s">
        <v>9245</v>
      </c>
      <c r="V35" s="1313" t="s">
        <v>9246</v>
      </c>
      <c r="W35" s="1313" t="s">
        <v>4687</v>
      </c>
      <c r="X35" s="1313" t="s">
        <v>9247</v>
      </c>
      <c r="Y35" s="1313" t="s">
        <v>5091</v>
      </c>
      <c r="Z35" s="1313" t="s">
        <v>9248</v>
      </c>
      <c r="AA35" s="1313" t="s">
        <v>9249</v>
      </c>
      <c r="AB35" s="1313" t="s">
        <v>9250</v>
      </c>
      <c r="AC35" s="1313" t="s">
        <v>7635</v>
      </c>
      <c r="AD35" s="1313" t="s">
        <v>9251</v>
      </c>
      <c r="AE35" s="1313" t="s">
        <v>8681</v>
      </c>
      <c r="AF35" s="1313" t="s">
        <v>9252</v>
      </c>
      <c r="AG35" s="1313" t="s">
        <v>5087</v>
      </c>
      <c r="AH35" s="1313" t="s">
        <v>4444</v>
      </c>
      <c r="AI35" s="1313" t="s">
        <v>9253</v>
      </c>
      <c r="AJ35" s="1313" t="s">
        <v>9254</v>
      </c>
      <c r="AK35" s="1313" t="s">
        <v>1759</v>
      </c>
      <c r="AL35" s="1313" t="s">
        <v>9255</v>
      </c>
      <c r="AM35" s="1313" t="s">
        <v>3849</v>
      </c>
      <c r="AN35" s="1313" t="s">
        <v>4013</v>
      </c>
      <c r="AO35" s="1313" t="s">
        <v>6184</v>
      </c>
      <c r="AP35" s="1313" t="s">
        <v>9256</v>
      </c>
      <c r="AQ35" s="1313" t="s">
        <v>9257</v>
      </c>
      <c r="AR35" s="1313" t="s">
        <v>8783</v>
      </c>
      <c r="AS35" s="1313" t="s">
        <v>925</v>
      </c>
      <c r="AT35" s="1313" t="s">
        <v>9258</v>
      </c>
      <c r="AU35" s="1545" t="s">
        <v>9145</v>
      </c>
      <c r="AV35" s="1515" t="str">
        <f t="shared" si="1"/>
        <v>2:26</v>
      </c>
      <c r="AW35" s="1551" t="s">
        <v>9259</v>
      </c>
    </row>
    <row r="36" ht="15.75" customHeight="1">
      <c r="A36" s="1503" t="s">
        <v>738</v>
      </c>
      <c r="B36" s="1581" t="s">
        <v>8529</v>
      </c>
      <c r="C36" s="1505">
        <v>0.05056712962962963</v>
      </c>
      <c r="D36" s="1571" t="s">
        <v>8530</v>
      </c>
      <c r="E36" s="1586" t="s">
        <v>9039</v>
      </c>
      <c r="F36" s="1640" t="s">
        <v>8531</v>
      </c>
      <c r="G36" s="1517" t="s">
        <v>9260</v>
      </c>
      <c r="H36" s="1517" t="s">
        <v>9261</v>
      </c>
      <c r="I36" s="1640" t="s">
        <v>8534</v>
      </c>
      <c r="J36" s="1517" t="s">
        <v>1105</v>
      </c>
      <c r="K36" s="1517" t="s">
        <v>4894</v>
      </c>
      <c r="L36" s="1517" t="s">
        <v>2282</v>
      </c>
      <c r="M36" s="1517" t="s">
        <v>2195</v>
      </c>
      <c r="N36" s="1517" t="s">
        <v>8976</v>
      </c>
      <c r="O36" s="1517" t="s">
        <v>9262</v>
      </c>
      <c r="P36" s="1517" t="s">
        <v>3901</v>
      </c>
      <c r="Q36" s="1517" t="s">
        <v>9263</v>
      </c>
      <c r="R36" s="1517" t="s">
        <v>2944</v>
      </c>
      <c r="S36" s="1517" t="s">
        <v>9264</v>
      </c>
      <c r="T36" s="1517" t="s">
        <v>2350</v>
      </c>
      <c r="U36" s="1517" t="s">
        <v>8740</v>
      </c>
      <c r="V36" s="1517" t="s">
        <v>2700</v>
      </c>
      <c r="W36" s="1517" t="s">
        <v>9265</v>
      </c>
      <c r="X36" s="1517" t="s">
        <v>9266</v>
      </c>
      <c r="Y36" s="1517" t="s">
        <v>949</v>
      </c>
      <c r="Z36" s="1517" t="s">
        <v>8893</v>
      </c>
      <c r="AA36" s="1517" t="s">
        <v>7436</v>
      </c>
      <c r="AB36" s="1517" t="s">
        <v>9267</v>
      </c>
      <c r="AC36" s="1515" t="s">
        <v>535</v>
      </c>
      <c r="AD36" s="1517" t="s">
        <v>9268</v>
      </c>
      <c r="AE36" s="1517" t="s">
        <v>4874</v>
      </c>
      <c r="AF36" s="1517" t="s">
        <v>9269</v>
      </c>
      <c r="AG36" s="1517" t="s">
        <v>9103</v>
      </c>
      <c r="AH36" s="1517" t="s">
        <v>2784</v>
      </c>
      <c r="AI36" s="1517" t="s">
        <v>9270</v>
      </c>
      <c r="AJ36" s="1517" t="s">
        <v>3285</v>
      </c>
      <c r="AK36" s="1517" t="s">
        <v>5383</v>
      </c>
      <c r="AL36" s="1517" t="s">
        <v>4180</v>
      </c>
      <c r="AM36" s="1517" t="s">
        <v>3347</v>
      </c>
      <c r="AN36" s="1517" t="s">
        <v>342</v>
      </c>
      <c r="AO36" s="1517" t="s">
        <v>9271</v>
      </c>
      <c r="AP36" s="1517" t="s">
        <v>9272</v>
      </c>
      <c r="AQ36" s="1517" t="s">
        <v>7377</v>
      </c>
      <c r="AR36" s="1517" t="s">
        <v>2620</v>
      </c>
      <c r="AS36" s="1517" t="s">
        <v>4026</v>
      </c>
      <c r="AT36" s="1517" t="s">
        <v>9273</v>
      </c>
      <c r="AU36" s="1517" t="s">
        <v>8920</v>
      </c>
      <c r="AV36" s="1515" t="str">
        <f t="shared" si="1"/>
        <v>3:34</v>
      </c>
      <c r="AW36" s="1548" t="s">
        <v>9274</v>
      </c>
    </row>
    <row r="37" ht="15.75" customHeight="1">
      <c r="A37" s="1552" t="s">
        <v>644</v>
      </c>
      <c r="B37" s="1581" t="s">
        <v>8529</v>
      </c>
      <c r="C37" s="1652">
        <v>0.05056712962962963</v>
      </c>
      <c r="D37" s="1313" t="s">
        <v>9275</v>
      </c>
      <c r="E37" s="1515" t="s">
        <v>9276</v>
      </c>
      <c r="F37" s="1515" t="s">
        <v>8950</v>
      </c>
      <c r="G37" s="1515" t="s">
        <v>9277</v>
      </c>
      <c r="H37" s="1515" t="s">
        <v>4447</v>
      </c>
      <c r="I37" s="1515" t="s">
        <v>1183</v>
      </c>
      <c r="J37" s="1517" t="s">
        <v>3510</v>
      </c>
      <c r="K37" s="1517" t="s">
        <v>3510</v>
      </c>
      <c r="L37" s="1515" t="s">
        <v>9278</v>
      </c>
      <c r="M37" s="1515" t="s">
        <v>9279</v>
      </c>
      <c r="N37" s="1515" t="s">
        <v>8898</v>
      </c>
      <c r="O37" s="1640" t="s">
        <v>8537</v>
      </c>
      <c r="P37" s="1515" t="s">
        <v>7014</v>
      </c>
      <c r="Q37" s="1515" t="s">
        <v>786</v>
      </c>
      <c r="R37" s="1517" t="s">
        <v>3510</v>
      </c>
      <c r="S37" s="1515" t="s">
        <v>9280</v>
      </c>
      <c r="T37" s="1515" t="s">
        <v>154</v>
      </c>
      <c r="U37" s="1515" t="s">
        <v>9281</v>
      </c>
      <c r="V37" s="1515" t="s">
        <v>9282</v>
      </c>
      <c r="W37" s="1515" t="s">
        <v>9283</v>
      </c>
      <c r="X37" s="1515" t="s">
        <v>9097</v>
      </c>
      <c r="Y37" s="1515" t="s">
        <v>9098</v>
      </c>
      <c r="Z37" s="1515" t="s">
        <v>149</v>
      </c>
      <c r="AA37" s="1515" t="s">
        <v>9284</v>
      </c>
      <c r="AB37" s="1515" t="s">
        <v>8758</v>
      </c>
      <c r="AC37" s="1515" t="s">
        <v>4475</v>
      </c>
      <c r="AD37" s="1515" t="s">
        <v>2314</v>
      </c>
      <c r="AE37" s="1515" t="s">
        <v>9221</v>
      </c>
      <c r="AF37" s="1515" t="s">
        <v>9285</v>
      </c>
      <c r="AG37" s="1515" t="s">
        <v>9286</v>
      </c>
      <c r="AH37" s="1515" t="s">
        <v>4464</v>
      </c>
      <c r="AI37" s="1515" t="s">
        <v>3768</v>
      </c>
      <c r="AJ37" s="1515" t="s">
        <v>9287</v>
      </c>
      <c r="AK37" s="1515" t="s">
        <v>1162</v>
      </c>
      <c r="AL37" s="1515" t="s">
        <v>9101</v>
      </c>
      <c r="AM37" s="1515" t="s">
        <v>9288</v>
      </c>
      <c r="AN37" s="1517" t="s">
        <v>9289</v>
      </c>
      <c r="AO37" s="1517" t="s">
        <v>3510</v>
      </c>
      <c r="AP37" s="1515" t="s">
        <v>5322</v>
      </c>
      <c r="AQ37" s="1515" t="s">
        <v>249</v>
      </c>
      <c r="AR37" s="1515" t="s">
        <v>4722</v>
      </c>
      <c r="AS37" s="1515" t="s">
        <v>9290</v>
      </c>
      <c r="AT37" s="1515" t="s">
        <v>9291</v>
      </c>
      <c r="AU37" s="1517" t="s">
        <v>9292</v>
      </c>
      <c r="AV37" s="1515" t="str">
        <f t="shared" si="1"/>
        <v>3:07</v>
      </c>
      <c r="AW37" s="1595" t="s">
        <v>9293</v>
      </c>
    </row>
    <row r="38" ht="15.75" customHeight="1">
      <c r="A38" s="1503" t="s">
        <v>4229</v>
      </c>
      <c r="B38" s="1504" t="s">
        <v>8498</v>
      </c>
      <c r="C38" s="1652">
        <v>0.05060185185185185</v>
      </c>
      <c r="D38" s="1313" t="s">
        <v>9294</v>
      </c>
      <c r="E38" s="1586" t="s">
        <v>3323</v>
      </c>
      <c r="F38" s="1586" t="s">
        <v>5935</v>
      </c>
      <c r="G38" s="1586" t="s">
        <v>9295</v>
      </c>
      <c r="H38" s="1558" t="s">
        <v>9296</v>
      </c>
      <c r="I38" s="1558" t="s">
        <v>1070</v>
      </c>
      <c r="J38" s="1588" t="s">
        <v>8697</v>
      </c>
      <c r="K38" s="1588" t="s">
        <v>7842</v>
      </c>
      <c r="L38" s="1588" t="s">
        <v>5536</v>
      </c>
      <c r="M38" s="1588" t="s">
        <v>9297</v>
      </c>
      <c r="N38" s="1588" t="s">
        <v>5241</v>
      </c>
      <c r="O38" s="1588" t="s">
        <v>9298</v>
      </c>
      <c r="P38" s="1588" t="s">
        <v>5765</v>
      </c>
      <c r="Q38" s="1589" t="s">
        <v>9299</v>
      </c>
      <c r="R38" s="1589" t="s">
        <v>5462</v>
      </c>
      <c r="S38" s="1589" t="s">
        <v>6482</v>
      </c>
      <c r="T38" s="1589" t="s">
        <v>9300</v>
      </c>
      <c r="U38" s="1589" t="s">
        <v>6072</v>
      </c>
      <c r="V38" s="1589" t="s">
        <v>3936</v>
      </c>
      <c r="W38" s="1590" t="s">
        <v>9301</v>
      </c>
      <c r="X38" s="1590" t="s">
        <v>7833</v>
      </c>
      <c r="Y38" s="1590" t="s">
        <v>5065</v>
      </c>
      <c r="Z38" s="1590" t="s">
        <v>1913</v>
      </c>
      <c r="AA38" s="1590" t="s">
        <v>9302</v>
      </c>
      <c r="AB38" s="1590" t="s">
        <v>8758</v>
      </c>
      <c r="AC38" s="1590" t="s">
        <v>5537</v>
      </c>
      <c r="AD38" s="1586" t="s">
        <v>6391</v>
      </c>
      <c r="AE38" s="1586" t="s">
        <v>8930</v>
      </c>
      <c r="AF38" s="1591" t="s">
        <v>9303</v>
      </c>
      <c r="AG38" s="1591" t="s">
        <v>9225</v>
      </c>
      <c r="AH38" s="1591" t="s">
        <v>9304</v>
      </c>
      <c r="AI38" s="1591" t="s">
        <v>5532</v>
      </c>
      <c r="AJ38" s="1591" t="s">
        <v>9305</v>
      </c>
      <c r="AK38" s="1591" t="s">
        <v>9306</v>
      </c>
      <c r="AL38" s="1591" t="s">
        <v>9307</v>
      </c>
      <c r="AM38" s="1564" t="s">
        <v>9308</v>
      </c>
      <c r="AN38" s="1564" t="s">
        <v>9309</v>
      </c>
      <c r="AO38" s="1564" t="s">
        <v>9310</v>
      </c>
      <c r="AP38" s="1564" t="s">
        <v>9311</v>
      </c>
      <c r="AQ38" s="1564" t="s">
        <v>9166</v>
      </c>
      <c r="AR38" s="1564" t="s">
        <v>9312</v>
      </c>
      <c r="AS38" s="1564" t="s">
        <v>4314</v>
      </c>
      <c r="AT38" s="1588" t="s">
        <v>9313</v>
      </c>
      <c r="AU38" s="1592" t="s">
        <v>9314</v>
      </c>
      <c r="AV38" s="1515" t="str">
        <f t="shared" si="1"/>
        <v>1:56</v>
      </c>
      <c r="AW38" s="1651"/>
    </row>
    <row r="39" ht="15.75" customHeight="1">
      <c r="A39" s="1519" t="s">
        <v>826</v>
      </c>
      <c r="B39" s="1504" t="s">
        <v>8498</v>
      </c>
      <c r="C39" s="1505">
        <v>0.05061342592592592</v>
      </c>
      <c r="D39" s="1313" t="s">
        <v>9315</v>
      </c>
      <c r="E39" s="1517" t="s">
        <v>8671</v>
      </c>
      <c r="F39" s="1517" t="s">
        <v>5362</v>
      </c>
      <c r="G39" s="1515" t="s">
        <v>9316</v>
      </c>
      <c r="H39" s="1517" t="s">
        <v>9317</v>
      </c>
      <c r="I39" s="1517" t="s">
        <v>386</v>
      </c>
      <c r="J39" s="1517" t="s">
        <v>6761</v>
      </c>
      <c r="K39" s="1515" t="s">
        <v>8947</v>
      </c>
      <c r="L39" s="1517" t="s">
        <v>9318</v>
      </c>
      <c r="M39" s="1517" t="s">
        <v>9319</v>
      </c>
      <c r="N39" s="1517" t="s">
        <v>4321</v>
      </c>
      <c r="O39" s="1517" t="s">
        <v>9320</v>
      </c>
      <c r="P39" s="1517" t="s">
        <v>1589</v>
      </c>
      <c r="Q39" s="1510" t="s">
        <v>9321</v>
      </c>
      <c r="R39" s="1517" t="s">
        <v>9322</v>
      </c>
      <c r="S39" s="1515" t="s">
        <v>9323</v>
      </c>
      <c r="T39" s="1517" t="s">
        <v>9079</v>
      </c>
      <c r="U39" s="1517" t="s">
        <v>7207</v>
      </c>
      <c r="V39" s="1517" t="s">
        <v>2469</v>
      </c>
      <c r="W39" s="1659" t="str">
        <f>HYPERLINK("https://www.youtube.com/watch?v=nn1ub1z3NYM","1:45.96")</f>
        <v>1:45.96</v>
      </c>
      <c r="X39" s="1517" t="s">
        <v>5620</v>
      </c>
      <c r="Y39" s="1515" t="s">
        <v>5497</v>
      </c>
      <c r="Z39" s="1517" t="s">
        <v>1504</v>
      </c>
      <c r="AA39" s="1517" t="s">
        <v>9324</v>
      </c>
      <c r="AB39" s="1517" t="s">
        <v>9325</v>
      </c>
      <c r="AC39" s="1517" t="s">
        <v>1047</v>
      </c>
      <c r="AD39" s="1517" t="s">
        <v>9326</v>
      </c>
      <c r="AE39" s="1510" t="s">
        <v>4618</v>
      </c>
      <c r="AF39" s="1515" t="s">
        <v>9327</v>
      </c>
      <c r="AG39" s="1517" t="s">
        <v>2065</v>
      </c>
      <c r="AH39" s="1517" t="s">
        <v>3022</v>
      </c>
      <c r="AI39" s="1517" t="s">
        <v>9328</v>
      </c>
      <c r="AJ39" s="1515" t="s">
        <v>8085</v>
      </c>
      <c r="AK39" s="1517" t="s">
        <v>9329</v>
      </c>
      <c r="AL39" s="1515" t="s">
        <v>4271</v>
      </c>
      <c r="AM39" s="1515" t="s">
        <v>9330</v>
      </c>
      <c r="AN39" s="1515" t="s">
        <v>2501</v>
      </c>
      <c r="AO39" s="1517" t="s">
        <v>5195</v>
      </c>
      <c r="AP39" s="1517" t="s">
        <v>9331</v>
      </c>
      <c r="AQ39" s="1517" t="s">
        <v>9332</v>
      </c>
      <c r="AR39" s="1517" t="s">
        <v>1302</v>
      </c>
      <c r="AS39" s="1517" t="s">
        <v>9333</v>
      </c>
      <c r="AT39" s="1517" t="s">
        <v>9334</v>
      </c>
      <c r="AU39" s="1517" t="s">
        <v>9335</v>
      </c>
      <c r="AV39" s="1515" t="str">
        <f t="shared" si="1"/>
        <v>2:25</v>
      </c>
      <c r="AW39" s="1548"/>
    </row>
    <row r="40">
      <c r="A40" s="1519" t="s">
        <v>9336</v>
      </c>
      <c r="B40" s="1547" t="s">
        <v>8498</v>
      </c>
      <c r="C40" s="1505">
        <v>0.050625</v>
      </c>
      <c r="D40" s="1660" t="s">
        <v>9337</v>
      </c>
      <c r="E40" s="1517" t="s">
        <v>4662</v>
      </c>
      <c r="F40" s="1517" t="s">
        <v>9338</v>
      </c>
      <c r="G40" s="1517" t="s">
        <v>8859</v>
      </c>
      <c r="H40" s="1517" t="s">
        <v>1658</v>
      </c>
      <c r="I40" s="1517" t="s">
        <v>1905</v>
      </c>
      <c r="J40" s="1517" t="s">
        <v>9339</v>
      </c>
      <c r="K40" s="1517" t="s">
        <v>3529</v>
      </c>
      <c r="L40" s="1517" t="s">
        <v>9340</v>
      </c>
      <c r="M40" s="1517" t="s">
        <v>9341</v>
      </c>
      <c r="N40" s="1517" t="s">
        <v>9342</v>
      </c>
      <c r="O40" s="1517" t="s">
        <v>9343</v>
      </c>
      <c r="P40" s="1517" t="s">
        <v>9221</v>
      </c>
      <c r="Q40" s="1517" t="s">
        <v>4591</v>
      </c>
      <c r="R40" s="1517" t="s">
        <v>3897</v>
      </c>
      <c r="S40" s="1517" t="s">
        <v>2604</v>
      </c>
      <c r="T40" s="1517" t="s">
        <v>2350</v>
      </c>
      <c r="U40" s="1517" t="s">
        <v>9344</v>
      </c>
      <c r="V40" s="1517" t="s">
        <v>2167</v>
      </c>
      <c r="W40" s="1517" t="s">
        <v>7687</v>
      </c>
      <c r="X40" s="1517" t="s">
        <v>9345</v>
      </c>
      <c r="Y40" s="1517" t="s">
        <v>9346</v>
      </c>
      <c r="Z40" s="1517" t="s">
        <v>9347</v>
      </c>
      <c r="AA40" s="1517" t="s">
        <v>9348</v>
      </c>
      <c r="AB40" s="1517"/>
      <c r="AC40" s="1517" t="s">
        <v>9349</v>
      </c>
      <c r="AD40" s="1517" t="s">
        <v>9350</v>
      </c>
      <c r="AE40" s="1517" t="s">
        <v>4253</v>
      </c>
      <c r="AF40" s="1517" t="s">
        <v>9351</v>
      </c>
      <c r="AG40" s="1517" t="s">
        <v>9352</v>
      </c>
      <c r="AH40" s="1517" t="s">
        <v>9353</v>
      </c>
      <c r="AI40" s="1517" t="s">
        <v>727</v>
      </c>
      <c r="AJ40" s="1517" t="s">
        <v>9354</v>
      </c>
      <c r="AK40" s="1517" t="s">
        <v>9355</v>
      </c>
      <c r="AL40" s="1517" t="s">
        <v>9010</v>
      </c>
      <c r="AM40" s="1517" t="s">
        <v>9356</v>
      </c>
      <c r="AN40" s="1517" t="s">
        <v>8580</v>
      </c>
      <c r="AO40" s="1517" t="s">
        <v>9357</v>
      </c>
      <c r="AP40" s="1517" t="s">
        <v>9358</v>
      </c>
      <c r="AQ40" s="1517" t="s">
        <v>9359</v>
      </c>
      <c r="AR40" s="1517" t="s">
        <v>6487</v>
      </c>
      <c r="AS40" s="1517" t="s">
        <v>6031</v>
      </c>
      <c r="AT40" s="1517" t="s">
        <v>8184</v>
      </c>
      <c r="AU40" s="1517" t="s">
        <v>9360</v>
      </c>
      <c r="AV40" s="1515" t="str">
        <f t="shared" si="1"/>
        <v>2:05</v>
      </c>
      <c r="AW40" s="1595"/>
    </row>
    <row r="41">
      <c r="A41" s="1519" t="s">
        <v>9361</v>
      </c>
      <c r="B41" s="1550" t="s">
        <v>8498</v>
      </c>
      <c r="C41" s="1505">
        <v>0.0506712962962963</v>
      </c>
      <c r="D41" s="1660" t="s">
        <v>9362</v>
      </c>
      <c r="E41" s="1557" t="s">
        <v>3323</v>
      </c>
      <c r="F41" s="1557" t="s">
        <v>8816</v>
      </c>
      <c r="G41" s="1557" t="s">
        <v>9363</v>
      </c>
      <c r="H41" s="1649" t="s">
        <v>9364</v>
      </c>
      <c r="I41" s="1649" t="s">
        <v>9365</v>
      </c>
      <c r="J41" s="1559" t="s">
        <v>9366</v>
      </c>
      <c r="K41" s="1559" t="s">
        <v>7052</v>
      </c>
      <c r="L41" s="1559" t="s">
        <v>4364</v>
      </c>
      <c r="M41" s="1559" t="s">
        <v>7053</v>
      </c>
      <c r="N41" s="1559" t="s">
        <v>9367</v>
      </c>
      <c r="O41" s="1559" t="s">
        <v>2199</v>
      </c>
      <c r="P41" s="1559" t="s">
        <v>7017</v>
      </c>
      <c r="Q41" s="1561" t="s">
        <v>7766</v>
      </c>
      <c r="R41" s="1561" t="s">
        <v>9368</v>
      </c>
      <c r="S41" s="1561" t="s">
        <v>9369</v>
      </c>
      <c r="T41" s="1561" t="s">
        <v>9370</v>
      </c>
      <c r="U41" s="1561" t="s">
        <v>9371</v>
      </c>
      <c r="V41" s="1561" t="s">
        <v>9372</v>
      </c>
      <c r="W41" s="1562" t="s">
        <v>9373</v>
      </c>
      <c r="X41" s="1562" t="s">
        <v>9374</v>
      </c>
      <c r="Y41" s="1562" t="s">
        <v>6103</v>
      </c>
      <c r="Z41" s="1562" t="s">
        <v>9375</v>
      </c>
      <c r="AA41" s="1517" t="s">
        <v>1764</v>
      </c>
      <c r="AB41" s="1562" t="s">
        <v>9376</v>
      </c>
      <c r="AC41" s="1562" t="s">
        <v>7635</v>
      </c>
      <c r="AD41" s="1557" t="s">
        <v>9377</v>
      </c>
      <c r="AE41" s="1557" t="s">
        <v>535</v>
      </c>
      <c r="AF41" s="1563" t="s">
        <v>9378</v>
      </c>
      <c r="AG41" s="1563" t="s">
        <v>3881</v>
      </c>
      <c r="AH41" s="1563" t="s">
        <v>5213</v>
      </c>
      <c r="AI41" s="1563" t="s">
        <v>9011</v>
      </c>
      <c r="AJ41" s="1563" t="s">
        <v>9379</v>
      </c>
      <c r="AK41" s="1563" t="s">
        <v>399</v>
      </c>
      <c r="AL41" s="1563" t="s">
        <v>2575</v>
      </c>
      <c r="AM41" s="1565" t="s">
        <v>8817</v>
      </c>
      <c r="AN41" s="1565" t="s">
        <v>8734</v>
      </c>
      <c r="AO41" s="1565" t="s">
        <v>9034</v>
      </c>
      <c r="AP41" s="1565" t="s">
        <v>9380</v>
      </c>
      <c r="AQ41" s="1565" t="s">
        <v>9381</v>
      </c>
      <c r="AR41" s="1565" t="s">
        <v>9382</v>
      </c>
      <c r="AS41" s="1565" t="s">
        <v>9383</v>
      </c>
      <c r="AT41" s="1559" t="s">
        <v>9384</v>
      </c>
      <c r="AU41" s="1545" t="s">
        <v>9168</v>
      </c>
      <c r="AV41" s="1515" t="str">
        <f t="shared" si="1"/>
        <v>3:31</v>
      </c>
      <c r="AW41" s="1651"/>
    </row>
    <row r="42" ht="15.75" customHeight="1">
      <c r="A42" s="1605" t="s">
        <v>9385</v>
      </c>
      <c r="B42" s="1504" t="s">
        <v>8498</v>
      </c>
      <c r="C42" s="1505">
        <v>0.05070601851851852</v>
      </c>
      <c r="D42" s="1313" t="s">
        <v>9386</v>
      </c>
      <c r="E42" s="1586" t="s">
        <v>3256</v>
      </c>
      <c r="F42" s="1586" t="s">
        <v>8735</v>
      </c>
      <c r="G42" s="1586" t="s">
        <v>9387</v>
      </c>
      <c r="H42" s="1558" t="s">
        <v>9388</v>
      </c>
      <c r="I42" s="1558" t="s">
        <v>386</v>
      </c>
      <c r="J42" s="1588" t="s">
        <v>2062</v>
      </c>
      <c r="K42" s="1588" t="s">
        <v>3598</v>
      </c>
      <c r="L42" s="1588" t="s">
        <v>5371</v>
      </c>
      <c r="M42" s="1588" t="s">
        <v>9389</v>
      </c>
      <c r="N42" s="1588" t="s">
        <v>9217</v>
      </c>
      <c r="O42" s="1588" t="s">
        <v>9390</v>
      </c>
      <c r="P42" s="1588" t="s">
        <v>2917</v>
      </c>
      <c r="Q42" s="1589" t="s">
        <v>9391</v>
      </c>
      <c r="R42" s="1589" t="s">
        <v>730</v>
      </c>
      <c r="S42" s="1589" t="s">
        <v>9357</v>
      </c>
      <c r="T42" s="1589" t="s">
        <v>9220</v>
      </c>
      <c r="U42" s="1589" t="s">
        <v>9392</v>
      </c>
      <c r="V42" s="1589" t="s">
        <v>2469</v>
      </c>
      <c r="W42" s="1590" t="s">
        <v>9393</v>
      </c>
      <c r="X42" s="1590" t="s">
        <v>8614</v>
      </c>
      <c r="Y42" s="1590" t="s">
        <v>9394</v>
      </c>
      <c r="Z42" s="1590" t="s">
        <v>8599</v>
      </c>
      <c r="AA42" s="1590" t="s">
        <v>9395</v>
      </c>
      <c r="AB42" s="1590" t="s">
        <v>2594</v>
      </c>
      <c r="AC42" s="1590" t="s">
        <v>2940</v>
      </c>
      <c r="AD42" s="1586" t="s">
        <v>9396</v>
      </c>
      <c r="AE42" s="1586" t="s">
        <v>6105</v>
      </c>
      <c r="AF42" s="1591" t="s">
        <v>8637</v>
      </c>
      <c r="AG42" s="1591" t="s">
        <v>9397</v>
      </c>
      <c r="AH42" s="1591" t="s">
        <v>2209</v>
      </c>
      <c r="AI42" s="1591" t="s">
        <v>6021</v>
      </c>
      <c r="AJ42" s="1591" t="s">
        <v>9398</v>
      </c>
      <c r="AK42" s="1591" t="s">
        <v>9399</v>
      </c>
      <c r="AL42" s="1591" t="s">
        <v>5339</v>
      </c>
      <c r="AM42" s="1564" t="s">
        <v>9247</v>
      </c>
      <c r="AN42" s="1564" t="s">
        <v>5339</v>
      </c>
      <c r="AO42" s="1564" t="s">
        <v>2294</v>
      </c>
      <c r="AP42" s="1564" t="s">
        <v>9400</v>
      </c>
      <c r="AQ42" s="1564" t="s">
        <v>9401</v>
      </c>
      <c r="AR42" s="1564" t="s">
        <v>4804</v>
      </c>
      <c r="AS42" s="1564" t="s">
        <v>4317</v>
      </c>
      <c r="AT42" s="1588" t="s">
        <v>9402</v>
      </c>
      <c r="AU42" s="1592" t="s">
        <v>9403</v>
      </c>
      <c r="AV42" s="1515" t="str">
        <f t="shared" si="1"/>
        <v>2:54</v>
      </c>
      <c r="AW42" s="1651"/>
    </row>
    <row r="43">
      <c r="A43" s="1552" t="s">
        <v>2815</v>
      </c>
      <c r="B43" s="1547" t="s">
        <v>8498</v>
      </c>
      <c r="C43" s="1505">
        <v>0.050826388888888886</v>
      </c>
      <c r="D43" s="1517" t="s">
        <v>9404</v>
      </c>
      <c r="E43" s="1517" t="s">
        <v>9405</v>
      </c>
      <c r="F43" s="1557" t="s">
        <v>9406</v>
      </c>
      <c r="G43" s="1517" t="s">
        <v>9407</v>
      </c>
      <c r="H43" s="1517" t="s">
        <v>6368</v>
      </c>
      <c r="I43" s="1517" t="s">
        <v>1292</v>
      </c>
      <c r="J43" s="1517" t="s">
        <v>9408</v>
      </c>
      <c r="K43" s="1517" t="s">
        <v>3859</v>
      </c>
      <c r="L43" s="1517" t="s">
        <v>5753</v>
      </c>
      <c r="M43" s="1517" t="s">
        <v>9409</v>
      </c>
      <c r="N43" s="1517" t="s">
        <v>7262</v>
      </c>
      <c r="O43" s="1517" t="s">
        <v>9410</v>
      </c>
      <c r="P43" s="1517" t="s">
        <v>8954</v>
      </c>
      <c r="Q43" s="1517" t="s">
        <v>9411</v>
      </c>
      <c r="R43" s="1517" t="s">
        <v>9412</v>
      </c>
      <c r="S43" s="1517" t="s">
        <v>9413</v>
      </c>
      <c r="T43" s="1517" t="s">
        <v>1791</v>
      </c>
      <c r="U43" s="1517" t="s">
        <v>9414</v>
      </c>
      <c r="V43" s="1517" t="s">
        <v>7096</v>
      </c>
      <c r="W43" s="1517" t="s">
        <v>5461</v>
      </c>
      <c r="X43" s="1517" t="s">
        <v>9415</v>
      </c>
      <c r="Y43" s="1517" t="s">
        <v>7008</v>
      </c>
      <c r="Z43" s="1517" t="s">
        <v>9416</v>
      </c>
      <c r="AA43" s="1562" t="s">
        <v>9417</v>
      </c>
      <c r="AB43" s="1517" t="s">
        <v>1913</v>
      </c>
      <c r="AC43" s="1517" t="s">
        <v>7635</v>
      </c>
      <c r="AD43" s="1517" t="s">
        <v>9418</v>
      </c>
      <c r="AE43" s="1517" t="s">
        <v>4253</v>
      </c>
      <c r="AF43" s="1517" t="s">
        <v>9419</v>
      </c>
      <c r="AG43" s="1517" t="s">
        <v>1177</v>
      </c>
      <c r="AH43" s="1517" t="s">
        <v>3830</v>
      </c>
      <c r="AI43" s="1517" t="s">
        <v>9420</v>
      </c>
      <c r="AJ43" s="1517" t="s">
        <v>9421</v>
      </c>
      <c r="AK43" s="1517" t="s">
        <v>9329</v>
      </c>
      <c r="AL43" s="1517" t="s">
        <v>4278</v>
      </c>
      <c r="AM43" s="1517" t="s">
        <v>9329</v>
      </c>
      <c r="AN43" s="1517" t="s">
        <v>8580</v>
      </c>
      <c r="AO43" s="1517" t="s">
        <v>7360</v>
      </c>
      <c r="AP43" s="1517" t="s">
        <v>9422</v>
      </c>
      <c r="AQ43" s="1517" t="s">
        <v>9423</v>
      </c>
      <c r="AR43" s="1517" t="s">
        <v>5112</v>
      </c>
      <c r="AS43" s="1517" t="s">
        <v>6049</v>
      </c>
      <c r="AT43" s="1517" t="s">
        <v>9424</v>
      </c>
      <c r="AU43" s="1517" t="s">
        <v>9425</v>
      </c>
      <c r="AV43" s="1515" t="str">
        <f t="shared" si="1"/>
        <v>2:25</v>
      </c>
      <c r="AW43" s="1595"/>
    </row>
    <row r="44" ht="15.75" customHeight="1">
      <c r="A44" s="1552" t="s">
        <v>4624</v>
      </c>
      <c r="B44" s="1504" t="s">
        <v>8498</v>
      </c>
      <c r="C44" s="1652">
        <v>0.050868055555555555</v>
      </c>
      <c r="D44" s="1313" t="s">
        <v>9426</v>
      </c>
      <c r="E44" s="1515" t="s">
        <v>7585</v>
      </c>
      <c r="F44" s="1515" t="s">
        <v>9427</v>
      </c>
      <c r="G44" s="1515" t="s">
        <v>9428</v>
      </c>
      <c r="H44" s="1515" t="s">
        <v>9261</v>
      </c>
      <c r="I44" s="1515" t="s">
        <v>1292</v>
      </c>
      <c r="J44" s="1515" t="s">
        <v>9382</v>
      </c>
      <c r="K44" s="1515" t="s">
        <v>8963</v>
      </c>
      <c r="L44" s="1515" t="s">
        <v>8819</v>
      </c>
      <c r="M44" s="1515" t="s">
        <v>5299</v>
      </c>
      <c r="N44" s="1515" t="s">
        <v>8044</v>
      </c>
      <c r="O44" s="1515" t="s">
        <v>9429</v>
      </c>
      <c r="P44" s="1515" t="s">
        <v>9430</v>
      </c>
      <c r="Q44" s="1515" t="s">
        <v>9431</v>
      </c>
      <c r="R44" s="1515" t="s">
        <v>7341</v>
      </c>
      <c r="S44" s="1515" t="s">
        <v>8786</v>
      </c>
      <c r="T44" s="1515" t="s">
        <v>4607</v>
      </c>
      <c r="U44" s="1515" t="s">
        <v>9432</v>
      </c>
      <c r="V44" s="1515" t="s">
        <v>9027</v>
      </c>
      <c r="W44" s="1515" t="s">
        <v>9433</v>
      </c>
      <c r="X44" s="1515" t="s">
        <v>9031</v>
      </c>
      <c r="Y44" s="1515" t="s">
        <v>3536</v>
      </c>
      <c r="Z44" s="1515" t="s">
        <v>9434</v>
      </c>
      <c r="AA44" s="1515" t="s">
        <v>9435</v>
      </c>
      <c r="AB44" s="1515" t="s">
        <v>191</v>
      </c>
      <c r="AC44" s="1515" t="s">
        <v>2985</v>
      </c>
      <c r="AD44" s="1515" t="s">
        <v>9436</v>
      </c>
      <c r="AE44" s="1515" t="s">
        <v>617</v>
      </c>
      <c r="AF44" s="1515" t="s">
        <v>9437</v>
      </c>
      <c r="AG44" s="1515" t="s">
        <v>5856</v>
      </c>
      <c r="AH44" s="1515" t="s">
        <v>9438</v>
      </c>
      <c r="AI44" s="1515" t="s">
        <v>7457</v>
      </c>
      <c r="AJ44" s="1515" t="s">
        <v>9439</v>
      </c>
      <c r="AK44" s="1515" t="s">
        <v>5327</v>
      </c>
      <c r="AL44" s="1515" t="s">
        <v>9440</v>
      </c>
      <c r="AM44" s="1515" t="s">
        <v>9441</v>
      </c>
      <c r="AN44" s="1515" t="s">
        <v>3366</v>
      </c>
      <c r="AO44" s="1515" t="s">
        <v>8947</v>
      </c>
      <c r="AP44" s="1515" t="s">
        <v>9442</v>
      </c>
      <c r="AQ44" s="1515" t="s">
        <v>9443</v>
      </c>
      <c r="AR44" s="1515" t="s">
        <v>8810</v>
      </c>
      <c r="AS44" s="1515" t="s">
        <v>5025</v>
      </c>
      <c r="AT44" s="1515" t="s">
        <v>9444</v>
      </c>
      <c r="AU44" s="1515" t="s">
        <v>9445</v>
      </c>
      <c r="AV44" s="1515" t="str">
        <f t="shared" si="1"/>
        <v>2:44</v>
      </c>
      <c r="AW44" s="1532"/>
    </row>
    <row r="45" ht="15.75" customHeight="1">
      <c r="A45" s="1552" t="s">
        <v>1884</v>
      </c>
      <c r="B45" s="1661" t="s">
        <v>8554</v>
      </c>
      <c r="C45" s="1505">
        <v>0.05092592592592592</v>
      </c>
      <c r="D45" s="1662" t="s">
        <v>8555</v>
      </c>
      <c r="E45" s="1663" t="s">
        <v>8556</v>
      </c>
      <c r="F45" s="1662" t="s">
        <v>8557</v>
      </c>
      <c r="G45" s="1517" t="s">
        <v>9446</v>
      </c>
      <c r="H45" s="1662" t="s">
        <v>8559</v>
      </c>
      <c r="I45" s="1515" t="s">
        <v>1412</v>
      </c>
      <c r="J45" s="1586" t="s">
        <v>9447</v>
      </c>
      <c r="K45" s="1515" t="s">
        <v>9217</v>
      </c>
      <c r="L45" s="1586" t="s">
        <v>2320</v>
      </c>
      <c r="M45" s="1515" t="s">
        <v>2636</v>
      </c>
      <c r="N45" s="1662" t="s">
        <v>8522</v>
      </c>
      <c r="O45" s="1515" t="s">
        <v>9448</v>
      </c>
      <c r="P45" s="1586" t="s">
        <v>636</v>
      </c>
      <c r="Q45" s="1663" t="s">
        <v>8564</v>
      </c>
      <c r="R45" s="1662" t="s">
        <v>8565</v>
      </c>
      <c r="S45" s="1515" t="s">
        <v>1162</v>
      </c>
      <c r="T45" s="1586" t="s">
        <v>7691</v>
      </c>
      <c r="U45" s="1663" t="s">
        <v>8567</v>
      </c>
      <c r="V45" s="1662" t="s">
        <v>8568</v>
      </c>
      <c r="W45" s="1515" t="s">
        <v>9449</v>
      </c>
      <c r="X45" s="1662" t="s">
        <v>8570</v>
      </c>
      <c r="Y45" s="1515" t="s">
        <v>5579</v>
      </c>
      <c r="Z45" s="1557" t="s">
        <v>9450</v>
      </c>
      <c r="AA45" s="1515" t="s">
        <v>2296</v>
      </c>
      <c r="AB45" s="1586" t="s">
        <v>9451</v>
      </c>
      <c r="AC45" s="1517" t="s">
        <v>9452</v>
      </c>
      <c r="AD45" s="1586" t="s">
        <v>9453</v>
      </c>
      <c r="AE45" s="1517" t="s">
        <v>9454</v>
      </c>
      <c r="AF45" s="1586" t="s">
        <v>9455</v>
      </c>
      <c r="AG45" s="1515" t="s">
        <v>6924</v>
      </c>
      <c r="AH45" s="1557" t="s">
        <v>9340</v>
      </c>
      <c r="AI45" s="1663" t="s">
        <v>8576</v>
      </c>
      <c r="AJ45" s="1586" t="s">
        <v>9456</v>
      </c>
      <c r="AK45" s="1515" t="s">
        <v>5777</v>
      </c>
      <c r="AL45" s="1662" t="s">
        <v>8578</v>
      </c>
      <c r="AM45" s="1515" t="s">
        <v>8871</v>
      </c>
      <c r="AN45" s="1586" t="s">
        <v>3931</v>
      </c>
      <c r="AO45" s="1517" t="s">
        <v>4815</v>
      </c>
      <c r="AP45" s="1557" t="s">
        <v>9457</v>
      </c>
      <c r="AQ45" s="1517" t="s">
        <v>9458</v>
      </c>
      <c r="AR45" s="1557" t="s">
        <v>9459</v>
      </c>
      <c r="AS45" s="1515" t="s">
        <v>903</v>
      </c>
      <c r="AT45" s="1662" t="s">
        <v>8584</v>
      </c>
      <c r="AU45" s="1517" t="s">
        <v>9460</v>
      </c>
      <c r="AV45" s="1515" t="str">
        <f t="shared" si="1"/>
        <v>2:24</v>
      </c>
      <c r="AW45" s="1548"/>
    </row>
    <row r="46">
      <c r="A46" s="1552" t="s">
        <v>2532</v>
      </c>
      <c r="B46" s="1567" t="s">
        <v>8529</v>
      </c>
      <c r="C46" s="1505">
        <v>0.05092592592592592</v>
      </c>
      <c r="D46" s="1313" t="s">
        <v>9461</v>
      </c>
      <c r="E46" s="1557" t="s">
        <v>9462</v>
      </c>
      <c r="F46" s="1557" t="s">
        <v>9463</v>
      </c>
      <c r="G46" s="1557" t="s">
        <v>9464</v>
      </c>
      <c r="H46" s="1649" t="s">
        <v>9465</v>
      </c>
      <c r="I46" s="1649" t="s">
        <v>2782</v>
      </c>
      <c r="J46" s="1559" t="s">
        <v>8654</v>
      </c>
      <c r="K46" s="1559" t="s">
        <v>3817</v>
      </c>
      <c r="L46" s="1559" t="s">
        <v>5653</v>
      </c>
      <c r="M46" s="1559" t="s">
        <v>2958</v>
      </c>
      <c r="N46" s="1559" t="s">
        <v>9288</v>
      </c>
      <c r="O46" s="1559" t="s">
        <v>9466</v>
      </c>
      <c r="P46" s="1559" t="s">
        <v>773</v>
      </c>
      <c r="Q46" s="1561" t="s">
        <v>7661</v>
      </c>
      <c r="R46" s="1561" t="s">
        <v>7388</v>
      </c>
      <c r="S46" s="1561" t="s">
        <v>6483</v>
      </c>
      <c r="T46" s="1561" t="s">
        <v>9467</v>
      </c>
      <c r="U46" s="1664" t="s">
        <v>7821</v>
      </c>
      <c r="V46" s="1561" t="s">
        <v>9468</v>
      </c>
      <c r="W46" s="1562" t="s">
        <v>6684</v>
      </c>
      <c r="X46" s="1562" t="s">
        <v>9469</v>
      </c>
      <c r="Y46" s="1562" t="s">
        <v>9470</v>
      </c>
      <c r="Z46" s="1562" t="s">
        <v>7608</v>
      </c>
      <c r="AA46" s="1562" t="s">
        <v>1940</v>
      </c>
      <c r="AB46" s="1562" t="s">
        <v>9471</v>
      </c>
      <c r="AC46" s="1562" t="s">
        <v>2383</v>
      </c>
      <c r="AD46" s="1557" t="s">
        <v>9472</v>
      </c>
      <c r="AE46" s="1557" t="s">
        <v>5219</v>
      </c>
      <c r="AF46" s="1563" t="s">
        <v>9473</v>
      </c>
      <c r="AG46" s="1563" t="s">
        <v>5381</v>
      </c>
      <c r="AH46" s="1563" t="s">
        <v>4464</v>
      </c>
      <c r="AI46" s="1563" t="s">
        <v>9474</v>
      </c>
      <c r="AJ46" s="1576" t="s">
        <v>8546</v>
      </c>
      <c r="AK46" s="1563" t="s">
        <v>191</v>
      </c>
      <c r="AL46" s="1563" t="s">
        <v>5778</v>
      </c>
      <c r="AM46" s="1565" t="s">
        <v>4008</v>
      </c>
      <c r="AN46" s="1565" t="s">
        <v>3667</v>
      </c>
      <c r="AO46" s="1565" t="s">
        <v>2422</v>
      </c>
      <c r="AP46" s="1565" t="s">
        <v>9475</v>
      </c>
      <c r="AQ46" s="1565" t="s">
        <v>4349</v>
      </c>
      <c r="AR46" s="1565" t="s">
        <v>7651</v>
      </c>
      <c r="AS46" s="1565" t="s">
        <v>6396</v>
      </c>
      <c r="AT46" s="1559" t="s">
        <v>9476</v>
      </c>
      <c r="AU46" s="1665" t="s">
        <v>9477</v>
      </c>
      <c r="AV46" s="1515" t="str">
        <f t="shared" si="1"/>
        <v>4:25</v>
      </c>
      <c r="AW46" s="1546"/>
    </row>
    <row r="47" ht="15.75" customHeight="1">
      <c r="A47" s="1503" t="s">
        <v>4417</v>
      </c>
      <c r="B47" s="1581" t="s">
        <v>8529</v>
      </c>
      <c r="C47" s="1505">
        <v>0.05100810185185185</v>
      </c>
      <c r="D47" s="1313" t="s">
        <v>9478</v>
      </c>
      <c r="E47" s="1557" t="s">
        <v>9479</v>
      </c>
      <c r="F47" s="1557" t="s">
        <v>9480</v>
      </c>
      <c r="G47" s="1586" t="s">
        <v>9481</v>
      </c>
      <c r="H47" s="1649" t="s">
        <v>9482</v>
      </c>
      <c r="I47" s="1649" t="s">
        <v>1412</v>
      </c>
      <c r="J47" s="1559" t="s">
        <v>5112</v>
      </c>
      <c r="K47" s="1559" t="s">
        <v>9214</v>
      </c>
      <c r="L47" s="1559" t="s">
        <v>4393</v>
      </c>
      <c r="M47" s="1559" t="s">
        <v>1454</v>
      </c>
      <c r="N47" s="1559" t="s">
        <v>9483</v>
      </c>
      <c r="O47" s="1559" t="s">
        <v>8677</v>
      </c>
      <c r="P47" s="1559" t="s">
        <v>9484</v>
      </c>
      <c r="Q47" s="1561" t="s">
        <v>9485</v>
      </c>
      <c r="R47" s="1561" t="s">
        <v>3426</v>
      </c>
      <c r="S47" s="1561" t="s">
        <v>7045</v>
      </c>
      <c r="T47" s="1561" t="s">
        <v>9486</v>
      </c>
      <c r="U47" s="1561" t="s">
        <v>9487</v>
      </c>
      <c r="V47" s="1589" t="s">
        <v>1366</v>
      </c>
      <c r="W47" s="1562" t="s">
        <v>9488</v>
      </c>
      <c r="X47" s="1562" t="s">
        <v>9270</v>
      </c>
      <c r="Y47" s="1562" t="s">
        <v>3901</v>
      </c>
      <c r="Z47" s="1562" t="s">
        <v>7628</v>
      </c>
      <c r="AA47" s="1562" t="s">
        <v>1026</v>
      </c>
      <c r="AB47" s="1562" t="s">
        <v>3960</v>
      </c>
      <c r="AC47" s="1590" t="s">
        <v>6629</v>
      </c>
      <c r="AD47" s="1557" t="s">
        <v>9489</v>
      </c>
      <c r="AE47" s="1586" t="s">
        <v>4908</v>
      </c>
      <c r="AF47" s="1563" t="s">
        <v>9490</v>
      </c>
      <c r="AG47" s="1563" t="s">
        <v>9491</v>
      </c>
      <c r="AH47" s="1563" t="s">
        <v>9492</v>
      </c>
      <c r="AI47" s="1563" t="s">
        <v>8896</v>
      </c>
      <c r="AJ47" s="1563" t="s">
        <v>9493</v>
      </c>
      <c r="AK47" s="1563" t="s">
        <v>9494</v>
      </c>
      <c r="AL47" s="1563" t="s">
        <v>4509</v>
      </c>
      <c r="AM47" s="1565" t="s">
        <v>9007</v>
      </c>
      <c r="AN47" s="1565" t="s">
        <v>3401</v>
      </c>
      <c r="AO47" s="1565" t="s">
        <v>9495</v>
      </c>
      <c r="AP47" s="1565" t="s">
        <v>9496</v>
      </c>
      <c r="AQ47" s="1565" t="s">
        <v>4349</v>
      </c>
      <c r="AR47" s="1565" t="s">
        <v>9497</v>
      </c>
      <c r="AS47" s="1565" t="s">
        <v>4531</v>
      </c>
      <c r="AT47" s="1559" t="s">
        <v>9498</v>
      </c>
      <c r="AU47" s="1545" t="s">
        <v>9499</v>
      </c>
      <c r="AV47" s="1515" t="str">
        <f t="shared" si="1"/>
        <v>3:17</v>
      </c>
      <c r="AW47" s="1551" t="s">
        <v>9500</v>
      </c>
    </row>
    <row r="48" ht="15.75" customHeight="1">
      <c r="A48" s="1552" t="s">
        <v>986</v>
      </c>
      <c r="B48" s="1550" t="s">
        <v>8529</v>
      </c>
      <c r="C48" s="1505">
        <v>0.05112268518518519</v>
      </c>
      <c r="D48" s="1557" t="s">
        <v>9501</v>
      </c>
      <c r="E48" s="1557" t="s">
        <v>4635</v>
      </c>
      <c r="F48" s="1557" t="s">
        <v>9502</v>
      </c>
      <c r="G48" s="1557" t="s">
        <v>9503</v>
      </c>
      <c r="H48" s="1313" t="s">
        <v>9504</v>
      </c>
      <c r="I48" s="1649" t="s">
        <v>5269</v>
      </c>
      <c r="J48" s="1559" t="s">
        <v>4011</v>
      </c>
      <c r="K48" s="1559" t="s">
        <v>9505</v>
      </c>
      <c r="L48" s="1507" t="s">
        <v>3551</v>
      </c>
      <c r="M48" s="1559" t="s">
        <v>4448</v>
      </c>
      <c r="N48" s="1559" t="s">
        <v>9247</v>
      </c>
      <c r="O48" s="1559" t="s">
        <v>9506</v>
      </c>
      <c r="P48" s="1559" t="s">
        <v>1528</v>
      </c>
      <c r="Q48" s="1561" t="s">
        <v>9507</v>
      </c>
      <c r="R48" s="1666" t="s">
        <v>6059</v>
      </c>
      <c r="S48" s="1561" t="s">
        <v>414</v>
      </c>
      <c r="T48" s="1561" t="s">
        <v>9508</v>
      </c>
      <c r="U48" s="1561" t="s">
        <v>9509</v>
      </c>
      <c r="V48" s="1561" t="s">
        <v>9510</v>
      </c>
      <c r="W48" s="1562" t="s">
        <v>9511</v>
      </c>
      <c r="X48" s="1562" t="s">
        <v>9512</v>
      </c>
      <c r="Y48" s="1667" t="s">
        <v>903</v>
      </c>
      <c r="Z48" s="1562" t="s">
        <v>9513</v>
      </c>
      <c r="AA48" s="1517" t="s">
        <v>9514</v>
      </c>
      <c r="AB48" s="1562" t="s">
        <v>2841</v>
      </c>
      <c r="AC48" s="1668" t="s">
        <v>5030</v>
      </c>
      <c r="AD48" s="1557" t="s">
        <v>9515</v>
      </c>
      <c r="AE48" s="1557" t="s">
        <v>8575</v>
      </c>
      <c r="AF48" s="1563" t="s">
        <v>8695</v>
      </c>
      <c r="AG48" s="1563" t="s">
        <v>271</v>
      </c>
      <c r="AH48" s="1563" t="s">
        <v>463</v>
      </c>
      <c r="AI48" s="1563" t="s">
        <v>9516</v>
      </c>
      <c r="AJ48" s="1563" t="s">
        <v>9517</v>
      </c>
      <c r="AK48" s="1563" t="s">
        <v>4131</v>
      </c>
      <c r="AL48" s="1563" t="s">
        <v>9518</v>
      </c>
      <c r="AM48" s="1565" t="s">
        <v>9519</v>
      </c>
      <c r="AN48" s="1579" t="s">
        <v>3277</v>
      </c>
      <c r="AO48" s="1565" t="s">
        <v>7052</v>
      </c>
      <c r="AP48" s="1565" t="s">
        <v>9520</v>
      </c>
      <c r="AQ48" s="1565" t="s">
        <v>9521</v>
      </c>
      <c r="AR48" s="1565" t="s">
        <v>9522</v>
      </c>
      <c r="AS48" s="1565" t="s">
        <v>8456</v>
      </c>
      <c r="AT48" s="1559" t="s">
        <v>9523</v>
      </c>
      <c r="AU48" s="1545" t="s">
        <v>9524</v>
      </c>
      <c r="AV48" s="1515" t="str">
        <f t="shared" si="1"/>
        <v>4:57</v>
      </c>
      <c r="AW48" s="1651"/>
    </row>
    <row r="49">
      <c r="A49" s="1552" t="s">
        <v>2396</v>
      </c>
      <c r="B49" s="1547" t="s">
        <v>8529</v>
      </c>
      <c r="C49" s="1505">
        <v>0.05112268518518519</v>
      </c>
      <c r="D49" s="1517" t="s">
        <v>9525</v>
      </c>
      <c r="E49" s="1517" t="s">
        <v>4497</v>
      </c>
      <c r="F49" s="1517" t="s">
        <v>6061</v>
      </c>
      <c r="G49" s="1640" t="s">
        <v>8532</v>
      </c>
      <c r="H49" s="1313" t="s">
        <v>9526</v>
      </c>
      <c r="I49" s="1517" t="s">
        <v>765</v>
      </c>
      <c r="J49" s="1517" t="s">
        <v>6486</v>
      </c>
      <c r="K49" s="1517" t="s">
        <v>2490</v>
      </c>
      <c r="L49" s="1517" t="s">
        <v>1366</v>
      </c>
      <c r="M49" s="1517" t="s">
        <v>9527</v>
      </c>
      <c r="N49" s="1517" t="s">
        <v>8995</v>
      </c>
      <c r="O49" s="1517" t="s">
        <v>9528</v>
      </c>
      <c r="P49" s="1517" t="s">
        <v>3536</v>
      </c>
      <c r="Q49" s="1517" t="s">
        <v>9529</v>
      </c>
      <c r="R49" s="1517" t="s">
        <v>9530</v>
      </c>
      <c r="S49" s="1517" t="s">
        <v>3744</v>
      </c>
      <c r="T49" s="1517" t="s">
        <v>7833</v>
      </c>
      <c r="U49" s="1561" t="s">
        <v>8919</v>
      </c>
      <c r="V49" s="1517" t="s">
        <v>9531</v>
      </c>
      <c r="W49" s="1517" t="s">
        <v>9532</v>
      </c>
      <c r="X49" s="1517" t="s">
        <v>1488</v>
      </c>
      <c r="Y49" s="1517" t="s">
        <v>7014</v>
      </c>
      <c r="Z49" s="1517" t="s">
        <v>8744</v>
      </c>
      <c r="AA49" s="1562" t="s">
        <v>612</v>
      </c>
      <c r="AB49" s="1517" t="s">
        <v>9533</v>
      </c>
      <c r="AC49" s="1517" t="s">
        <v>5219</v>
      </c>
      <c r="AD49" s="1517" t="s">
        <v>8860</v>
      </c>
      <c r="AE49" s="1517" t="s">
        <v>3536</v>
      </c>
      <c r="AF49" s="1517" t="s">
        <v>9534</v>
      </c>
      <c r="AG49" s="1517" t="s">
        <v>9535</v>
      </c>
      <c r="AH49" s="1517" t="s">
        <v>2513</v>
      </c>
      <c r="AI49" s="1517" t="s">
        <v>5951</v>
      </c>
      <c r="AJ49" s="1517" t="s">
        <v>9536</v>
      </c>
      <c r="AK49" s="1517" t="s">
        <v>9034</v>
      </c>
      <c r="AL49" s="1517" t="s">
        <v>9537</v>
      </c>
      <c r="AM49" s="1517" t="s">
        <v>2631</v>
      </c>
      <c r="AN49" s="1517" t="s">
        <v>9538</v>
      </c>
      <c r="AO49" s="1517" t="s">
        <v>8651</v>
      </c>
      <c r="AP49" s="1517" t="s">
        <v>9539</v>
      </c>
      <c r="AQ49" s="1517" t="s">
        <v>9540</v>
      </c>
      <c r="AR49" s="1517" t="s">
        <v>2208</v>
      </c>
      <c r="AS49" s="1517" t="s">
        <v>7008</v>
      </c>
      <c r="AT49" s="1517" t="s">
        <v>9541</v>
      </c>
      <c r="AU49" s="1517" t="s">
        <v>9542</v>
      </c>
      <c r="AV49" s="1515" t="str">
        <f t="shared" si="1"/>
        <v>3:15</v>
      </c>
      <c r="AW49" s="1669"/>
    </row>
    <row r="50" ht="15.75" customHeight="1">
      <c r="A50" s="1503" t="s">
        <v>9543</v>
      </c>
      <c r="B50" s="1670" t="s">
        <v>8498</v>
      </c>
      <c r="C50" s="1505">
        <v>0.051180555555555556</v>
      </c>
      <c r="D50" s="1313" t="s">
        <v>9544</v>
      </c>
      <c r="E50" s="1517" t="s">
        <v>9545</v>
      </c>
      <c r="F50" s="1517" t="s">
        <v>4133</v>
      </c>
      <c r="G50" s="1517" t="s">
        <v>8201</v>
      </c>
      <c r="H50" s="1517" t="s">
        <v>9546</v>
      </c>
      <c r="I50" s="1517" t="s">
        <v>160</v>
      </c>
      <c r="J50" s="1517" t="s">
        <v>973</v>
      </c>
      <c r="K50" s="1517" t="s">
        <v>9090</v>
      </c>
      <c r="L50" s="1517" t="s">
        <v>8684</v>
      </c>
      <c r="M50" s="1517" t="s">
        <v>5767</v>
      </c>
      <c r="N50" s="1517" t="s">
        <v>9547</v>
      </c>
      <c r="O50" s="1517" t="s">
        <v>9548</v>
      </c>
      <c r="P50" s="1517" t="s">
        <v>5496</v>
      </c>
      <c r="Q50" s="1517" t="s">
        <v>7251</v>
      </c>
      <c r="R50" s="1517" t="s">
        <v>9549</v>
      </c>
      <c r="S50" s="1517" t="s">
        <v>8399</v>
      </c>
      <c r="T50" s="1515" t="s">
        <v>4178</v>
      </c>
      <c r="U50" s="1515" t="s">
        <v>9550</v>
      </c>
      <c r="V50" s="1517" t="s">
        <v>1824</v>
      </c>
      <c r="W50" s="1517" t="s">
        <v>9551</v>
      </c>
      <c r="X50" s="1517" t="s">
        <v>9552</v>
      </c>
      <c r="Y50" s="1517" t="s">
        <v>8954</v>
      </c>
      <c r="Z50" s="1517" t="s">
        <v>9553</v>
      </c>
      <c r="AA50" s="1517" t="s">
        <v>9554</v>
      </c>
      <c r="AB50" s="1517" t="s">
        <v>9555</v>
      </c>
      <c r="AC50" s="1517" t="s">
        <v>935</v>
      </c>
      <c r="AD50" s="1517" t="s">
        <v>9489</v>
      </c>
      <c r="AE50" s="1517" t="s">
        <v>3274</v>
      </c>
      <c r="AF50" s="1515" t="s">
        <v>9556</v>
      </c>
      <c r="AG50" s="1517" t="s">
        <v>385</v>
      </c>
      <c r="AH50" s="1517" t="s">
        <v>9557</v>
      </c>
      <c r="AI50" s="1517" t="s">
        <v>9558</v>
      </c>
      <c r="AJ50" s="1517" t="s">
        <v>9559</v>
      </c>
      <c r="AK50" s="1517" t="s">
        <v>9560</v>
      </c>
      <c r="AL50" s="1517" t="s">
        <v>9561</v>
      </c>
      <c r="AM50" s="1517" t="s">
        <v>7357</v>
      </c>
      <c r="AN50" s="1517" t="s">
        <v>9177</v>
      </c>
      <c r="AO50" s="1529" t="str">
        <f>HYPERLINK("https://clips.twitch.tv/AltruisticEmpathicManateeDoritosChip","1:20.90")</f>
        <v>1:20.90</v>
      </c>
      <c r="AP50" s="1517" t="s">
        <v>9562</v>
      </c>
      <c r="AQ50" s="1517" t="s">
        <v>9563</v>
      </c>
      <c r="AR50" s="1517" t="s">
        <v>9564</v>
      </c>
      <c r="AS50" s="1517" t="s">
        <v>9143</v>
      </c>
      <c r="AT50" s="1517" t="s">
        <v>9565</v>
      </c>
      <c r="AU50" s="1517" t="s">
        <v>9566</v>
      </c>
      <c r="AV50" s="1515" t="str">
        <f t="shared" si="1"/>
        <v>2:40</v>
      </c>
      <c r="AW50" s="1595" t="s">
        <v>9567</v>
      </c>
    </row>
    <row r="51" ht="15.75" customHeight="1">
      <c r="A51" s="1552" t="s">
        <v>3712</v>
      </c>
      <c r="B51" s="1661" t="s">
        <v>8498</v>
      </c>
      <c r="C51" s="1671">
        <v>0.05123738425925926</v>
      </c>
      <c r="D51" s="1557" t="s">
        <v>9568</v>
      </c>
      <c r="E51" s="1557" t="s">
        <v>3921</v>
      </c>
      <c r="F51" s="1557" t="s">
        <v>9569</v>
      </c>
      <c r="G51" s="1557" t="s">
        <v>8975</v>
      </c>
      <c r="H51" s="1649" t="s">
        <v>9570</v>
      </c>
      <c r="I51" s="1649" t="s">
        <v>9238</v>
      </c>
      <c r="J51" s="1559" t="s">
        <v>9214</v>
      </c>
      <c r="K51" s="1559" t="s">
        <v>7041</v>
      </c>
      <c r="L51" s="1559" t="s">
        <v>9571</v>
      </c>
      <c r="M51" s="1559" t="s">
        <v>8931</v>
      </c>
      <c r="N51" s="1672" t="s">
        <v>1161</v>
      </c>
      <c r="O51" s="1559" t="s">
        <v>3491</v>
      </c>
      <c r="P51" s="1559" t="s">
        <v>8636</v>
      </c>
      <c r="Q51" s="1561" t="s">
        <v>9572</v>
      </c>
      <c r="R51" s="1561" t="s">
        <v>9173</v>
      </c>
      <c r="S51" s="1561" t="s">
        <v>9573</v>
      </c>
      <c r="T51" s="1561" t="s">
        <v>9574</v>
      </c>
      <c r="U51" s="1561" t="s">
        <v>9575</v>
      </c>
      <c r="V51" s="1561" t="s">
        <v>4204</v>
      </c>
      <c r="W51" s="1562" t="s">
        <v>9576</v>
      </c>
      <c r="X51" s="1562" t="s">
        <v>9577</v>
      </c>
      <c r="Y51" s="1562" t="s">
        <v>9578</v>
      </c>
      <c r="Z51" s="1562" t="s">
        <v>1354</v>
      </c>
      <c r="AA51" s="1562" t="s">
        <v>8896</v>
      </c>
      <c r="AB51" s="1562" t="s">
        <v>9323</v>
      </c>
      <c r="AC51" s="1562" t="s">
        <v>482</v>
      </c>
      <c r="AD51" s="1557" t="s">
        <v>9579</v>
      </c>
      <c r="AE51" s="1557" t="s">
        <v>6408</v>
      </c>
      <c r="AF51" s="1563" t="s">
        <v>9580</v>
      </c>
      <c r="AG51" s="1563" t="s">
        <v>9581</v>
      </c>
      <c r="AH51" s="1563" t="s">
        <v>9582</v>
      </c>
      <c r="AI51" s="1563" t="s">
        <v>310</v>
      </c>
      <c r="AJ51" s="1563" t="s">
        <v>9583</v>
      </c>
      <c r="AK51" s="1508" t="s">
        <v>9077</v>
      </c>
      <c r="AL51" s="1563" t="s">
        <v>8985</v>
      </c>
      <c r="AM51" s="1565" t="s">
        <v>9584</v>
      </c>
      <c r="AN51" s="1565" t="s">
        <v>569</v>
      </c>
      <c r="AO51" s="1565" t="s">
        <v>9585</v>
      </c>
      <c r="AP51" s="1565" t="s">
        <v>9586</v>
      </c>
      <c r="AQ51" s="1313" t="s">
        <v>9587</v>
      </c>
      <c r="AR51" s="1673" t="s">
        <v>9588</v>
      </c>
      <c r="AS51" s="1565" t="s">
        <v>9589</v>
      </c>
      <c r="AT51" s="1559" t="s">
        <v>9590</v>
      </c>
      <c r="AU51" s="1545" t="s">
        <v>9591</v>
      </c>
      <c r="AV51" s="1515" t="str">
        <f t="shared" si="1"/>
        <v>4:25</v>
      </c>
      <c r="AW51" s="1551" t="s">
        <v>9592</v>
      </c>
    </row>
    <row r="52" ht="15.75" customHeight="1">
      <c r="A52" s="1552" t="s">
        <v>1633</v>
      </c>
      <c r="B52" s="1674" t="s">
        <v>8554</v>
      </c>
      <c r="C52" s="1652">
        <v>0.051319444444444445</v>
      </c>
      <c r="D52" s="1313" t="s">
        <v>9593</v>
      </c>
      <c r="E52" s="1515" t="s">
        <v>9594</v>
      </c>
      <c r="F52" s="1515" t="s">
        <v>9595</v>
      </c>
      <c r="G52" s="1515" t="s">
        <v>9596</v>
      </c>
      <c r="H52" s="1515" t="s">
        <v>5044</v>
      </c>
      <c r="I52" s="1515" t="s">
        <v>6407</v>
      </c>
      <c r="J52" s="1515" t="s">
        <v>9597</v>
      </c>
      <c r="K52" s="1515" t="s">
        <v>8657</v>
      </c>
      <c r="L52" s="1515" t="s">
        <v>3831</v>
      </c>
      <c r="M52" s="1515" t="s">
        <v>9368</v>
      </c>
      <c r="N52" s="1515" t="s">
        <v>9156</v>
      </c>
      <c r="O52" s="1515" t="s">
        <v>9598</v>
      </c>
      <c r="P52" s="1675" t="s">
        <v>8563</v>
      </c>
      <c r="Q52" s="1515" t="s">
        <v>9599</v>
      </c>
      <c r="R52" s="1515" t="s">
        <v>5756</v>
      </c>
      <c r="S52" s="1515" t="s">
        <v>1159</v>
      </c>
      <c r="T52" s="1515" t="s">
        <v>9600</v>
      </c>
      <c r="U52" s="1515" t="s">
        <v>1008</v>
      </c>
      <c r="V52" s="1515" t="s">
        <v>451</v>
      </c>
      <c r="W52" s="1515" t="s">
        <v>9601</v>
      </c>
      <c r="X52" s="1515" t="s">
        <v>307</v>
      </c>
      <c r="Y52" s="1515" t="s">
        <v>9602</v>
      </c>
      <c r="Z52" s="1515" t="s">
        <v>7362</v>
      </c>
      <c r="AA52" s="1515" t="s">
        <v>6021</v>
      </c>
      <c r="AB52" s="1515" t="s">
        <v>4432</v>
      </c>
      <c r="AC52" s="1515" t="s">
        <v>6050</v>
      </c>
      <c r="AD52" s="1515" t="s">
        <v>9603</v>
      </c>
      <c r="AE52" s="1675" t="s">
        <v>8575</v>
      </c>
      <c r="AF52" s="1675" t="s">
        <v>2668</v>
      </c>
      <c r="AG52" s="1515" t="s">
        <v>4571</v>
      </c>
      <c r="AH52" s="1515" t="s">
        <v>9604</v>
      </c>
      <c r="AI52" s="1515" t="s">
        <v>9605</v>
      </c>
      <c r="AJ52" s="1515" t="s">
        <v>9606</v>
      </c>
      <c r="AK52" s="1515" t="s">
        <v>5917</v>
      </c>
      <c r="AL52" s="1515" t="s">
        <v>6135</v>
      </c>
      <c r="AM52" s="1675" t="s">
        <v>8579</v>
      </c>
      <c r="AN52" s="1517" t="s">
        <v>2464</v>
      </c>
      <c r="AO52" s="1515" t="s">
        <v>4905</v>
      </c>
      <c r="AP52" s="1515" t="s">
        <v>9607</v>
      </c>
      <c r="AQ52" s="1515" t="s">
        <v>9608</v>
      </c>
      <c r="AR52" s="1515" t="s">
        <v>9043</v>
      </c>
      <c r="AS52" s="1515" t="s">
        <v>4437</v>
      </c>
      <c r="AT52" s="1515" t="s">
        <v>9609</v>
      </c>
      <c r="AU52" s="1515" t="s">
        <v>9610</v>
      </c>
      <c r="AV52" s="1515" t="str">
        <f t="shared" si="1"/>
        <v>3:15</v>
      </c>
      <c r="AW52" s="1595" t="s">
        <v>9611</v>
      </c>
    </row>
    <row r="53">
      <c r="A53" s="1552" t="s">
        <v>1806</v>
      </c>
      <c r="B53" s="1550" t="s">
        <v>8498</v>
      </c>
      <c r="C53" s="1505">
        <v>0.05133101851851852</v>
      </c>
      <c r="D53" s="1660" t="s">
        <v>9612</v>
      </c>
      <c r="E53" s="1557" t="s">
        <v>9613</v>
      </c>
      <c r="F53" s="1557" t="s">
        <v>9614</v>
      </c>
      <c r="G53" s="1557" t="s">
        <v>9615</v>
      </c>
      <c r="H53" s="1649" t="s">
        <v>9616</v>
      </c>
      <c r="I53" s="1649" t="s">
        <v>2940</v>
      </c>
      <c r="J53" s="1559" t="s">
        <v>1939</v>
      </c>
      <c r="K53" s="1559" t="s">
        <v>9617</v>
      </c>
      <c r="L53" s="1559" t="s">
        <v>4166</v>
      </c>
      <c r="M53" s="1559" t="s">
        <v>9618</v>
      </c>
      <c r="N53" s="1559" t="s">
        <v>8751</v>
      </c>
      <c r="O53" s="1559" t="s">
        <v>9619</v>
      </c>
      <c r="P53" s="1559" t="s">
        <v>8681</v>
      </c>
      <c r="Q53" s="1561" t="s">
        <v>9620</v>
      </c>
      <c r="R53" s="1561" t="s">
        <v>9412</v>
      </c>
      <c r="S53" s="1561" t="s">
        <v>9621</v>
      </c>
      <c r="T53" s="1561" t="s">
        <v>9417</v>
      </c>
      <c r="U53" s="1561" t="s">
        <v>9622</v>
      </c>
      <c r="V53" s="1561" t="s">
        <v>9192</v>
      </c>
      <c r="W53" s="1562" t="s">
        <v>9623</v>
      </c>
      <c r="X53" s="1562" t="s">
        <v>9624</v>
      </c>
      <c r="Y53" s="1562" t="s">
        <v>5465</v>
      </c>
      <c r="Z53" s="1562" t="s">
        <v>1504</v>
      </c>
      <c r="AA53" s="1562" t="s">
        <v>9625</v>
      </c>
      <c r="AB53" s="1562" t="s">
        <v>6199</v>
      </c>
      <c r="AC53" s="1562" t="s">
        <v>260</v>
      </c>
      <c r="AD53" s="1557" t="s">
        <v>8962</v>
      </c>
      <c r="AE53" s="1557" t="s">
        <v>5465</v>
      </c>
      <c r="AF53" s="1563" t="s">
        <v>9626</v>
      </c>
      <c r="AG53" s="1563" t="s">
        <v>5709</v>
      </c>
      <c r="AH53" s="1563" t="s">
        <v>3997</v>
      </c>
      <c r="AI53" s="1563" t="s">
        <v>9627</v>
      </c>
      <c r="AJ53" s="1563" t="s">
        <v>9628</v>
      </c>
      <c r="AK53" s="1563" t="s">
        <v>9552</v>
      </c>
      <c r="AL53" s="1563" t="s">
        <v>4000</v>
      </c>
      <c r="AM53" s="1565" t="s">
        <v>9629</v>
      </c>
      <c r="AN53" s="1565" t="s">
        <v>4006</v>
      </c>
      <c r="AO53" s="1565" t="s">
        <v>9630</v>
      </c>
      <c r="AP53" s="1565" t="s">
        <v>9631</v>
      </c>
      <c r="AQ53" s="1565" t="s">
        <v>9230</v>
      </c>
      <c r="AR53" s="1565" t="s">
        <v>9632</v>
      </c>
      <c r="AS53" s="1565" t="s">
        <v>9633</v>
      </c>
      <c r="AT53" s="1559" t="s">
        <v>9634</v>
      </c>
      <c r="AU53" s="1545" t="s">
        <v>9635</v>
      </c>
      <c r="AV53" s="1515" t="str">
        <f t="shared" si="1"/>
        <v>1:34</v>
      </c>
      <c r="AW53" s="1651"/>
    </row>
    <row r="54">
      <c r="A54" s="1552" t="s">
        <v>2960</v>
      </c>
      <c r="B54" s="1550" t="s">
        <v>8498</v>
      </c>
      <c r="C54" s="1505">
        <v>0.05134259259259259</v>
      </c>
      <c r="D54" s="1557" t="s">
        <v>9636</v>
      </c>
      <c r="E54" s="1557" t="s">
        <v>6404</v>
      </c>
      <c r="F54" s="1557" t="s">
        <v>9637</v>
      </c>
      <c r="G54" s="1557" t="s">
        <v>9638</v>
      </c>
      <c r="H54" s="1557" t="s">
        <v>9639</v>
      </c>
      <c r="I54" s="1557" t="s">
        <v>1292</v>
      </c>
      <c r="J54" s="1559" t="s">
        <v>4983</v>
      </c>
      <c r="K54" s="1559" t="s">
        <v>7246</v>
      </c>
      <c r="L54" s="1559" t="s">
        <v>4820</v>
      </c>
      <c r="M54" s="1559" t="s">
        <v>3543</v>
      </c>
      <c r="N54" s="1559" t="s">
        <v>2000</v>
      </c>
      <c r="O54" s="1559" t="s">
        <v>9640</v>
      </c>
      <c r="P54" s="1559" t="s">
        <v>4529</v>
      </c>
      <c r="Q54" s="1561" t="s">
        <v>9641</v>
      </c>
      <c r="R54" s="1561" t="s">
        <v>2550</v>
      </c>
      <c r="S54" s="1561" t="s">
        <v>9642</v>
      </c>
      <c r="T54" s="1561" t="s">
        <v>9643</v>
      </c>
      <c r="U54" s="1561" t="s">
        <v>9509</v>
      </c>
      <c r="V54" s="1561" t="s">
        <v>8796</v>
      </c>
      <c r="W54" s="1562" t="s">
        <v>9644</v>
      </c>
      <c r="X54" s="1562" t="s">
        <v>8576</v>
      </c>
      <c r="Y54" s="1562" t="s">
        <v>9242</v>
      </c>
      <c r="Z54" s="1562" t="s">
        <v>3006</v>
      </c>
      <c r="AA54" s="1517" t="s">
        <v>590</v>
      </c>
      <c r="AB54" s="1562" t="s">
        <v>8878</v>
      </c>
      <c r="AC54" s="1562" t="s">
        <v>9116</v>
      </c>
      <c r="AD54" s="1557" t="s">
        <v>9645</v>
      </c>
      <c r="AE54" s="1557" t="s">
        <v>9646</v>
      </c>
      <c r="AF54" s="1563" t="s">
        <v>9647</v>
      </c>
      <c r="AG54" s="1563" t="s">
        <v>9648</v>
      </c>
      <c r="AH54" s="1563" t="s">
        <v>1831</v>
      </c>
      <c r="AI54" s="1563" t="s">
        <v>418</v>
      </c>
      <c r="AJ54" s="1563" t="s">
        <v>9649</v>
      </c>
      <c r="AK54" s="1563" t="s">
        <v>9650</v>
      </c>
      <c r="AL54" s="1563" t="s">
        <v>5606</v>
      </c>
      <c r="AM54" s="1565" t="s">
        <v>9651</v>
      </c>
      <c r="AN54" s="1565" t="s">
        <v>6358</v>
      </c>
      <c r="AO54" s="1565" t="s">
        <v>9652</v>
      </c>
      <c r="AP54" s="1565" t="s">
        <v>9653</v>
      </c>
      <c r="AQ54" s="1565" t="s">
        <v>9230</v>
      </c>
      <c r="AR54" s="1565" t="s">
        <v>9654</v>
      </c>
      <c r="AS54" s="1565" t="s">
        <v>1830</v>
      </c>
      <c r="AT54" s="1559" t="s">
        <v>9655</v>
      </c>
      <c r="AU54" s="1545" t="s">
        <v>9542</v>
      </c>
      <c r="AV54" s="1515" t="str">
        <f t="shared" si="1"/>
        <v>2:56</v>
      </c>
      <c r="AW54" s="1551" t="s">
        <v>9656</v>
      </c>
    </row>
    <row r="55" ht="15.75" customHeight="1">
      <c r="A55" s="1519" t="s">
        <v>1417</v>
      </c>
      <c r="B55" s="1674" t="s">
        <v>8554</v>
      </c>
      <c r="C55" s="1652">
        <v>0.05134259259259259</v>
      </c>
      <c r="D55" s="1313" t="s">
        <v>9657</v>
      </c>
      <c r="E55" s="1586" t="s">
        <v>9658</v>
      </c>
      <c r="F55" s="1586" t="s">
        <v>9637</v>
      </c>
      <c r="G55" s="1586" t="s">
        <v>9659</v>
      </c>
      <c r="H55" s="1558" t="s">
        <v>9660</v>
      </c>
      <c r="I55" s="1676" t="s">
        <v>348</v>
      </c>
      <c r="J55" s="1588" t="s">
        <v>9661</v>
      </c>
      <c r="K55" s="1588" t="s">
        <v>3849</v>
      </c>
      <c r="L55" s="1677" t="s">
        <v>3773</v>
      </c>
      <c r="M55" s="1588" t="s">
        <v>5575</v>
      </c>
      <c r="N55" s="1588" t="s">
        <v>9662</v>
      </c>
      <c r="O55" s="1677" t="s">
        <v>8562</v>
      </c>
      <c r="P55" s="1588" t="s">
        <v>386</v>
      </c>
      <c r="Q55" s="1589" t="s">
        <v>9663</v>
      </c>
      <c r="R55" s="1589" t="s">
        <v>1624</v>
      </c>
      <c r="S55" s="1589" t="s">
        <v>9664</v>
      </c>
      <c r="T55" s="1678" t="s">
        <v>8566</v>
      </c>
      <c r="U55" s="1589" t="s">
        <v>9665</v>
      </c>
      <c r="V55" s="1589" t="s">
        <v>3999</v>
      </c>
      <c r="W55" s="1679" t="s">
        <v>8569</v>
      </c>
      <c r="X55" s="1590" t="s">
        <v>4287</v>
      </c>
      <c r="Y55" s="1590" t="s">
        <v>6407</v>
      </c>
      <c r="Z55" s="1590" t="s">
        <v>7619</v>
      </c>
      <c r="AA55" s="1590" t="s">
        <v>9077</v>
      </c>
      <c r="AB55" s="1679" t="s">
        <v>8573</v>
      </c>
      <c r="AC55" s="1590" t="s">
        <v>6497</v>
      </c>
      <c r="AD55" s="1565" t="s">
        <v>9666</v>
      </c>
      <c r="AE55" s="1586" t="s">
        <v>9667</v>
      </c>
      <c r="AF55" s="1591" t="s">
        <v>9668</v>
      </c>
      <c r="AG55" s="1591" t="s">
        <v>9669</v>
      </c>
      <c r="AH55" s="1591" t="s">
        <v>9670</v>
      </c>
      <c r="AI55" s="1591" t="s">
        <v>9671</v>
      </c>
      <c r="AJ55" s="1591" t="s">
        <v>9672</v>
      </c>
      <c r="AK55" s="1680" t="s">
        <v>972</v>
      </c>
      <c r="AL55" s="1591" t="s">
        <v>1568</v>
      </c>
      <c r="AM55" s="1564" t="s">
        <v>9535</v>
      </c>
      <c r="AN55" s="1565" t="s">
        <v>4105</v>
      </c>
      <c r="AO55" s="1564" t="s">
        <v>9673</v>
      </c>
      <c r="AP55" s="1564" t="s">
        <v>9674</v>
      </c>
      <c r="AQ55" s="1564" t="s">
        <v>9675</v>
      </c>
      <c r="AR55" s="1564" t="s">
        <v>8591</v>
      </c>
      <c r="AS55" s="1564" t="s">
        <v>4618</v>
      </c>
      <c r="AT55" s="1588" t="s">
        <v>9676</v>
      </c>
      <c r="AU55" s="1592" t="s">
        <v>9677</v>
      </c>
      <c r="AV55" s="1515" t="str">
        <f t="shared" si="1"/>
        <v>1:58</v>
      </c>
      <c r="AW55" s="1651"/>
    </row>
    <row r="56" ht="15.75" customHeight="1">
      <c r="A56" s="1503" t="s">
        <v>3368</v>
      </c>
      <c r="B56" s="1504" t="s">
        <v>8498</v>
      </c>
      <c r="C56" s="1652">
        <v>0.05134259259259259</v>
      </c>
      <c r="D56" s="1313" t="s">
        <v>9678</v>
      </c>
      <c r="E56" s="1515" t="s">
        <v>9679</v>
      </c>
      <c r="F56" s="1515" t="s">
        <v>9680</v>
      </c>
      <c r="G56" s="1515" t="s">
        <v>7647</v>
      </c>
      <c r="H56" s="1515" t="s">
        <v>8740</v>
      </c>
      <c r="I56" s="1515" t="s">
        <v>6138</v>
      </c>
      <c r="J56" s="1515" t="s">
        <v>9681</v>
      </c>
      <c r="K56" s="1515" t="s">
        <v>3859</v>
      </c>
      <c r="L56" s="1515" t="s">
        <v>9682</v>
      </c>
      <c r="M56" s="1515" t="s">
        <v>9683</v>
      </c>
      <c r="N56" s="1515" t="s">
        <v>2747</v>
      </c>
      <c r="O56" s="1515" t="s">
        <v>9684</v>
      </c>
      <c r="P56" s="1515" t="s">
        <v>1084</v>
      </c>
      <c r="Q56" s="1515" t="s">
        <v>2455</v>
      </c>
      <c r="R56" s="1515" t="s">
        <v>9412</v>
      </c>
      <c r="S56" s="1515" t="s">
        <v>9280</v>
      </c>
      <c r="T56" s="1515" t="s">
        <v>9685</v>
      </c>
      <c r="U56" s="1515" t="s">
        <v>9686</v>
      </c>
      <c r="V56" s="1515" t="s">
        <v>4103</v>
      </c>
      <c r="W56" s="1515" t="s">
        <v>9687</v>
      </c>
      <c r="X56" s="1515" t="s">
        <v>9688</v>
      </c>
      <c r="Y56" s="1515" t="s">
        <v>386</v>
      </c>
      <c r="Z56" s="1515" t="s">
        <v>7045</v>
      </c>
      <c r="AA56" s="1515" t="s">
        <v>9225</v>
      </c>
      <c r="AB56" s="1515" t="s">
        <v>8619</v>
      </c>
      <c r="AC56" s="1515" t="s">
        <v>935</v>
      </c>
      <c r="AD56" s="1515" t="s">
        <v>9689</v>
      </c>
      <c r="AE56" s="1515" t="s">
        <v>386</v>
      </c>
      <c r="AF56" s="1515" t="s">
        <v>9690</v>
      </c>
      <c r="AG56" s="1515" t="s">
        <v>9691</v>
      </c>
      <c r="AH56" s="1515" t="s">
        <v>5189</v>
      </c>
      <c r="AI56" s="1515" t="s">
        <v>9692</v>
      </c>
      <c r="AJ56" s="1515" t="s">
        <v>9628</v>
      </c>
      <c r="AK56" s="1515" t="s">
        <v>7384</v>
      </c>
      <c r="AL56" s="1515" t="s">
        <v>3341</v>
      </c>
      <c r="AM56" s="1515" t="s">
        <v>4129</v>
      </c>
      <c r="AN56" s="1515" t="s">
        <v>9693</v>
      </c>
      <c r="AO56" s="1515" t="s">
        <v>6333</v>
      </c>
      <c r="AP56" s="1515" t="s">
        <v>9694</v>
      </c>
      <c r="AQ56" s="1515" t="s">
        <v>9695</v>
      </c>
      <c r="AR56" s="1515" t="s">
        <v>9696</v>
      </c>
      <c r="AS56" s="1564" t="s">
        <v>4409</v>
      </c>
      <c r="AT56" s="1515" t="s">
        <v>9697</v>
      </c>
      <c r="AU56" s="1515" t="s">
        <v>8920</v>
      </c>
      <c r="AV56" s="1515" t="str">
        <f t="shared" si="1"/>
        <v>2:27</v>
      </c>
      <c r="AW56" s="1595"/>
    </row>
    <row r="57" ht="15.75" customHeight="1">
      <c r="A57" s="1552" t="s">
        <v>1349</v>
      </c>
      <c r="B57" s="1547" t="s">
        <v>8554</v>
      </c>
      <c r="C57" s="1505">
        <v>0.05140046296296296</v>
      </c>
      <c r="D57" s="1517" t="s">
        <v>9698</v>
      </c>
      <c r="E57" s="1517" t="s">
        <v>1659</v>
      </c>
      <c r="F57" s="1517" t="s">
        <v>9699</v>
      </c>
      <c r="G57" s="1663" t="s">
        <v>8558</v>
      </c>
      <c r="H57" s="1313" t="s">
        <v>9700</v>
      </c>
      <c r="I57" s="1517" t="s">
        <v>1756</v>
      </c>
      <c r="J57" s="1663" t="s">
        <v>8560</v>
      </c>
      <c r="K57" s="1517" t="s">
        <v>9701</v>
      </c>
      <c r="L57" s="1517" t="s">
        <v>9702</v>
      </c>
      <c r="M57" s="1663" t="s">
        <v>8561</v>
      </c>
      <c r="N57" s="1517" t="s">
        <v>9703</v>
      </c>
      <c r="O57" s="1517" t="s">
        <v>9704</v>
      </c>
      <c r="P57" s="1517" t="s">
        <v>1047</v>
      </c>
      <c r="Q57" s="1517" t="s">
        <v>9507</v>
      </c>
      <c r="R57" s="1517" t="s">
        <v>9705</v>
      </c>
      <c r="S57" s="1517" t="s">
        <v>9706</v>
      </c>
      <c r="T57" s="1517" t="s">
        <v>3276</v>
      </c>
      <c r="U57" s="1517" t="s">
        <v>9427</v>
      </c>
      <c r="V57" s="1517" t="s">
        <v>5746</v>
      </c>
      <c r="W57" s="1517" t="s">
        <v>9707</v>
      </c>
      <c r="X57" s="1517" t="s">
        <v>627</v>
      </c>
      <c r="Y57" s="1517" t="s">
        <v>9708</v>
      </c>
      <c r="Z57" s="1517" t="s">
        <v>9709</v>
      </c>
      <c r="AA57" s="1681" t="s">
        <v>8572</v>
      </c>
      <c r="AB57" s="1517" t="s">
        <v>5885</v>
      </c>
      <c r="AC57" s="1517" t="s">
        <v>9710</v>
      </c>
      <c r="AD57" s="1517" t="s">
        <v>8906</v>
      </c>
      <c r="AE57" s="1517" t="s">
        <v>2556</v>
      </c>
      <c r="AF57" s="1517" t="s">
        <v>9711</v>
      </c>
      <c r="AG57" s="1663" t="s">
        <v>4602</v>
      </c>
      <c r="AH57" s="1663" t="s">
        <v>5199</v>
      </c>
      <c r="AI57" s="1517" t="s">
        <v>9712</v>
      </c>
      <c r="AJ57" s="1517" t="s">
        <v>9713</v>
      </c>
      <c r="AK57" s="1517" t="s">
        <v>7582</v>
      </c>
      <c r="AL57" s="1517" t="s">
        <v>3830</v>
      </c>
      <c r="AM57" s="1517" t="s">
        <v>9714</v>
      </c>
      <c r="AN57" s="1517" t="s">
        <v>3689</v>
      </c>
      <c r="AO57" s="1663" t="s">
        <v>8581</v>
      </c>
      <c r="AP57" s="1682" t="s">
        <v>8582</v>
      </c>
      <c r="AQ57" s="1517" t="s">
        <v>3300</v>
      </c>
      <c r="AR57" s="1517" t="s">
        <v>1620</v>
      </c>
      <c r="AS57" s="1517" t="s">
        <v>5161</v>
      </c>
      <c r="AT57" s="1517" t="s">
        <v>9715</v>
      </c>
      <c r="AU57" s="1517" t="s">
        <v>8920</v>
      </c>
      <c r="AV57" s="1515" t="str">
        <f t="shared" si="1"/>
        <v>2:22</v>
      </c>
      <c r="AW57" s="1548" t="s">
        <v>9716</v>
      </c>
    </row>
    <row r="58" ht="15.75" customHeight="1">
      <c r="A58" s="1552" t="s">
        <v>3983</v>
      </c>
      <c r="B58" s="1550" t="s">
        <v>8498</v>
      </c>
      <c r="C58" s="1505">
        <v>0.05153935185185185</v>
      </c>
      <c r="D58" s="1604" t="s">
        <v>9717</v>
      </c>
      <c r="E58" s="1604" t="s">
        <v>6690</v>
      </c>
      <c r="F58" s="1604" t="s">
        <v>9718</v>
      </c>
      <c r="G58" s="1604" t="s">
        <v>4913</v>
      </c>
      <c r="H58" s="1313" t="s">
        <v>9719</v>
      </c>
      <c r="I58" s="1604" t="s">
        <v>1292</v>
      </c>
      <c r="J58" s="1604" t="s">
        <v>9720</v>
      </c>
      <c r="K58" s="1604" t="s">
        <v>3577</v>
      </c>
      <c r="L58" s="1604" t="s">
        <v>4204</v>
      </c>
      <c r="M58" s="1604" t="s">
        <v>7177</v>
      </c>
      <c r="N58" s="1604" t="s">
        <v>9721</v>
      </c>
      <c r="O58" s="1604" t="s">
        <v>3766</v>
      </c>
      <c r="P58" s="1604" t="s">
        <v>7014</v>
      </c>
      <c r="Q58" s="1604" t="s">
        <v>9722</v>
      </c>
      <c r="R58" s="1604" t="s">
        <v>3426</v>
      </c>
      <c r="S58" s="1683" t="s">
        <v>9366</v>
      </c>
      <c r="T58" s="1604" t="s">
        <v>9176</v>
      </c>
      <c r="U58" s="1604" t="s">
        <v>9723</v>
      </c>
      <c r="V58" s="1604" t="s">
        <v>1788</v>
      </c>
      <c r="W58" s="1604" t="s">
        <v>9724</v>
      </c>
      <c r="X58" s="1604" t="s">
        <v>1676</v>
      </c>
      <c r="Y58" s="1604" t="s">
        <v>3626</v>
      </c>
      <c r="Z58" s="1604" t="s">
        <v>7353</v>
      </c>
      <c r="AA58" s="1604" t="s">
        <v>894</v>
      </c>
      <c r="AB58" s="1604" t="s">
        <v>9725</v>
      </c>
      <c r="AC58" s="1604" t="s">
        <v>9710</v>
      </c>
      <c r="AD58" s="1604" t="s">
        <v>9726</v>
      </c>
      <c r="AE58" s="1604" t="s">
        <v>4253</v>
      </c>
      <c r="AF58" s="1507" t="s">
        <v>9727</v>
      </c>
      <c r="AG58" s="1604" t="s">
        <v>9728</v>
      </c>
      <c r="AH58" s="1604" t="s">
        <v>9729</v>
      </c>
      <c r="AI58" s="1604" t="s">
        <v>9730</v>
      </c>
      <c r="AJ58" s="1604" t="s">
        <v>9731</v>
      </c>
      <c r="AK58" s="1604" t="s">
        <v>5087</v>
      </c>
      <c r="AL58" s="1604" t="s">
        <v>9537</v>
      </c>
      <c r="AM58" s="1604" t="s">
        <v>9712</v>
      </c>
      <c r="AN58" s="1604" t="s">
        <v>2545</v>
      </c>
      <c r="AO58" s="1604" t="s">
        <v>5630</v>
      </c>
      <c r="AP58" s="1683" t="s">
        <v>9475</v>
      </c>
      <c r="AQ58" s="1604" t="s">
        <v>9732</v>
      </c>
      <c r="AR58" s="1604" t="s">
        <v>4983</v>
      </c>
      <c r="AS58" s="1604" t="s">
        <v>9143</v>
      </c>
      <c r="AT58" s="1604" t="s">
        <v>9733</v>
      </c>
      <c r="AU58" s="1604" t="s">
        <v>9734</v>
      </c>
      <c r="AV58" s="1684" t="str">
        <f t="shared" si="1"/>
        <v>2:41</v>
      </c>
      <c r="AW58" s="1685" t="s">
        <v>9735</v>
      </c>
    </row>
    <row r="59" ht="15.75" customHeight="1">
      <c r="A59" s="1503" t="s">
        <v>1950</v>
      </c>
      <c r="B59" s="1504" t="s">
        <v>8498</v>
      </c>
      <c r="C59" s="1505">
        <v>0.05157407407407407</v>
      </c>
      <c r="D59" s="1313" t="s">
        <v>9736</v>
      </c>
      <c r="E59" s="1557" t="s">
        <v>9737</v>
      </c>
      <c r="F59" s="1557" t="s">
        <v>9738</v>
      </c>
      <c r="G59" s="1586" t="s">
        <v>9236</v>
      </c>
      <c r="H59" s="1558" t="s">
        <v>9739</v>
      </c>
      <c r="I59" s="1558" t="s">
        <v>2088</v>
      </c>
      <c r="J59" s="1588" t="s">
        <v>5435</v>
      </c>
      <c r="K59" s="1588" t="s">
        <v>3598</v>
      </c>
      <c r="L59" s="1588" t="s">
        <v>9740</v>
      </c>
      <c r="M59" s="1588" t="s">
        <v>9409</v>
      </c>
      <c r="N59" s="1588" t="s">
        <v>1229</v>
      </c>
      <c r="O59" s="1588" t="s">
        <v>9707</v>
      </c>
      <c r="P59" s="1588" t="s">
        <v>8728</v>
      </c>
      <c r="Q59" s="1589" t="s">
        <v>9741</v>
      </c>
      <c r="R59" s="1589" t="s">
        <v>9742</v>
      </c>
      <c r="S59" s="1589" t="s">
        <v>9743</v>
      </c>
      <c r="T59" s="1589" t="s">
        <v>7357</v>
      </c>
      <c r="U59" s="1589" t="s">
        <v>3160</v>
      </c>
      <c r="V59" s="1589" t="s">
        <v>5073</v>
      </c>
      <c r="W59" s="1590" t="s">
        <v>9744</v>
      </c>
      <c r="X59" s="1590" t="s">
        <v>9745</v>
      </c>
      <c r="Y59" s="1590" t="s">
        <v>9602</v>
      </c>
      <c r="Z59" s="1590" t="s">
        <v>8573</v>
      </c>
      <c r="AA59" s="1590" t="s">
        <v>5951</v>
      </c>
      <c r="AB59" s="1590" t="s">
        <v>5660</v>
      </c>
      <c r="AC59" s="1590" t="s">
        <v>6303</v>
      </c>
      <c r="AD59" s="1557" t="s">
        <v>9746</v>
      </c>
      <c r="AE59" s="1586" t="s">
        <v>5485</v>
      </c>
      <c r="AF59" s="1591" t="s">
        <v>9747</v>
      </c>
      <c r="AG59" s="1591" t="s">
        <v>9748</v>
      </c>
      <c r="AH59" s="1591" t="s">
        <v>9749</v>
      </c>
      <c r="AI59" s="1591" t="s">
        <v>1038</v>
      </c>
      <c r="AJ59" s="1591" t="s">
        <v>9750</v>
      </c>
      <c r="AK59" s="1563" t="s">
        <v>627</v>
      </c>
      <c r="AL59" s="1563" t="s">
        <v>9751</v>
      </c>
      <c r="AM59" s="1564" t="s">
        <v>3666</v>
      </c>
      <c r="AN59" s="1564" t="s">
        <v>9752</v>
      </c>
      <c r="AO59" s="1564" t="s">
        <v>9753</v>
      </c>
      <c r="AP59" s="1564" t="s">
        <v>9754</v>
      </c>
      <c r="AQ59" s="1564" t="s">
        <v>9755</v>
      </c>
      <c r="AR59" s="1565" t="s">
        <v>7842</v>
      </c>
      <c r="AS59" s="1564" t="s">
        <v>4409</v>
      </c>
      <c r="AT59" s="1588" t="s">
        <v>9756</v>
      </c>
      <c r="AU59" s="1592" t="s">
        <v>9757</v>
      </c>
      <c r="AV59" s="1515" t="str">
        <f t="shared" si="1"/>
        <v>4:40</v>
      </c>
      <c r="AW59" s="1651" t="s">
        <v>9758</v>
      </c>
    </row>
    <row r="60" ht="15.75" customHeight="1">
      <c r="A60" s="1552" t="s">
        <v>9759</v>
      </c>
      <c r="B60" s="1550" t="s">
        <v>8498</v>
      </c>
      <c r="C60" s="1505">
        <v>0.051631944444444446</v>
      </c>
      <c r="D60" s="1557" t="s">
        <v>9760</v>
      </c>
      <c r="E60" s="1557" t="s">
        <v>6547</v>
      </c>
      <c r="F60" s="1557" t="s">
        <v>8735</v>
      </c>
      <c r="G60" s="1557" t="s">
        <v>9761</v>
      </c>
      <c r="H60" s="1649" t="s">
        <v>9762</v>
      </c>
      <c r="I60" s="1649" t="s">
        <v>9763</v>
      </c>
      <c r="J60" s="1559" t="s">
        <v>9764</v>
      </c>
      <c r="K60" s="1559" t="s">
        <v>7582</v>
      </c>
      <c r="L60" s="1559" t="s">
        <v>4456</v>
      </c>
      <c r="M60" s="1559" t="s">
        <v>9765</v>
      </c>
      <c r="N60" s="1559" t="s">
        <v>6013</v>
      </c>
      <c r="O60" s="1559" t="s">
        <v>9766</v>
      </c>
      <c r="P60" s="1559" t="s">
        <v>2239</v>
      </c>
      <c r="Q60" s="1561" t="s">
        <v>9767</v>
      </c>
      <c r="R60" s="1561" t="s">
        <v>5756</v>
      </c>
      <c r="S60" s="1561" t="s">
        <v>5588</v>
      </c>
      <c r="T60" s="1561" t="s">
        <v>6126</v>
      </c>
      <c r="U60" s="1561" t="s">
        <v>9768</v>
      </c>
      <c r="V60" s="1561" t="s">
        <v>9769</v>
      </c>
      <c r="W60" s="1562" t="s">
        <v>9770</v>
      </c>
      <c r="X60" s="1562" t="s">
        <v>627</v>
      </c>
      <c r="Y60" s="1562" t="s">
        <v>5063</v>
      </c>
      <c r="Z60" s="1562" t="s">
        <v>9771</v>
      </c>
      <c r="AA60" s="1517" t="s">
        <v>9772</v>
      </c>
      <c r="AB60" s="1562" t="s">
        <v>9376</v>
      </c>
      <c r="AC60" s="1562" t="s">
        <v>4677</v>
      </c>
      <c r="AD60" s="1557" t="s">
        <v>9773</v>
      </c>
      <c r="AE60" s="1557" t="s">
        <v>9067</v>
      </c>
      <c r="AF60" s="1686" t="s">
        <v>9774</v>
      </c>
      <c r="AG60" s="1563" t="s">
        <v>6657</v>
      </c>
      <c r="AH60" s="1563" t="s">
        <v>9749</v>
      </c>
      <c r="AI60" s="1563" t="s">
        <v>4052</v>
      </c>
      <c r="AJ60" s="1563" t="s">
        <v>9775</v>
      </c>
      <c r="AK60" s="1563" t="s">
        <v>1525</v>
      </c>
      <c r="AL60" s="1563" t="s">
        <v>3519</v>
      </c>
      <c r="AM60" s="1565" t="s">
        <v>5951</v>
      </c>
      <c r="AN60" s="1565" t="s">
        <v>5606</v>
      </c>
      <c r="AO60" s="1565" t="s">
        <v>6485</v>
      </c>
      <c r="AP60" s="1565" t="s">
        <v>9776</v>
      </c>
      <c r="AQ60" s="1565" t="s">
        <v>3606</v>
      </c>
      <c r="AR60" s="1565" t="s">
        <v>9342</v>
      </c>
      <c r="AS60" s="1565" t="s">
        <v>4026</v>
      </c>
      <c r="AT60" s="1559" t="s">
        <v>9777</v>
      </c>
      <c r="AU60" s="1545" t="s">
        <v>9778</v>
      </c>
      <c r="AV60" s="1515" t="str">
        <f t="shared" si="1"/>
        <v>2:25</v>
      </c>
      <c r="AW60" s="1607" t="s">
        <v>9779</v>
      </c>
    </row>
    <row r="61" ht="15.75" customHeight="1">
      <c r="A61" s="1605" t="s">
        <v>9780</v>
      </c>
      <c r="B61" s="1504" t="s">
        <v>8498</v>
      </c>
      <c r="C61" s="1652">
        <v>0.051631944444444446</v>
      </c>
      <c r="D61" s="1313" t="s">
        <v>9781</v>
      </c>
      <c r="E61" s="1684" t="s">
        <v>9782</v>
      </c>
      <c r="F61" s="1684" t="s">
        <v>8582</v>
      </c>
      <c r="G61" s="1684" t="s">
        <v>9783</v>
      </c>
      <c r="H61" s="1684" t="s">
        <v>9784</v>
      </c>
      <c r="I61" s="1684" t="s">
        <v>9710</v>
      </c>
      <c r="J61" s="1684" t="s">
        <v>3599</v>
      </c>
      <c r="K61" s="1684" t="s">
        <v>9785</v>
      </c>
      <c r="L61" s="1684" t="s">
        <v>5380</v>
      </c>
      <c r="M61" s="1684" t="s">
        <v>712</v>
      </c>
      <c r="N61" s="1684" t="s">
        <v>9786</v>
      </c>
      <c r="O61" s="1684" t="s">
        <v>4687</v>
      </c>
      <c r="P61" s="1684" t="s">
        <v>8534</v>
      </c>
      <c r="Q61" s="1684" t="s">
        <v>3172</v>
      </c>
      <c r="R61" s="1684" t="s">
        <v>9787</v>
      </c>
      <c r="S61" s="1684" t="s">
        <v>9564</v>
      </c>
      <c r="T61" s="1684" t="s">
        <v>9629</v>
      </c>
      <c r="U61" s="1684" t="s">
        <v>9788</v>
      </c>
      <c r="V61" s="1684" t="s">
        <v>9789</v>
      </c>
      <c r="W61" s="1684" t="s">
        <v>9790</v>
      </c>
      <c r="X61" s="1684" t="s">
        <v>9712</v>
      </c>
      <c r="Y61" s="1684" t="s">
        <v>4677</v>
      </c>
      <c r="Z61" s="1684" t="s">
        <v>7282</v>
      </c>
      <c r="AA61" s="1684" t="s">
        <v>5755</v>
      </c>
      <c r="AB61" s="1684" t="s">
        <v>9791</v>
      </c>
      <c r="AC61" s="1684" t="s">
        <v>386</v>
      </c>
      <c r="AD61" s="1684" t="s">
        <v>5975</v>
      </c>
      <c r="AE61" s="1684" t="s">
        <v>2940</v>
      </c>
      <c r="AF61" s="1684" t="s">
        <v>9481</v>
      </c>
      <c r="AG61" s="1684" t="s">
        <v>9792</v>
      </c>
      <c r="AH61" s="1684" t="s">
        <v>5341</v>
      </c>
      <c r="AI61" s="1684" t="s">
        <v>4071</v>
      </c>
      <c r="AJ61" s="1684" t="s">
        <v>9793</v>
      </c>
      <c r="AK61" s="1684" t="s">
        <v>9625</v>
      </c>
      <c r="AL61" s="1684" t="s">
        <v>4481</v>
      </c>
      <c r="AM61" s="1684" t="s">
        <v>9794</v>
      </c>
      <c r="AN61" s="1684" t="s">
        <v>8360</v>
      </c>
      <c r="AO61" s="1684" t="s">
        <v>5098</v>
      </c>
      <c r="AP61" s="1684" t="s">
        <v>9795</v>
      </c>
      <c r="AQ61" s="1684" t="s">
        <v>3632</v>
      </c>
      <c r="AR61" s="1684" t="s">
        <v>9158</v>
      </c>
      <c r="AS61" s="1684" t="s">
        <v>4663</v>
      </c>
      <c r="AT61" s="1684" t="s">
        <v>9796</v>
      </c>
      <c r="AU61" s="1687" t="str">
        <f>HYPERLINK("https://splits.io/pc9","1:16:48")</f>
        <v>1:16:48</v>
      </c>
      <c r="AV61" s="1684" t="str">
        <f t="shared" si="1"/>
        <v>2:27</v>
      </c>
      <c r="AW61" s="1688" t="s">
        <v>9797</v>
      </c>
    </row>
    <row r="62" ht="15.75" customHeight="1">
      <c r="A62" s="1503" t="s">
        <v>5657</v>
      </c>
      <c r="B62" s="1504" t="s">
        <v>8498</v>
      </c>
      <c r="C62" s="1652">
        <v>0.051631944444444446</v>
      </c>
      <c r="D62" s="1313" t="s">
        <v>9798</v>
      </c>
      <c r="E62" s="1684" t="s">
        <v>6690</v>
      </c>
      <c r="F62" s="1684" t="s">
        <v>9799</v>
      </c>
      <c r="G62" s="1684" t="s">
        <v>5273</v>
      </c>
      <c r="H62" s="1684" t="s">
        <v>9388</v>
      </c>
      <c r="I62" s="1684" t="s">
        <v>4677</v>
      </c>
      <c r="J62" s="1684" t="s">
        <v>8725</v>
      </c>
      <c r="K62" s="1684" t="s">
        <v>8396</v>
      </c>
      <c r="L62" s="1684" t="s">
        <v>5723</v>
      </c>
      <c r="M62" s="1684" t="s">
        <v>865</v>
      </c>
      <c r="N62" s="1684" t="s">
        <v>9800</v>
      </c>
      <c r="O62" s="1684" t="s">
        <v>9598</v>
      </c>
      <c r="P62" s="1684" t="s">
        <v>9484</v>
      </c>
      <c r="Q62" s="1684" t="s">
        <v>9801</v>
      </c>
      <c r="R62" s="1684" t="s">
        <v>9742</v>
      </c>
      <c r="S62" s="1684" t="s">
        <v>7238</v>
      </c>
      <c r="T62" s="1684" t="s">
        <v>9802</v>
      </c>
      <c r="U62" s="1684" t="s">
        <v>9803</v>
      </c>
      <c r="V62" s="1684" t="s">
        <v>9804</v>
      </c>
      <c r="W62" s="1684" t="s">
        <v>9805</v>
      </c>
      <c r="X62" s="1684" t="s">
        <v>9806</v>
      </c>
      <c r="Y62" s="1684" t="s">
        <v>1165</v>
      </c>
      <c r="Z62" s="1684" t="s">
        <v>4789</v>
      </c>
      <c r="AA62" s="1684" t="s">
        <v>9807</v>
      </c>
      <c r="AB62" s="1684" t="s">
        <v>7309</v>
      </c>
      <c r="AC62" s="1684" t="s">
        <v>9808</v>
      </c>
      <c r="AD62" s="1684" t="s">
        <v>9809</v>
      </c>
      <c r="AE62" s="1604" t="s">
        <v>5465</v>
      </c>
      <c r="AF62" s="1684" t="s">
        <v>9810</v>
      </c>
      <c r="AG62" s="1684" t="s">
        <v>9811</v>
      </c>
      <c r="AH62" s="1684" t="s">
        <v>2205</v>
      </c>
      <c r="AI62" s="1684" t="s">
        <v>5200</v>
      </c>
      <c r="AJ62" s="1684" t="s">
        <v>8179</v>
      </c>
      <c r="AK62" s="1684" t="s">
        <v>1705</v>
      </c>
      <c r="AL62" s="1684" t="s">
        <v>5606</v>
      </c>
      <c r="AM62" s="1684" t="s">
        <v>9812</v>
      </c>
      <c r="AN62" s="1684" t="s">
        <v>9813</v>
      </c>
      <c r="AO62" s="1684" t="s">
        <v>8774</v>
      </c>
      <c r="AP62" s="1684" t="s">
        <v>9814</v>
      </c>
      <c r="AQ62" s="1684" t="s">
        <v>9815</v>
      </c>
      <c r="AR62" s="1684" t="s">
        <v>4775</v>
      </c>
      <c r="AS62" s="1684" t="s">
        <v>3010</v>
      </c>
      <c r="AT62" s="1684" t="s">
        <v>9816</v>
      </c>
      <c r="AU62" s="1684" t="s">
        <v>9817</v>
      </c>
      <c r="AV62" s="1684" t="str">
        <f t="shared" si="1"/>
        <v>3:33</v>
      </c>
      <c r="AW62" s="1688"/>
    </row>
    <row r="63" ht="15.75" customHeight="1">
      <c r="A63" s="1503" t="s">
        <v>4208</v>
      </c>
      <c r="B63" s="1504" t="s">
        <v>8498</v>
      </c>
      <c r="C63" s="1652">
        <v>0.05164351851851852</v>
      </c>
      <c r="D63" s="1313" t="s">
        <v>9818</v>
      </c>
      <c r="E63" s="1684" t="s">
        <v>8671</v>
      </c>
      <c r="F63" s="1684" t="s">
        <v>9819</v>
      </c>
      <c r="G63" s="1684" t="s">
        <v>8558</v>
      </c>
      <c r="H63" s="1684" t="s">
        <v>9820</v>
      </c>
      <c r="I63" s="1684" t="s">
        <v>1292</v>
      </c>
      <c r="J63" s="1684" t="s">
        <v>804</v>
      </c>
      <c r="K63" s="1684" t="s">
        <v>7228</v>
      </c>
      <c r="L63" s="1684" t="s">
        <v>3667</v>
      </c>
      <c r="M63" s="1684" t="s">
        <v>9765</v>
      </c>
      <c r="N63" s="1684" t="s">
        <v>8842</v>
      </c>
      <c r="O63" s="1684" t="s">
        <v>9488</v>
      </c>
      <c r="P63" s="1684" t="s">
        <v>5145</v>
      </c>
      <c r="Q63" s="1684" t="s">
        <v>9821</v>
      </c>
      <c r="R63" s="1684" t="s">
        <v>9822</v>
      </c>
      <c r="S63" s="1684" t="s">
        <v>9823</v>
      </c>
      <c r="T63" s="1684" t="s">
        <v>9824</v>
      </c>
      <c r="U63" s="1684" t="s">
        <v>9825</v>
      </c>
      <c r="V63" s="1684" t="s">
        <v>9826</v>
      </c>
      <c r="W63" s="1684" t="s">
        <v>9827</v>
      </c>
      <c r="X63" s="1684" t="s">
        <v>606</v>
      </c>
      <c r="Y63" s="1684" t="s">
        <v>9828</v>
      </c>
      <c r="Z63" s="1684" t="s">
        <v>7619</v>
      </c>
      <c r="AA63" s="1684" t="s">
        <v>5592</v>
      </c>
      <c r="AB63" s="1684" t="s">
        <v>6486</v>
      </c>
      <c r="AC63" s="1684" t="s">
        <v>6629</v>
      </c>
      <c r="AD63" s="1684" t="s">
        <v>9829</v>
      </c>
      <c r="AE63" s="1684" t="s">
        <v>1921</v>
      </c>
      <c r="AF63" s="1684" t="s">
        <v>9830</v>
      </c>
      <c r="AG63" s="1684" t="s">
        <v>526</v>
      </c>
      <c r="AH63" s="1684" t="s">
        <v>5341</v>
      </c>
      <c r="AI63" s="1684" t="s">
        <v>9831</v>
      </c>
      <c r="AJ63" s="1684" t="s">
        <v>9832</v>
      </c>
      <c r="AK63" s="1684" t="s">
        <v>9833</v>
      </c>
      <c r="AL63" s="1684" t="s">
        <v>5142</v>
      </c>
      <c r="AM63" s="1684" t="s">
        <v>9284</v>
      </c>
      <c r="AN63" s="1684" t="s">
        <v>8926</v>
      </c>
      <c r="AO63" s="1684" t="s">
        <v>8591</v>
      </c>
      <c r="AP63" s="1684" t="s">
        <v>9834</v>
      </c>
      <c r="AQ63" s="1684" t="s">
        <v>9835</v>
      </c>
      <c r="AR63" s="1684" t="s">
        <v>3529</v>
      </c>
      <c r="AS63" s="1684" t="s">
        <v>9836</v>
      </c>
      <c r="AT63" s="1684" t="s">
        <v>9626</v>
      </c>
      <c r="AU63" s="1684" t="s">
        <v>9837</v>
      </c>
      <c r="AV63" s="1684" t="str">
        <f t="shared" si="1"/>
        <v>3:13</v>
      </c>
      <c r="AW63" s="1688" t="s">
        <v>9838</v>
      </c>
    </row>
    <row r="64" ht="15.75" customHeight="1">
      <c r="A64" s="1519" t="s">
        <v>826</v>
      </c>
      <c r="B64" s="1674" t="s">
        <v>8554</v>
      </c>
      <c r="C64" s="1652">
        <v>0.05167824074074074</v>
      </c>
      <c r="D64" s="1313" t="s">
        <v>9839</v>
      </c>
      <c r="E64" s="1684" t="s">
        <v>9840</v>
      </c>
      <c r="F64" s="1684" t="s">
        <v>5761</v>
      </c>
      <c r="G64" s="1684" t="s">
        <v>9841</v>
      </c>
      <c r="H64" s="1684" t="s">
        <v>9842</v>
      </c>
      <c r="I64" s="1684" t="s">
        <v>1909</v>
      </c>
      <c r="J64" s="1684" t="s">
        <v>9703</v>
      </c>
      <c r="K64" s="1684" t="s">
        <v>8821</v>
      </c>
      <c r="L64" s="1684" t="s">
        <v>1824</v>
      </c>
      <c r="M64" s="1684" t="s">
        <v>7341</v>
      </c>
      <c r="N64" s="1684" t="s">
        <v>9843</v>
      </c>
      <c r="O64" s="1684" t="s">
        <v>9844</v>
      </c>
      <c r="P64" s="1684" t="s">
        <v>2405</v>
      </c>
      <c r="Q64" s="1684" t="s">
        <v>720</v>
      </c>
      <c r="R64" s="1684" t="s">
        <v>9845</v>
      </c>
      <c r="S64" s="1684" t="s">
        <v>9846</v>
      </c>
      <c r="T64" s="1684" t="s">
        <v>9847</v>
      </c>
      <c r="U64" s="1684" t="s">
        <v>9442</v>
      </c>
      <c r="V64" s="1684" t="s">
        <v>487</v>
      </c>
      <c r="W64" s="1684" t="s">
        <v>5815</v>
      </c>
      <c r="X64" s="1684" t="s">
        <v>9848</v>
      </c>
      <c r="Y64" s="1684" t="s">
        <v>869</v>
      </c>
      <c r="Z64" s="1684" t="s">
        <v>3960</v>
      </c>
      <c r="AA64" s="1684" t="s">
        <v>1621</v>
      </c>
      <c r="AB64" s="1684" t="s">
        <v>9849</v>
      </c>
      <c r="AC64" s="1684" t="s">
        <v>9850</v>
      </c>
      <c r="AD64" s="1604" t="s">
        <v>9851</v>
      </c>
      <c r="AE64" s="1684" t="s">
        <v>1935</v>
      </c>
      <c r="AF64" s="1684" t="s">
        <v>9327</v>
      </c>
      <c r="AG64" s="1684" t="s">
        <v>6768</v>
      </c>
      <c r="AH64" s="1684" t="s">
        <v>4456</v>
      </c>
      <c r="AI64" s="1684" t="s">
        <v>6244</v>
      </c>
      <c r="AJ64" s="1684" t="s">
        <v>9852</v>
      </c>
      <c r="AK64" s="1684" t="s">
        <v>8631</v>
      </c>
      <c r="AL64" s="1684" t="s">
        <v>5199</v>
      </c>
      <c r="AM64" s="1684" t="s">
        <v>9853</v>
      </c>
      <c r="AN64" s="1684" t="s">
        <v>9854</v>
      </c>
      <c r="AO64" s="1684" t="s">
        <v>9855</v>
      </c>
      <c r="AP64" s="1684" t="s">
        <v>9856</v>
      </c>
      <c r="AQ64" s="1684" t="s">
        <v>9857</v>
      </c>
      <c r="AR64" s="1684" t="s">
        <v>9858</v>
      </c>
      <c r="AS64" s="1684" t="s">
        <v>9859</v>
      </c>
      <c r="AT64" s="1684" t="s">
        <v>9860</v>
      </c>
      <c r="AU64" s="1684" t="s">
        <v>9861</v>
      </c>
      <c r="AV64" s="1684" t="str">
        <f t="shared" si="1"/>
        <v>2:51</v>
      </c>
      <c r="AW64" s="1689"/>
    </row>
    <row r="65" ht="15.75" customHeight="1">
      <c r="A65" s="1552" t="s">
        <v>4624</v>
      </c>
      <c r="B65" s="1581" t="s">
        <v>8529</v>
      </c>
      <c r="C65" s="1652">
        <v>0.05170138888888889</v>
      </c>
      <c r="D65" s="1313" t="s">
        <v>9862</v>
      </c>
      <c r="E65" s="1684" t="s">
        <v>4245</v>
      </c>
      <c r="F65" s="1684" t="s">
        <v>9432</v>
      </c>
      <c r="G65" s="1684" t="s">
        <v>8859</v>
      </c>
      <c r="H65" s="1684" t="s">
        <v>9863</v>
      </c>
      <c r="I65" s="1684" t="s">
        <v>9864</v>
      </c>
      <c r="J65" s="1684" t="s">
        <v>9447</v>
      </c>
      <c r="K65" s="1684" t="s">
        <v>8774</v>
      </c>
      <c r="L65" s="1684" t="s">
        <v>4029</v>
      </c>
      <c r="M65" s="1684" t="s">
        <v>7540</v>
      </c>
      <c r="N65" s="1684" t="s">
        <v>5991</v>
      </c>
      <c r="O65" s="1684" t="s">
        <v>9548</v>
      </c>
      <c r="P65" s="1684" t="s">
        <v>482</v>
      </c>
      <c r="Q65" s="1684" t="s">
        <v>2822</v>
      </c>
      <c r="R65" s="1684" t="s">
        <v>9865</v>
      </c>
      <c r="S65" s="1684" t="s">
        <v>9753</v>
      </c>
      <c r="T65" s="1684" t="s">
        <v>2747</v>
      </c>
      <c r="U65" s="1684" t="s">
        <v>9866</v>
      </c>
      <c r="V65" s="1684" t="s">
        <v>9867</v>
      </c>
      <c r="W65" s="1684" t="s">
        <v>9790</v>
      </c>
      <c r="X65" s="1684" t="s">
        <v>3666</v>
      </c>
      <c r="Y65" s="1684" t="s">
        <v>2383</v>
      </c>
      <c r="Z65" s="1684" t="s">
        <v>490</v>
      </c>
      <c r="AA65" s="1684" t="s">
        <v>627</v>
      </c>
      <c r="AB65" s="1684" t="s">
        <v>9868</v>
      </c>
      <c r="AC65" s="1684" t="s">
        <v>924</v>
      </c>
      <c r="AD65" s="1684" t="s">
        <v>9504</v>
      </c>
      <c r="AE65" s="1684" t="s">
        <v>679</v>
      </c>
      <c r="AF65" s="1684" t="s">
        <v>9869</v>
      </c>
      <c r="AG65" s="1684" t="s">
        <v>9870</v>
      </c>
      <c r="AH65" s="1684" t="s">
        <v>9871</v>
      </c>
      <c r="AI65" s="1684" t="s">
        <v>9872</v>
      </c>
      <c r="AJ65" s="1684" t="s">
        <v>9873</v>
      </c>
      <c r="AK65" s="1684" t="s">
        <v>9451</v>
      </c>
      <c r="AL65" s="1684" t="s">
        <v>9874</v>
      </c>
      <c r="AM65" s="1684" t="s">
        <v>9730</v>
      </c>
      <c r="AN65" s="1684" t="s">
        <v>9875</v>
      </c>
      <c r="AO65" s="1684" t="s">
        <v>9495</v>
      </c>
      <c r="AP65" s="1684" t="s">
        <v>3354</v>
      </c>
      <c r="AQ65" s="1684" t="s">
        <v>9876</v>
      </c>
      <c r="AR65" s="1684" t="s">
        <v>9877</v>
      </c>
      <c r="AS65" s="1684" t="s">
        <v>6396</v>
      </c>
      <c r="AT65" s="1684" t="s">
        <v>9878</v>
      </c>
      <c r="AU65" s="1684" t="s">
        <v>9879</v>
      </c>
      <c r="AV65" s="1684" t="str">
        <f t="shared" si="1"/>
        <v>2:37</v>
      </c>
      <c r="AW65" s="1689" t="s">
        <v>9880</v>
      </c>
    </row>
    <row r="66" ht="15.75" customHeight="1">
      <c r="A66" s="1552" t="s">
        <v>5010</v>
      </c>
      <c r="B66" s="1547" t="s">
        <v>8529</v>
      </c>
      <c r="C66" s="1505">
        <v>0.05171296296296296</v>
      </c>
      <c r="D66" s="1660" t="s">
        <v>9881</v>
      </c>
      <c r="E66" s="1604" t="s">
        <v>9882</v>
      </c>
      <c r="F66" s="1604" t="s">
        <v>1470</v>
      </c>
      <c r="G66" s="1604" t="s">
        <v>9883</v>
      </c>
      <c r="H66" s="1604" t="s">
        <v>9884</v>
      </c>
      <c r="I66" s="1604" t="s">
        <v>9885</v>
      </c>
      <c r="J66" s="1604" t="s">
        <v>973</v>
      </c>
      <c r="K66" s="1604" t="s">
        <v>4894</v>
      </c>
      <c r="L66" s="1604" t="s">
        <v>1814</v>
      </c>
      <c r="M66" s="1690" t="s">
        <v>9886</v>
      </c>
      <c r="N66" s="1604" t="s">
        <v>9887</v>
      </c>
      <c r="O66" s="1604" t="s">
        <v>1782</v>
      </c>
      <c r="P66" s="1604" t="s">
        <v>5063</v>
      </c>
      <c r="Q66" s="1604" t="s">
        <v>9888</v>
      </c>
      <c r="R66" s="1604" t="s">
        <v>9889</v>
      </c>
      <c r="S66" s="1604" t="s">
        <v>8616</v>
      </c>
      <c r="T66" s="1604" t="s">
        <v>9890</v>
      </c>
      <c r="U66" s="1604" t="s">
        <v>9680</v>
      </c>
      <c r="V66" s="1690" t="s">
        <v>9891</v>
      </c>
      <c r="W66" s="1690" t="s">
        <v>9892</v>
      </c>
      <c r="X66" s="1604" t="s">
        <v>9554</v>
      </c>
      <c r="Y66" s="1313" t="s">
        <v>9238</v>
      </c>
      <c r="Z66" s="1604" t="s">
        <v>1523</v>
      </c>
      <c r="AA66" s="1604" t="s">
        <v>1336</v>
      </c>
      <c r="AB66" s="1690" t="s">
        <v>9893</v>
      </c>
      <c r="AC66" s="1604" t="s">
        <v>1921</v>
      </c>
      <c r="AD66" s="1604" t="s">
        <v>9894</v>
      </c>
      <c r="AE66" s="1604" t="s">
        <v>3787</v>
      </c>
      <c r="AF66" s="1604" t="s">
        <v>9895</v>
      </c>
      <c r="AG66" s="1604" t="s">
        <v>526</v>
      </c>
      <c r="AH66" s="1604" t="s">
        <v>9896</v>
      </c>
      <c r="AI66" s="1604" t="s">
        <v>5368</v>
      </c>
      <c r="AJ66" s="1604" t="s">
        <v>9897</v>
      </c>
      <c r="AK66" s="1604" t="s">
        <v>9898</v>
      </c>
      <c r="AL66" s="1604" t="s">
        <v>1662</v>
      </c>
      <c r="AM66" s="1604" t="s">
        <v>9721</v>
      </c>
      <c r="AN66" s="1604" t="s">
        <v>9899</v>
      </c>
      <c r="AO66" s="1604" t="s">
        <v>2720</v>
      </c>
      <c r="AP66" s="1604" t="s">
        <v>1998</v>
      </c>
      <c r="AQ66" s="1604" t="s">
        <v>757</v>
      </c>
      <c r="AR66" s="1604" t="s">
        <v>9522</v>
      </c>
      <c r="AS66" s="1604" t="s">
        <v>7018</v>
      </c>
      <c r="AT66" s="1604" t="s">
        <v>9900</v>
      </c>
      <c r="AU66" s="1604" t="s">
        <v>9901</v>
      </c>
      <c r="AV66" s="1684" t="str">
        <f t="shared" si="1"/>
        <v>4:14</v>
      </c>
      <c r="AW66" s="1685" t="s">
        <v>9902</v>
      </c>
    </row>
    <row r="67" ht="15.75" customHeight="1">
      <c r="A67" s="1552" t="s">
        <v>2141</v>
      </c>
      <c r="B67" s="1670" t="s">
        <v>8529</v>
      </c>
      <c r="C67" s="1505">
        <v>0.05173611111111111</v>
      </c>
      <c r="D67" s="1313" t="s">
        <v>9903</v>
      </c>
      <c r="E67" s="1604" t="s">
        <v>9904</v>
      </c>
      <c r="F67" s="1604" t="s">
        <v>9905</v>
      </c>
      <c r="G67" s="1604" t="s">
        <v>9906</v>
      </c>
      <c r="H67" s="1604" t="s">
        <v>7475</v>
      </c>
      <c r="I67" s="1604" t="s">
        <v>495</v>
      </c>
      <c r="J67" s="1604" t="s">
        <v>8909</v>
      </c>
      <c r="K67" s="1604" t="s">
        <v>9907</v>
      </c>
      <c r="L67" s="1604" t="s">
        <v>7094</v>
      </c>
      <c r="M67" s="1604" t="s">
        <v>3546</v>
      </c>
      <c r="N67" s="1604" t="s">
        <v>9908</v>
      </c>
      <c r="O67" s="1604" t="s">
        <v>9909</v>
      </c>
      <c r="P67" s="1604" t="s">
        <v>3719</v>
      </c>
      <c r="Q67" s="1604" t="s">
        <v>9910</v>
      </c>
      <c r="R67" s="1604" t="s">
        <v>9845</v>
      </c>
      <c r="S67" s="1604" t="s">
        <v>5503</v>
      </c>
      <c r="T67" s="1604" t="s">
        <v>9911</v>
      </c>
      <c r="U67" s="1604" t="s">
        <v>9912</v>
      </c>
      <c r="V67" s="1604" t="s">
        <v>358</v>
      </c>
      <c r="W67" s="1604" t="s">
        <v>5596</v>
      </c>
      <c r="X67" s="1604" t="s">
        <v>9748</v>
      </c>
      <c r="Y67" s="1604" t="s">
        <v>1165</v>
      </c>
      <c r="Z67" s="1604" t="s">
        <v>9913</v>
      </c>
      <c r="AA67" s="1604" t="s">
        <v>5755</v>
      </c>
      <c r="AB67" s="1604" t="s">
        <v>6484</v>
      </c>
      <c r="AC67" s="1604" t="s">
        <v>160</v>
      </c>
      <c r="AD67" s="1604" t="s">
        <v>9773</v>
      </c>
      <c r="AE67" s="1604" t="s">
        <v>9210</v>
      </c>
      <c r="AF67" s="1604" t="s">
        <v>9224</v>
      </c>
      <c r="AG67" s="1604" t="s">
        <v>4878</v>
      </c>
      <c r="AH67" s="1604" t="s">
        <v>9914</v>
      </c>
      <c r="AI67" s="1604" t="s">
        <v>9915</v>
      </c>
      <c r="AJ67" s="1604" t="s">
        <v>9916</v>
      </c>
      <c r="AK67" s="1604" t="s">
        <v>8853</v>
      </c>
      <c r="AL67" s="1604" t="s">
        <v>9917</v>
      </c>
      <c r="AM67" s="1604" t="s">
        <v>2804</v>
      </c>
      <c r="AN67" s="1604" t="s">
        <v>5142</v>
      </c>
      <c r="AO67" s="1604" t="s">
        <v>9673</v>
      </c>
      <c r="AP67" s="1604" t="s">
        <v>9918</v>
      </c>
      <c r="AQ67" s="1604" t="s">
        <v>9919</v>
      </c>
      <c r="AR67" s="1604" t="s">
        <v>194</v>
      </c>
      <c r="AS67" s="1604" t="s">
        <v>9920</v>
      </c>
      <c r="AT67" s="1604" t="s">
        <v>9921</v>
      </c>
      <c r="AU67" s="1604" t="s">
        <v>9922</v>
      </c>
      <c r="AV67" s="1684" t="str">
        <f t="shared" si="1"/>
        <v>3:51</v>
      </c>
      <c r="AW67" s="1685" t="s">
        <v>9923</v>
      </c>
    </row>
    <row r="68" ht="15.75" customHeight="1">
      <c r="A68" s="1552" t="s">
        <v>7880</v>
      </c>
      <c r="B68" s="1550" t="s">
        <v>8554</v>
      </c>
      <c r="C68" s="1505">
        <v>0.051805555555555556</v>
      </c>
      <c r="D68" s="1604" t="s">
        <v>9924</v>
      </c>
      <c r="E68" s="1604" t="s">
        <v>9925</v>
      </c>
      <c r="F68" s="1313" t="s">
        <v>9926</v>
      </c>
      <c r="G68" s="1604" t="s">
        <v>9927</v>
      </c>
      <c r="H68" s="1524" t="s">
        <v>9928</v>
      </c>
      <c r="I68" s="1524">
        <v>49.81</v>
      </c>
      <c r="J68" s="1524" t="s">
        <v>9929</v>
      </c>
      <c r="K68" s="1524" t="s">
        <v>6137</v>
      </c>
      <c r="L68" s="1524">
        <v>59.57</v>
      </c>
      <c r="M68" s="1524" t="s">
        <v>9930</v>
      </c>
      <c r="N68" s="1524" t="s">
        <v>9931</v>
      </c>
      <c r="O68" s="1523" t="s">
        <v>7395</v>
      </c>
      <c r="P68" s="1523" t="s">
        <v>9932</v>
      </c>
      <c r="Q68" s="1523" t="s">
        <v>9933</v>
      </c>
      <c r="R68" s="1524" t="s">
        <v>9934</v>
      </c>
      <c r="S68" s="1524" t="s">
        <v>9564</v>
      </c>
      <c r="T68" s="1524" t="s">
        <v>9935</v>
      </c>
      <c r="U68" s="1524" t="s">
        <v>9936</v>
      </c>
      <c r="V68" s="1524" t="s">
        <v>4361</v>
      </c>
      <c r="W68" s="1524" t="s">
        <v>9937</v>
      </c>
      <c r="X68" s="1524" t="s">
        <v>9938</v>
      </c>
      <c r="Y68" s="1523" t="s">
        <v>9452</v>
      </c>
      <c r="Z68" s="1691" t="s">
        <v>8571</v>
      </c>
      <c r="AA68" s="1524" t="s">
        <v>197</v>
      </c>
      <c r="AB68" s="1523" t="s">
        <v>4263</v>
      </c>
      <c r="AC68" s="1524">
        <v>49.53</v>
      </c>
      <c r="AD68" s="1524" t="s">
        <v>1863</v>
      </c>
      <c r="AE68" s="1523" t="s">
        <v>9939</v>
      </c>
      <c r="AF68" s="1524" t="s">
        <v>8733</v>
      </c>
      <c r="AG68" s="1524" t="s">
        <v>9940</v>
      </c>
      <c r="AH68" s="1524">
        <v>59.93</v>
      </c>
      <c r="AI68" s="1524" t="s">
        <v>9941</v>
      </c>
      <c r="AJ68" s="1524" t="s">
        <v>9942</v>
      </c>
      <c r="AK68" s="1524" t="s">
        <v>5804</v>
      </c>
      <c r="AL68" s="1524">
        <v>59.13</v>
      </c>
      <c r="AM68" s="1524" t="s">
        <v>9877</v>
      </c>
      <c r="AN68" s="1524">
        <v>57.86</v>
      </c>
      <c r="AO68" s="1524" t="s">
        <v>7690</v>
      </c>
      <c r="AP68" s="1524" t="s">
        <v>9943</v>
      </c>
      <c r="AQ68" s="1524" t="s">
        <v>9458</v>
      </c>
      <c r="AR68" s="1524" t="s">
        <v>6077</v>
      </c>
      <c r="AS68" s="1524">
        <v>47.67</v>
      </c>
      <c r="AT68" s="1604" t="s">
        <v>9944</v>
      </c>
      <c r="AU68" s="1604" t="s">
        <v>9945</v>
      </c>
      <c r="AV68" s="1684" t="str">
        <f t="shared" si="1"/>
        <v>2:57</v>
      </c>
      <c r="AW68" s="1692" t="s">
        <v>9946</v>
      </c>
    </row>
    <row r="69">
      <c r="A69" s="1693" t="s">
        <v>1257</v>
      </c>
      <c r="B69" s="1547" t="s">
        <v>8529</v>
      </c>
      <c r="C69" s="1694">
        <v>0.05181712962962963</v>
      </c>
      <c r="D69" s="1507" t="s">
        <v>9947</v>
      </c>
      <c r="E69" s="1643" t="s">
        <v>9948</v>
      </c>
      <c r="F69" s="1507" t="s">
        <v>9949</v>
      </c>
      <c r="G69" s="1507" t="s">
        <v>9950</v>
      </c>
      <c r="H69" s="1507" t="s">
        <v>9951</v>
      </c>
      <c r="I69" s="1507" t="s">
        <v>5004</v>
      </c>
      <c r="J69" s="1507" t="s">
        <v>8894</v>
      </c>
      <c r="K69" s="1643" t="s">
        <v>9130</v>
      </c>
      <c r="L69" s="1507" t="s">
        <v>9914</v>
      </c>
      <c r="M69" s="1507" t="s">
        <v>1455</v>
      </c>
      <c r="N69" s="1643" t="s">
        <v>9420</v>
      </c>
      <c r="O69" s="1507" t="s">
        <v>7448</v>
      </c>
      <c r="P69" s="1507" t="s">
        <v>9074</v>
      </c>
      <c r="Q69" s="1507" t="s">
        <v>9952</v>
      </c>
      <c r="R69" s="1507" t="s">
        <v>2893</v>
      </c>
      <c r="S69" s="1643" t="s">
        <v>4902</v>
      </c>
      <c r="T69" s="1507" t="s">
        <v>9953</v>
      </c>
      <c r="U69" s="1643" t="s">
        <v>9954</v>
      </c>
      <c r="V69" s="1507" t="s">
        <v>9867</v>
      </c>
      <c r="W69" s="1507" t="s">
        <v>9955</v>
      </c>
      <c r="X69" s="1507" t="s">
        <v>9512</v>
      </c>
      <c r="Y69" s="1507" t="s">
        <v>9956</v>
      </c>
      <c r="Z69" s="1643" t="s">
        <v>6225</v>
      </c>
      <c r="AA69" s="1507" t="s">
        <v>887</v>
      </c>
      <c r="AB69" s="1507" t="s">
        <v>9957</v>
      </c>
      <c r="AC69" s="1507" t="s">
        <v>2088</v>
      </c>
      <c r="AD69" s="1507" t="s">
        <v>9958</v>
      </c>
      <c r="AE69" s="1643" t="s">
        <v>2239</v>
      </c>
      <c r="AF69" s="1507" t="s">
        <v>9626</v>
      </c>
      <c r="AG69" s="1507" t="s">
        <v>399</v>
      </c>
      <c r="AH69" s="1507" t="s">
        <v>9959</v>
      </c>
      <c r="AI69" s="1507" t="s">
        <v>243</v>
      </c>
      <c r="AJ69" s="1643" t="s">
        <v>9960</v>
      </c>
      <c r="AK69" s="1507" t="s">
        <v>9228</v>
      </c>
      <c r="AL69" s="1507" t="s">
        <v>4693</v>
      </c>
      <c r="AM69" s="1507" t="s">
        <v>9961</v>
      </c>
      <c r="AN69" s="1507" t="s">
        <v>9278</v>
      </c>
      <c r="AO69" s="1507" t="s">
        <v>9962</v>
      </c>
      <c r="AP69" s="1643" t="s">
        <v>9963</v>
      </c>
      <c r="AQ69" s="1507" t="s">
        <v>9964</v>
      </c>
      <c r="AR69" s="1507" t="s">
        <v>9965</v>
      </c>
      <c r="AS69" s="1643" t="s">
        <v>351</v>
      </c>
      <c r="AT69" s="1507" t="s">
        <v>9966</v>
      </c>
      <c r="AU69" s="1517" t="s">
        <v>9967</v>
      </c>
      <c r="AV69" s="1592" t="str">
        <f t="shared" si="1"/>
        <v>3:49</v>
      </c>
      <c r="AW69" s="1695" t="s">
        <v>9968</v>
      </c>
    </row>
    <row r="70" ht="15.75" customHeight="1">
      <c r="A70" s="1503" t="s">
        <v>3064</v>
      </c>
      <c r="B70" s="1581" t="s">
        <v>8529</v>
      </c>
      <c r="C70" s="1652">
        <v>0.051863425925925924</v>
      </c>
      <c r="D70" s="1313" t="s">
        <v>9969</v>
      </c>
      <c r="E70" s="1684" t="s">
        <v>6375</v>
      </c>
      <c r="F70" s="1684" t="s">
        <v>9970</v>
      </c>
      <c r="G70" s="1684" t="s">
        <v>9971</v>
      </c>
      <c r="H70" s="1684" t="s">
        <v>7214</v>
      </c>
      <c r="I70" s="1684" t="s">
        <v>2021</v>
      </c>
      <c r="J70" s="1684" t="s">
        <v>1759</v>
      </c>
      <c r="K70" s="1684" t="s">
        <v>1594</v>
      </c>
      <c r="L70" s="1684" t="s">
        <v>3072</v>
      </c>
      <c r="M70" s="1684" t="s">
        <v>9742</v>
      </c>
      <c r="N70" s="1684" t="s">
        <v>5087</v>
      </c>
      <c r="O70" s="1684" t="s">
        <v>9972</v>
      </c>
      <c r="P70" s="1684" t="s">
        <v>1233</v>
      </c>
      <c r="Q70" s="1684" t="s">
        <v>9973</v>
      </c>
      <c r="R70" s="1684" t="s">
        <v>9974</v>
      </c>
      <c r="S70" s="1684" t="s">
        <v>9975</v>
      </c>
      <c r="T70" s="1684" t="s">
        <v>9976</v>
      </c>
      <c r="U70" s="1684" t="s">
        <v>9977</v>
      </c>
      <c r="V70" s="1684" t="s">
        <v>9531</v>
      </c>
      <c r="W70" s="1684" t="s">
        <v>9978</v>
      </c>
      <c r="X70" s="1684" t="s">
        <v>9872</v>
      </c>
      <c r="Y70" s="1684" t="s">
        <v>3237</v>
      </c>
      <c r="Z70" s="1684" t="s">
        <v>9979</v>
      </c>
      <c r="AA70" s="1684" t="s">
        <v>9980</v>
      </c>
      <c r="AB70" s="1684" t="s">
        <v>8399</v>
      </c>
      <c r="AC70" s="1684" t="s">
        <v>924</v>
      </c>
      <c r="AD70" s="1684" t="s">
        <v>9981</v>
      </c>
      <c r="AE70" s="1684" t="s">
        <v>1183</v>
      </c>
      <c r="AF70" s="1684" t="s">
        <v>9982</v>
      </c>
      <c r="AG70" s="1684" t="s">
        <v>9983</v>
      </c>
      <c r="AH70" s="1684" t="s">
        <v>5380</v>
      </c>
      <c r="AI70" s="1684" t="s">
        <v>9915</v>
      </c>
      <c r="AJ70" s="1684" t="s">
        <v>9984</v>
      </c>
      <c r="AK70" s="1684" t="s">
        <v>1913</v>
      </c>
      <c r="AL70" s="1684" t="s">
        <v>9959</v>
      </c>
      <c r="AM70" s="1684" t="s">
        <v>9985</v>
      </c>
      <c r="AN70" s="1684" t="s">
        <v>9440</v>
      </c>
      <c r="AO70" s="1684" t="s">
        <v>8727</v>
      </c>
      <c r="AP70" s="1684" t="s">
        <v>9986</v>
      </c>
      <c r="AQ70" s="1684" t="s">
        <v>9987</v>
      </c>
      <c r="AR70" s="1684" t="s">
        <v>2180</v>
      </c>
      <c r="AS70" s="1684" t="s">
        <v>4767</v>
      </c>
      <c r="AT70" s="1684" t="s">
        <v>9988</v>
      </c>
      <c r="AU70" s="1684" t="s">
        <v>9989</v>
      </c>
      <c r="AV70" s="1684" t="str">
        <f t="shared" si="1"/>
        <v>2:06</v>
      </c>
      <c r="AW70" s="1685" t="s">
        <v>9990</v>
      </c>
    </row>
    <row r="71" ht="15.75" customHeight="1">
      <c r="A71" s="1503" t="s">
        <v>1127</v>
      </c>
      <c r="B71" s="1504" t="s">
        <v>8498</v>
      </c>
      <c r="C71" s="1652">
        <v>0.051875</v>
      </c>
      <c r="D71" s="1313" t="s">
        <v>9991</v>
      </c>
      <c r="E71" s="1684" t="s">
        <v>3267</v>
      </c>
      <c r="F71" s="1684" t="s">
        <v>9992</v>
      </c>
      <c r="G71" s="1684" t="s">
        <v>9993</v>
      </c>
      <c r="H71" s="1684" t="s">
        <v>9994</v>
      </c>
      <c r="I71" s="1684" t="s">
        <v>9995</v>
      </c>
      <c r="J71" s="1684" t="s">
        <v>2518</v>
      </c>
      <c r="K71" s="1684" t="s">
        <v>9996</v>
      </c>
      <c r="L71" s="1684" t="s">
        <v>8748</v>
      </c>
      <c r="M71" s="1684" t="s">
        <v>7557</v>
      </c>
      <c r="N71" s="1684" t="s">
        <v>9629</v>
      </c>
      <c r="O71" s="1684" t="s">
        <v>4470</v>
      </c>
      <c r="P71" s="1684" t="s">
        <v>1528</v>
      </c>
      <c r="Q71" s="1684" t="s">
        <v>9997</v>
      </c>
      <c r="R71" s="1684" t="s">
        <v>8588</v>
      </c>
      <c r="S71" s="1684" t="s">
        <v>4435</v>
      </c>
      <c r="T71" s="1684" t="s">
        <v>9998</v>
      </c>
      <c r="U71" s="1684" t="s">
        <v>9788</v>
      </c>
      <c r="V71" s="1684" t="s">
        <v>6392</v>
      </c>
      <c r="W71" s="1684" t="s">
        <v>4470</v>
      </c>
      <c r="X71" s="1684" t="s">
        <v>9420</v>
      </c>
      <c r="Y71" s="1684" t="s">
        <v>9454</v>
      </c>
      <c r="Z71" s="1684" t="s">
        <v>9999</v>
      </c>
      <c r="AA71" s="1684" t="s">
        <v>418</v>
      </c>
      <c r="AB71" s="1684" t="s">
        <v>621</v>
      </c>
      <c r="AC71" s="1684" t="s">
        <v>10000</v>
      </c>
      <c r="AD71" s="1684" t="s">
        <v>9829</v>
      </c>
      <c r="AE71" s="1684" t="s">
        <v>935</v>
      </c>
      <c r="AF71" s="1684" t="s">
        <v>10001</v>
      </c>
      <c r="AG71" s="1684" t="s">
        <v>10002</v>
      </c>
      <c r="AH71" s="1684" t="s">
        <v>9740</v>
      </c>
      <c r="AI71" s="1684" t="s">
        <v>10003</v>
      </c>
      <c r="AJ71" s="1684" t="s">
        <v>10004</v>
      </c>
      <c r="AK71" s="1684" t="s">
        <v>10005</v>
      </c>
      <c r="AL71" s="1684" t="s">
        <v>5595</v>
      </c>
      <c r="AM71" s="1684" t="s">
        <v>10006</v>
      </c>
      <c r="AN71" s="1684" t="s">
        <v>6203</v>
      </c>
      <c r="AO71" s="1604" t="s">
        <v>9588</v>
      </c>
      <c r="AP71" s="1684" t="s">
        <v>10007</v>
      </c>
      <c r="AQ71" s="1684" t="s">
        <v>10008</v>
      </c>
      <c r="AR71" s="1684" t="s">
        <v>9266</v>
      </c>
      <c r="AS71" s="1684" t="s">
        <v>9333</v>
      </c>
      <c r="AT71" s="1684" t="s">
        <v>10009</v>
      </c>
      <c r="AU71" s="1604" t="s">
        <v>10010</v>
      </c>
      <c r="AV71" s="1684" t="str">
        <f t="shared" si="1"/>
        <v>0:37</v>
      </c>
      <c r="AW71" s="1689" t="s">
        <v>10011</v>
      </c>
    </row>
    <row r="72">
      <c r="A72" s="1552" t="s">
        <v>7850</v>
      </c>
      <c r="B72" s="1547" t="s">
        <v>8498</v>
      </c>
      <c r="C72" s="1505">
        <v>0.05188657407407407</v>
      </c>
      <c r="D72" s="1604" t="s">
        <v>10012</v>
      </c>
      <c r="E72" s="1313" t="s">
        <v>862</v>
      </c>
      <c r="F72" s="1313" t="s">
        <v>10013</v>
      </c>
      <c r="G72" s="1313" t="s">
        <v>10014</v>
      </c>
      <c r="H72" s="1313" t="s">
        <v>10015</v>
      </c>
      <c r="I72" s="1313" t="s">
        <v>679</v>
      </c>
      <c r="J72" s="1313" t="s">
        <v>4131</v>
      </c>
      <c r="K72" s="1313" t="s">
        <v>9239</v>
      </c>
      <c r="L72" s="1313" t="s">
        <v>2699</v>
      </c>
      <c r="M72" s="1313" t="s">
        <v>10016</v>
      </c>
      <c r="N72" s="1313" t="s">
        <v>4008</v>
      </c>
      <c r="O72" s="1313" t="s">
        <v>10017</v>
      </c>
      <c r="P72" s="1313" t="s">
        <v>5146</v>
      </c>
      <c r="Q72" s="1313" t="s">
        <v>10018</v>
      </c>
      <c r="R72" s="1313" t="s">
        <v>5538</v>
      </c>
      <c r="S72" s="1313" t="s">
        <v>10019</v>
      </c>
      <c r="T72" s="1313" t="s">
        <v>8576</v>
      </c>
      <c r="U72" s="1313" t="s">
        <v>10020</v>
      </c>
      <c r="V72" s="1313" t="s">
        <v>5423</v>
      </c>
      <c r="W72" s="1313" t="s">
        <v>10021</v>
      </c>
      <c r="X72" s="1313" t="s">
        <v>10022</v>
      </c>
      <c r="Y72" s="1313" t="s">
        <v>10023</v>
      </c>
      <c r="Z72" s="1313" t="s">
        <v>9250</v>
      </c>
      <c r="AA72" s="1313" t="s">
        <v>5105</v>
      </c>
      <c r="AB72" s="1313" t="s">
        <v>688</v>
      </c>
      <c r="AC72" s="1313" t="s">
        <v>10024</v>
      </c>
      <c r="AD72" s="1313" t="s">
        <v>3143</v>
      </c>
      <c r="AE72" s="1313" t="s">
        <v>5792</v>
      </c>
      <c r="AF72" s="1313" t="s">
        <v>10025</v>
      </c>
      <c r="AG72" s="1313" t="s">
        <v>2435</v>
      </c>
      <c r="AH72" s="1313" t="s">
        <v>2699</v>
      </c>
      <c r="AI72" s="1313" t="s">
        <v>196</v>
      </c>
      <c r="AJ72" s="1313" t="s">
        <v>10026</v>
      </c>
      <c r="AK72" s="1313" t="s">
        <v>9257</v>
      </c>
      <c r="AL72" s="1313" t="s">
        <v>9702</v>
      </c>
      <c r="AM72" s="1313" t="s">
        <v>9226</v>
      </c>
      <c r="AN72" s="1313" t="s">
        <v>3540</v>
      </c>
      <c r="AO72" s="1313" t="s">
        <v>8721</v>
      </c>
      <c r="AP72" s="1313" t="s">
        <v>9653</v>
      </c>
      <c r="AQ72" s="1313" t="s">
        <v>10008</v>
      </c>
      <c r="AR72" s="1313" t="s">
        <v>10027</v>
      </c>
      <c r="AS72" s="1313" t="s">
        <v>6396</v>
      </c>
      <c r="AT72" s="1313" t="s">
        <v>8792</v>
      </c>
      <c r="AU72" s="1604" t="s">
        <v>10028</v>
      </c>
      <c r="AV72" s="1684" t="str">
        <f t="shared" si="1"/>
        <v>4:21</v>
      </c>
      <c r="AW72" s="1685" t="s">
        <v>10029</v>
      </c>
    </row>
    <row r="73" ht="15.75" customHeight="1">
      <c r="A73" s="1503" t="s">
        <v>4869</v>
      </c>
      <c r="B73" s="1674" t="s">
        <v>8554</v>
      </c>
      <c r="C73" s="1505">
        <v>0.051909722222222225</v>
      </c>
      <c r="D73" s="1696" t="s">
        <v>10030</v>
      </c>
      <c r="E73" s="1600" t="s">
        <v>2195</v>
      </c>
      <c r="F73" s="1600" t="s">
        <v>10031</v>
      </c>
      <c r="G73" s="1600" t="s">
        <v>10032</v>
      </c>
      <c r="H73" s="1600" t="s">
        <v>10033</v>
      </c>
      <c r="I73" s="1696">
        <v>49.97</v>
      </c>
      <c r="J73" s="1600" t="s">
        <v>2178</v>
      </c>
      <c r="K73" s="1600" t="s">
        <v>10034</v>
      </c>
      <c r="L73" s="1600" t="s">
        <v>10035</v>
      </c>
      <c r="M73" s="1600" t="s">
        <v>2944</v>
      </c>
      <c r="N73" s="1600" t="s">
        <v>4695</v>
      </c>
      <c r="O73" s="1600" t="s">
        <v>5809</v>
      </c>
      <c r="P73" s="1696">
        <v>48.99</v>
      </c>
      <c r="Q73" s="1600" t="s">
        <v>10036</v>
      </c>
      <c r="R73" s="1600" t="s">
        <v>5720</v>
      </c>
      <c r="S73" s="1600" t="s">
        <v>4199</v>
      </c>
      <c r="T73" s="1600" t="s">
        <v>10037</v>
      </c>
      <c r="U73" s="1600" t="s">
        <v>10038</v>
      </c>
      <c r="V73" s="1600" t="s">
        <v>2441</v>
      </c>
      <c r="W73" s="1600" t="s">
        <v>10039</v>
      </c>
      <c r="X73" s="1600" t="s">
        <v>9745</v>
      </c>
      <c r="Y73" s="1697">
        <v>47.93</v>
      </c>
      <c r="Z73" s="1600" t="s">
        <v>10040</v>
      </c>
      <c r="AA73" s="1600" t="s">
        <v>5039</v>
      </c>
      <c r="AB73" s="1600" t="s">
        <v>9725</v>
      </c>
      <c r="AC73" s="1691">
        <v>49.24</v>
      </c>
      <c r="AD73" s="1600" t="s">
        <v>9149</v>
      </c>
      <c r="AE73" s="1696">
        <v>49.87</v>
      </c>
      <c r="AF73" s="1600" t="s">
        <v>10041</v>
      </c>
      <c r="AG73" s="1600" t="s">
        <v>10042</v>
      </c>
      <c r="AH73" s="1696">
        <v>59.9</v>
      </c>
      <c r="AI73" s="1600" t="s">
        <v>10043</v>
      </c>
      <c r="AJ73" s="1698" t="s">
        <v>8577</v>
      </c>
      <c r="AK73" s="1600" t="s">
        <v>1954</v>
      </c>
      <c r="AL73" s="1696">
        <v>58.74</v>
      </c>
      <c r="AM73" s="1600" t="s">
        <v>2000</v>
      </c>
      <c r="AN73" s="1696">
        <v>57.51</v>
      </c>
      <c r="AO73" s="1600" t="s">
        <v>4857</v>
      </c>
      <c r="AP73" s="1600" t="s">
        <v>10044</v>
      </c>
      <c r="AQ73" s="1600" t="s">
        <v>3300</v>
      </c>
      <c r="AR73" s="1698" t="s">
        <v>6485</v>
      </c>
      <c r="AS73" s="1696">
        <v>47.44</v>
      </c>
      <c r="AT73" s="1600" t="s">
        <v>10045</v>
      </c>
      <c r="AU73" s="1604" t="s">
        <v>10046</v>
      </c>
      <c r="AV73" s="1684" t="str">
        <f t="shared" si="1"/>
        <v>2:59</v>
      </c>
      <c r="AW73" s="1685" t="s">
        <v>7825</v>
      </c>
    </row>
    <row r="74">
      <c r="A74" s="1552" t="s">
        <v>8443</v>
      </c>
      <c r="B74" s="1550" t="s">
        <v>8498</v>
      </c>
      <c r="C74" s="1505">
        <v>0.05193287037037037</v>
      </c>
      <c r="D74" s="1660" t="s">
        <v>10047</v>
      </c>
      <c r="E74" s="1604" t="s">
        <v>7585</v>
      </c>
      <c r="F74" s="1604" t="s">
        <v>10048</v>
      </c>
      <c r="G74" s="1604" t="s">
        <v>10049</v>
      </c>
      <c r="H74" s="1604" t="s">
        <v>10050</v>
      </c>
      <c r="I74" s="1604" t="s">
        <v>2405</v>
      </c>
      <c r="J74" s="1604" t="s">
        <v>4228</v>
      </c>
      <c r="K74" s="1604" t="s">
        <v>9178</v>
      </c>
      <c r="L74" s="1604"/>
      <c r="M74" s="1604" t="s">
        <v>7234</v>
      </c>
      <c r="N74" s="1604" t="s">
        <v>4804</v>
      </c>
      <c r="O74" s="1604" t="s">
        <v>8569</v>
      </c>
      <c r="P74" s="1604" t="s">
        <v>9646</v>
      </c>
      <c r="Q74" s="1604" t="s">
        <v>10051</v>
      </c>
      <c r="R74" s="1604" t="s">
        <v>10052</v>
      </c>
      <c r="S74" s="1604" t="s">
        <v>8878</v>
      </c>
      <c r="T74" s="1604" t="s">
        <v>9194</v>
      </c>
      <c r="U74" s="1604" t="s">
        <v>2261</v>
      </c>
      <c r="V74" s="1604" t="s">
        <v>9027</v>
      </c>
      <c r="W74" s="1604" t="s">
        <v>5809</v>
      </c>
      <c r="X74" s="1604" t="s">
        <v>627</v>
      </c>
      <c r="Y74" s="1604" t="s">
        <v>8970</v>
      </c>
      <c r="Z74" s="1604" t="s">
        <v>8599</v>
      </c>
      <c r="AA74" s="1604" t="s">
        <v>7703</v>
      </c>
      <c r="AB74" s="1604" t="s">
        <v>9654</v>
      </c>
      <c r="AC74" s="1604" t="s">
        <v>2985</v>
      </c>
      <c r="AD74" s="1604" t="s">
        <v>10053</v>
      </c>
      <c r="AE74" s="1604" t="s">
        <v>10054</v>
      </c>
      <c r="AF74" s="1604" t="s">
        <v>10055</v>
      </c>
      <c r="AG74" s="1604" t="s">
        <v>9792</v>
      </c>
      <c r="AH74" s="1604" t="s">
        <v>10056</v>
      </c>
      <c r="AI74" s="1604" t="s">
        <v>10057</v>
      </c>
      <c r="AJ74" s="1604" t="s">
        <v>10058</v>
      </c>
      <c r="AK74" s="1604" t="s">
        <v>10059</v>
      </c>
      <c r="AL74" s="1604" t="s">
        <v>3232</v>
      </c>
      <c r="AM74" s="1604" t="s">
        <v>10060</v>
      </c>
      <c r="AN74" s="1604" t="s">
        <v>3551</v>
      </c>
      <c r="AO74" s="1604" t="s">
        <v>10061</v>
      </c>
      <c r="AP74" s="1604" t="s">
        <v>10062</v>
      </c>
      <c r="AQ74" s="1604" t="s">
        <v>10063</v>
      </c>
      <c r="AR74" s="1604" t="s">
        <v>10064</v>
      </c>
      <c r="AS74" s="1604" t="s">
        <v>3761</v>
      </c>
      <c r="AT74" s="1604" t="s">
        <v>10065</v>
      </c>
      <c r="AU74" s="1604" t="s">
        <v>10066</v>
      </c>
      <c r="AV74" s="1684" t="str">
        <f t="shared" si="1"/>
        <v>4:12</v>
      </c>
      <c r="AW74" s="1689"/>
    </row>
    <row r="75">
      <c r="A75" s="1552" t="s">
        <v>3126</v>
      </c>
      <c r="B75" s="1547" t="s">
        <v>8498</v>
      </c>
      <c r="C75" s="1505">
        <v>0.05196759259259259</v>
      </c>
      <c r="D75" s="1313" t="s">
        <v>10067</v>
      </c>
      <c r="E75" s="1604" t="s">
        <v>10068</v>
      </c>
      <c r="F75" s="1604" t="s">
        <v>1391</v>
      </c>
      <c r="G75" s="1604" t="s">
        <v>10069</v>
      </c>
      <c r="H75" s="1313" t="s">
        <v>10070</v>
      </c>
      <c r="I75" s="1604" t="s">
        <v>9763</v>
      </c>
      <c r="J75" s="1604" t="s">
        <v>4007</v>
      </c>
      <c r="K75" s="1604" t="s">
        <v>9382</v>
      </c>
      <c r="L75" s="1604" t="s">
        <v>4910</v>
      </c>
      <c r="M75" s="1604" t="s">
        <v>3248</v>
      </c>
      <c r="N75" s="1604" t="s">
        <v>4809</v>
      </c>
      <c r="O75" s="1604" t="s">
        <v>10071</v>
      </c>
      <c r="P75" s="1604" t="s">
        <v>6661</v>
      </c>
      <c r="Q75" s="1604" t="s">
        <v>10072</v>
      </c>
      <c r="R75" s="1604" t="s">
        <v>3248</v>
      </c>
      <c r="S75" s="1514" t="s">
        <v>2067</v>
      </c>
      <c r="T75" s="1604" t="s">
        <v>9625</v>
      </c>
      <c r="U75" s="1604" t="s">
        <v>9788</v>
      </c>
      <c r="V75" s="1604" t="s">
        <v>9192</v>
      </c>
      <c r="W75" s="1604" t="s">
        <v>10073</v>
      </c>
      <c r="X75" s="1604" t="s">
        <v>9807</v>
      </c>
      <c r="Y75" s="1604" t="s">
        <v>595</v>
      </c>
      <c r="Z75" s="1604" t="s">
        <v>8797</v>
      </c>
      <c r="AA75" s="1604" t="s">
        <v>9284</v>
      </c>
      <c r="AB75" s="1604" t="s">
        <v>490</v>
      </c>
      <c r="AC75" s="1604" t="s">
        <v>1070</v>
      </c>
      <c r="AD75" s="1604" t="s">
        <v>8511</v>
      </c>
      <c r="AE75" s="1604" t="s">
        <v>8954</v>
      </c>
      <c r="AF75" s="1604" t="s">
        <v>10074</v>
      </c>
      <c r="AG75" s="1604" t="s">
        <v>3156</v>
      </c>
      <c r="AH75" s="1604" t="s">
        <v>5000</v>
      </c>
      <c r="AI75" s="1604" t="s">
        <v>6104</v>
      </c>
      <c r="AJ75" s="1604" t="s">
        <v>10075</v>
      </c>
      <c r="AK75" s="1604" t="s">
        <v>460</v>
      </c>
      <c r="AL75" s="1604" t="s">
        <v>2209</v>
      </c>
      <c r="AM75" s="1604" t="s">
        <v>3264</v>
      </c>
      <c r="AN75" s="1604" t="s">
        <v>653</v>
      </c>
      <c r="AO75" s="1604" t="s">
        <v>10076</v>
      </c>
      <c r="AP75" s="1604" t="s">
        <v>10072</v>
      </c>
      <c r="AQ75" s="1604" t="s">
        <v>10077</v>
      </c>
      <c r="AR75" s="1604" t="s">
        <v>4007</v>
      </c>
      <c r="AS75" s="1604" t="s">
        <v>903</v>
      </c>
      <c r="AT75" s="1604" t="s">
        <v>10078</v>
      </c>
      <c r="AU75" s="1604" t="s">
        <v>10079</v>
      </c>
      <c r="AV75" s="1604" t="s">
        <v>8383</v>
      </c>
      <c r="AW75" s="1692" t="s">
        <v>10080</v>
      </c>
    </row>
    <row r="76" ht="15.75" customHeight="1">
      <c r="A76" s="1605" t="s">
        <v>10081</v>
      </c>
      <c r="B76" s="1504" t="s">
        <v>8498</v>
      </c>
      <c r="C76" s="1652">
        <v>0.05199074074074074</v>
      </c>
      <c r="D76" s="1313" t="s">
        <v>10082</v>
      </c>
      <c r="E76" s="1684" t="s">
        <v>10083</v>
      </c>
      <c r="F76" s="1684" t="s">
        <v>10084</v>
      </c>
      <c r="G76" s="1684" t="s">
        <v>10085</v>
      </c>
      <c r="H76" s="1684" t="s">
        <v>7502</v>
      </c>
      <c r="I76" s="1684" t="s">
        <v>9602</v>
      </c>
      <c r="J76" s="1684" t="s">
        <v>10086</v>
      </c>
      <c r="K76" s="1684" t="s">
        <v>10087</v>
      </c>
      <c r="L76" s="1684" t="s">
        <v>3072</v>
      </c>
      <c r="M76" s="1684" t="s">
        <v>10088</v>
      </c>
      <c r="N76" s="1684" t="s">
        <v>9329</v>
      </c>
      <c r="O76" s="1684" t="s">
        <v>10089</v>
      </c>
      <c r="P76" s="1684" t="s">
        <v>2373</v>
      </c>
      <c r="Q76" s="1684" t="s">
        <v>5013</v>
      </c>
      <c r="R76" s="1684" t="s">
        <v>5264</v>
      </c>
      <c r="S76" s="1684" t="s">
        <v>4871</v>
      </c>
      <c r="T76" s="1684" t="s">
        <v>5709</v>
      </c>
      <c r="U76" s="1684" t="s">
        <v>10090</v>
      </c>
      <c r="V76" s="1684" t="s">
        <v>6392</v>
      </c>
      <c r="W76" s="1684" t="s">
        <v>7858</v>
      </c>
      <c r="X76" s="1684" t="s">
        <v>10091</v>
      </c>
      <c r="Y76" s="1684" t="s">
        <v>2088</v>
      </c>
      <c r="Z76" s="1684" t="s">
        <v>10092</v>
      </c>
      <c r="AA76" s="1684" t="s">
        <v>9745</v>
      </c>
      <c r="AB76" s="1684" t="s">
        <v>10093</v>
      </c>
      <c r="AC76" s="1684" t="s">
        <v>8575</v>
      </c>
      <c r="AD76" s="1684" t="s">
        <v>10094</v>
      </c>
      <c r="AE76" s="1684" t="s">
        <v>6629</v>
      </c>
      <c r="AF76" s="1684" t="s">
        <v>10095</v>
      </c>
      <c r="AG76" s="1684" t="s">
        <v>10005</v>
      </c>
      <c r="AH76" s="1684" t="s">
        <v>10096</v>
      </c>
      <c r="AI76" s="1684" t="s">
        <v>10097</v>
      </c>
      <c r="AJ76" s="1684" t="s">
        <v>10098</v>
      </c>
      <c r="AK76" s="1684" t="s">
        <v>809</v>
      </c>
      <c r="AL76" s="1684" t="s">
        <v>3366</v>
      </c>
      <c r="AM76" s="1684" t="s">
        <v>9516</v>
      </c>
      <c r="AN76" s="1684" t="s">
        <v>10099</v>
      </c>
      <c r="AO76" s="1604" t="s">
        <v>7462</v>
      </c>
      <c r="AP76" s="1604" t="s">
        <v>10100</v>
      </c>
      <c r="AQ76" s="1684" t="s">
        <v>5303</v>
      </c>
      <c r="AR76" s="1684" t="s">
        <v>10101</v>
      </c>
      <c r="AS76" s="1684" t="s">
        <v>1088</v>
      </c>
      <c r="AT76" s="1684" t="s">
        <v>9647</v>
      </c>
      <c r="AU76" s="1687" t="str">
        <f>HYPERLINK("https://splits.io/m3t","1:18:40")</f>
        <v>1:18:40</v>
      </c>
      <c r="AV76" s="1684" t="str">
        <f t="shared" ref="AV76:AV79" si="2">TEXT(AU76-C76,"m:ss")</f>
        <v>3:48</v>
      </c>
      <c r="AW76" s="1688" t="s">
        <v>10102</v>
      </c>
    </row>
    <row r="77" ht="15.75" customHeight="1">
      <c r="A77" s="1605" t="s">
        <v>10103</v>
      </c>
      <c r="B77" s="1504" t="s">
        <v>8498</v>
      </c>
      <c r="C77" s="1652">
        <v>0.052002314814814814</v>
      </c>
      <c r="D77" s="1313" t="s">
        <v>10104</v>
      </c>
      <c r="E77" s="1684" t="s">
        <v>8812</v>
      </c>
      <c r="F77" s="1684" t="s">
        <v>10105</v>
      </c>
      <c r="G77" s="1684" t="s">
        <v>10106</v>
      </c>
      <c r="H77" s="1684" t="s">
        <v>10107</v>
      </c>
      <c r="I77" s="1684" t="s">
        <v>3552</v>
      </c>
      <c r="J77" s="1684" t="s">
        <v>9214</v>
      </c>
      <c r="K77" s="1684" t="s">
        <v>4435</v>
      </c>
      <c r="L77" s="1684" t="s">
        <v>3592</v>
      </c>
      <c r="M77" s="1684" t="s">
        <v>9787</v>
      </c>
      <c r="N77" s="1684" t="s">
        <v>4473</v>
      </c>
      <c r="O77" s="1684" t="s">
        <v>10108</v>
      </c>
      <c r="P77" s="1684" t="s">
        <v>10109</v>
      </c>
      <c r="Q77" s="1684" t="s">
        <v>4853</v>
      </c>
      <c r="R77" s="1684" t="s">
        <v>1455</v>
      </c>
      <c r="S77" s="1684" t="s">
        <v>9300</v>
      </c>
      <c r="T77" s="1684" t="s">
        <v>527</v>
      </c>
      <c r="U77" s="1684" t="s">
        <v>1849</v>
      </c>
      <c r="V77" s="1684" t="s">
        <v>464</v>
      </c>
      <c r="W77" s="1684" t="s">
        <v>5635</v>
      </c>
      <c r="X77" s="1684" t="s">
        <v>9558</v>
      </c>
      <c r="Y77" s="1684" t="s">
        <v>2383</v>
      </c>
      <c r="Z77" s="1684" t="s">
        <v>5406</v>
      </c>
      <c r="AA77" s="1684" t="s">
        <v>9329</v>
      </c>
      <c r="AB77" s="1684" t="s">
        <v>10110</v>
      </c>
      <c r="AC77" s="1684" t="s">
        <v>2940</v>
      </c>
      <c r="AD77" s="1684" t="s">
        <v>10111</v>
      </c>
      <c r="AE77" s="1684" t="s">
        <v>5146</v>
      </c>
      <c r="AF77" s="1684" t="s">
        <v>10112</v>
      </c>
      <c r="AG77" s="1684" t="s">
        <v>10113</v>
      </c>
      <c r="AH77" s="1684" t="s">
        <v>2205</v>
      </c>
      <c r="AI77" s="1684" t="s">
        <v>10114</v>
      </c>
      <c r="AJ77" s="1684" t="s">
        <v>10115</v>
      </c>
      <c r="AK77" s="1684" t="s">
        <v>4586</v>
      </c>
      <c r="AL77" s="1684" t="s">
        <v>8956</v>
      </c>
      <c r="AM77" s="1684" t="s">
        <v>1460</v>
      </c>
      <c r="AN77" s="1684" t="s">
        <v>8676</v>
      </c>
      <c r="AO77" s="1684" t="s">
        <v>9022</v>
      </c>
      <c r="AP77" s="1684" t="s">
        <v>4799</v>
      </c>
      <c r="AQ77" s="1684" t="s">
        <v>10116</v>
      </c>
      <c r="AR77" s="1684" t="s">
        <v>10037</v>
      </c>
      <c r="AS77" s="1684" t="s">
        <v>10117</v>
      </c>
      <c r="AT77" s="1684" t="s">
        <v>10118</v>
      </c>
      <c r="AU77" s="1684" t="s">
        <v>10119</v>
      </c>
      <c r="AV77" s="1684" t="str">
        <f t="shared" si="2"/>
        <v>3:32</v>
      </c>
      <c r="AW77" s="1688" t="s">
        <v>10120</v>
      </c>
    </row>
    <row r="78" ht="15.75" customHeight="1">
      <c r="A78" s="1605" t="s">
        <v>10121</v>
      </c>
      <c r="B78" s="1581" t="s">
        <v>8529</v>
      </c>
      <c r="C78" s="1652">
        <v>0.05201388888888889</v>
      </c>
      <c r="D78" s="1313" t="s">
        <v>10122</v>
      </c>
      <c r="E78" s="1604" t="s">
        <v>10123</v>
      </c>
      <c r="F78" s="1684" t="s">
        <v>10124</v>
      </c>
      <c r="G78" s="1684" t="s">
        <v>10125</v>
      </c>
      <c r="H78" s="1684" t="s">
        <v>1655</v>
      </c>
      <c r="I78" s="1684" t="s">
        <v>10126</v>
      </c>
      <c r="J78" s="1684" t="s">
        <v>10127</v>
      </c>
      <c r="K78" s="1684" t="s">
        <v>4199</v>
      </c>
      <c r="L78" s="1684" t="s">
        <v>10128</v>
      </c>
      <c r="M78" s="1684" t="s">
        <v>10129</v>
      </c>
      <c r="N78" s="1684" t="s">
        <v>10130</v>
      </c>
      <c r="O78" s="1684" t="s">
        <v>10131</v>
      </c>
      <c r="P78" s="1684" t="s">
        <v>160</v>
      </c>
      <c r="Q78" s="1684" t="s">
        <v>10132</v>
      </c>
      <c r="R78" s="1684" t="s">
        <v>7388</v>
      </c>
      <c r="S78" s="1684" t="s">
        <v>10133</v>
      </c>
      <c r="T78" s="1684" t="s">
        <v>10134</v>
      </c>
      <c r="U78" s="1684" t="s">
        <v>10135</v>
      </c>
      <c r="V78" s="1684" t="s">
        <v>8118</v>
      </c>
      <c r="W78" s="1684" t="s">
        <v>10136</v>
      </c>
      <c r="X78" s="1684" t="s">
        <v>9558</v>
      </c>
      <c r="Y78" s="1684" t="s">
        <v>300</v>
      </c>
      <c r="Z78" s="1684" t="s">
        <v>2399</v>
      </c>
      <c r="AA78" s="1684" t="s">
        <v>5780</v>
      </c>
      <c r="AB78" s="1684" t="s">
        <v>8835</v>
      </c>
      <c r="AC78" s="1684" t="s">
        <v>854</v>
      </c>
      <c r="AD78" s="1684" t="s">
        <v>10137</v>
      </c>
      <c r="AE78" s="1684" t="s">
        <v>1165</v>
      </c>
      <c r="AF78" s="1684" t="s">
        <v>10138</v>
      </c>
      <c r="AG78" s="1684" t="s">
        <v>2804</v>
      </c>
      <c r="AH78" s="1684" t="s">
        <v>5994</v>
      </c>
      <c r="AI78" s="1684" t="s">
        <v>1574</v>
      </c>
      <c r="AJ78" s="1684" t="s">
        <v>10139</v>
      </c>
      <c r="AK78" s="1684" t="s">
        <v>3529</v>
      </c>
      <c r="AL78" s="1684" t="s">
        <v>3831</v>
      </c>
      <c r="AM78" s="1684" t="s">
        <v>927</v>
      </c>
      <c r="AN78" s="1684" t="s">
        <v>9874</v>
      </c>
      <c r="AO78" s="1684" t="s">
        <v>2208</v>
      </c>
      <c r="AP78" s="1684" t="s">
        <v>10140</v>
      </c>
      <c r="AQ78" s="1684" t="s">
        <v>1005</v>
      </c>
      <c r="AR78" s="1684" t="s">
        <v>8570</v>
      </c>
      <c r="AS78" s="1684" t="s">
        <v>9633</v>
      </c>
      <c r="AT78" s="1684" t="s">
        <v>10141</v>
      </c>
      <c r="AU78" s="1684" t="s">
        <v>10142</v>
      </c>
      <c r="AV78" s="1684" t="str">
        <f t="shared" si="2"/>
        <v>2:58</v>
      </c>
      <c r="AW78" s="1689" t="s">
        <v>10143</v>
      </c>
    </row>
    <row r="79" ht="15.75" customHeight="1">
      <c r="A79" s="1503" t="s">
        <v>6458</v>
      </c>
      <c r="B79" s="1581" t="s">
        <v>8529</v>
      </c>
      <c r="C79" s="1652">
        <v>0.05207175925925926</v>
      </c>
      <c r="D79" s="1313" t="s">
        <v>10144</v>
      </c>
      <c r="E79" s="1684" t="s">
        <v>10145</v>
      </c>
      <c r="F79" s="1684" t="s">
        <v>10146</v>
      </c>
      <c r="G79" s="1684" t="s">
        <v>10147</v>
      </c>
      <c r="H79" s="1684" t="s">
        <v>8791</v>
      </c>
      <c r="I79" s="1684" t="s">
        <v>4892</v>
      </c>
      <c r="J79" s="1684" t="s">
        <v>9122</v>
      </c>
      <c r="K79" s="1684" t="s">
        <v>9753</v>
      </c>
      <c r="L79" s="1684" t="s">
        <v>10148</v>
      </c>
      <c r="M79" s="1684" t="s">
        <v>2684</v>
      </c>
      <c r="N79" s="1684" t="s">
        <v>10149</v>
      </c>
      <c r="O79" s="1684" t="s">
        <v>10150</v>
      </c>
      <c r="P79" s="1684" t="s">
        <v>765</v>
      </c>
      <c r="Q79" s="1684" t="s">
        <v>10151</v>
      </c>
      <c r="R79" s="1684" t="s">
        <v>4904</v>
      </c>
      <c r="S79" s="1684" t="s">
        <v>5946</v>
      </c>
      <c r="T79" s="1684" t="s">
        <v>5709</v>
      </c>
      <c r="U79" s="1684" t="s">
        <v>10152</v>
      </c>
      <c r="V79" s="1684" t="s">
        <v>2441</v>
      </c>
      <c r="W79" s="1684" t="s">
        <v>8574</v>
      </c>
      <c r="X79" s="1684" t="s">
        <v>10153</v>
      </c>
      <c r="Y79" s="1684" t="s">
        <v>1412</v>
      </c>
      <c r="Z79" s="1684" t="s">
        <v>7332</v>
      </c>
      <c r="AA79" s="1684" t="s">
        <v>1487</v>
      </c>
      <c r="AB79" s="1684" t="s">
        <v>10154</v>
      </c>
      <c r="AC79" s="1684" t="s">
        <v>236</v>
      </c>
      <c r="AD79" s="1684" t="s">
        <v>4235</v>
      </c>
      <c r="AE79" s="1684" t="s">
        <v>6050</v>
      </c>
      <c r="AF79" s="1684" t="s">
        <v>10155</v>
      </c>
      <c r="AG79" s="1684" t="s">
        <v>9558</v>
      </c>
      <c r="AH79" s="1684" t="s">
        <v>7097</v>
      </c>
      <c r="AI79" s="1684" t="s">
        <v>9915</v>
      </c>
      <c r="AJ79" s="1684" t="s">
        <v>10156</v>
      </c>
      <c r="AK79" s="1684" t="s">
        <v>10157</v>
      </c>
      <c r="AL79" s="1684" t="s">
        <v>4280</v>
      </c>
      <c r="AM79" s="1684" t="s">
        <v>9671</v>
      </c>
      <c r="AN79" s="1684" t="s">
        <v>3831</v>
      </c>
      <c r="AO79" s="1684" t="s">
        <v>4199</v>
      </c>
      <c r="AP79" s="1684" t="s">
        <v>9411</v>
      </c>
      <c r="AQ79" s="1684" t="s">
        <v>10158</v>
      </c>
      <c r="AR79" s="1684" t="s">
        <v>1486</v>
      </c>
      <c r="AS79" s="1684" t="s">
        <v>6103</v>
      </c>
      <c r="AT79" s="1684" t="s">
        <v>7647</v>
      </c>
      <c r="AU79" s="1684" t="s">
        <v>10159</v>
      </c>
      <c r="AV79" s="1684" t="str">
        <f t="shared" si="2"/>
        <v>3:10</v>
      </c>
      <c r="AW79" s="1689" t="s">
        <v>10160</v>
      </c>
    </row>
    <row r="80">
      <c r="A80" s="1693" t="s">
        <v>3916</v>
      </c>
      <c r="B80" s="1674" t="s">
        <v>8554</v>
      </c>
      <c r="C80" s="1699">
        <v>0.052141203703703703</v>
      </c>
      <c r="D80" s="1313" t="s">
        <v>10161</v>
      </c>
      <c r="E80" s="1557" t="s">
        <v>2977</v>
      </c>
      <c r="F80" s="1557" t="s">
        <v>10162</v>
      </c>
      <c r="G80" s="1600" t="s">
        <v>10163</v>
      </c>
      <c r="H80" s="1600" t="s">
        <v>10164</v>
      </c>
      <c r="I80" s="1600" t="s">
        <v>2368</v>
      </c>
      <c r="J80" s="1600" t="s">
        <v>6930</v>
      </c>
      <c r="K80" s="1700" t="s">
        <v>6144</v>
      </c>
      <c r="L80" s="1701" t="s">
        <v>7094</v>
      </c>
      <c r="M80" s="1600" t="s">
        <v>10165</v>
      </c>
      <c r="N80" s="1600" t="s">
        <v>5709</v>
      </c>
      <c r="O80" s="1600" t="s">
        <v>5541</v>
      </c>
      <c r="P80" s="1600" t="s">
        <v>1921</v>
      </c>
      <c r="Q80" s="1600" t="s">
        <v>10166</v>
      </c>
      <c r="R80" s="1600" t="s">
        <v>10167</v>
      </c>
      <c r="S80" s="1702" t="s">
        <v>2259</v>
      </c>
      <c r="T80" s="1600" t="s">
        <v>8972</v>
      </c>
      <c r="U80" s="1600" t="s">
        <v>3453</v>
      </c>
      <c r="V80" s="1600" t="s">
        <v>10168</v>
      </c>
      <c r="W80" s="1600" t="s">
        <v>10169</v>
      </c>
      <c r="X80" s="1600" t="s">
        <v>4459</v>
      </c>
      <c r="Y80" s="1600" t="s">
        <v>3626</v>
      </c>
      <c r="Z80" s="1600" t="s">
        <v>4169</v>
      </c>
      <c r="AA80" s="1600" t="s">
        <v>399</v>
      </c>
      <c r="AB80" s="1600" t="s">
        <v>624</v>
      </c>
      <c r="AC80" s="1600" t="s">
        <v>6050</v>
      </c>
      <c r="AD80" s="1507" t="s">
        <v>8925</v>
      </c>
      <c r="AE80" s="1600" t="s">
        <v>478</v>
      </c>
      <c r="AF80" s="1600" t="s">
        <v>10170</v>
      </c>
      <c r="AG80" s="1600" t="s">
        <v>10171</v>
      </c>
      <c r="AH80" s="1600" t="s">
        <v>4558</v>
      </c>
      <c r="AI80" s="1600" t="s">
        <v>10172</v>
      </c>
      <c r="AJ80" s="1600" t="s">
        <v>10173</v>
      </c>
      <c r="AK80" s="1600" t="s">
        <v>10174</v>
      </c>
      <c r="AL80" s="1600" t="s">
        <v>5015</v>
      </c>
      <c r="AM80" s="1600" t="s">
        <v>9794</v>
      </c>
      <c r="AN80" s="1600" t="s">
        <v>4364</v>
      </c>
      <c r="AO80" s="1600" t="s">
        <v>8909</v>
      </c>
      <c r="AP80" s="1600" t="s">
        <v>10175</v>
      </c>
      <c r="AQ80" s="1700" t="s">
        <v>8583</v>
      </c>
      <c r="AR80" s="1600" t="s">
        <v>10176</v>
      </c>
      <c r="AS80" s="1698" t="s">
        <v>754</v>
      </c>
      <c r="AT80" s="1600" t="s">
        <v>10177</v>
      </c>
      <c r="AU80" s="1545" t="s">
        <v>10178</v>
      </c>
      <c r="AV80" s="1545" t="s">
        <v>10179</v>
      </c>
      <c r="AW80" s="1703" t="s">
        <v>10180</v>
      </c>
    </row>
    <row r="81">
      <c r="A81" s="1552" t="s">
        <v>3856</v>
      </c>
      <c r="B81" s="1550" t="s">
        <v>8498</v>
      </c>
      <c r="C81" s="1505">
        <v>0.0522337962962963</v>
      </c>
      <c r="D81" s="1660" t="s">
        <v>10181</v>
      </c>
      <c r="E81" s="1604" t="s">
        <v>10182</v>
      </c>
      <c r="F81" s="1604" t="s">
        <v>10183</v>
      </c>
      <c r="G81" s="1604" t="s">
        <v>10184</v>
      </c>
      <c r="H81" s="1604" t="s">
        <v>10185</v>
      </c>
      <c r="I81" s="1604" t="s">
        <v>141</v>
      </c>
      <c r="J81" s="1604" t="s">
        <v>8194</v>
      </c>
      <c r="K81" s="1604" t="s">
        <v>4435</v>
      </c>
      <c r="L81" s="1604" t="s">
        <v>6162</v>
      </c>
      <c r="M81" s="1604" t="s">
        <v>10186</v>
      </c>
      <c r="N81" s="1604" t="s">
        <v>10187</v>
      </c>
      <c r="O81" s="1604" t="s">
        <v>10188</v>
      </c>
      <c r="P81" s="1604" t="s">
        <v>5146</v>
      </c>
      <c r="Q81" s="1604" t="s">
        <v>4880</v>
      </c>
      <c r="R81" s="1604" t="s">
        <v>6142</v>
      </c>
      <c r="S81" s="1604" t="s">
        <v>606</v>
      </c>
      <c r="T81" s="1604" t="s">
        <v>9961</v>
      </c>
      <c r="U81" s="1604" t="s">
        <v>8949</v>
      </c>
      <c r="V81" s="1604" t="s">
        <v>10189</v>
      </c>
      <c r="W81" s="1604" t="s">
        <v>10190</v>
      </c>
      <c r="X81" s="1604" t="s">
        <v>3156</v>
      </c>
      <c r="Y81" s="1604" t="s">
        <v>759</v>
      </c>
      <c r="Z81" s="1604" t="s">
        <v>10191</v>
      </c>
      <c r="AA81" s="1313" t="s">
        <v>10192</v>
      </c>
      <c r="AB81" s="1604" t="s">
        <v>7041</v>
      </c>
      <c r="AC81" s="1604" t="s">
        <v>9939</v>
      </c>
      <c r="AD81" s="1604" t="s">
        <v>7499</v>
      </c>
      <c r="AE81" s="1604" t="s">
        <v>4908</v>
      </c>
      <c r="AF81" s="1516" t="s">
        <v>10193</v>
      </c>
      <c r="AG81" s="1604" t="s">
        <v>10194</v>
      </c>
      <c r="AH81" s="1604" t="s">
        <v>5038</v>
      </c>
      <c r="AI81" s="1604" t="s">
        <v>6652</v>
      </c>
      <c r="AJ81" s="1604" t="s">
        <v>10195</v>
      </c>
      <c r="AK81" s="1604" t="s">
        <v>10196</v>
      </c>
      <c r="AL81" s="1604" t="s">
        <v>9875</v>
      </c>
      <c r="AM81" s="1604" t="s">
        <v>10197</v>
      </c>
      <c r="AN81" s="1604" t="s">
        <v>1078</v>
      </c>
      <c r="AO81" s="1604" t="s">
        <v>6319</v>
      </c>
      <c r="AP81" s="1604" t="s">
        <v>5598</v>
      </c>
      <c r="AQ81" s="1604" t="s">
        <v>10198</v>
      </c>
      <c r="AR81" s="1604" t="s">
        <v>691</v>
      </c>
      <c r="AS81" s="1516" t="s">
        <v>2821</v>
      </c>
      <c r="AT81" s="1604" t="s">
        <v>10199</v>
      </c>
      <c r="AU81" s="1604" t="s">
        <v>10200</v>
      </c>
      <c r="AV81" s="1684" t="str">
        <f t="shared" ref="AV81:AV99" si="3">TEXT(AU81-C81,"m:ss")</f>
        <v>4:32</v>
      </c>
      <c r="AW81" s="1685" t="s">
        <v>10201</v>
      </c>
    </row>
    <row r="82">
      <c r="A82" s="1552" t="s">
        <v>5177</v>
      </c>
      <c r="B82" s="1547" t="s">
        <v>8529</v>
      </c>
      <c r="C82" s="1505">
        <v>0.05232638888888889</v>
      </c>
      <c r="D82" s="1660" t="s">
        <v>10202</v>
      </c>
      <c r="E82" s="1604" t="s">
        <v>1230</v>
      </c>
      <c r="F82" s="1604" t="s">
        <v>10203</v>
      </c>
      <c r="G82" s="1604" t="s">
        <v>10204</v>
      </c>
      <c r="H82" s="1604" t="s">
        <v>10205</v>
      </c>
      <c r="I82" s="1604" t="s">
        <v>1353</v>
      </c>
      <c r="J82" s="1604" t="s">
        <v>7786</v>
      </c>
      <c r="K82" s="1604" t="s">
        <v>9764</v>
      </c>
      <c r="L82" s="1604" t="s">
        <v>10206</v>
      </c>
      <c r="M82" s="1604" t="s">
        <v>7527</v>
      </c>
      <c r="N82" s="1604" t="s">
        <v>10207</v>
      </c>
      <c r="O82" s="1604" t="s">
        <v>10208</v>
      </c>
      <c r="P82" s="1604" t="s">
        <v>519</v>
      </c>
      <c r="Q82" s="1604" t="s">
        <v>9599</v>
      </c>
      <c r="R82" s="1604" t="s">
        <v>5377</v>
      </c>
      <c r="S82" s="1604" t="s">
        <v>9420</v>
      </c>
      <c r="T82" s="1604" t="s">
        <v>10209</v>
      </c>
      <c r="U82" s="1604" t="s">
        <v>10210</v>
      </c>
      <c r="V82" s="1604" t="s">
        <v>10211</v>
      </c>
      <c r="W82" s="1604" t="s">
        <v>6232</v>
      </c>
      <c r="X82" s="1604" t="s">
        <v>310</v>
      </c>
      <c r="Y82" s="1604" t="s">
        <v>6498</v>
      </c>
      <c r="Z82" s="1604" t="s">
        <v>781</v>
      </c>
      <c r="AA82" s="1684" t="s">
        <v>9420</v>
      </c>
      <c r="AB82" s="1604" t="s">
        <v>10212</v>
      </c>
      <c r="AC82" s="1604" t="s">
        <v>6138</v>
      </c>
      <c r="AD82" s="1604" t="s">
        <v>10213</v>
      </c>
      <c r="AE82" s="1604" t="s">
        <v>222</v>
      </c>
      <c r="AF82" s="1604" t="s">
        <v>8111</v>
      </c>
      <c r="AG82" s="1604" t="s">
        <v>2906</v>
      </c>
      <c r="AH82" s="1604" t="s">
        <v>1814</v>
      </c>
      <c r="AI82" s="1604" t="s">
        <v>417</v>
      </c>
      <c r="AJ82" s="1604" t="s">
        <v>10214</v>
      </c>
      <c r="AK82" s="1604" t="s">
        <v>10215</v>
      </c>
      <c r="AL82" s="1604" t="s">
        <v>9917</v>
      </c>
      <c r="AM82" s="1604" t="s">
        <v>2804</v>
      </c>
      <c r="AN82" s="1604" t="s">
        <v>5872</v>
      </c>
      <c r="AO82" s="1604" t="s">
        <v>3660</v>
      </c>
      <c r="AP82" s="1604" t="s">
        <v>10216</v>
      </c>
      <c r="AQ82" s="1604" t="s">
        <v>7526</v>
      </c>
      <c r="AR82" s="1604" t="s">
        <v>6137</v>
      </c>
      <c r="AS82" s="1604" t="s">
        <v>10217</v>
      </c>
      <c r="AT82" s="1604" t="s">
        <v>10218</v>
      </c>
      <c r="AU82" s="1604" t="s">
        <v>10219</v>
      </c>
      <c r="AV82" s="1684" t="str">
        <f t="shared" si="3"/>
        <v>3:48</v>
      </c>
      <c r="AW82" s="1689"/>
    </row>
    <row r="83" ht="15.75" customHeight="1">
      <c r="A83" s="1503" t="s">
        <v>10220</v>
      </c>
      <c r="B83" s="1504" t="s">
        <v>8498</v>
      </c>
      <c r="C83" s="1652">
        <v>0.05240740740740741</v>
      </c>
      <c r="D83" s="1313" t="s">
        <v>10221</v>
      </c>
      <c r="E83" s="1684" t="s">
        <v>1659</v>
      </c>
      <c r="F83" s="1684" t="s">
        <v>7776</v>
      </c>
      <c r="G83" s="1684" t="s">
        <v>9897</v>
      </c>
      <c r="H83" s="1684" t="s">
        <v>10222</v>
      </c>
      <c r="I83" s="1684" t="s">
        <v>10223</v>
      </c>
      <c r="J83" s="1684" t="s">
        <v>10224</v>
      </c>
      <c r="K83" s="1684" t="s">
        <v>10225</v>
      </c>
      <c r="L83" s="1684" t="s">
        <v>4464</v>
      </c>
      <c r="M83" s="1684" t="s">
        <v>3325</v>
      </c>
      <c r="N83" s="1684" t="s">
        <v>4786</v>
      </c>
      <c r="O83" s="1684" t="s">
        <v>10226</v>
      </c>
      <c r="P83" s="1684" t="s">
        <v>10227</v>
      </c>
      <c r="Q83" s="1684" t="s">
        <v>4211</v>
      </c>
      <c r="R83" s="1684" t="s">
        <v>9530</v>
      </c>
      <c r="S83" s="1684" t="s">
        <v>9673</v>
      </c>
      <c r="T83" s="1684" t="s">
        <v>5039</v>
      </c>
      <c r="U83" s="1684" t="s">
        <v>10228</v>
      </c>
      <c r="V83" s="1684" t="s">
        <v>10229</v>
      </c>
      <c r="W83" s="1684" t="s">
        <v>10230</v>
      </c>
      <c r="X83" s="1684" t="s">
        <v>10231</v>
      </c>
      <c r="Y83" s="1684" t="s">
        <v>6407</v>
      </c>
      <c r="Z83" s="1684" t="s">
        <v>10092</v>
      </c>
      <c r="AA83" s="1684" t="s">
        <v>1940</v>
      </c>
      <c r="AB83" s="1684" t="s">
        <v>10232</v>
      </c>
      <c r="AC83" s="1684" t="s">
        <v>1543</v>
      </c>
      <c r="AD83" s="1684" t="s">
        <v>10233</v>
      </c>
      <c r="AE83" s="1684" t="s">
        <v>1543</v>
      </c>
      <c r="AF83" s="1684" t="s">
        <v>10234</v>
      </c>
      <c r="AG83" s="1684" t="s">
        <v>9831</v>
      </c>
      <c r="AH83" s="1684" t="s">
        <v>2103</v>
      </c>
      <c r="AI83" s="1684" t="s">
        <v>3240</v>
      </c>
      <c r="AJ83" s="1684" t="s">
        <v>10235</v>
      </c>
      <c r="AK83" s="1684" t="s">
        <v>7042</v>
      </c>
      <c r="AL83" s="1684" t="s">
        <v>10236</v>
      </c>
      <c r="AM83" s="1684" t="s">
        <v>1190</v>
      </c>
      <c r="AN83" s="1684" t="s">
        <v>2978</v>
      </c>
      <c r="AO83" s="1684" t="s">
        <v>10237</v>
      </c>
      <c r="AP83" s="1684" t="s">
        <v>3560</v>
      </c>
      <c r="AQ83" s="1684" t="s">
        <v>10238</v>
      </c>
      <c r="AR83" s="1684" t="s">
        <v>10239</v>
      </c>
      <c r="AS83" s="1684" t="s">
        <v>9143</v>
      </c>
      <c r="AT83" s="1684" t="s">
        <v>9227</v>
      </c>
      <c r="AU83" s="1684" t="s">
        <v>10240</v>
      </c>
      <c r="AV83" s="1684" t="str">
        <f t="shared" si="3"/>
        <v>3:40</v>
      </c>
      <c r="AW83" s="1688" t="s">
        <v>10241</v>
      </c>
    </row>
    <row r="84" ht="15.75" customHeight="1">
      <c r="A84" s="1605" t="s">
        <v>10242</v>
      </c>
      <c r="B84" s="1504" t="s">
        <v>8498</v>
      </c>
      <c r="C84" s="1652">
        <v>0.05263888888888889</v>
      </c>
      <c r="D84" s="1313" t="s">
        <v>10243</v>
      </c>
      <c r="E84" s="1684" t="s">
        <v>9948</v>
      </c>
      <c r="F84" s="1684" t="s">
        <v>10244</v>
      </c>
      <c r="G84" s="1684" t="s">
        <v>10245</v>
      </c>
      <c r="H84" s="1684" t="s">
        <v>10246</v>
      </c>
      <c r="I84" s="1684" t="s">
        <v>10247</v>
      </c>
      <c r="J84" s="1684" t="s">
        <v>10248</v>
      </c>
      <c r="K84" s="1684" t="s">
        <v>4131</v>
      </c>
      <c r="L84" s="1684" t="s">
        <v>4204</v>
      </c>
      <c r="M84" s="1684" t="s">
        <v>9248</v>
      </c>
      <c r="N84" s="1684" t="s">
        <v>10249</v>
      </c>
      <c r="O84" s="1684" t="s">
        <v>8543</v>
      </c>
      <c r="P84" s="1684" t="s">
        <v>482</v>
      </c>
      <c r="Q84" s="1684" t="s">
        <v>10250</v>
      </c>
      <c r="R84" s="1684" t="s">
        <v>5538</v>
      </c>
      <c r="S84" s="1684" t="s">
        <v>1916</v>
      </c>
      <c r="T84" s="1684" t="s">
        <v>10251</v>
      </c>
      <c r="U84" s="1684" t="s">
        <v>10252</v>
      </c>
      <c r="V84" s="1684" t="s">
        <v>10253</v>
      </c>
      <c r="W84" s="1684" t="s">
        <v>10254</v>
      </c>
      <c r="X84" s="1684" t="s">
        <v>5682</v>
      </c>
      <c r="Y84" s="1684" t="s">
        <v>1543</v>
      </c>
      <c r="Z84" s="1684" t="s">
        <v>6486</v>
      </c>
      <c r="AA84" s="1604" t="s">
        <v>6315</v>
      </c>
      <c r="AB84" s="1684" t="s">
        <v>9141</v>
      </c>
      <c r="AC84" s="1684" t="s">
        <v>9956</v>
      </c>
      <c r="AD84" s="1684" t="s">
        <v>3015</v>
      </c>
      <c r="AE84" s="1684" t="s">
        <v>1070</v>
      </c>
      <c r="AF84" s="1684" t="s">
        <v>10255</v>
      </c>
      <c r="AG84" s="1684" t="s">
        <v>2707</v>
      </c>
      <c r="AH84" s="1684" t="s">
        <v>6647</v>
      </c>
      <c r="AI84" s="1684" t="s">
        <v>10256</v>
      </c>
      <c r="AJ84" s="1684" t="s">
        <v>10257</v>
      </c>
      <c r="AK84" s="1684" t="s">
        <v>9554</v>
      </c>
      <c r="AL84" s="1684" t="s">
        <v>10258</v>
      </c>
      <c r="AM84" s="1684" t="s">
        <v>10259</v>
      </c>
      <c r="AN84" s="1684" t="s">
        <v>3830</v>
      </c>
      <c r="AO84" s="1684" t="s">
        <v>8909</v>
      </c>
      <c r="AP84" s="1684" t="s">
        <v>10260</v>
      </c>
      <c r="AQ84" s="1684" t="s">
        <v>10261</v>
      </c>
      <c r="AR84" s="1684" t="s">
        <v>1384</v>
      </c>
      <c r="AS84" s="1684" t="s">
        <v>1088</v>
      </c>
      <c r="AT84" s="1684" t="s">
        <v>10262</v>
      </c>
      <c r="AU84" s="1684" t="s">
        <v>10263</v>
      </c>
      <c r="AV84" s="1684" t="str">
        <f t="shared" si="3"/>
        <v>4:28</v>
      </c>
      <c r="AW84" s="1688" t="s">
        <v>10264</v>
      </c>
    </row>
    <row r="85">
      <c r="A85" s="1552" t="s">
        <v>3525</v>
      </c>
      <c r="B85" s="1661" t="s">
        <v>8554</v>
      </c>
      <c r="C85" s="1505">
        <v>0.052662037037037035</v>
      </c>
      <c r="D85" s="1313" t="s">
        <v>10265</v>
      </c>
      <c r="E85" s="1313" t="s">
        <v>531</v>
      </c>
      <c r="F85" s="1313" t="s">
        <v>10266</v>
      </c>
      <c r="G85" s="1313" t="s">
        <v>10267</v>
      </c>
      <c r="H85" s="1313" t="s">
        <v>8747</v>
      </c>
      <c r="I85" s="1313" t="s">
        <v>10268</v>
      </c>
      <c r="J85" s="1313" t="s">
        <v>156</v>
      </c>
      <c r="K85" s="1313" t="s">
        <v>10269</v>
      </c>
      <c r="L85" s="1313" t="s">
        <v>2700</v>
      </c>
      <c r="M85" s="1313" t="s">
        <v>267</v>
      </c>
      <c r="N85" s="1313" t="s">
        <v>9056</v>
      </c>
      <c r="O85" s="1313" t="s">
        <v>10270</v>
      </c>
      <c r="P85" s="1313" t="s">
        <v>2045</v>
      </c>
      <c r="Q85" s="1313" t="s">
        <v>3507</v>
      </c>
      <c r="R85" s="1313" t="s">
        <v>10271</v>
      </c>
      <c r="S85" s="1313" t="s">
        <v>6047</v>
      </c>
      <c r="T85" s="1313" t="s">
        <v>10272</v>
      </c>
      <c r="U85" s="1313" t="s">
        <v>10273</v>
      </c>
      <c r="V85" s="1313" t="s">
        <v>10274</v>
      </c>
      <c r="W85" s="1313" t="s">
        <v>10275</v>
      </c>
      <c r="X85" s="1313" t="s">
        <v>2672</v>
      </c>
      <c r="Y85" s="1313" t="s">
        <v>2836</v>
      </c>
      <c r="Z85" s="1313" t="s">
        <v>6238</v>
      </c>
      <c r="AA85" s="1604" t="s">
        <v>10276</v>
      </c>
      <c r="AB85" s="1313" t="s">
        <v>10277</v>
      </c>
      <c r="AC85" s="1313" t="s">
        <v>6497</v>
      </c>
      <c r="AD85" s="1704" t="s">
        <v>8574</v>
      </c>
      <c r="AE85" s="1313" t="s">
        <v>333</v>
      </c>
      <c r="AF85" s="1313" t="s">
        <v>10278</v>
      </c>
      <c r="AG85" s="1313" t="s">
        <v>7450</v>
      </c>
      <c r="AH85" s="1313" t="s">
        <v>3699</v>
      </c>
      <c r="AI85" s="1313" t="s">
        <v>10279</v>
      </c>
      <c r="AJ85" s="1313" t="s">
        <v>10280</v>
      </c>
      <c r="AK85" s="1313" t="s">
        <v>10281</v>
      </c>
      <c r="AL85" s="1313" t="s">
        <v>4601</v>
      </c>
      <c r="AM85" s="1313" t="s">
        <v>5634</v>
      </c>
      <c r="AN85" s="1704" t="s">
        <v>8580</v>
      </c>
      <c r="AO85" s="1313" t="s">
        <v>10282</v>
      </c>
      <c r="AP85" s="1313" t="s">
        <v>10283</v>
      </c>
      <c r="AQ85" s="1313" t="s">
        <v>10284</v>
      </c>
      <c r="AR85" s="1313" t="s">
        <v>5917</v>
      </c>
      <c r="AS85" s="1313" t="s">
        <v>6978</v>
      </c>
      <c r="AT85" s="1313" t="s">
        <v>10285</v>
      </c>
      <c r="AU85" s="1705" t="s">
        <v>10286</v>
      </c>
      <c r="AV85" s="1684" t="str">
        <f t="shared" si="3"/>
        <v>4:43</v>
      </c>
      <c r="AW85" s="1692" t="s">
        <v>10287</v>
      </c>
    </row>
    <row r="86" ht="15.75" customHeight="1">
      <c r="A86" s="1552" t="s">
        <v>10288</v>
      </c>
      <c r="B86" s="1547" t="s">
        <v>8498</v>
      </c>
      <c r="C86" s="1505">
        <v>0.05267361111111111</v>
      </c>
      <c r="D86" s="1660" t="s">
        <v>9636</v>
      </c>
      <c r="E86" s="1604" t="s">
        <v>862</v>
      </c>
      <c r="F86" s="1604" t="s">
        <v>7474</v>
      </c>
      <c r="G86" s="1604" t="s">
        <v>10289</v>
      </c>
      <c r="H86" s="1604" t="s">
        <v>10290</v>
      </c>
      <c r="I86" s="1604" t="s">
        <v>5591</v>
      </c>
      <c r="J86" s="1313" t="s">
        <v>10291</v>
      </c>
      <c r="K86" s="1604" t="s">
        <v>10292</v>
      </c>
      <c r="L86" s="1604" t="s">
        <v>3699</v>
      </c>
      <c r="M86" s="1604" t="s">
        <v>7432</v>
      </c>
      <c r="N86" s="1604" t="s">
        <v>10293</v>
      </c>
      <c r="O86" s="1604" t="s">
        <v>10294</v>
      </c>
      <c r="P86" s="1604" t="s">
        <v>9602</v>
      </c>
      <c r="Q86" s="1604" t="s">
        <v>10295</v>
      </c>
      <c r="R86" s="1604" t="s">
        <v>5559</v>
      </c>
      <c r="S86" s="1604" t="s">
        <v>7467</v>
      </c>
      <c r="T86" s="1604" t="s">
        <v>10296</v>
      </c>
      <c r="U86" s="1604" t="s">
        <v>10297</v>
      </c>
      <c r="V86" s="1604" t="s">
        <v>3936</v>
      </c>
      <c r="W86" s="1604" t="s">
        <v>10298</v>
      </c>
      <c r="X86" s="1604" t="s">
        <v>2435</v>
      </c>
      <c r="Y86" s="1604" t="s">
        <v>9210</v>
      </c>
      <c r="Z86" s="1604" t="s">
        <v>8697</v>
      </c>
      <c r="AA86" s="1604" t="s">
        <v>10299</v>
      </c>
      <c r="AB86" s="1604" t="s">
        <v>9823</v>
      </c>
      <c r="AC86" s="1604" t="s">
        <v>9098</v>
      </c>
      <c r="AD86" s="1604" t="s">
        <v>10300</v>
      </c>
      <c r="AE86" s="1604" t="s">
        <v>2405</v>
      </c>
      <c r="AF86" s="1604" t="s">
        <v>10301</v>
      </c>
      <c r="AG86" s="1604" t="s">
        <v>10302</v>
      </c>
      <c r="AH86" s="1604" t="s">
        <v>4204</v>
      </c>
      <c r="AI86" s="1604" t="s">
        <v>10303</v>
      </c>
      <c r="AJ86" s="1604" t="s">
        <v>10304</v>
      </c>
      <c r="AK86" s="1604" t="s">
        <v>1688</v>
      </c>
      <c r="AL86" s="1604" t="s">
        <v>2560</v>
      </c>
      <c r="AM86" s="1604" t="s">
        <v>1688</v>
      </c>
      <c r="AN86" s="1604" t="s">
        <v>2560</v>
      </c>
      <c r="AO86" s="1604" t="s">
        <v>6077</v>
      </c>
      <c r="AP86" s="1604" t="s">
        <v>10305</v>
      </c>
      <c r="AQ86" s="1604" t="s">
        <v>2159</v>
      </c>
      <c r="AR86" s="1604" t="s">
        <v>10116</v>
      </c>
      <c r="AS86" s="1604" t="s">
        <v>10306</v>
      </c>
      <c r="AT86" s="1604" t="s">
        <v>10307</v>
      </c>
      <c r="AU86" s="1604" t="s">
        <v>10308</v>
      </c>
      <c r="AV86" s="1684" t="str">
        <f t="shared" si="3"/>
        <v>5:58</v>
      </c>
      <c r="AW86" s="1685" t="s">
        <v>10309</v>
      </c>
    </row>
    <row r="87" ht="15.75" customHeight="1">
      <c r="A87" s="1503" t="s">
        <v>5937</v>
      </c>
      <c r="B87" s="1581" t="s">
        <v>8529</v>
      </c>
      <c r="C87" s="1652">
        <v>0.05275462962962963</v>
      </c>
      <c r="D87" s="1313" t="s">
        <v>10310</v>
      </c>
      <c r="E87" s="1684" t="s">
        <v>9658</v>
      </c>
      <c r="F87" s="1684" t="s">
        <v>10311</v>
      </c>
      <c r="G87" s="1684" t="s">
        <v>8733</v>
      </c>
      <c r="H87" s="1684" t="s">
        <v>7304</v>
      </c>
      <c r="I87" s="1684" t="s">
        <v>2275</v>
      </c>
      <c r="J87" s="1684" t="s">
        <v>4146</v>
      </c>
      <c r="K87" s="1684" t="s">
        <v>9975</v>
      </c>
      <c r="L87" s="1684" t="s">
        <v>5244</v>
      </c>
      <c r="M87" s="1684" t="s">
        <v>4130</v>
      </c>
      <c r="N87" s="1684" t="s">
        <v>10312</v>
      </c>
      <c r="O87" s="1684" t="s">
        <v>10313</v>
      </c>
      <c r="P87" s="1684" t="s">
        <v>6188</v>
      </c>
      <c r="Q87" s="1684" t="s">
        <v>10314</v>
      </c>
      <c r="R87" s="1684" t="s">
        <v>10315</v>
      </c>
      <c r="S87" s="1684" t="s">
        <v>8518</v>
      </c>
      <c r="T87" s="1684" t="s">
        <v>2565</v>
      </c>
      <c r="U87" s="1684" t="s">
        <v>497</v>
      </c>
      <c r="V87" s="1684" t="s">
        <v>4099</v>
      </c>
      <c r="W87" s="1684" t="s">
        <v>10316</v>
      </c>
      <c r="X87" s="1684" t="s">
        <v>10317</v>
      </c>
      <c r="Y87" s="1684" t="s">
        <v>5647</v>
      </c>
      <c r="Z87" s="1684" t="s">
        <v>8835</v>
      </c>
      <c r="AA87" s="1684" t="s">
        <v>10318</v>
      </c>
      <c r="AB87" s="1684" t="s">
        <v>490</v>
      </c>
      <c r="AC87" s="1684" t="s">
        <v>9850</v>
      </c>
      <c r="AD87" s="1684" t="s">
        <v>10319</v>
      </c>
      <c r="AE87" s="1684" t="s">
        <v>10320</v>
      </c>
      <c r="AF87" s="1684" t="s">
        <v>9379</v>
      </c>
      <c r="AG87" s="1684" t="s">
        <v>6925</v>
      </c>
      <c r="AH87" s="1684" t="s">
        <v>723</v>
      </c>
      <c r="AI87" s="1684" t="s">
        <v>5272</v>
      </c>
      <c r="AJ87" s="1684" t="s">
        <v>10321</v>
      </c>
      <c r="AK87" s="1684" t="s">
        <v>8877</v>
      </c>
      <c r="AL87" s="1684" t="s">
        <v>5387</v>
      </c>
      <c r="AM87" s="1684" t="s">
        <v>10322</v>
      </c>
      <c r="AN87" s="1684" t="s">
        <v>6366</v>
      </c>
      <c r="AO87" s="1684" t="s">
        <v>10323</v>
      </c>
      <c r="AP87" s="1684" t="s">
        <v>10324</v>
      </c>
      <c r="AQ87" s="1684" t="s">
        <v>10325</v>
      </c>
      <c r="AR87" s="1684" t="s">
        <v>9911</v>
      </c>
      <c r="AS87" s="1684" t="s">
        <v>8846</v>
      </c>
      <c r="AT87" s="1684" t="s">
        <v>10326</v>
      </c>
      <c r="AU87" s="1684" t="s">
        <v>10327</v>
      </c>
      <c r="AV87" s="1684" t="str">
        <f t="shared" si="3"/>
        <v>3:59</v>
      </c>
      <c r="AW87" s="1689" t="s">
        <v>10328</v>
      </c>
    </row>
    <row r="88" ht="15.75" customHeight="1">
      <c r="A88" s="1605" t="s">
        <v>10329</v>
      </c>
      <c r="B88" s="1674" t="s">
        <v>8554</v>
      </c>
      <c r="C88" s="1652">
        <v>0.05291666666666667</v>
      </c>
      <c r="D88" s="1313" t="s">
        <v>10330</v>
      </c>
      <c r="E88" s="1684" t="s">
        <v>10331</v>
      </c>
      <c r="F88" s="1684" t="s">
        <v>5783</v>
      </c>
      <c r="G88" s="1684" t="s">
        <v>9517</v>
      </c>
      <c r="H88" s="1684" t="s">
        <v>9842</v>
      </c>
      <c r="I88" s="1684" t="s">
        <v>2947</v>
      </c>
      <c r="J88" s="1684" t="s">
        <v>10332</v>
      </c>
      <c r="K88" s="1684" t="s">
        <v>5370</v>
      </c>
      <c r="L88" s="1684" t="s">
        <v>7764</v>
      </c>
      <c r="M88" s="1684" t="s">
        <v>10333</v>
      </c>
      <c r="N88" s="1684" t="s">
        <v>10334</v>
      </c>
      <c r="O88" s="1684" t="s">
        <v>10335</v>
      </c>
      <c r="P88" s="1684" t="s">
        <v>9710</v>
      </c>
      <c r="Q88" s="1684" t="s">
        <v>10336</v>
      </c>
      <c r="R88" s="1684" t="s">
        <v>5756</v>
      </c>
      <c r="S88" s="1684" t="s">
        <v>4568</v>
      </c>
      <c r="T88" s="1684" t="s">
        <v>8732</v>
      </c>
      <c r="U88" s="1684" t="s">
        <v>5432</v>
      </c>
      <c r="V88" s="1684" t="s">
        <v>1148</v>
      </c>
      <c r="W88" s="1684" t="s">
        <v>1903</v>
      </c>
      <c r="X88" s="1684" t="s">
        <v>3234</v>
      </c>
      <c r="Y88" s="1684" t="s">
        <v>658</v>
      </c>
      <c r="Z88" s="1684" t="s">
        <v>10337</v>
      </c>
      <c r="AA88" s="1604" t="s">
        <v>7698</v>
      </c>
      <c r="AB88" s="1684" t="s">
        <v>3577</v>
      </c>
      <c r="AC88" s="1684" t="s">
        <v>2383</v>
      </c>
      <c r="AD88" s="1684" t="s">
        <v>10338</v>
      </c>
      <c r="AE88" s="1684" t="s">
        <v>10339</v>
      </c>
      <c r="AF88" s="1684" t="s">
        <v>10340</v>
      </c>
      <c r="AG88" s="1684" t="s">
        <v>10341</v>
      </c>
      <c r="AH88" s="1684" t="s">
        <v>10342</v>
      </c>
      <c r="AI88" s="1684" t="s">
        <v>10343</v>
      </c>
      <c r="AJ88" s="1684" t="s">
        <v>10344</v>
      </c>
      <c r="AK88" s="1684" t="s">
        <v>10345</v>
      </c>
      <c r="AL88" s="1684" t="s">
        <v>1662</v>
      </c>
      <c r="AM88" s="1684" t="s">
        <v>2903</v>
      </c>
      <c r="AN88" s="1684" t="s">
        <v>10346</v>
      </c>
      <c r="AO88" s="1684" t="s">
        <v>10347</v>
      </c>
      <c r="AP88" s="1684" t="s">
        <v>2897</v>
      </c>
      <c r="AQ88" s="1684" t="s">
        <v>10348</v>
      </c>
      <c r="AR88" s="1684" t="s">
        <v>10251</v>
      </c>
      <c r="AS88" s="1684" t="s">
        <v>4288</v>
      </c>
      <c r="AT88" s="1684" t="s">
        <v>10349</v>
      </c>
      <c r="AU88" s="1684" t="s">
        <v>10350</v>
      </c>
      <c r="AV88" s="1684" t="str">
        <f t="shared" si="3"/>
        <v>2:38</v>
      </c>
      <c r="AW88" s="1689"/>
    </row>
    <row r="89" ht="15.75" customHeight="1">
      <c r="A89" s="1552" t="s">
        <v>6257</v>
      </c>
      <c r="B89" s="1550" t="s">
        <v>8498</v>
      </c>
      <c r="C89" s="1505">
        <v>0.05324074074074074</v>
      </c>
      <c r="D89" s="1313" t="s">
        <v>10351</v>
      </c>
      <c r="E89" s="1313" t="s">
        <v>10352</v>
      </c>
      <c r="F89" s="1313" t="s">
        <v>10353</v>
      </c>
      <c r="G89" s="1313" t="s">
        <v>9254</v>
      </c>
      <c r="H89" s="1313" t="s">
        <v>10354</v>
      </c>
      <c r="I89" s="1313" t="s">
        <v>6050</v>
      </c>
      <c r="J89" s="1313" t="s">
        <v>1791</v>
      </c>
      <c r="K89" s="1313" t="s">
        <v>4324</v>
      </c>
      <c r="L89" s="1313" t="s">
        <v>10355</v>
      </c>
      <c r="M89" s="1313" t="s">
        <v>10356</v>
      </c>
      <c r="N89" s="1313" t="s">
        <v>10357</v>
      </c>
      <c r="O89" s="1313" t="s">
        <v>10358</v>
      </c>
      <c r="P89" s="1313" t="s">
        <v>10359</v>
      </c>
      <c r="Q89" s="1313" t="s">
        <v>10360</v>
      </c>
      <c r="R89" s="1313" t="s">
        <v>8514</v>
      </c>
      <c r="S89" s="1313" t="s">
        <v>10231</v>
      </c>
      <c r="T89" s="1313" t="s">
        <v>10361</v>
      </c>
      <c r="U89" s="1313" t="s">
        <v>10362</v>
      </c>
      <c r="V89" s="1313" t="s">
        <v>2722</v>
      </c>
      <c r="W89" s="1313" t="s">
        <v>10363</v>
      </c>
      <c r="X89" s="1313" t="s">
        <v>10364</v>
      </c>
      <c r="Y89" s="1313" t="s">
        <v>5591</v>
      </c>
      <c r="Z89" s="1313" t="s">
        <v>4064</v>
      </c>
      <c r="AA89" s="1604" t="s">
        <v>10365</v>
      </c>
      <c r="AB89" s="1313" t="s">
        <v>9642</v>
      </c>
      <c r="AC89" s="1313" t="s">
        <v>5537</v>
      </c>
      <c r="AD89" s="1313" t="s">
        <v>10366</v>
      </c>
      <c r="AE89" s="1313" t="s">
        <v>9454</v>
      </c>
      <c r="AF89" s="1313" t="s">
        <v>10367</v>
      </c>
      <c r="AG89" s="1313" t="s">
        <v>10171</v>
      </c>
      <c r="AH89" s="1313" t="s">
        <v>5636</v>
      </c>
      <c r="AI89" s="1313" t="s">
        <v>10368</v>
      </c>
      <c r="AJ89" s="1313" t="s">
        <v>10369</v>
      </c>
      <c r="AK89" s="1604" t="s">
        <v>10370</v>
      </c>
      <c r="AL89" s="1313" t="s">
        <v>9959</v>
      </c>
      <c r="AM89" s="1313" t="s">
        <v>10371</v>
      </c>
      <c r="AN89" s="1313" t="s">
        <v>9789</v>
      </c>
      <c r="AO89" s="1313" t="s">
        <v>4518</v>
      </c>
      <c r="AP89" s="1313" t="s">
        <v>10372</v>
      </c>
      <c r="AQ89" s="1313" t="s">
        <v>10373</v>
      </c>
      <c r="AR89" s="1604" t="s">
        <v>3698</v>
      </c>
      <c r="AS89" s="1313" t="s">
        <v>10374</v>
      </c>
      <c r="AT89" s="1313" t="s">
        <v>10375</v>
      </c>
      <c r="AU89" s="1604" t="s">
        <v>10286</v>
      </c>
      <c r="AV89" s="1684" t="str">
        <f t="shared" si="3"/>
        <v>3:53</v>
      </c>
      <c r="AW89" s="1685" t="s">
        <v>10376</v>
      </c>
    </row>
    <row r="90">
      <c r="A90" s="1552" t="s">
        <v>4724</v>
      </c>
      <c r="B90" s="1547" t="s">
        <v>8554</v>
      </c>
      <c r="C90" s="1505">
        <v>0.05331018518518518</v>
      </c>
      <c r="D90" s="1604" t="s">
        <v>10377</v>
      </c>
      <c r="E90" s="1604" t="s">
        <v>7843</v>
      </c>
      <c r="F90" s="1604" t="s">
        <v>10146</v>
      </c>
      <c r="G90" s="1604" t="s">
        <v>10378</v>
      </c>
      <c r="H90" s="1313" t="s">
        <v>10379</v>
      </c>
      <c r="I90" s="1604" t="s">
        <v>10380</v>
      </c>
      <c r="J90" s="1604" t="s">
        <v>9887</v>
      </c>
      <c r="K90" s="1604" t="s">
        <v>8727</v>
      </c>
      <c r="L90" s="1604" t="s">
        <v>4096</v>
      </c>
      <c r="M90" s="1604" t="s">
        <v>10381</v>
      </c>
      <c r="N90" s="1604" t="s">
        <v>9671</v>
      </c>
      <c r="O90" s="1604" t="s">
        <v>10382</v>
      </c>
      <c r="P90" s="1604" t="s">
        <v>6138</v>
      </c>
      <c r="Q90" s="1604" t="s">
        <v>10383</v>
      </c>
      <c r="R90" s="1604" t="s">
        <v>2139</v>
      </c>
      <c r="S90" s="1604" t="s">
        <v>7713</v>
      </c>
      <c r="T90" s="1604" t="s">
        <v>7286</v>
      </c>
      <c r="U90" s="1604" t="s">
        <v>10384</v>
      </c>
      <c r="V90" s="1604" t="s">
        <v>9867</v>
      </c>
      <c r="W90" s="1604" t="s">
        <v>10385</v>
      </c>
      <c r="X90" s="1604" t="s">
        <v>6926</v>
      </c>
      <c r="Y90" s="1604" t="s">
        <v>5445</v>
      </c>
      <c r="Z90" s="1604" t="s">
        <v>9673</v>
      </c>
      <c r="AA90" s="1604" t="s">
        <v>10386</v>
      </c>
      <c r="AB90" s="1604" t="s">
        <v>3470</v>
      </c>
      <c r="AC90" s="1604" t="s">
        <v>10387</v>
      </c>
      <c r="AD90" s="1604" t="s">
        <v>10388</v>
      </c>
      <c r="AE90" s="1604" t="s">
        <v>5647</v>
      </c>
      <c r="AF90" s="1604" t="s">
        <v>10389</v>
      </c>
      <c r="AG90" s="1604" t="s">
        <v>10390</v>
      </c>
      <c r="AH90" s="1604" t="s">
        <v>10391</v>
      </c>
      <c r="AI90" s="1604" t="s">
        <v>10392</v>
      </c>
      <c r="AJ90" s="1604" t="s">
        <v>10393</v>
      </c>
      <c r="AK90" s="1604" t="s">
        <v>2180</v>
      </c>
      <c r="AL90" s="1604" t="s">
        <v>2150</v>
      </c>
      <c r="AM90" s="1604" t="s">
        <v>10394</v>
      </c>
      <c r="AN90" s="1604" t="s">
        <v>4795</v>
      </c>
      <c r="AO90" s="1604" t="s">
        <v>10395</v>
      </c>
      <c r="AP90" s="1604" t="s">
        <v>2678</v>
      </c>
      <c r="AQ90" s="1604" t="s">
        <v>10396</v>
      </c>
      <c r="AR90" s="1604" t="s">
        <v>1675</v>
      </c>
      <c r="AS90" s="1604" t="s">
        <v>903</v>
      </c>
      <c r="AT90" s="1604" t="s">
        <v>10397</v>
      </c>
      <c r="AU90" s="1604" t="s">
        <v>10398</v>
      </c>
      <c r="AV90" s="1684" t="str">
        <f t="shared" si="3"/>
        <v>4:18</v>
      </c>
      <c r="AW90" s="1689"/>
    </row>
    <row r="91" ht="15.75" customHeight="1">
      <c r="A91" s="1605" t="s">
        <v>10399</v>
      </c>
      <c r="B91" s="1674" t="s">
        <v>8554</v>
      </c>
      <c r="C91" s="1505">
        <v>0.05348379629629629</v>
      </c>
      <c r="D91" s="1313" t="s">
        <v>10400</v>
      </c>
      <c r="E91" s="1684" t="s">
        <v>10182</v>
      </c>
      <c r="F91" s="1684" t="s">
        <v>6365</v>
      </c>
      <c r="G91" s="1684" t="s">
        <v>10401</v>
      </c>
      <c r="H91" s="1684" t="s">
        <v>10402</v>
      </c>
      <c r="I91" s="1684" t="s">
        <v>2341</v>
      </c>
      <c r="J91" s="1684" t="s">
        <v>9071</v>
      </c>
      <c r="K91" s="1684" t="s">
        <v>8566</v>
      </c>
      <c r="L91" s="1684" t="s">
        <v>4784</v>
      </c>
      <c r="M91" s="1684" t="s">
        <v>10403</v>
      </c>
      <c r="N91" s="1684" t="s">
        <v>10404</v>
      </c>
      <c r="O91" s="1684" t="s">
        <v>4366</v>
      </c>
      <c r="P91" s="1684" t="s">
        <v>854</v>
      </c>
      <c r="Q91" s="1604" t="s">
        <v>10405</v>
      </c>
      <c r="R91" s="1684" t="s">
        <v>9934</v>
      </c>
      <c r="S91" s="1684" t="s">
        <v>9286</v>
      </c>
      <c r="T91" s="1684" t="s">
        <v>10153</v>
      </c>
      <c r="U91" s="1684" t="s">
        <v>10406</v>
      </c>
      <c r="V91" s="1684" t="s">
        <v>3286</v>
      </c>
      <c r="W91" s="1684" t="s">
        <v>3175</v>
      </c>
      <c r="X91" s="1684" t="s">
        <v>3077</v>
      </c>
      <c r="Y91" s="1684" t="s">
        <v>1429</v>
      </c>
      <c r="Z91" s="1684" t="s">
        <v>8947</v>
      </c>
      <c r="AA91" s="1604" t="s">
        <v>10407</v>
      </c>
      <c r="AB91" s="1684" t="s">
        <v>9681</v>
      </c>
      <c r="AC91" s="1684" t="s">
        <v>1154</v>
      </c>
      <c r="AD91" s="1684" t="s">
        <v>10408</v>
      </c>
      <c r="AE91" s="1684" t="s">
        <v>584</v>
      </c>
      <c r="AF91" s="1604" t="s">
        <v>10409</v>
      </c>
      <c r="AG91" s="1684" t="s">
        <v>5695</v>
      </c>
      <c r="AH91" s="1684" t="s">
        <v>9154</v>
      </c>
      <c r="AI91" s="1684" t="s">
        <v>2590</v>
      </c>
      <c r="AJ91" s="1684" t="s">
        <v>10410</v>
      </c>
      <c r="AK91" s="1684" t="s">
        <v>8963</v>
      </c>
      <c r="AL91" s="1684" t="s">
        <v>10411</v>
      </c>
      <c r="AM91" s="1684" t="s">
        <v>8711</v>
      </c>
      <c r="AN91" s="1684" t="s">
        <v>9959</v>
      </c>
      <c r="AO91" s="1684" t="s">
        <v>8657</v>
      </c>
      <c r="AP91" s="1684" t="s">
        <v>10412</v>
      </c>
      <c r="AQ91" s="1684" t="s">
        <v>4461</v>
      </c>
      <c r="AR91" s="1684" t="s">
        <v>1384</v>
      </c>
      <c r="AS91" s="1684" t="s">
        <v>8743</v>
      </c>
      <c r="AT91" s="1684" t="s">
        <v>4664</v>
      </c>
      <c r="AU91" s="1684" t="s">
        <v>10413</v>
      </c>
      <c r="AV91" s="1684" t="str">
        <f t="shared" si="3"/>
        <v>3:27</v>
      </c>
      <c r="AW91" s="1685" t="s">
        <v>10414</v>
      </c>
    </row>
    <row r="92">
      <c r="A92" s="1552" t="s">
        <v>5324</v>
      </c>
      <c r="B92" s="1550" t="s">
        <v>8498</v>
      </c>
      <c r="C92" s="1505">
        <v>0.05376157407407407</v>
      </c>
      <c r="D92" s="1604" t="s">
        <v>10415</v>
      </c>
      <c r="E92" s="1604" t="s">
        <v>10416</v>
      </c>
      <c r="F92" s="1604" t="s">
        <v>10417</v>
      </c>
      <c r="G92" s="1604" t="s">
        <v>10418</v>
      </c>
      <c r="H92" s="1706" t="s">
        <v>10419</v>
      </c>
      <c r="I92" s="1313" t="s">
        <v>236</v>
      </c>
      <c r="J92" s="1604" t="s">
        <v>9554</v>
      </c>
      <c r="K92" s="1604" t="s">
        <v>10420</v>
      </c>
      <c r="L92" s="1604" t="s">
        <v>2507</v>
      </c>
      <c r="M92" s="1604" t="s">
        <v>1261</v>
      </c>
      <c r="N92" s="1604" t="s">
        <v>10421</v>
      </c>
      <c r="O92" s="1604" t="s">
        <v>10422</v>
      </c>
      <c r="P92" s="1604" t="s">
        <v>949</v>
      </c>
      <c r="Q92" s="1604" t="s">
        <v>4386</v>
      </c>
      <c r="R92" s="1604" t="s">
        <v>10423</v>
      </c>
      <c r="S92" s="1707" t="s">
        <v>10424</v>
      </c>
      <c r="T92" s="1707" t="s">
        <v>9118</v>
      </c>
      <c r="U92" s="1604" t="s">
        <v>10425</v>
      </c>
      <c r="V92" s="1604" t="s">
        <v>10426</v>
      </c>
      <c r="W92" s="1604" t="s">
        <v>7682</v>
      </c>
      <c r="X92" s="1604" t="s">
        <v>10427</v>
      </c>
      <c r="Y92" s="1604" t="s">
        <v>2114</v>
      </c>
      <c r="Z92" s="1604" t="s">
        <v>9681</v>
      </c>
      <c r="AA92" s="1604" t="s">
        <v>10428</v>
      </c>
      <c r="AB92" s="1604" t="s">
        <v>10429</v>
      </c>
      <c r="AC92" s="1604" t="s">
        <v>7635</v>
      </c>
      <c r="AD92" s="1604" t="s">
        <v>5903</v>
      </c>
      <c r="AE92" s="1604" t="s">
        <v>2383</v>
      </c>
      <c r="AF92" s="1604" t="s">
        <v>10430</v>
      </c>
      <c r="AG92" s="1604" t="s">
        <v>10431</v>
      </c>
      <c r="AH92" s="1604" t="s">
        <v>4976</v>
      </c>
      <c r="AI92" s="1604" t="s">
        <v>7519</v>
      </c>
      <c r="AJ92" s="1604" t="s">
        <v>10432</v>
      </c>
      <c r="AK92" s="1604" t="s">
        <v>4775</v>
      </c>
      <c r="AL92" s="1604" t="s">
        <v>10433</v>
      </c>
      <c r="AM92" s="1604" t="s">
        <v>4787</v>
      </c>
      <c r="AN92" s="1604" t="s">
        <v>10434</v>
      </c>
      <c r="AO92" s="1604" t="s">
        <v>8513</v>
      </c>
      <c r="AP92" s="1604" t="s">
        <v>10435</v>
      </c>
      <c r="AQ92" s="1604" t="s">
        <v>10436</v>
      </c>
      <c r="AR92" s="1604" t="s">
        <v>5143</v>
      </c>
      <c r="AS92" s="1604" t="s">
        <v>8690</v>
      </c>
      <c r="AT92" s="1604" t="s">
        <v>10437</v>
      </c>
      <c r="AU92" s="1604" t="s">
        <v>10438</v>
      </c>
      <c r="AV92" s="1684" t="str">
        <f t="shared" si="3"/>
        <v>4:58</v>
      </c>
      <c r="AW92" s="1708"/>
    </row>
    <row r="93" ht="15.75" customHeight="1">
      <c r="A93" s="1605" t="s">
        <v>6409</v>
      </c>
      <c r="B93" s="1674" t="s">
        <v>8554</v>
      </c>
      <c r="C93" s="1652">
        <v>0.05386574074074074</v>
      </c>
      <c r="D93" s="1684" t="s">
        <v>10439</v>
      </c>
      <c r="E93" s="1684" t="s">
        <v>7266</v>
      </c>
      <c r="F93" s="1684" t="s">
        <v>10440</v>
      </c>
      <c r="G93" s="1684" t="s">
        <v>4331</v>
      </c>
      <c r="H93" s="1684" t="s">
        <v>10441</v>
      </c>
      <c r="I93" s="1684" t="s">
        <v>10380</v>
      </c>
      <c r="J93" s="1684" t="s">
        <v>10442</v>
      </c>
      <c r="K93" s="1684" t="s">
        <v>10443</v>
      </c>
      <c r="L93" s="1684" t="s">
        <v>1436</v>
      </c>
      <c r="M93" s="1684" t="s">
        <v>4539</v>
      </c>
      <c r="N93" s="1684" t="s">
        <v>7424</v>
      </c>
      <c r="O93" s="1684" t="s">
        <v>10444</v>
      </c>
      <c r="P93" s="1684" t="s">
        <v>6138</v>
      </c>
      <c r="Q93" s="1684" t="s">
        <v>10445</v>
      </c>
      <c r="R93" s="1684" t="s">
        <v>10446</v>
      </c>
      <c r="S93" s="1684" t="s">
        <v>10447</v>
      </c>
      <c r="T93" s="1684" t="s">
        <v>9662</v>
      </c>
      <c r="U93" s="1684" t="s">
        <v>10448</v>
      </c>
      <c r="V93" s="1684" t="s">
        <v>10449</v>
      </c>
      <c r="W93" s="1684" t="s">
        <v>10450</v>
      </c>
      <c r="X93" s="1684" t="s">
        <v>1333</v>
      </c>
      <c r="Y93" s="1684" t="s">
        <v>1810</v>
      </c>
      <c r="Z93" s="1684" t="s">
        <v>9130</v>
      </c>
      <c r="AA93" s="1313" t="s">
        <v>10451</v>
      </c>
      <c r="AB93" s="1684" t="s">
        <v>10452</v>
      </c>
      <c r="AC93" s="1684" t="s">
        <v>7009</v>
      </c>
      <c r="AD93" s="1684" t="s">
        <v>10453</v>
      </c>
      <c r="AE93" s="1684" t="s">
        <v>10454</v>
      </c>
      <c r="AF93" s="1684" t="s">
        <v>10004</v>
      </c>
      <c r="AG93" s="1684" t="s">
        <v>10455</v>
      </c>
      <c r="AH93" s="1684" t="s">
        <v>10456</v>
      </c>
      <c r="AI93" s="1684" t="s">
        <v>3553</v>
      </c>
      <c r="AJ93" s="1684" t="s">
        <v>10457</v>
      </c>
      <c r="AK93" s="1684" t="s">
        <v>10458</v>
      </c>
      <c r="AL93" s="1684" t="s">
        <v>4512</v>
      </c>
      <c r="AM93" s="1684" t="s">
        <v>9650</v>
      </c>
      <c r="AN93" s="1684" t="s">
        <v>9192</v>
      </c>
      <c r="AO93" s="1604" t="s">
        <v>9370</v>
      </c>
      <c r="AP93" s="1684" t="s">
        <v>10459</v>
      </c>
      <c r="AQ93" s="1684" t="s">
        <v>10460</v>
      </c>
      <c r="AR93" s="1684" t="s">
        <v>10461</v>
      </c>
      <c r="AS93" s="1684" t="s">
        <v>8954</v>
      </c>
      <c r="AT93" s="1684" t="s">
        <v>6270</v>
      </c>
      <c r="AU93" s="1684" t="s">
        <v>10398</v>
      </c>
      <c r="AV93" s="1684" t="str">
        <f t="shared" si="3"/>
        <v>3:30</v>
      </c>
      <c r="AW93" s="1689"/>
    </row>
    <row r="94">
      <c r="A94" s="1552" t="s">
        <v>5222</v>
      </c>
      <c r="B94" s="1550" t="s">
        <v>8554</v>
      </c>
      <c r="C94" s="1505">
        <v>0.05482638888888889</v>
      </c>
      <c r="D94" s="1660" t="s">
        <v>10462</v>
      </c>
      <c r="E94" s="1604" t="s">
        <v>9279</v>
      </c>
      <c r="F94" s="1604" t="s">
        <v>10463</v>
      </c>
      <c r="G94" s="1604" t="s">
        <v>10464</v>
      </c>
      <c r="H94" s="1604" t="s">
        <v>10465</v>
      </c>
      <c r="I94" s="1604" t="s">
        <v>10466</v>
      </c>
      <c r="J94" s="1604" t="s">
        <v>10467</v>
      </c>
      <c r="K94" s="1604" t="s">
        <v>9685</v>
      </c>
      <c r="L94" s="1604" t="s">
        <v>10468</v>
      </c>
      <c r="M94" s="1604" t="s">
        <v>1673</v>
      </c>
      <c r="N94" s="1604" t="s">
        <v>6324</v>
      </c>
      <c r="O94" s="1604" t="s">
        <v>10469</v>
      </c>
      <c r="P94" s="1604" t="s">
        <v>6407</v>
      </c>
      <c r="Q94" s="1604" t="s">
        <v>10470</v>
      </c>
      <c r="R94" s="1604" t="s">
        <v>8952</v>
      </c>
      <c r="S94" s="1604" t="s">
        <v>10471</v>
      </c>
      <c r="T94" s="1604" t="s">
        <v>10386</v>
      </c>
      <c r="U94" s="1604" t="s">
        <v>10472</v>
      </c>
      <c r="V94" s="1604" t="s">
        <v>928</v>
      </c>
      <c r="W94" s="1604" t="s">
        <v>10473</v>
      </c>
      <c r="X94" s="1604" t="s">
        <v>10474</v>
      </c>
      <c r="Y94" s="1604" t="s">
        <v>1765</v>
      </c>
      <c r="Z94" s="1604" t="s">
        <v>9703</v>
      </c>
      <c r="AA94" s="1604" t="s">
        <v>2411</v>
      </c>
      <c r="AB94" s="1604" t="s">
        <v>5376</v>
      </c>
      <c r="AC94" s="1604" t="s">
        <v>10475</v>
      </c>
      <c r="AD94" s="1604" t="s">
        <v>10476</v>
      </c>
      <c r="AE94" s="1604" t="s">
        <v>1543</v>
      </c>
      <c r="AF94" s="1604" t="s">
        <v>10477</v>
      </c>
      <c r="AG94" s="1604" t="s">
        <v>10478</v>
      </c>
      <c r="AH94" s="1604" t="s">
        <v>10479</v>
      </c>
      <c r="AI94" s="1604" t="s">
        <v>6028</v>
      </c>
      <c r="AJ94" s="1604" t="s">
        <v>10480</v>
      </c>
      <c r="AK94" s="1604" t="s">
        <v>243</v>
      </c>
      <c r="AL94" s="1604" t="s">
        <v>7094</v>
      </c>
      <c r="AM94" s="1604" t="s">
        <v>4335</v>
      </c>
      <c r="AN94" s="1604" t="s">
        <v>10481</v>
      </c>
      <c r="AO94" s="1604" t="s">
        <v>1791</v>
      </c>
      <c r="AP94" s="1604" t="s">
        <v>971</v>
      </c>
      <c r="AQ94" s="1604" t="s">
        <v>10482</v>
      </c>
      <c r="AR94" s="1604" t="s">
        <v>10483</v>
      </c>
      <c r="AS94" s="1604" t="s">
        <v>2175</v>
      </c>
      <c r="AT94" s="1604" t="s">
        <v>10484</v>
      </c>
      <c r="AU94" s="1604" t="s">
        <v>10485</v>
      </c>
      <c r="AV94" s="1684" t="str">
        <f t="shared" si="3"/>
        <v>3:40</v>
      </c>
      <c r="AW94" s="1685" t="s">
        <v>10486</v>
      </c>
    </row>
    <row r="95">
      <c r="A95" s="1552" t="s">
        <v>5404</v>
      </c>
      <c r="B95" s="1550" t="s">
        <v>8498</v>
      </c>
      <c r="C95" s="1505">
        <v>0.05482638888888889</v>
      </c>
      <c r="D95" s="1528" t="s">
        <v>10487</v>
      </c>
      <c r="E95" s="1528" t="s">
        <v>9129</v>
      </c>
      <c r="F95" s="1528" t="s">
        <v>10488</v>
      </c>
      <c r="G95" s="1528" t="s">
        <v>10489</v>
      </c>
      <c r="H95" s="1528" t="s">
        <v>10490</v>
      </c>
      <c r="I95" s="1528">
        <v>50.26</v>
      </c>
      <c r="J95" s="1528" t="s">
        <v>10467</v>
      </c>
      <c r="K95" s="1528" t="s">
        <v>10491</v>
      </c>
      <c r="L95" s="1528" t="s">
        <v>10492</v>
      </c>
      <c r="M95" s="1528" t="s">
        <v>2204</v>
      </c>
      <c r="N95" s="1528" t="s">
        <v>10493</v>
      </c>
      <c r="O95" s="1528" t="s">
        <v>10494</v>
      </c>
      <c r="P95" s="1528">
        <v>49.15</v>
      </c>
      <c r="Q95" s="1528" t="s">
        <v>10495</v>
      </c>
      <c r="R95" s="1528" t="s">
        <v>3390</v>
      </c>
      <c r="S95" s="1528" t="s">
        <v>10496</v>
      </c>
      <c r="T95" s="1528" t="s">
        <v>5039</v>
      </c>
      <c r="U95" s="1528" t="s">
        <v>3187</v>
      </c>
      <c r="V95" s="1528" t="s">
        <v>10497</v>
      </c>
      <c r="W95" s="1528" t="s">
        <v>10498</v>
      </c>
      <c r="X95" s="1528" t="s">
        <v>10499</v>
      </c>
      <c r="Y95" s="1528">
        <v>51.87</v>
      </c>
      <c r="Z95" s="1528" t="s">
        <v>6137</v>
      </c>
      <c r="AA95" s="1528" t="s">
        <v>6377</v>
      </c>
      <c r="AB95" s="1528" t="s">
        <v>1916</v>
      </c>
      <c r="AC95" s="1528">
        <v>49.75</v>
      </c>
      <c r="AD95" s="1528" t="s">
        <v>10500</v>
      </c>
      <c r="AE95" s="1528">
        <v>50.16</v>
      </c>
      <c r="AF95" s="1528" t="s">
        <v>10501</v>
      </c>
      <c r="AG95" s="1528" t="s">
        <v>10502</v>
      </c>
      <c r="AH95" s="1528" t="s">
        <v>6229</v>
      </c>
      <c r="AI95" s="1528" t="s">
        <v>1931</v>
      </c>
      <c r="AJ95" s="1528" t="s">
        <v>10503</v>
      </c>
      <c r="AK95" s="1528" t="s">
        <v>10421</v>
      </c>
      <c r="AL95" s="1528">
        <v>59.29</v>
      </c>
      <c r="AM95" s="1528" t="s">
        <v>4461</v>
      </c>
      <c r="AN95" s="1528" t="s">
        <v>622</v>
      </c>
      <c r="AO95" s="1528" t="s">
        <v>10504</v>
      </c>
      <c r="AP95" s="1528" t="s">
        <v>10505</v>
      </c>
      <c r="AQ95" s="1528" t="s">
        <v>10506</v>
      </c>
      <c r="AR95" s="1528" t="s">
        <v>7326</v>
      </c>
      <c r="AS95" s="1528">
        <v>47.7</v>
      </c>
      <c r="AT95" s="1528" t="s">
        <v>10507</v>
      </c>
      <c r="AU95" s="1533" t="s">
        <v>10508</v>
      </c>
      <c r="AV95" s="1684" t="str">
        <f t="shared" si="3"/>
        <v>5:51</v>
      </c>
      <c r="AW95" s="1692" t="s">
        <v>10509</v>
      </c>
    </row>
    <row r="96">
      <c r="A96" s="1552" t="s">
        <v>5474</v>
      </c>
      <c r="B96" s="1547" t="s">
        <v>8498</v>
      </c>
      <c r="C96" s="1505">
        <v>0.05559027777777778</v>
      </c>
      <c r="D96" s="1660" t="s">
        <v>10510</v>
      </c>
      <c r="E96" s="1604" t="s">
        <v>10511</v>
      </c>
      <c r="F96" s="1604" t="s">
        <v>10512</v>
      </c>
      <c r="G96" s="1604" t="s">
        <v>8198</v>
      </c>
      <c r="H96" s="1604" t="s">
        <v>5794</v>
      </c>
      <c r="I96" s="1604" t="s">
        <v>1918</v>
      </c>
      <c r="J96" s="1604" t="s">
        <v>10513</v>
      </c>
      <c r="K96" s="1604" t="s">
        <v>6141</v>
      </c>
      <c r="L96" s="1604" t="s">
        <v>8340</v>
      </c>
      <c r="M96" s="1604" t="s">
        <v>7332</v>
      </c>
      <c r="N96" s="1604" t="s">
        <v>10514</v>
      </c>
      <c r="O96" s="1604" t="s">
        <v>10515</v>
      </c>
      <c r="P96" s="1604" t="s">
        <v>187</v>
      </c>
      <c r="Q96" s="1604" t="s">
        <v>1755</v>
      </c>
      <c r="R96" s="1604" t="s">
        <v>10516</v>
      </c>
      <c r="S96" s="1604" t="s">
        <v>5214</v>
      </c>
      <c r="T96" s="1604" t="s">
        <v>10517</v>
      </c>
      <c r="U96" s="1604" t="s">
        <v>10518</v>
      </c>
      <c r="V96" s="1604" t="s">
        <v>6405</v>
      </c>
      <c r="W96" s="1604" t="s">
        <v>9261</v>
      </c>
      <c r="X96" s="1604" t="s">
        <v>10519</v>
      </c>
      <c r="Y96" s="1604" t="s">
        <v>99</v>
      </c>
      <c r="Z96" s="1604" t="s">
        <v>10520</v>
      </c>
      <c r="AA96" s="1604" t="s">
        <v>10279</v>
      </c>
      <c r="AB96" s="1604" t="s">
        <v>3598</v>
      </c>
      <c r="AC96" s="1604" t="s">
        <v>4677</v>
      </c>
      <c r="AD96" s="1604" t="s">
        <v>6061</v>
      </c>
      <c r="AE96" s="1604" t="s">
        <v>946</v>
      </c>
      <c r="AF96" s="1604" t="s">
        <v>10521</v>
      </c>
      <c r="AG96" s="1604" t="s">
        <v>10522</v>
      </c>
      <c r="AH96" s="1604" t="s">
        <v>8230</v>
      </c>
      <c r="AI96" s="1604" t="s">
        <v>10523</v>
      </c>
      <c r="AJ96" s="1604" t="s">
        <v>10524</v>
      </c>
      <c r="AK96" s="1604" t="s">
        <v>4533</v>
      </c>
      <c r="AL96" s="1604" t="s">
        <v>125</v>
      </c>
      <c r="AM96" s="1604" t="s">
        <v>10525</v>
      </c>
      <c r="AN96" s="1604" t="s">
        <v>10526</v>
      </c>
      <c r="AO96" s="1604" t="s">
        <v>1038</v>
      </c>
      <c r="AP96" s="1604" t="s">
        <v>10527</v>
      </c>
      <c r="AQ96" s="1604" t="s">
        <v>10528</v>
      </c>
      <c r="AR96" s="1604" t="s">
        <v>10529</v>
      </c>
      <c r="AS96" s="1604" t="s">
        <v>916</v>
      </c>
      <c r="AT96" s="1604" t="s">
        <v>10530</v>
      </c>
      <c r="AU96" s="1604" t="s">
        <v>10531</v>
      </c>
      <c r="AV96" s="1684" t="str">
        <f t="shared" si="3"/>
        <v>5:05</v>
      </c>
      <c r="AW96" s="1685" t="s">
        <v>10532</v>
      </c>
    </row>
    <row r="97">
      <c r="A97" s="1552" t="s">
        <v>4900</v>
      </c>
      <c r="B97" s="1547" t="s">
        <v>8529</v>
      </c>
      <c r="C97" s="1593">
        <v>0.05565972222222222</v>
      </c>
      <c r="D97" s="1604" t="s">
        <v>10533</v>
      </c>
      <c r="E97" s="1604" t="s">
        <v>3266</v>
      </c>
      <c r="F97" s="1604" t="s">
        <v>10534</v>
      </c>
      <c r="G97" s="1604" t="s">
        <v>10535</v>
      </c>
      <c r="H97" s="1313" t="s">
        <v>9035</v>
      </c>
      <c r="I97" s="1604" t="s">
        <v>3595</v>
      </c>
      <c r="J97" s="1604" t="s">
        <v>9270</v>
      </c>
      <c r="K97" s="1604" t="s">
        <v>804</v>
      </c>
      <c r="L97" s="1604" t="s">
        <v>10536</v>
      </c>
      <c r="M97" s="1604" t="s">
        <v>10537</v>
      </c>
      <c r="N97" s="1604" t="s">
        <v>6250</v>
      </c>
      <c r="O97" s="1604" t="s">
        <v>10538</v>
      </c>
      <c r="P97" s="1604" t="s">
        <v>9939</v>
      </c>
      <c r="Q97" s="1604" t="s">
        <v>10539</v>
      </c>
      <c r="R97" s="1604" t="s">
        <v>9705</v>
      </c>
      <c r="S97" s="1604" t="s">
        <v>417</v>
      </c>
      <c r="T97" s="1604" t="s">
        <v>10540</v>
      </c>
      <c r="U97" s="1604" t="s">
        <v>10541</v>
      </c>
      <c r="V97" s="1604" t="s">
        <v>10542</v>
      </c>
      <c r="W97" s="1604" t="s">
        <v>10543</v>
      </c>
      <c r="X97" s="1604" t="s">
        <v>10544</v>
      </c>
      <c r="Y97" s="1604" t="s">
        <v>2383</v>
      </c>
      <c r="Z97" s="1604" t="s">
        <v>5289</v>
      </c>
      <c r="AA97" s="1604" t="s">
        <v>9872</v>
      </c>
      <c r="AB97" s="1604" t="s">
        <v>10225</v>
      </c>
      <c r="AC97" s="1604" t="s">
        <v>9710</v>
      </c>
      <c r="AD97" s="1604" t="s">
        <v>10545</v>
      </c>
      <c r="AE97" s="1604" t="s">
        <v>10546</v>
      </c>
      <c r="AF97" s="1604" t="s">
        <v>10547</v>
      </c>
      <c r="AG97" s="1604" t="s">
        <v>10548</v>
      </c>
      <c r="AH97" s="1604" t="s">
        <v>10549</v>
      </c>
      <c r="AI97" s="1604" t="s">
        <v>10550</v>
      </c>
      <c r="AJ97" s="1604" t="s">
        <v>10551</v>
      </c>
      <c r="AK97" s="1604" t="s">
        <v>7286</v>
      </c>
      <c r="AL97" s="1604" t="s">
        <v>3724</v>
      </c>
      <c r="AM97" s="1604" t="s">
        <v>4787</v>
      </c>
      <c r="AN97" s="1604" t="s">
        <v>10552</v>
      </c>
      <c r="AO97" s="1604" t="s">
        <v>1981</v>
      </c>
      <c r="AP97" s="1604" t="s">
        <v>10553</v>
      </c>
      <c r="AQ97" s="1604" t="s">
        <v>10554</v>
      </c>
      <c r="AR97" s="1604" t="s">
        <v>10555</v>
      </c>
      <c r="AS97" s="1604" t="s">
        <v>2236</v>
      </c>
      <c r="AT97" s="1604" t="s">
        <v>10556</v>
      </c>
      <c r="AU97" s="1604" t="s">
        <v>10557</v>
      </c>
      <c r="AV97" s="1684" t="str">
        <f t="shared" si="3"/>
        <v>8:24</v>
      </c>
      <c r="AW97" s="1685" t="s">
        <v>9567</v>
      </c>
    </row>
    <row r="98">
      <c r="A98" s="1605" t="s">
        <v>10558</v>
      </c>
      <c r="B98" s="1581" t="s">
        <v>8529</v>
      </c>
      <c r="C98" s="1652">
        <v>0.057881944444444444</v>
      </c>
      <c r="D98" s="1604" t="s">
        <v>10559</v>
      </c>
      <c r="E98" s="1684" t="s">
        <v>10560</v>
      </c>
      <c r="F98" s="1604" t="s">
        <v>10561</v>
      </c>
      <c r="G98" s="1604" t="s">
        <v>10562</v>
      </c>
      <c r="H98" s="1684" t="s">
        <v>10563</v>
      </c>
      <c r="I98" s="1684" t="s">
        <v>1028</v>
      </c>
      <c r="J98" s="1684" t="s">
        <v>10564</v>
      </c>
      <c r="K98" s="1684" t="s">
        <v>3649</v>
      </c>
      <c r="L98" s="1684" t="s">
        <v>10565</v>
      </c>
      <c r="M98" s="1684" t="s">
        <v>6761</v>
      </c>
      <c r="N98" s="1684" t="s">
        <v>10566</v>
      </c>
      <c r="O98" s="1684" t="s">
        <v>10567</v>
      </c>
      <c r="P98" s="1684" t="s">
        <v>3685</v>
      </c>
      <c r="Q98" s="1684" t="s">
        <v>10568</v>
      </c>
      <c r="R98" s="1684" t="s">
        <v>10569</v>
      </c>
      <c r="S98" s="1684" t="s">
        <v>10570</v>
      </c>
      <c r="T98" s="1684" t="s">
        <v>1763</v>
      </c>
      <c r="U98" s="1684" t="s">
        <v>10571</v>
      </c>
      <c r="V98" s="1684" t="s">
        <v>10572</v>
      </c>
      <c r="W98" s="1684" t="s">
        <v>10573</v>
      </c>
      <c r="X98" s="1684" t="s">
        <v>10574</v>
      </c>
      <c r="Y98" s="1684" t="s">
        <v>2801</v>
      </c>
      <c r="Z98" s="1684" t="s">
        <v>10575</v>
      </c>
      <c r="AA98" s="1604" t="s">
        <v>10576</v>
      </c>
      <c r="AB98" s="1684" t="s">
        <v>9071</v>
      </c>
      <c r="AC98" s="1684" t="s">
        <v>3504</v>
      </c>
      <c r="AD98" s="1684" t="s">
        <v>5253</v>
      </c>
      <c r="AE98" s="1684" t="s">
        <v>2567</v>
      </c>
      <c r="AF98" s="1684" t="s">
        <v>10577</v>
      </c>
      <c r="AG98" s="1684" t="s">
        <v>5698</v>
      </c>
      <c r="AH98" s="1684" t="s">
        <v>10578</v>
      </c>
      <c r="AI98" s="1684" t="s">
        <v>4829</v>
      </c>
      <c r="AJ98" s="1684" t="s">
        <v>10579</v>
      </c>
      <c r="AK98" s="1684" t="s">
        <v>10580</v>
      </c>
      <c r="AL98" s="1684" t="s">
        <v>3913</v>
      </c>
      <c r="AM98" s="1684" t="s">
        <v>4837</v>
      </c>
      <c r="AN98" s="1684" t="s">
        <v>10581</v>
      </c>
      <c r="AO98" s="1684" t="s">
        <v>9940</v>
      </c>
      <c r="AP98" s="1684" t="s">
        <v>10582</v>
      </c>
      <c r="AQ98" s="1684" t="s">
        <v>7303</v>
      </c>
      <c r="AR98" s="1684" t="s">
        <v>10583</v>
      </c>
      <c r="AS98" s="1684" t="s">
        <v>617</v>
      </c>
      <c r="AT98" s="1684" t="s">
        <v>10584</v>
      </c>
      <c r="AU98" s="1684" t="s">
        <v>10585</v>
      </c>
      <c r="AV98" s="1684" t="str">
        <f t="shared" si="3"/>
        <v>2:11</v>
      </c>
      <c r="AW98" s="1689" t="s">
        <v>10586</v>
      </c>
    </row>
    <row r="99" ht="15.75" customHeight="1">
      <c r="A99" s="1552" t="s">
        <v>6214</v>
      </c>
      <c r="B99" s="1581" t="s">
        <v>8529</v>
      </c>
      <c r="C99" s="1505">
        <v>0.06635416666666667</v>
      </c>
      <c r="D99" s="1313" t="s">
        <v>10587</v>
      </c>
      <c r="E99" s="1313" t="s">
        <v>8396</v>
      </c>
      <c r="F99" s="1313" t="s">
        <v>10588</v>
      </c>
      <c r="G99" s="1313" t="s">
        <v>10589</v>
      </c>
      <c r="H99" s="1313" t="s">
        <v>10590</v>
      </c>
      <c r="I99" s="1313" t="s">
        <v>3513</v>
      </c>
      <c r="J99" s="1313" t="s">
        <v>10591</v>
      </c>
      <c r="K99" s="1313" t="s">
        <v>3882</v>
      </c>
      <c r="L99" s="1313" t="s">
        <v>7333</v>
      </c>
      <c r="M99" s="1313" t="s">
        <v>864</v>
      </c>
      <c r="N99" s="1313" t="s">
        <v>10592</v>
      </c>
      <c r="O99" s="1313" t="s">
        <v>10593</v>
      </c>
      <c r="P99" s="1313" t="s">
        <v>5170</v>
      </c>
      <c r="Q99" s="1313" t="s">
        <v>10594</v>
      </c>
      <c r="R99" s="1313" t="s">
        <v>4548</v>
      </c>
      <c r="S99" s="1313" t="s">
        <v>10595</v>
      </c>
      <c r="T99" s="1313" t="s">
        <v>10473</v>
      </c>
      <c r="U99" s="1313" t="s">
        <v>10596</v>
      </c>
      <c r="V99" s="1313" t="s">
        <v>7843</v>
      </c>
      <c r="W99" s="1313" t="s">
        <v>10597</v>
      </c>
      <c r="X99" s="1313" t="s">
        <v>10598</v>
      </c>
      <c r="Y99" s="1313" t="s">
        <v>756</v>
      </c>
      <c r="Z99" s="1313" t="s">
        <v>10599</v>
      </c>
      <c r="AA99" s="1684"/>
      <c r="AB99" s="1313" t="s">
        <v>10600</v>
      </c>
      <c r="AC99" s="1313" t="s">
        <v>883</v>
      </c>
      <c r="AD99" s="1313" t="s">
        <v>10601</v>
      </c>
      <c r="AE99" s="1313" t="s">
        <v>10602</v>
      </c>
      <c r="AF99" s="1313" t="s">
        <v>10603</v>
      </c>
      <c r="AG99" s="1313" t="s">
        <v>10604</v>
      </c>
      <c r="AH99" s="1313" t="s">
        <v>4107</v>
      </c>
      <c r="AI99" s="1313" t="s">
        <v>10605</v>
      </c>
      <c r="AJ99" s="1313" t="s">
        <v>10606</v>
      </c>
      <c r="AK99" s="1313" t="s">
        <v>10607</v>
      </c>
      <c r="AL99" s="1313" t="s">
        <v>10608</v>
      </c>
      <c r="AM99" s="1313" t="s">
        <v>10609</v>
      </c>
      <c r="AN99" s="1313" t="s">
        <v>9134</v>
      </c>
      <c r="AO99" s="1313" t="s">
        <v>2321</v>
      </c>
      <c r="AP99" s="1313" t="s">
        <v>10610</v>
      </c>
      <c r="AQ99" s="1313" t="s">
        <v>129</v>
      </c>
      <c r="AR99" s="1313" t="s">
        <v>10611</v>
      </c>
      <c r="AS99" s="1313" t="s">
        <v>4013</v>
      </c>
      <c r="AT99" s="1313" t="s">
        <v>10612</v>
      </c>
      <c r="AU99" s="1584" t="s">
        <v>10613</v>
      </c>
      <c r="AV99" s="1684" t="str">
        <f t="shared" si="3"/>
        <v>9:53</v>
      </c>
      <c r="AW99" s="1692" t="s">
        <v>10614</v>
      </c>
    </row>
    <row r="100">
      <c r="A100" s="1552" t="s">
        <v>4630</v>
      </c>
      <c r="B100" s="1550" t="s">
        <v>8529</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8544</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8529</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9028</v>
      </c>
      <c r="X101" s="1528"/>
      <c r="Y101" s="1528"/>
      <c r="Z101" s="1528"/>
      <c r="AA101" s="1528"/>
      <c r="AB101" s="1709" t="s">
        <v>2809</v>
      </c>
      <c r="AC101" s="1528"/>
      <c r="AD101" s="1528"/>
      <c r="AE101" s="1533"/>
      <c r="AF101" s="1528"/>
      <c r="AG101" s="1528"/>
      <c r="AH101" s="1528"/>
      <c r="AI101" s="1528"/>
      <c r="AJ101" s="1528"/>
      <c r="AK101" s="1528"/>
      <c r="AL101" s="1528"/>
      <c r="AM101" s="1536" t="s">
        <v>2422</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8460</v>
      </c>
      <c r="C1" s="1433" t="s">
        <v>8461</v>
      </c>
      <c r="D1" s="1737" t="s">
        <v>10615</v>
      </c>
      <c r="E1" s="1738" t="s">
        <v>6680</v>
      </c>
      <c r="F1" s="1739" t="s">
        <v>6974</v>
      </c>
      <c r="G1" s="1740" t="s">
        <v>38</v>
      </c>
      <c r="H1" s="1741" t="s">
        <v>36</v>
      </c>
      <c r="I1" s="1737" t="s">
        <v>10616</v>
      </c>
      <c r="J1" s="1742" t="s">
        <v>39</v>
      </c>
      <c r="K1" s="1743" t="s">
        <v>6914</v>
      </c>
      <c r="L1" s="1441" t="s">
        <v>8493</v>
      </c>
      <c r="M1" s="1744" t="s">
        <v>8494</v>
      </c>
      <c r="N1" s="1745" t="s">
        <v>8495</v>
      </c>
      <c r="O1" s="1431" t="s">
        <v>8496</v>
      </c>
    </row>
    <row r="2" ht="15.75" customHeight="1">
      <c r="A2" s="1444" t="s">
        <v>8497</v>
      </c>
      <c r="B2" s="1746" t="s">
        <v>8498</v>
      </c>
      <c r="C2" s="1747">
        <v>0.04982638888888889</v>
      </c>
      <c r="D2" s="1460" t="s">
        <v>10617</v>
      </c>
      <c r="E2" s="1748" t="s">
        <v>10618</v>
      </c>
      <c r="F2" s="1749" t="s">
        <v>10619</v>
      </c>
      <c r="G2" s="1750" t="s">
        <v>10620</v>
      </c>
      <c r="H2" s="1751" t="s">
        <v>10621</v>
      </c>
      <c r="I2" s="1752" t="s">
        <v>10622</v>
      </c>
      <c r="J2" s="1753" t="s">
        <v>10623</v>
      </c>
      <c r="K2" s="1754" t="s">
        <v>10624</v>
      </c>
      <c r="L2" s="1755" t="s">
        <v>8691</v>
      </c>
      <c r="M2" s="1747">
        <v>0.0505787037037037</v>
      </c>
      <c r="N2" s="1756" t="str">
        <f t="shared" ref="N2:N39" si="1">TEXT(M2-C2, "m:ss")</f>
        <v>1:05</v>
      </c>
      <c r="O2" s="1469"/>
    </row>
    <row r="3" ht="15.75" customHeight="1">
      <c r="A3" s="1470" t="s">
        <v>8528</v>
      </c>
      <c r="B3" s="1757" t="s">
        <v>8529</v>
      </c>
      <c r="C3" s="1758">
        <v>0.051458333333333335</v>
      </c>
      <c r="D3" s="1473" t="s">
        <v>10625</v>
      </c>
      <c r="E3" s="1759" t="s">
        <v>5849</v>
      </c>
      <c r="F3" s="1475" t="s">
        <v>10626</v>
      </c>
      <c r="G3" s="1476" t="s">
        <v>10627</v>
      </c>
      <c r="H3" s="1480" t="s">
        <v>10628</v>
      </c>
      <c r="I3" s="1473" t="s">
        <v>10629</v>
      </c>
      <c r="J3" s="1482" t="s">
        <v>10630</v>
      </c>
      <c r="K3" s="1484" t="s">
        <v>10631</v>
      </c>
      <c r="L3" s="1486" t="s">
        <v>9125</v>
      </c>
      <c r="M3" s="1758">
        <v>0.05236111111111111</v>
      </c>
      <c r="N3" s="1760" t="str">
        <f t="shared" si="1"/>
        <v>1:18</v>
      </c>
    </row>
    <row r="4" ht="15.75" customHeight="1">
      <c r="A4" s="1488" t="s">
        <v>8553</v>
      </c>
      <c r="B4" s="1761" t="s">
        <v>8554</v>
      </c>
      <c r="C4" s="1762">
        <f>C24</f>
        <v>0.05158564815</v>
      </c>
      <c r="D4" s="1491" t="s">
        <v>10632</v>
      </c>
      <c r="E4" s="1763" t="s">
        <v>10633</v>
      </c>
      <c r="F4" s="1493" t="s">
        <v>10634</v>
      </c>
      <c r="G4" s="1494" t="s">
        <v>10635</v>
      </c>
      <c r="H4" s="1495" t="s">
        <v>10636</v>
      </c>
      <c r="I4" s="1491" t="s">
        <v>10637</v>
      </c>
      <c r="J4" s="1497" t="s">
        <v>10638</v>
      </c>
      <c r="K4" s="1498" t="s">
        <v>10639</v>
      </c>
      <c r="L4" s="1500" t="s">
        <v>8584</v>
      </c>
      <c r="M4" s="1764">
        <f>M24</f>
        <v>0.0521412037</v>
      </c>
      <c r="N4" s="1764" t="str">
        <f t="shared" si="1"/>
        <v>0:48</v>
      </c>
    </row>
    <row r="5" ht="15.75" customHeight="1">
      <c r="A5" s="1693" t="s">
        <v>1059</v>
      </c>
      <c r="B5" s="1670" t="s">
        <v>8498</v>
      </c>
      <c r="C5" s="1765">
        <v>0.04986111111111111</v>
      </c>
      <c r="D5" s="1766" t="s">
        <v>10617</v>
      </c>
      <c r="E5" s="1529" t="s">
        <v>10640</v>
      </c>
      <c r="F5" s="1766" t="s">
        <v>10641</v>
      </c>
      <c r="G5" s="1766" t="s">
        <v>10620</v>
      </c>
      <c r="H5" s="1766" t="s">
        <v>10642</v>
      </c>
      <c r="I5" s="1526" t="s">
        <v>10643</v>
      </c>
      <c r="J5" s="1767" t="s">
        <v>10644</v>
      </c>
      <c r="K5" s="1766" t="s">
        <v>10645</v>
      </c>
      <c r="L5" s="1514" t="s">
        <v>10646</v>
      </c>
      <c r="M5" s="1583" t="s">
        <v>8527</v>
      </c>
      <c r="N5" s="1768" t="str">
        <f t="shared" si="1"/>
        <v>1:02</v>
      </c>
      <c r="O5" s="1526" t="s">
        <v>10647</v>
      </c>
    </row>
    <row r="6" ht="15.75" customHeight="1">
      <c r="A6" s="1769" t="s">
        <v>434</v>
      </c>
      <c r="B6" s="1504" t="s">
        <v>8498</v>
      </c>
      <c r="C6" s="1770">
        <v>0.04998842592592593</v>
      </c>
      <c r="D6" s="1526" t="s">
        <v>10648</v>
      </c>
      <c r="E6" s="1771" t="s">
        <v>10618</v>
      </c>
      <c r="F6" s="1526" t="s">
        <v>10649</v>
      </c>
      <c r="G6" s="1526" t="s">
        <v>10650</v>
      </c>
      <c r="H6" s="1526" t="s">
        <v>10621</v>
      </c>
      <c r="I6" s="1526" t="s">
        <v>10651</v>
      </c>
      <c r="J6" s="1583" t="s">
        <v>10623</v>
      </c>
      <c r="K6" s="1526" t="s">
        <v>10652</v>
      </c>
      <c r="L6" s="1526" t="s">
        <v>8621</v>
      </c>
      <c r="M6" s="1526" t="s">
        <v>8622</v>
      </c>
      <c r="N6" s="1772" t="str">
        <f t="shared" si="1"/>
        <v>1:18</v>
      </c>
      <c r="O6" s="1526" t="s">
        <v>10653</v>
      </c>
    </row>
    <row r="7" ht="15.75" customHeight="1">
      <c r="A7" s="1722" t="s">
        <v>1884</v>
      </c>
      <c r="B7" s="1504" t="s">
        <v>8498</v>
      </c>
      <c r="C7" s="1765">
        <v>0.050150462962962966</v>
      </c>
      <c r="D7" s="1526" t="s">
        <v>10654</v>
      </c>
      <c r="E7" s="1526" t="s">
        <v>10655</v>
      </c>
      <c r="F7" s="1526" t="s">
        <v>10656</v>
      </c>
      <c r="G7" s="1526" t="s">
        <v>10657</v>
      </c>
      <c r="H7" s="1526" t="s">
        <v>10658</v>
      </c>
      <c r="I7" s="1526" t="s">
        <v>10659</v>
      </c>
      <c r="J7" s="1526" t="s">
        <v>10660</v>
      </c>
      <c r="K7" s="1526" t="s">
        <v>10661</v>
      </c>
      <c r="L7" s="1526" t="s">
        <v>10662</v>
      </c>
      <c r="M7" s="1773">
        <v>0.05077546296296296</v>
      </c>
      <c r="N7" s="1772" t="str">
        <f t="shared" si="1"/>
        <v>0:54</v>
      </c>
      <c r="O7" s="1526" t="s">
        <v>10653</v>
      </c>
    </row>
    <row r="8" ht="15.75" customHeight="1">
      <c r="A8" s="1769" t="s">
        <v>6401</v>
      </c>
      <c r="B8" s="1567" t="s">
        <v>8498</v>
      </c>
      <c r="C8" s="1774">
        <v>0.05025462962962963</v>
      </c>
      <c r="D8" s="1713" t="s">
        <v>10663</v>
      </c>
      <c r="E8" s="1527" t="s">
        <v>10664</v>
      </c>
      <c r="F8" s="1526" t="s">
        <v>10665</v>
      </c>
      <c r="G8" s="1526" t="s">
        <v>10666</v>
      </c>
      <c r="H8" s="1526" t="s">
        <v>10667</v>
      </c>
      <c r="I8" s="1526" t="s">
        <v>10445</v>
      </c>
      <c r="J8" s="1526" t="s">
        <v>10668</v>
      </c>
      <c r="K8" s="1526" t="s">
        <v>10669</v>
      </c>
      <c r="L8" s="1526" t="s">
        <v>8713</v>
      </c>
      <c r="M8" s="1773" t="s">
        <v>8714</v>
      </c>
      <c r="N8" s="1772" t="str">
        <f t="shared" si="1"/>
        <v>0:36</v>
      </c>
      <c r="O8" s="1526"/>
    </row>
    <row r="9" ht="15.75" customHeight="1">
      <c r="A9" s="1722" t="s">
        <v>6460</v>
      </c>
      <c r="B9" s="1504" t="s">
        <v>8498</v>
      </c>
      <c r="C9" s="1774">
        <v>0.050416666666666665</v>
      </c>
      <c r="D9" s="1526" t="s">
        <v>10670</v>
      </c>
      <c r="E9" s="1527" t="s">
        <v>10671</v>
      </c>
      <c r="F9" s="1529" t="s">
        <v>10672</v>
      </c>
      <c r="G9" s="1529" t="s">
        <v>10673</v>
      </c>
      <c r="H9" s="1526" t="s">
        <v>10674</v>
      </c>
      <c r="I9" s="1583" t="s">
        <v>10622</v>
      </c>
      <c r="J9" s="1526" t="s">
        <v>10675</v>
      </c>
      <c r="K9" s="1526" t="s">
        <v>10676</v>
      </c>
      <c r="L9" s="1529" t="s">
        <v>10662</v>
      </c>
      <c r="M9" s="1773">
        <v>0.0512037037037037</v>
      </c>
      <c r="N9" s="1772" t="str">
        <f t="shared" si="1"/>
        <v>1:08</v>
      </c>
      <c r="O9" s="1526" t="s">
        <v>10653</v>
      </c>
    </row>
    <row r="10">
      <c r="A10" s="1775" t="s">
        <v>911</v>
      </c>
      <c r="B10" s="1776" t="s">
        <v>8498</v>
      </c>
      <c r="C10" s="1774">
        <v>0.05047453703703704</v>
      </c>
      <c r="D10" s="1642" t="s">
        <v>10677</v>
      </c>
      <c r="E10" s="1527" t="s">
        <v>10678</v>
      </c>
      <c r="F10" s="1767" t="s">
        <v>10679</v>
      </c>
      <c r="G10" s="1526" t="s">
        <v>10680</v>
      </c>
      <c r="H10" s="1526" t="s">
        <v>10681</v>
      </c>
      <c r="I10" s="1526" t="s">
        <v>10682</v>
      </c>
      <c r="J10" s="1526" t="s">
        <v>10683</v>
      </c>
      <c r="K10" s="1526" t="s">
        <v>10684</v>
      </c>
      <c r="L10" s="1526" t="s">
        <v>3575</v>
      </c>
      <c r="M10" s="1773">
        <v>0.051076388888888886</v>
      </c>
      <c r="N10" s="1772" t="str">
        <f t="shared" si="1"/>
        <v>0:52</v>
      </c>
      <c r="O10" s="1526" t="s">
        <v>10685</v>
      </c>
    </row>
    <row r="11" ht="15.75" customHeight="1">
      <c r="A11" s="1693" t="s">
        <v>1555</v>
      </c>
      <c r="B11" s="1445" t="s">
        <v>8498</v>
      </c>
      <c r="C11" s="1774">
        <v>0.05061342592592592</v>
      </c>
      <c r="D11" s="1777" t="s">
        <v>10686</v>
      </c>
      <c r="E11" s="1527" t="s">
        <v>10687</v>
      </c>
      <c r="F11" s="1778" t="s">
        <v>10688</v>
      </c>
      <c r="G11" s="1526" t="s">
        <v>10689</v>
      </c>
      <c r="H11" s="1778" t="s">
        <v>10690</v>
      </c>
      <c r="I11" s="1778" t="s">
        <v>10691</v>
      </c>
      <c r="J11" s="1526" t="s">
        <v>10692</v>
      </c>
      <c r="K11" s="1526" t="s">
        <v>10693</v>
      </c>
      <c r="L11" s="1526" t="s">
        <v>3605</v>
      </c>
      <c r="M11" s="1773">
        <v>0.05122685185185185</v>
      </c>
      <c r="N11" s="1772" t="str">
        <f t="shared" si="1"/>
        <v>0:53</v>
      </c>
      <c r="O11" s="1526" t="s">
        <v>10694</v>
      </c>
    </row>
    <row r="12" ht="15.75" customHeight="1">
      <c r="A12" s="1727" t="s">
        <v>2075</v>
      </c>
      <c r="B12" s="1504" t="s">
        <v>8498</v>
      </c>
      <c r="C12" s="1770">
        <v>0.05061342592592592</v>
      </c>
      <c r="D12" s="1642" t="s">
        <v>10695</v>
      </c>
      <c r="E12" s="1779" t="s">
        <v>10696</v>
      </c>
      <c r="F12" s="1526" t="s">
        <v>10697</v>
      </c>
      <c r="G12" s="1526" t="s">
        <v>10698</v>
      </c>
      <c r="H12" s="1526" t="s">
        <v>10699</v>
      </c>
      <c r="I12" s="1526" t="s">
        <v>10700</v>
      </c>
      <c r="J12" s="1526" t="s">
        <v>10701</v>
      </c>
      <c r="K12" s="1526" t="s">
        <v>10702</v>
      </c>
      <c r="L12" s="1526" t="s">
        <v>6373</v>
      </c>
      <c r="M12" s="1773">
        <v>0.05153935185185185</v>
      </c>
      <c r="N12" s="1772" t="str">
        <f t="shared" si="1"/>
        <v>1:20</v>
      </c>
      <c r="O12" s="1526" t="s">
        <v>10653</v>
      </c>
    </row>
    <row r="13" ht="15.75" customHeight="1">
      <c r="A13" s="1769" t="s">
        <v>328</v>
      </c>
      <c r="B13" s="1504" t="s">
        <v>8498</v>
      </c>
      <c r="C13" s="1770">
        <v>0.05068287037037037</v>
      </c>
      <c r="D13" s="1526" t="s">
        <v>10703</v>
      </c>
      <c r="E13" s="1779" t="s">
        <v>10704</v>
      </c>
      <c r="F13" s="1526" t="s">
        <v>10705</v>
      </c>
      <c r="G13" s="1526" t="s">
        <v>10706</v>
      </c>
      <c r="H13" s="1526" t="s">
        <v>10707</v>
      </c>
      <c r="I13" s="1526" t="s">
        <v>6334</v>
      </c>
      <c r="J13" s="1526" t="s">
        <v>10708</v>
      </c>
      <c r="K13" s="1526" t="s">
        <v>10709</v>
      </c>
      <c r="L13" s="1780" t="s">
        <v>8691</v>
      </c>
      <c r="M13" s="1773">
        <v>0.05164351851851852</v>
      </c>
      <c r="N13" s="1772" t="str">
        <f t="shared" si="1"/>
        <v>1:23</v>
      </c>
      <c r="O13" s="1526" t="s">
        <v>10653</v>
      </c>
    </row>
    <row r="14">
      <c r="A14" s="1781" t="s">
        <v>2894</v>
      </c>
      <c r="B14" s="1782" t="s">
        <v>8498</v>
      </c>
      <c r="C14" s="1770">
        <v>0.05074791666666666</v>
      </c>
      <c r="D14" s="1783" t="s">
        <v>10710</v>
      </c>
      <c r="E14" s="1784" t="s">
        <v>5055</v>
      </c>
      <c r="F14" s="1767" t="s">
        <v>10711</v>
      </c>
      <c r="G14" s="1767" t="s">
        <v>10712</v>
      </c>
      <c r="H14" s="1767" t="s">
        <v>10713</v>
      </c>
      <c r="I14" s="1767" t="s">
        <v>10714</v>
      </c>
      <c r="J14" s="1767" t="s">
        <v>10715</v>
      </c>
      <c r="K14" s="1767" t="s">
        <v>10716</v>
      </c>
      <c r="L14" s="1767" t="s">
        <v>1988</v>
      </c>
      <c r="M14" s="1773">
        <v>0.052210648148148145</v>
      </c>
      <c r="N14" s="1773" t="str">
        <f t="shared" si="1"/>
        <v>2:06</v>
      </c>
      <c r="O14" s="1526"/>
    </row>
    <row r="15" ht="15.75" customHeight="1">
      <c r="A15" s="1785" t="s">
        <v>2637</v>
      </c>
      <c r="B15" s="1504" t="s">
        <v>8498</v>
      </c>
      <c r="C15" s="1786">
        <v>0.05103009259259259</v>
      </c>
      <c r="D15" s="1526" t="s">
        <v>10717</v>
      </c>
      <c r="E15" s="1779" t="s">
        <v>10255</v>
      </c>
      <c r="F15" s="1526" t="s">
        <v>10718</v>
      </c>
      <c r="G15" s="1526" t="s">
        <v>10719</v>
      </c>
      <c r="H15" s="1767" t="s">
        <v>10720</v>
      </c>
      <c r="I15" s="1526" t="s">
        <v>10721</v>
      </c>
      <c r="J15" s="1526" t="s">
        <v>10722</v>
      </c>
      <c r="K15" s="1526" t="s">
        <v>10723</v>
      </c>
      <c r="L15" s="1526" t="s">
        <v>10724</v>
      </c>
      <c r="M15" s="1773">
        <v>0.051909722222222225</v>
      </c>
      <c r="N15" s="1772" t="str">
        <f t="shared" si="1"/>
        <v>1:16</v>
      </c>
      <c r="O15" s="1526" t="s">
        <v>10653</v>
      </c>
    </row>
    <row r="16" ht="15.75" customHeight="1">
      <c r="A16" s="1710" t="s">
        <v>2217</v>
      </c>
      <c r="B16" s="1670" t="s">
        <v>8529</v>
      </c>
      <c r="C16" s="1774">
        <v>0.051099537037037034</v>
      </c>
      <c r="D16" s="1713" t="s">
        <v>10725</v>
      </c>
      <c r="E16" s="1787" t="s">
        <v>10726</v>
      </c>
      <c r="F16" s="1787" t="s">
        <v>10727</v>
      </c>
      <c r="G16" s="1787" t="s">
        <v>10728</v>
      </c>
      <c r="H16" s="1787" t="s">
        <v>10729</v>
      </c>
      <c r="I16" s="1787" t="s">
        <v>10730</v>
      </c>
      <c r="J16" s="1787" t="s">
        <v>10731</v>
      </c>
      <c r="K16" s="1526" t="s">
        <v>10732</v>
      </c>
      <c r="L16" s="1788" t="s">
        <v>8802</v>
      </c>
      <c r="M16" s="1773">
        <v>0.05299768518518518</v>
      </c>
      <c r="N16" s="1772" t="str">
        <f t="shared" si="1"/>
        <v>2:44</v>
      </c>
      <c r="O16" s="1526" t="s">
        <v>10653</v>
      </c>
    </row>
    <row r="17" ht="15.75" customHeight="1">
      <c r="A17" s="1710" t="s">
        <v>2256</v>
      </c>
      <c r="B17" s="1567" t="s">
        <v>8498</v>
      </c>
      <c r="C17" s="1770">
        <v>0.051145833333333335</v>
      </c>
      <c r="D17" s="1642" t="s">
        <v>10733</v>
      </c>
      <c r="E17" s="1527" t="s">
        <v>10734</v>
      </c>
      <c r="F17" s="1526" t="s">
        <v>10735</v>
      </c>
      <c r="G17" s="1526" t="s">
        <v>10736</v>
      </c>
      <c r="H17" s="1526" t="s">
        <v>10737</v>
      </c>
      <c r="I17" s="1526" t="s">
        <v>10738</v>
      </c>
      <c r="J17" s="1526" t="s">
        <v>10739</v>
      </c>
      <c r="K17" s="1526" t="s">
        <v>10740</v>
      </c>
      <c r="L17" s="1526" t="s">
        <v>2948</v>
      </c>
      <c r="M17" s="1773">
        <v>0.05228009259259259</v>
      </c>
      <c r="N17" s="1772" t="str">
        <f t="shared" si="1"/>
        <v>1:38</v>
      </c>
      <c r="O17" s="1526" t="s">
        <v>10741</v>
      </c>
    </row>
    <row r="18" ht="15.75" customHeight="1">
      <c r="A18" s="1769" t="s">
        <v>1417</v>
      </c>
      <c r="B18" s="1504" t="s">
        <v>8498</v>
      </c>
      <c r="C18" s="1770">
        <v>0.05122685185185185</v>
      </c>
      <c r="D18" s="1526" t="s">
        <v>10742</v>
      </c>
      <c r="E18" s="1779" t="s">
        <v>8558</v>
      </c>
      <c r="F18" s="1526" t="s">
        <v>10743</v>
      </c>
      <c r="G18" s="1526" t="s">
        <v>10744</v>
      </c>
      <c r="H18" s="1526" t="s">
        <v>10620</v>
      </c>
      <c r="I18" s="1526" t="s">
        <v>8503</v>
      </c>
      <c r="J18" s="1526" t="s">
        <v>10745</v>
      </c>
      <c r="K18" s="1526" t="s">
        <v>10746</v>
      </c>
      <c r="L18" s="1526" t="s">
        <v>10747</v>
      </c>
      <c r="M18" s="1773">
        <v>0.052037037037037034</v>
      </c>
      <c r="N18" s="1772" t="str">
        <f t="shared" si="1"/>
        <v>1:10</v>
      </c>
      <c r="O18" s="1526" t="s">
        <v>10653</v>
      </c>
    </row>
    <row r="19" ht="15.75" customHeight="1">
      <c r="A19" s="1710" t="s">
        <v>1722</v>
      </c>
      <c r="B19" s="1567" t="s">
        <v>8498</v>
      </c>
      <c r="C19" s="1770">
        <v>0.05122685185185185</v>
      </c>
      <c r="D19" s="1713" t="s">
        <v>10748</v>
      </c>
      <c r="E19" s="1527" t="s">
        <v>10749</v>
      </c>
      <c r="F19" s="1526" t="s">
        <v>10750</v>
      </c>
      <c r="G19" s="1526" t="s">
        <v>10751</v>
      </c>
      <c r="H19" s="1526" t="s">
        <v>10752</v>
      </c>
      <c r="I19" s="1526" t="s">
        <v>10753</v>
      </c>
      <c r="J19" s="1526" t="s">
        <v>10754</v>
      </c>
      <c r="K19" s="1526" t="s">
        <v>10755</v>
      </c>
      <c r="L19" s="1526" t="s">
        <v>5931</v>
      </c>
      <c r="M19" s="1773">
        <v>0.05224537037037037</v>
      </c>
      <c r="N19" s="1772" t="str">
        <f t="shared" si="1"/>
        <v>1:28</v>
      </c>
      <c r="O19" s="1526" t="s">
        <v>10756</v>
      </c>
    </row>
    <row r="20" ht="15.75" customHeight="1">
      <c r="A20" s="1710" t="s">
        <v>6449</v>
      </c>
      <c r="B20" s="1567" t="s">
        <v>8498</v>
      </c>
      <c r="C20" s="1770">
        <v>0.05133101851851852</v>
      </c>
      <c r="D20" s="1526" t="s">
        <v>10757</v>
      </c>
      <c r="E20" s="1527" t="s">
        <v>10758</v>
      </c>
      <c r="F20" s="1526" t="s">
        <v>10759</v>
      </c>
      <c r="G20" s="1529" t="s">
        <v>10760</v>
      </c>
      <c r="H20" s="1529" t="s">
        <v>10761</v>
      </c>
      <c r="I20" s="1526" t="s">
        <v>10762</v>
      </c>
      <c r="J20" s="1526" t="s">
        <v>10763</v>
      </c>
      <c r="K20" s="1526" t="s">
        <v>10764</v>
      </c>
      <c r="L20" s="1526" t="s">
        <v>10765</v>
      </c>
      <c r="M20" s="1773">
        <v>0.05197916666666667</v>
      </c>
      <c r="N20" s="1772" t="str">
        <f t="shared" si="1"/>
        <v>0:56</v>
      </c>
      <c r="O20" s="1526" t="s">
        <v>10766</v>
      </c>
    </row>
    <row r="21" ht="15.75" customHeight="1">
      <c r="A21" s="1722" t="s">
        <v>8943</v>
      </c>
      <c r="B21" s="1504" t="s">
        <v>8498</v>
      </c>
      <c r="C21" s="1774">
        <v>0.05144675925925926</v>
      </c>
      <c r="D21" s="1526" t="s">
        <v>10767</v>
      </c>
      <c r="E21" s="1779" t="s">
        <v>10768</v>
      </c>
      <c r="F21" s="1526" t="s">
        <v>10769</v>
      </c>
      <c r="G21" s="1526" t="s">
        <v>10770</v>
      </c>
      <c r="H21" s="1526" t="s">
        <v>10771</v>
      </c>
      <c r="I21" s="1526" t="s">
        <v>10772</v>
      </c>
      <c r="J21" s="1526" t="s">
        <v>10773</v>
      </c>
      <c r="K21" s="1526" t="s">
        <v>10774</v>
      </c>
      <c r="L21" s="1789" t="s">
        <v>8818</v>
      </c>
      <c r="M21" s="1773">
        <v>0.05258101851851852</v>
      </c>
      <c r="N21" s="1772" t="str">
        <f t="shared" si="1"/>
        <v>1:38</v>
      </c>
      <c r="O21" s="1526" t="s">
        <v>10653</v>
      </c>
    </row>
    <row r="22" ht="15.75" customHeight="1">
      <c r="A22" s="1710" t="s">
        <v>9110</v>
      </c>
      <c r="B22" s="1567" t="s">
        <v>8529</v>
      </c>
      <c r="C22" s="1770">
        <v>0.05146990740740741</v>
      </c>
      <c r="D22" s="1787" t="s">
        <v>10625</v>
      </c>
      <c r="E22" s="1527" t="s">
        <v>10085</v>
      </c>
      <c r="F22" s="1527" t="s">
        <v>10626</v>
      </c>
      <c r="G22" s="1527" t="s">
        <v>10627</v>
      </c>
      <c r="H22" s="1527" t="s">
        <v>10628</v>
      </c>
      <c r="I22" s="1526" t="s">
        <v>10775</v>
      </c>
      <c r="J22" s="1642" t="s">
        <v>10630</v>
      </c>
      <c r="K22" s="1787" t="s">
        <v>10631</v>
      </c>
      <c r="L22" s="1642" t="s">
        <v>9125</v>
      </c>
      <c r="M22" s="1790">
        <v>0.05236111111111111</v>
      </c>
      <c r="N22" s="1772" t="str">
        <f t="shared" si="1"/>
        <v>1:17</v>
      </c>
      <c r="O22" s="1526" t="s">
        <v>10653</v>
      </c>
    </row>
    <row r="23" ht="15.75" customHeight="1">
      <c r="A23" s="1769" t="s">
        <v>826</v>
      </c>
      <c r="B23" s="1504" t="s">
        <v>8498</v>
      </c>
      <c r="C23" s="1774">
        <v>0.051550925925925924</v>
      </c>
      <c r="D23" s="1526" t="s">
        <v>10776</v>
      </c>
      <c r="E23" s="1779" t="s">
        <v>10055</v>
      </c>
      <c r="F23" s="1526" t="s">
        <v>10777</v>
      </c>
      <c r="G23" s="1526" t="s">
        <v>10778</v>
      </c>
      <c r="H23" s="1526" t="s">
        <v>10779</v>
      </c>
      <c r="I23" s="1526" t="s">
        <v>10780</v>
      </c>
      <c r="J23" s="1526" t="s">
        <v>10781</v>
      </c>
      <c r="K23" s="1526" t="s">
        <v>10782</v>
      </c>
      <c r="L23" s="1789" t="s">
        <v>10783</v>
      </c>
      <c r="M23" s="1773">
        <v>0.05229166666666667</v>
      </c>
      <c r="N23" s="1772" t="str">
        <f t="shared" si="1"/>
        <v>1:04</v>
      </c>
      <c r="O23" s="1526" t="s">
        <v>10653</v>
      </c>
    </row>
    <row r="24">
      <c r="A24" s="1781" t="s">
        <v>1884</v>
      </c>
      <c r="B24" s="1670" t="s">
        <v>8554</v>
      </c>
      <c r="C24" s="1770">
        <v>0.05158564814814815</v>
      </c>
      <c r="D24" s="1791" t="s">
        <v>10632</v>
      </c>
      <c r="E24" s="1792" t="s">
        <v>10633</v>
      </c>
      <c r="F24" s="1791" t="s">
        <v>10634</v>
      </c>
      <c r="G24" s="1791" t="s">
        <v>10635</v>
      </c>
      <c r="H24" s="1791" t="s">
        <v>10636</v>
      </c>
      <c r="I24" s="1791" t="s">
        <v>10637</v>
      </c>
      <c r="J24" s="1791" t="s">
        <v>10638</v>
      </c>
      <c r="K24" s="1791" t="s">
        <v>10639</v>
      </c>
      <c r="L24" s="1791" t="s">
        <v>8584</v>
      </c>
      <c r="M24" s="1793">
        <v>0.052141203703703703</v>
      </c>
      <c r="N24" s="1772" t="str">
        <f t="shared" si="1"/>
        <v>0:48</v>
      </c>
      <c r="O24" s="1526" t="s">
        <v>10784</v>
      </c>
    </row>
    <row r="25" ht="15.75" customHeight="1">
      <c r="A25" s="1693" t="s">
        <v>2815</v>
      </c>
      <c r="B25" s="1567" t="s">
        <v>8498</v>
      </c>
      <c r="C25" s="1774">
        <v>0.051706365740740744</v>
      </c>
      <c r="D25" s="1642" t="s">
        <v>10785</v>
      </c>
      <c r="E25" s="1527" t="s">
        <v>10786</v>
      </c>
      <c r="F25" s="1526" t="s">
        <v>10787</v>
      </c>
      <c r="G25" s="1526" t="s">
        <v>10788</v>
      </c>
      <c r="H25" s="1526" t="s">
        <v>10789</v>
      </c>
      <c r="I25" s="1526" t="s">
        <v>10790</v>
      </c>
      <c r="J25" s="1526" t="s">
        <v>10791</v>
      </c>
      <c r="K25" s="1526" t="s">
        <v>10792</v>
      </c>
      <c r="L25" s="1526" t="s">
        <v>9424</v>
      </c>
      <c r="M25" s="1773">
        <v>0.0525</v>
      </c>
      <c r="N25" s="1773" t="str">
        <f t="shared" si="1"/>
        <v>1:09</v>
      </c>
      <c r="O25" s="1526"/>
    </row>
    <row r="26" ht="15.75" customHeight="1">
      <c r="A26" s="1794" t="s">
        <v>2094</v>
      </c>
      <c r="B26" s="1661" t="s">
        <v>8498</v>
      </c>
      <c r="C26" s="1774">
        <v>0.05171296296296296</v>
      </c>
      <c r="D26" s="1795" t="s">
        <v>10793</v>
      </c>
      <c r="E26" s="1795" t="s">
        <v>10794</v>
      </c>
      <c r="F26" s="1795" t="s">
        <v>10795</v>
      </c>
      <c r="G26" s="1795" t="s">
        <v>10796</v>
      </c>
      <c r="H26" s="1642" t="s">
        <v>10797</v>
      </c>
      <c r="I26" s="1795" t="s">
        <v>10798</v>
      </c>
      <c r="J26" s="1642" t="s">
        <v>10799</v>
      </c>
      <c r="K26" s="1795" t="s">
        <v>10800</v>
      </c>
      <c r="L26" s="1642" t="s">
        <v>7997</v>
      </c>
      <c r="M26" s="1773">
        <v>0.054375</v>
      </c>
      <c r="N26" s="1772" t="str">
        <f t="shared" si="1"/>
        <v>3:50</v>
      </c>
      <c r="O26" s="1526" t="s">
        <v>10801</v>
      </c>
    </row>
    <row r="27" ht="15.75" customHeight="1">
      <c r="A27" s="1710" t="s">
        <v>2923</v>
      </c>
      <c r="B27" s="1567" t="s">
        <v>8498</v>
      </c>
      <c r="C27" s="1770">
        <v>0.05180160879629629</v>
      </c>
      <c r="D27" s="1642" t="s">
        <v>10802</v>
      </c>
      <c r="E27" s="1527" t="s">
        <v>10803</v>
      </c>
      <c r="F27" s="1526" t="s">
        <v>10804</v>
      </c>
      <c r="G27" s="1526" t="s">
        <v>10805</v>
      </c>
      <c r="H27" s="1526" t="s">
        <v>10806</v>
      </c>
      <c r="I27" s="1526" t="s">
        <v>10807</v>
      </c>
      <c r="J27" s="1526" t="s">
        <v>10808</v>
      </c>
      <c r="K27" s="1526" t="s">
        <v>10809</v>
      </c>
      <c r="L27" s="1526" t="s">
        <v>10810</v>
      </c>
      <c r="M27" s="1773">
        <v>0.05303240740740741</v>
      </c>
      <c r="N27" s="1772" t="str">
        <f t="shared" si="1"/>
        <v>1:46</v>
      </c>
      <c r="O27" s="1526"/>
    </row>
    <row r="28" ht="15.75" customHeight="1">
      <c r="A28" s="1693" t="s">
        <v>1349</v>
      </c>
      <c r="B28" s="1670" t="s">
        <v>8554</v>
      </c>
      <c r="C28" s="1774">
        <v>0.052088194444444444</v>
      </c>
      <c r="D28" s="1642" t="s">
        <v>10811</v>
      </c>
      <c r="E28" s="1527" t="s">
        <v>10812</v>
      </c>
      <c r="F28" s="1526" t="s">
        <v>10813</v>
      </c>
      <c r="G28" s="1526" t="s">
        <v>10814</v>
      </c>
      <c r="H28" s="1526" t="s">
        <v>10815</v>
      </c>
      <c r="I28" s="1526" t="s">
        <v>10816</v>
      </c>
      <c r="J28" s="1526" t="s">
        <v>10817</v>
      </c>
      <c r="K28" s="1526" t="s">
        <v>10818</v>
      </c>
      <c r="L28" s="1526" t="s">
        <v>9715</v>
      </c>
      <c r="M28" s="1773">
        <v>0.053043981481481484</v>
      </c>
      <c r="N28" s="1772" t="str">
        <f t="shared" si="1"/>
        <v>1:23</v>
      </c>
      <c r="O28" s="1526" t="s">
        <v>10653</v>
      </c>
    </row>
    <row r="29" ht="15.75" customHeight="1">
      <c r="A29" s="1693" t="s">
        <v>2532</v>
      </c>
      <c r="B29" s="1567" t="s">
        <v>8529</v>
      </c>
      <c r="C29" s="1774">
        <v>0.05215277777777778</v>
      </c>
      <c r="D29" s="1526" t="s">
        <v>10819</v>
      </c>
      <c r="E29" s="1526" t="s">
        <v>5849</v>
      </c>
      <c r="F29" s="1526" t="s">
        <v>10820</v>
      </c>
      <c r="G29" s="1526" t="s">
        <v>10821</v>
      </c>
      <c r="H29" s="1526" t="s">
        <v>10822</v>
      </c>
      <c r="I29" s="1526" t="s">
        <v>10687</v>
      </c>
      <c r="J29" s="1526" t="s">
        <v>10823</v>
      </c>
      <c r="K29" s="1526" t="s">
        <v>10824</v>
      </c>
      <c r="L29" s="1526" t="s">
        <v>9476</v>
      </c>
      <c r="M29" s="1773">
        <v>0.05399305555555556</v>
      </c>
      <c r="N29" s="1772" t="str">
        <f t="shared" si="1"/>
        <v>2:39</v>
      </c>
      <c r="O29" s="1526" t="s">
        <v>10825</v>
      </c>
    </row>
    <row r="30" ht="15.75" customHeight="1">
      <c r="A30" s="1710" t="s">
        <v>2960</v>
      </c>
      <c r="B30" s="1567" t="s">
        <v>8498</v>
      </c>
      <c r="C30" s="1796">
        <v>0.05216435185185185</v>
      </c>
      <c r="D30" s="1526" t="s">
        <v>10826</v>
      </c>
      <c r="E30" s="1527" t="s">
        <v>10827</v>
      </c>
      <c r="F30" s="1526" t="s">
        <v>10828</v>
      </c>
      <c r="G30" s="1526" t="s">
        <v>10829</v>
      </c>
      <c r="H30" s="1526" t="s">
        <v>10830</v>
      </c>
      <c r="I30" s="1526" t="s">
        <v>10831</v>
      </c>
      <c r="J30" s="1526" t="s">
        <v>10832</v>
      </c>
      <c r="K30" s="1526" t="s">
        <v>10833</v>
      </c>
      <c r="L30" s="1526" t="s">
        <v>10834</v>
      </c>
      <c r="M30" s="1797">
        <v>0.05337962962962963</v>
      </c>
      <c r="N30" s="1772" t="str">
        <f t="shared" si="1"/>
        <v>1:45</v>
      </c>
      <c r="O30" s="1526" t="s">
        <v>10835</v>
      </c>
    </row>
    <row r="31" ht="15.75" customHeight="1">
      <c r="A31" s="1693" t="s">
        <v>738</v>
      </c>
      <c r="B31" s="1567" t="s">
        <v>8529</v>
      </c>
      <c r="C31" s="1774">
        <v>0.05224537037037037</v>
      </c>
      <c r="D31" s="1526" t="s">
        <v>10836</v>
      </c>
      <c r="E31" s="1798" t="s">
        <v>10837</v>
      </c>
      <c r="F31" s="1526" t="s">
        <v>10838</v>
      </c>
      <c r="G31" s="1526" t="s">
        <v>10839</v>
      </c>
      <c r="H31" s="1526" t="s">
        <v>10840</v>
      </c>
      <c r="I31" s="1526" t="s">
        <v>10629</v>
      </c>
      <c r="J31" s="1526" t="s">
        <v>10841</v>
      </c>
      <c r="K31" s="1529" t="s">
        <v>10842</v>
      </c>
      <c r="L31" s="1526" t="s">
        <v>10843</v>
      </c>
      <c r="M31" s="1773">
        <v>0.053043981481481484</v>
      </c>
      <c r="N31" s="1772" t="str">
        <f t="shared" si="1"/>
        <v>1:09</v>
      </c>
      <c r="O31" s="1526" t="s">
        <v>10844</v>
      </c>
    </row>
    <row r="32" ht="15.75" customHeight="1">
      <c r="A32" s="1710" t="s">
        <v>2923</v>
      </c>
      <c r="B32" s="1670" t="s">
        <v>8529</v>
      </c>
      <c r="C32" s="1770">
        <v>0.052316898148148154</v>
      </c>
      <c r="D32" s="1642" t="s">
        <v>10845</v>
      </c>
      <c r="E32" s="1527" t="s">
        <v>10846</v>
      </c>
      <c r="F32" s="1526" t="s">
        <v>10847</v>
      </c>
      <c r="G32" s="1526" t="s">
        <v>10848</v>
      </c>
      <c r="H32" s="1526" t="s">
        <v>10849</v>
      </c>
      <c r="I32" s="1526" t="s">
        <v>10850</v>
      </c>
      <c r="J32" s="1526" t="s">
        <v>10851</v>
      </c>
      <c r="K32" s="1526" t="s">
        <v>10852</v>
      </c>
      <c r="L32" s="1526" t="s">
        <v>9201</v>
      </c>
      <c r="M32" s="1773">
        <v>0.0537625</v>
      </c>
      <c r="N32" s="1772" t="str">
        <f t="shared" si="1"/>
        <v>2:05</v>
      </c>
      <c r="O32" s="1526" t="s">
        <v>10653</v>
      </c>
    </row>
    <row r="33" ht="15.75" customHeight="1">
      <c r="A33" s="1693" t="s">
        <v>3983</v>
      </c>
      <c r="B33" s="1567" t="s">
        <v>8498</v>
      </c>
      <c r="C33" s="1774">
        <v>0.05238425925925926</v>
      </c>
      <c r="D33" s="1713" t="s">
        <v>10853</v>
      </c>
      <c r="E33" s="1527" t="s">
        <v>10827</v>
      </c>
      <c r="F33" s="1526" t="s">
        <v>10854</v>
      </c>
      <c r="G33" s="1799" t="s">
        <v>10855</v>
      </c>
      <c r="H33" s="1526" t="s">
        <v>10856</v>
      </c>
      <c r="I33" s="1526" t="s">
        <v>10857</v>
      </c>
      <c r="J33" s="1526" t="s">
        <v>10858</v>
      </c>
      <c r="K33" s="1526" t="s">
        <v>10859</v>
      </c>
      <c r="L33" s="1526" t="s">
        <v>9733</v>
      </c>
      <c r="M33" s="1773">
        <v>0.05340277777777778</v>
      </c>
      <c r="N33" s="1772" t="str">
        <f t="shared" si="1"/>
        <v>1:28</v>
      </c>
      <c r="O33" s="1526" t="s">
        <v>10860</v>
      </c>
    </row>
    <row r="34" ht="15.75" customHeight="1">
      <c r="A34" s="1710" t="s">
        <v>9759</v>
      </c>
      <c r="B34" s="1567" t="s">
        <v>8498</v>
      </c>
      <c r="C34" s="1770">
        <v>0.05268518518518518</v>
      </c>
      <c r="D34" s="1642" t="s">
        <v>10861</v>
      </c>
      <c r="E34" s="1527" t="s">
        <v>10862</v>
      </c>
      <c r="F34" s="1526" t="s">
        <v>10863</v>
      </c>
      <c r="G34" s="1526" t="s">
        <v>10864</v>
      </c>
      <c r="H34" s="1526" t="s">
        <v>10865</v>
      </c>
      <c r="I34" s="1526" t="s">
        <v>10866</v>
      </c>
      <c r="J34" s="1526" t="s">
        <v>10867</v>
      </c>
      <c r="K34" s="1526" t="s">
        <v>10868</v>
      </c>
      <c r="L34" s="1526" t="s">
        <v>9777</v>
      </c>
      <c r="M34" s="1773">
        <v>0.05331018518518518</v>
      </c>
      <c r="N34" s="1772" t="str">
        <f t="shared" si="1"/>
        <v>0:54</v>
      </c>
      <c r="O34" s="1526" t="s">
        <v>10869</v>
      </c>
    </row>
    <row r="35" ht="15.75" customHeight="1">
      <c r="A35" s="1800" t="s">
        <v>3712</v>
      </c>
      <c r="B35" s="1776" t="s">
        <v>8498</v>
      </c>
      <c r="C35" s="1770">
        <v>0.05270034722222223</v>
      </c>
      <c r="D35" s="1713" t="s">
        <v>10870</v>
      </c>
      <c r="E35" s="1527" t="s">
        <v>10871</v>
      </c>
      <c r="F35" s="1526" t="s">
        <v>10872</v>
      </c>
      <c r="G35" s="1526" t="s">
        <v>10873</v>
      </c>
      <c r="H35" s="1526" t="s">
        <v>10874</v>
      </c>
      <c r="I35" s="1526" t="s">
        <v>10875</v>
      </c>
      <c r="J35" s="1526" t="s">
        <v>10876</v>
      </c>
      <c r="K35" s="1526" t="s">
        <v>10877</v>
      </c>
      <c r="L35" s="1526" t="s">
        <v>10878</v>
      </c>
      <c r="M35" s="1773">
        <v>0.05425925925925926</v>
      </c>
      <c r="N35" s="1772" t="str">
        <f t="shared" si="1"/>
        <v>2:15</v>
      </c>
      <c r="O35" s="1526" t="s">
        <v>10653</v>
      </c>
    </row>
    <row r="36" ht="15.75" customHeight="1">
      <c r="A36" s="1693" t="s">
        <v>3126</v>
      </c>
      <c r="B36" s="1567" t="s">
        <v>8498</v>
      </c>
      <c r="C36" s="1774">
        <v>0.05269675925925926</v>
      </c>
      <c r="D36" s="1642" t="s">
        <v>10879</v>
      </c>
      <c r="E36" s="1527" t="s">
        <v>10880</v>
      </c>
      <c r="F36" s="1526" t="s">
        <v>10881</v>
      </c>
      <c r="G36" s="1526" t="s">
        <v>10882</v>
      </c>
      <c r="H36" s="1526" t="s">
        <v>10883</v>
      </c>
      <c r="I36" s="1526" t="s">
        <v>10884</v>
      </c>
      <c r="J36" s="1526" t="s">
        <v>10885</v>
      </c>
      <c r="K36" s="1526" t="s">
        <v>10886</v>
      </c>
      <c r="L36" s="1526" t="s">
        <v>10887</v>
      </c>
      <c r="M36" s="1773">
        <v>0.05417824074074074</v>
      </c>
      <c r="N36" s="1772" t="str">
        <f t="shared" si="1"/>
        <v>2:08</v>
      </c>
      <c r="O36" s="1526" t="s">
        <v>10888</v>
      </c>
    </row>
    <row r="37">
      <c r="A37" s="1801" t="s">
        <v>3475</v>
      </c>
      <c r="B37" s="1776" t="s">
        <v>8498</v>
      </c>
      <c r="C37" s="1770">
        <v>0.053009259259259256</v>
      </c>
      <c r="D37" s="1713" t="s">
        <v>10889</v>
      </c>
      <c r="E37" s="1527" t="s">
        <v>10890</v>
      </c>
      <c r="F37" s="1526" t="s">
        <v>10891</v>
      </c>
      <c r="G37" s="1526" t="s">
        <v>10892</v>
      </c>
      <c r="H37" s="1526" t="s">
        <v>10893</v>
      </c>
      <c r="I37" s="1526" t="s">
        <v>10894</v>
      </c>
      <c r="J37" s="1526" t="s">
        <v>10895</v>
      </c>
      <c r="K37" s="1526" t="s">
        <v>10896</v>
      </c>
      <c r="L37" s="1526" t="s">
        <v>10897</v>
      </c>
      <c r="M37" s="1773">
        <v>0.05372685185185185</v>
      </c>
      <c r="N37" s="1772" t="str">
        <f t="shared" si="1"/>
        <v>1:02</v>
      </c>
      <c r="O37" s="1526" t="s">
        <v>10653</v>
      </c>
    </row>
    <row r="38" ht="15.75" customHeight="1">
      <c r="A38" s="1693" t="s">
        <v>986</v>
      </c>
      <c r="B38" s="1757" t="s">
        <v>8529</v>
      </c>
      <c r="C38" s="1774">
        <v>0.05378472222222222</v>
      </c>
      <c r="D38" s="1642" t="s">
        <v>10898</v>
      </c>
      <c r="E38" s="1527" t="s">
        <v>10899</v>
      </c>
      <c r="F38" s="1526" t="s">
        <v>10900</v>
      </c>
      <c r="G38" s="1526" t="s">
        <v>10901</v>
      </c>
      <c r="H38" s="1526" t="s">
        <v>10902</v>
      </c>
      <c r="I38" s="1526" t="s">
        <v>8111</v>
      </c>
      <c r="J38" s="1526" t="s">
        <v>10903</v>
      </c>
      <c r="K38" s="1526" t="s">
        <v>10904</v>
      </c>
      <c r="L38" s="1526" t="s">
        <v>9523</v>
      </c>
      <c r="M38" s="1773">
        <v>0.054560185185185184</v>
      </c>
      <c r="N38" s="1772" t="str">
        <f t="shared" si="1"/>
        <v>1:07</v>
      </c>
      <c r="O38" s="1526"/>
    </row>
    <row r="39" ht="15.75" customHeight="1">
      <c r="A39" s="1693" t="s">
        <v>4900</v>
      </c>
      <c r="B39" s="1670" t="s">
        <v>8529</v>
      </c>
      <c r="C39" s="1774">
        <v>0.05748842592592593</v>
      </c>
      <c r="D39" s="1642" t="s">
        <v>10905</v>
      </c>
      <c r="E39" s="1527" t="s">
        <v>10906</v>
      </c>
      <c r="F39" s="1526" t="s">
        <v>10907</v>
      </c>
      <c r="G39" s="1526" t="s">
        <v>10908</v>
      </c>
      <c r="H39" s="1526" t="s">
        <v>10909</v>
      </c>
      <c r="I39" s="1526" t="s">
        <v>10910</v>
      </c>
      <c r="J39" s="1526" t="s">
        <v>10911</v>
      </c>
      <c r="K39" s="1526" t="s">
        <v>10912</v>
      </c>
      <c r="L39" s="1526" t="s">
        <v>10556</v>
      </c>
      <c r="M39" s="1773">
        <v>0.06149305555555556</v>
      </c>
      <c r="N39" s="1772" t="str">
        <f t="shared" si="1"/>
        <v>5:46</v>
      </c>
      <c r="O39" s="1526" t="s">
        <v>10653</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8460</v>
      </c>
      <c r="C1" s="1825" t="s">
        <v>10615</v>
      </c>
      <c r="D1" s="1826" t="s">
        <v>6680</v>
      </c>
      <c r="E1" s="1827" t="s">
        <v>6974</v>
      </c>
      <c r="F1" s="1828" t="s">
        <v>38</v>
      </c>
      <c r="G1" s="1829" t="s">
        <v>36</v>
      </c>
      <c r="H1" s="1825" t="s">
        <v>10616</v>
      </c>
      <c r="I1" s="1830" t="s">
        <v>39</v>
      </c>
      <c r="J1" s="1831" t="s">
        <v>6914</v>
      </c>
      <c r="K1" s="1431" t="s">
        <v>8494</v>
      </c>
      <c r="L1" s="1431" t="s">
        <v>8496</v>
      </c>
    </row>
    <row r="2" ht="15.75" customHeight="1">
      <c r="A2" s="1444" t="s">
        <v>8497</v>
      </c>
      <c r="B2" s="1746" t="s">
        <v>8498</v>
      </c>
      <c r="C2" s="1460" t="s">
        <v>10617</v>
      </c>
      <c r="D2" s="1449" t="s">
        <v>10913</v>
      </c>
      <c r="E2" s="1832" t="s">
        <v>10914</v>
      </c>
      <c r="F2" s="1833" t="s">
        <v>10915</v>
      </c>
      <c r="G2" s="1834" t="s">
        <v>10916</v>
      </c>
      <c r="H2" s="1460" t="s">
        <v>10917</v>
      </c>
      <c r="I2" s="1835" t="s">
        <v>10918</v>
      </c>
      <c r="J2" s="1754" t="s">
        <v>10919</v>
      </c>
      <c r="K2" s="1836" t="s">
        <v>8527</v>
      </c>
      <c r="L2" s="1837"/>
    </row>
    <row r="3" ht="15.75" customHeight="1">
      <c r="A3" s="1470" t="s">
        <v>8528</v>
      </c>
      <c r="B3" s="1757" t="s">
        <v>8529</v>
      </c>
      <c r="C3" s="1473" t="s">
        <v>10819</v>
      </c>
      <c r="D3" s="1474" t="s">
        <v>10920</v>
      </c>
      <c r="E3" s="1475" t="s">
        <v>10921</v>
      </c>
      <c r="F3" s="1476" t="s">
        <v>10922</v>
      </c>
      <c r="G3" s="1480" t="s">
        <v>10923</v>
      </c>
      <c r="H3" s="1473" t="s">
        <v>10924</v>
      </c>
      <c r="I3" s="1482" t="s">
        <v>10925</v>
      </c>
      <c r="J3" s="1484" t="s">
        <v>10926</v>
      </c>
      <c r="K3" s="1758">
        <v>0.053043981481481484</v>
      </c>
    </row>
    <row r="4" ht="15.75" customHeight="1">
      <c r="A4" s="1488" t="s">
        <v>8553</v>
      </c>
      <c r="B4" s="1761" t="s">
        <v>8554</v>
      </c>
      <c r="C4" s="1491" t="s">
        <v>10811</v>
      </c>
      <c r="D4" s="1492" t="s">
        <v>10927</v>
      </c>
      <c r="E4" s="1493" t="s">
        <v>10928</v>
      </c>
      <c r="F4" s="1494" t="s">
        <v>10929</v>
      </c>
      <c r="G4" s="1495" t="s">
        <v>10930</v>
      </c>
      <c r="H4" s="1491" t="s">
        <v>10931</v>
      </c>
      <c r="I4" s="1497" t="s">
        <v>10932</v>
      </c>
      <c r="J4" s="1498" t="s">
        <v>10933</v>
      </c>
      <c r="K4" s="1762">
        <v>0.053043981481481484</v>
      </c>
    </row>
    <row r="5" ht="15.75" customHeight="1">
      <c r="A5" s="1693" t="s">
        <v>1059</v>
      </c>
      <c r="B5" s="1567" t="s">
        <v>8498</v>
      </c>
      <c r="C5" s="1766" t="s">
        <v>10617</v>
      </c>
      <c r="D5" s="1766" t="s">
        <v>10913</v>
      </c>
      <c r="E5" s="1766" t="s">
        <v>10914</v>
      </c>
      <c r="F5" s="1766" t="s">
        <v>10915</v>
      </c>
      <c r="G5" s="1766" t="s">
        <v>10934</v>
      </c>
      <c r="H5" s="1766" t="s">
        <v>10935</v>
      </c>
      <c r="I5" s="1766" t="s">
        <v>10918</v>
      </c>
      <c r="J5" s="1766" t="s">
        <v>10919</v>
      </c>
      <c r="K5" s="1838" t="s">
        <v>8527</v>
      </c>
      <c r="L5" s="1526" t="s">
        <v>10936</v>
      </c>
    </row>
    <row r="6" ht="15.75" customHeight="1">
      <c r="A6" s="1839" t="s">
        <v>6401</v>
      </c>
      <c r="B6" s="1567" t="s">
        <v>8498</v>
      </c>
      <c r="C6" s="1701" t="s">
        <v>10663</v>
      </c>
      <c r="D6" s="1526" t="s">
        <v>10937</v>
      </c>
      <c r="E6" s="1526" t="s">
        <v>10938</v>
      </c>
      <c r="F6" s="1526" t="s">
        <v>10939</v>
      </c>
      <c r="G6" s="1526" t="s">
        <v>10940</v>
      </c>
      <c r="H6" s="1526" t="s">
        <v>10941</v>
      </c>
      <c r="I6" s="1526" t="s">
        <v>10942</v>
      </c>
      <c r="J6" s="1526" t="s">
        <v>10943</v>
      </c>
      <c r="K6" s="1526" t="s">
        <v>8714</v>
      </c>
      <c r="L6" s="1526"/>
    </row>
    <row r="7" ht="15.75" customHeight="1">
      <c r="A7" s="1722" t="s">
        <v>1884</v>
      </c>
      <c r="B7" s="1840" t="s">
        <v>8498</v>
      </c>
      <c r="C7" s="1526" t="s">
        <v>10654</v>
      </c>
      <c r="D7" s="1526" t="s">
        <v>10944</v>
      </c>
      <c r="E7" s="1767" t="s">
        <v>10945</v>
      </c>
      <c r="F7" s="1529" t="s">
        <v>10946</v>
      </c>
      <c r="G7" s="1841" t="s">
        <v>10947</v>
      </c>
      <c r="H7" s="1841" t="s">
        <v>10948</v>
      </c>
      <c r="I7" s="1526" t="s">
        <v>10949</v>
      </c>
      <c r="J7" s="1842" t="s">
        <v>10950</v>
      </c>
      <c r="K7" s="1842" t="s">
        <v>8665</v>
      </c>
      <c r="L7" s="1526" t="s">
        <v>10951</v>
      </c>
    </row>
    <row r="8" ht="15.75" customHeight="1">
      <c r="A8" s="1769" t="s">
        <v>434</v>
      </c>
      <c r="B8" s="1504" t="s">
        <v>8498</v>
      </c>
      <c r="C8" s="1701" t="s">
        <v>10648</v>
      </c>
      <c r="D8" s="1526" t="s">
        <v>10952</v>
      </c>
      <c r="E8" s="1526" t="s">
        <v>10953</v>
      </c>
      <c r="F8" s="1526" t="s">
        <v>10954</v>
      </c>
      <c r="G8" s="1526" t="s">
        <v>10955</v>
      </c>
      <c r="H8" s="1526" t="s">
        <v>10956</v>
      </c>
      <c r="I8" s="1526" t="s">
        <v>10957</v>
      </c>
      <c r="J8" s="1526" t="s">
        <v>10958</v>
      </c>
      <c r="K8" s="1526" t="s">
        <v>8622</v>
      </c>
      <c r="L8" s="1526"/>
    </row>
    <row r="9" ht="15.75" customHeight="1">
      <c r="A9" s="1722" t="s">
        <v>6460</v>
      </c>
      <c r="B9" s="1504" t="s">
        <v>8498</v>
      </c>
      <c r="C9" s="1526" t="s">
        <v>10959</v>
      </c>
      <c r="D9" s="1526" t="s">
        <v>10960</v>
      </c>
      <c r="E9" s="1526" t="s">
        <v>10961</v>
      </c>
      <c r="F9" s="1529" t="s">
        <v>10962</v>
      </c>
      <c r="G9" s="1529" t="s">
        <v>10963</v>
      </c>
      <c r="H9" s="1843" t="s">
        <v>10964</v>
      </c>
      <c r="I9" s="1529" t="s">
        <v>10965</v>
      </c>
      <c r="J9" s="1529" t="s">
        <v>10966</v>
      </c>
      <c r="K9" s="1526" t="s">
        <v>8645</v>
      </c>
      <c r="L9" s="1526"/>
    </row>
    <row r="10" ht="15.75" customHeight="1">
      <c r="A10" s="1693" t="s">
        <v>1555</v>
      </c>
      <c r="B10" s="1567" t="s">
        <v>8498</v>
      </c>
      <c r="C10" s="1844" t="s">
        <v>10686</v>
      </c>
      <c r="D10" s="1778" t="s">
        <v>10967</v>
      </c>
      <c r="E10" s="1778" t="s">
        <v>10968</v>
      </c>
      <c r="F10" s="1526" t="s">
        <v>10969</v>
      </c>
      <c r="G10" s="1799" t="s">
        <v>10970</v>
      </c>
      <c r="H10" s="1799" t="s">
        <v>10971</v>
      </c>
      <c r="I10" s="1799" t="s">
        <v>10972</v>
      </c>
      <c r="J10" s="1799" t="s">
        <v>10973</v>
      </c>
      <c r="K10" s="1799" t="s">
        <v>8901</v>
      </c>
      <c r="L10" s="1526" t="s">
        <v>10974</v>
      </c>
    </row>
    <row r="11" ht="15.75" customHeight="1">
      <c r="A11" s="1710" t="s">
        <v>911</v>
      </c>
      <c r="B11" s="1670" t="s">
        <v>8498</v>
      </c>
      <c r="C11" s="1845" t="s">
        <v>10677</v>
      </c>
      <c r="D11" s="1526" t="s">
        <v>10975</v>
      </c>
      <c r="E11" s="1526" t="s">
        <v>10976</v>
      </c>
      <c r="F11" s="1526" t="s">
        <v>10977</v>
      </c>
      <c r="G11" s="1526" t="s">
        <v>10978</v>
      </c>
      <c r="H11" s="1526" t="s">
        <v>10979</v>
      </c>
      <c r="I11" s="1526" t="s">
        <v>10980</v>
      </c>
      <c r="J11" s="1526" t="s">
        <v>10981</v>
      </c>
      <c r="K11" s="1526" t="s">
        <v>8737</v>
      </c>
      <c r="L11" s="1526" t="s">
        <v>10982</v>
      </c>
    </row>
    <row r="12" ht="15.75" customHeight="1">
      <c r="A12" s="1727" t="s">
        <v>2075</v>
      </c>
      <c r="B12" s="1504" t="s">
        <v>8498</v>
      </c>
      <c r="C12" s="1844" t="s">
        <v>10695</v>
      </c>
      <c r="D12" s="1526" t="s">
        <v>10983</v>
      </c>
      <c r="E12" s="1526" t="s">
        <v>10984</v>
      </c>
      <c r="F12" s="1526" t="s">
        <v>10985</v>
      </c>
      <c r="G12" s="1526" t="s">
        <v>10986</v>
      </c>
      <c r="H12" s="1526" t="s">
        <v>10987</v>
      </c>
      <c r="I12" s="1526" t="s">
        <v>10988</v>
      </c>
      <c r="J12" s="1526" t="s">
        <v>10989</v>
      </c>
      <c r="K12" s="1526" t="s">
        <v>8855</v>
      </c>
      <c r="L12" s="1526"/>
    </row>
    <row r="13" ht="15.75" customHeight="1">
      <c r="A13" s="1769" t="s">
        <v>328</v>
      </c>
      <c r="B13" s="1504" t="s">
        <v>8498</v>
      </c>
      <c r="C13" s="1526" t="s">
        <v>10990</v>
      </c>
      <c r="D13" s="1526" t="s">
        <v>10991</v>
      </c>
      <c r="E13" s="1526" t="s">
        <v>10992</v>
      </c>
      <c r="F13" s="1526" t="s">
        <v>10993</v>
      </c>
      <c r="G13" s="1526" t="s">
        <v>10994</v>
      </c>
      <c r="H13" s="1526" t="s">
        <v>10995</v>
      </c>
      <c r="I13" s="1526" t="s">
        <v>10996</v>
      </c>
      <c r="J13" s="1526" t="s">
        <v>10997</v>
      </c>
      <c r="K13" s="1526" t="s">
        <v>8692</v>
      </c>
      <c r="L13" s="1526"/>
    </row>
    <row r="14" ht="16.5" customHeight="1">
      <c r="A14" s="1785" t="s">
        <v>2637</v>
      </c>
      <c r="B14" s="1504" t="s">
        <v>8498</v>
      </c>
      <c r="C14" s="1526" t="s">
        <v>10717</v>
      </c>
      <c r="D14" s="1526" t="s">
        <v>10998</v>
      </c>
      <c r="E14" s="1526" t="s">
        <v>10999</v>
      </c>
      <c r="F14" s="1526" t="s">
        <v>11000</v>
      </c>
      <c r="G14" s="1526" t="s">
        <v>11001</v>
      </c>
      <c r="H14" s="1526" t="s">
        <v>11002</v>
      </c>
      <c r="I14" s="1526" t="s">
        <v>11003</v>
      </c>
      <c r="J14" s="1526" t="s">
        <v>11004</v>
      </c>
      <c r="K14" s="1526" t="s">
        <v>11005</v>
      </c>
      <c r="L14" s="1526" t="s">
        <v>11006</v>
      </c>
    </row>
    <row r="15" ht="15.0" customHeight="1">
      <c r="A15" s="1794" t="s">
        <v>1633</v>
      </c>
      <c r="B15" s="1661" t="s">
        <v>8498</v>
      </c>
      <c r="C15" s="1845" t="s">
        <v>11007</v>
      </c>
      <c r="D15" s="1526" t="s">
        <v>11008</v>
      </c>
      <c r="E15" s="1526" t="s">
        <v>11009</v>
      </c>
      <c r="F15" s="1526" t="s">
        <v>11010</v>
      </c>
      <c r="G15" s="1526" t="s">
        <v>11011</v>
      </c>
      <c r="H15" s="1526" t="s">
        <v>11012</v>
      </c>
      <c r="I15" s="1526" t="s">
        <v>11013</v>
      </c>
      <c r="J15" s="1526" t="s">
        <v>11014</v>
      </c>
      <c r="K15" s="1526" t="s">
        <v>9181</v>
      </c>
      <c r="L15" s="1526"/>
    </row>
    <row r="16" ht="15.75" customHeight="1">
      <c r="A16" s="1693" t="s">
        <v>6449</v>
      </c>
      <c r="B16" s="1504" t="s">
        <v>8498</v>
      </c>
      <c r="C16" s="1526" t="s">
        <v>10757</v>
      </c>
      <c r="D16" s="1526" t="s">
        <v>11015</v>
      </c>
      <c r="E16" s="1526" t="s">
        <v>11016</v>
      </c>
      <c r="F16" s="1526" t="s">
        <v>11017</v>
      </c>
      <c r="G16" s="1526" t="s">
        <v>11018</v>
      </c>
      <c r="H16" s="1526" t="s">
        <v>11019</v>
      </c>
      <c r="I16" s="1526" t="s">
        <v>11020</v>
      </c>
      <c r="J16" s="1526" t="s">
        <v>11021</v>
      </c>
      <c r="K16" s="1526" t="s">
        <v>9082</v>
      </c>
      <c r="L16" s="1526" t="s">
        <v>11022</v>
      </c>
    </row>
    <row r="17" ht="15.75" customHeight="1">
      <c r="A17" s="1769" t="s">
        <v>1417</v>
      </c>
      <c r="B17" s="1504" t="s">
        <v>8498</v>
      </c>
      <c r="C17" s="1526" t="s">
        <v>11023</v>
      </c>
      <c r="D17" s="1526" t="s">
        <v>11024</v>
      </c>
      <c r="E17" s="1526" t="s">
        <v>11025</v>
      </c>
      <c r="F17" s="1526" t="s">
        <v>11026</v>
      </c>
      <c r="G17" s="1526" t="s">
        <v>11027</v>
      </c>
      <c r="H17" s="1526" t="s">
        <v>11028</v>
      </c>
      <c r="I17" s="1526" t="s">
        <v>11029</v>
      </c>
      <c r="J17" s="1526" t="s">
        <v>11030</v>
      </c>
      <c r="K17" s="1526" t="s">
        <v>9058</v>
      </c>
      <c r="L17" s="1526"/>
    </row>
    <row r="18" ht="15.75" customHeight="1">
      <c r="A18" s="1693" t="s">
        <v>2894</v>
      </c>
      <c r="B18" s="1567" t="s">
        <v>8498</v>
      </c>
      <c r="C18" s="1783" t="s">
        <v>10710</v>
      </c>
      <c r="D18" s="1767" t="s">
        <v>11031</v>
      </c>
      <c r="E18" s="1767" t="s">
        <v>11032</v>
      </c>
      <c r="F18" s="1767" t="s">
        <v>11033</v>
      </c>
      <c r="G18" s="1767" t="s">
        <v>11034</v>
      </c>
      <c r="H18" s="1767" t="s">
        <v>11035</v>
      </c>
      <c r="I18" s="1767" t="s">
        <v>11036</v>
      </c>
      <c r="J18" s="1767" t="s">
        <v>11037</v>
      </c>
      <c r="K18" s="1767" t="s">
        <v>9017</v>
      </c>
      <c r="L18" s="1526"/>
    </row>
    <row r="19" ht="15.75" customHeight="1">
      <c r="A19" s="1693" t="s">
        <v>2256</v>
      </c>
      <c r="B19" s="1670" t="s">
        <v>8498</v>
      </c>
      <c r="C19" s="1845" t="s">
        <v>10733</v>
      </c>
      <c r="D19" s="1526" t="s">
        <v>11038</v>
      </c>
      <c r="E19" s="1526" t="s">
        <v>11039</v>
      </c>
      <c r="F19" s="1526" t="s">
        <v>11040</v>
      </c>
      <c r="G19" s="1526" t="s">
        <v>11041</v>
      </c>
      <c r="H19" s="1526" t="s">
        <v>11042</v>
      </c>
      <c r="I19" s="1526" t="s">
        <v>11043</v>
      </c>
      <c r="J19" s="1526" t="s">
        <v>11044</v>
      </c>
      <c r="K19" s="1526" t="s">
        <v>8941</v>
      </c>
      <c r="L19" s="1526" t="s">
        <v>11045</v>
      </c>
    </row>
    <row r="20" ht="15.75" customHeight="1">
      <c r="A20" s="1769" t="s">
        <v>826</v>
      </c>
      <c r="B20" s="1504" t="s">
        <v>8498</v>
      </c>
      <c r="C20" s="1526" t="s">
        <v>11046</v>
      </c>
      <c r="D20" s="1526" t="s">
        <v>11047</v>
      </c>
      <c r="E20" s="1526" t="s">
        <v>11048</v>
      </c>
      <c r="F20" s="1526" t="s">
        <v>11049</v>
      </c>
      <c r="G20" s="1526" t="s">
        <v>11050</v>
      </c>
      <c r="H20" s="1526" t="s">
        <v>11051</v>
      </c>
      <c r="I20" s="1526" t="s">
        <v>11052</v>
      </c>
      <c r="J20" s="1526" t="s">
        <v>11053</v>
      </c>
      <c r="K20" s="1526" t="s">
        <v>9335</v>
      </c>
      <c r="L20" s="1526"/>
    </row>
    <row r="21" ht="15.75" customHeight="1">
      <c r="A21" s="1693" t="s">
        <v>1722</v>
      </c>
      <c r="B21" s="1567" t="s">
        <v>8498</v>
      </c>
      <c r="C21" s="1526" t="s">
        <v>11054</v>
      </c>
      <c r="D21" s="1526" t="s">
        <v>11055</v>
      </c>
      <c r="E21" s="1799" t="s">
        <v>11056</v>
      </c>
      <c r="F21" s="1526" t="s">
        <v>11057</v>
      </c>
      <c r="G21" s="1526" t="s">
        <v>11058</v>
      </c>
      <c r="H21" s="1526" t="s">
        <v>11059</v>
      </c>
      <c r="I21" s="1526" t="s">
        <v>11060</v>
      </c>
      <c r="J21" s="1526" t="s">
        <v>11061</v>
      </c>
      <c r="K21" s="1526" t="s">
        <v>9108</v>
      </c>
      <c r="L21" s="1526"/>
    </row>
    <row r="22" ht="15.75" customHeight="1">
      <c r="A22" s="1722" t="s">
        <v>8943</v>
      </c>
      <c r="B22" s="1504" t="s">
        <v>8498</v>
      </c>
      <c r="C22" s="1526" t="s">
        <v>10767</v>
      </c>
      <c r="D22" s="1526" t="s">
        <v>11062</v>
      </c>
      <c r="E22" s="1526" t="s">
        <v>11063</v>
      </c>
      <c r="F22" s="1526" t="s">
        <v>11064</v>
      </c>
      <c r="G22" s="1526" t="s">
        <v>11065</v>
      </c>
      <c r="H22" s="1526" t="s">
        <v>11066</v>
      </c>
      <c r="I22" s="1526" t="s">
        <v>11067</v>
      </c>
      <c r="J22" s="1526" t="s">
        <v>11068</v>
      </c>
      <c r="K22" s="1526" t="s">
        <v>8959</v>
      </c>
      <c r="L22" s="1526"/>
    </row>
    <row r="23" ht="15.75" customHeight="1">
      <c r="A23" s="1693" t="s">
        <v>738</v>
      </c>
      <c r="B23" s="1567" t="s">
        <v>8529</v>
      </c>
      <c r="C23" s="1526" t="s">
        <v>11069</v>
      </c>
      <c r="D23" s="1787" t="s">
        <v>10920</v>
      </c>
      <c r="E23" s="1787" t="s">
        <v>10921</v>
      </c>
      <c r="F23" s="1787" t="s">
        <v>10922</v>
      </c>
      <c r="G23" s="1787" t="s">
        <v>10923</v>
      </c>
      <c r="H23" s="1787" t="s">
        <v>10924</v>
      </c>
      <c r="I23" s="1787" t="s">
        <v>10925</v>
      </c>
      <c r="J23" s="1787" t="s">
        <v>10926</v>
      </c>
      <c r="K23" s="1787" t="s">
        <v>8920</v>
      </c>
      <c r="L23" s="1526" t="s">
        <v>11070</v>
      </c>
    </row>
    <row r="24" ht="15.75" customHeight="1">
      <c r="A24" s="1710" t="s">
        <v>1349</v>
      </c>
      <c r="B24" s="1567" t="s">
        <v>8554</v>
      </c>
      <c r="C24" s="1662" t="s">
        <v>10811</v>
      </c>
      <c r="D24" s="1662" t="s">
        <v>10927</v>
      </c>
      <c r="E24" s="1662" t="s">
        <v>10928</v>
      </c>
      <c r="F24" s="1662" t="s">
        <v>10929</v>
      </c>
      <c r="G24" s="1662" t="s">
        <v>10930</v>
      </c>
      <c r="H24" s="1662" t="s">
        <v>10931</v>
      </c>
      <c r="I24" s="1662" t="s">
        <v>10932</v>
      </c>
      <c r="J24" s="1662" t="s">
        <v>10933</v>
      </c>
      <c r="K24" s="1662" t="s">
        <v>8920</v>
      </c>
      <c r="L24" s="1526"/>
    </row>
    <row r="25" ht="16.5" customHeight="1">
      <c r="A25" s="1710" t="s">
        <v>11071</v>
      </c>
      <c r="B25" s="1567" t="s">
        <v>8498</v>
      </c>
      <c r="C25" s="1795" t="s">
        <v>10793</v>
      </c>
      <c r="D25" s="1526" t="s">
        <v>11072</v>
      </c>
      <c r="E25" s="1526" t="s">
        <v>11073</v>
      </c>
      <c r="F25" s="1526" t="s">
        <v>11074</v>
      </c>
      <c r="G25" s="1526" t="s">
        <v>11065</v>
      </c>
      <c r="H25" s="1526" t="s">
        <v>11075</v>
      </c>
      <c r="I25" s="1526" t="s">
        <v>11076</v>
      </c>
      <c r="J25" s="1526" t="s">
        <v>11077</v>
      </c>
      <c r="K25" s="1526" t="s">
        <v>9499</v>
      </c>
      <c r="L25" s="1526"/>
    </row>
    <row r="26" ht="15.75" customHeight="1">
      <c r="A26" s="1710" t="s">
        <v>2960</v>
      </c>
      <c r="B26" s="1567" t="s">
        <v>8498</v>
      </c>
      <c r="C26" s="1526" t="s">
        <v>11078</v>
      </c>
      <c r="D26" s="1526" t="s">
        <v>11079</v>
      </c>
      <c r="E26" s="1526" t="s">
        <v>11080</v>
      </c>
      <c r="F26" s="1526" t="s">
        <v>11081</v>
      </c>
      <c r="G26" s="1526" t="s">
        <v>11082</v>
      </c>
      <c r="H26" s="1526" t="s">
        <v>11083</v>
      </c>
      <c r="I26" s="1526" t="s">
        <v>11084</v>
      </c>
      <c r="J26" s="1526" t="s">
        <v>11085</v>
      </c>
      <c r="K26" s="1526" t="s">
        <v>11086</v>
      </c>
      <c r="L26" s="1526" t="s">
        <v>11087</v>
      </c>
    </row>
    <row r="27">
      <c r="A27" s="1801" t="s">
        <v>2923</v>
      </c>
      <c r="B27" s="1776" t="s">
        <v>8529</v>
      </c>
      <c r="C27" s="1845" t="s">
        <v>11088</v>
      </c>
      <c r="D27" s="1526"/>
      <c r="E27" s="1526" t="s">
        <v>11089</v>
      </c>
      <c r="F27" s="1526" t="s">
        <v>11090</v>
      </c>
      <c r="G27" s="1526"/>
      <c r="H27" s="1526"/>
      <c r="I27" s="1526"/>
      <c r="J27" s="1526"/>
      <c r="K27" s="1526" t="s">
        <v>9610</v>
      </c>
      <c r="L27" s="1526"/>
    </row>
    <row r="28">
      <c r="A28" s="1781" t="s">
        <v>2217</v>
      </c>
      <c r="B28" s="1670" t="s">
        <v>8529</v>
      </c>
      <c r="C28" s="1526" t="s">
        <v>11091</v>
      </c>
      <c r="D28" s="1526" t="s">
        <v>11092</v>
      </c>
      <c r="E28" s="1526" t="s">
        <v>11093</v>
      </c>
      <c r="F28" s="1526" t="s">
        <v>11094</v>
      </c>
      <c r="G28" s="1526" t="s">
        <v>11095</v>
      </c>
      <c r="H28" s="1526" t="s">
        <v>11096</v>
      </c>
      <c r="I28" s="1526" t="s">
        <v>11097</v>
      </c>
      <c r="J28" s="1526" t="s">
        <v>11098</v>
      </c>
      <c r="K28" s="1526" t="s">
        <v>11099</v>
      </c>
      <c r="L28" s="1526" t="s">
        <v>11100</v>
      </c>
    </row>
    <row r="29" ht="15.75" customHeight="1">
      <c r="A29" s="1693" t="s">
        <v>2532</v>
      </c>
      <c r="B29" s="1661" t="s">
        <v>8529</v>
      </c>
      <c r="C29" s="1787" t="s">
        <v>10819</v>
      </c>
      <c r="D29" s="1526" t="s">
        <v>11101</v>
      </c>
      <c r="E29" s="1526" t="s">
        <v>11102</v>
      </c>
      <c r="F29" s="1526" t="s">
        <v>11103</v>
      </c>
      <c r="G29" s="1526" t="s">
        <v>11104</v>
      </c>
      <c r="H29" s="1526" t="s">
        <v>11105</v>
      </c>
      <c r="I29" s="1526" t="s">
        <v>11106</v>
      </c>
      <c r="J29" s="1526" t="s">
        <v>11107</v>
      </c>
      <c r="K29" s="1526" t="s">
        <v>9477</v>
      </c>
      <c r="L29" s="1526"/>
    </row>
    <row r="30" ht="15.75" customHeight="1">
      <c r="A30" s="1710" t="s">
        <v>5404</v>
      </c>
      <c r="B30" s="1567" t="s">
        <v>8498</v>
      </c>
      <c r="C30" s="1845" t="s">
        <v>11108</v>
      </c>
      <c r="D30" s="1526" t="s">
        <v>11109</v>
      </c>
      <c r="E30" s="1526" t="s">
        <v>11110</v>
      </c>
      <c r="F30" s="1526" t="s">
        <v>11111</v>
      </c>
      <c r="G30" s="1526" t="s">
        <v>11112</v>
      </c>
      <c r="H30" s="1526" t="s">
        <v>11113</v>
      </c>
      <c r="I30" s="1526" t="s">
        <v>11114</v>
      </c>
      <c r="J30" s="1526" t="s">
        <v>11115</v>
      </c>
      <c r="K30" s="1526" t="s">
        <v>11116</v>
      </c>
      <c r="L30" s="1526" t="s">
        <v>11117</v>
      </c>
    </row>
    <row r="31" ht="15.75" customHeight="1">
      <c r="A31" s="1710" t="s">
        <v>4900</v>
      </c>
      <c r="B31" s="1567" t="s">
        <v>8529</v>
      </c>
      <c r="C31" s="1845" t="s">
        <v>10905</v>
      </c>
      <c r="D31" s="1526" t="s">
        <v>11118</v>
      </c>
      <c r="E31" s="1526" t="s">
        <v>11119</v>
      </c>
      <c r="F31" s="1526" t="s">
        <v>11120</v>
      </c>
      <c r="G31" s="1526" t="s">
        <v>11121</v>
      </c>
      <c r="H31" s="1526" t="s">
        <v>11122</v>
      </c>
      <c r="I31" s="1526" t="s">
        <v>11123</v>
      </c>
      <c r="J31" s="1526" t="s">
        <v>11124</v>
      </c>
      <c r="K31" s="1526" t="s">
        <v>10557</v>
      </c>
      <c r="L31" s="1526" t="s">
        <v>11125</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11126</v>
      </c>
      <c r="C1" s="1850" t="s">
        <v>43</v>
      </c>
      <c r="D1" s="1851" t="s">
        <v>11127</v>
      </c>
      <c r="E1" s="1850" t="s">
        <v>11128</v>
      </c>
      <c r="F1" s="1852" t="s">
        <v>11129</v>
      </c>
    </row>
    <row r="2">
      <c r="A2" s="1853"/>
      <c r="B2" s="1854"/>
      <c r="C2" s="1854"/>
      <c r="D2" s="1854"/>
      <c r="E2" s="1854"/>
      <c r="F2" s="1854"/>
    </row>
    <row r="3">
      <c r="A3" s="1853"/>
      <c r="B3" s="1854"/>
      <c r="C3" s="1854"/>
      <c r="D3" s="1854"/>
      <c r="E3" s="1854"/>
      <c r="F3" s="1854"/>
    </row>
    <row r="4">
      <c r="A4" s="1855" t="s">
        <v>11130</v>
      </c>
      <c r="B4" s="1856" t="s">
        <v>11131</v>
      </c>
      <c r="C4" s="1857"/>
      <c r="D4" s="1857"/>
      <c r="E4" s="1857"/>
      <c r="F4" s="1858"/>
    </row>
    <row r="5">
      <c r="A5" s="1854"/>
      <c r="B5" s="1859"/>
      <c r="C5" s="1860"/>
      <c r="D5" s="1860"/>
      <c r="E5" s="1860"/>
      <c r="F5" s="1861"/>
    </row>
    <row r="6">
      <c r="A6" s="1862" t="s">
        <v>11131</v>
      </c>
      <c r="B6" s="1863" t="s">
        <v>11132</v>
      </c>
      <c r="C6" s="1864" t="s">
        <v>4261</v>
      </c>
      <c r="D6" s="1865" t="s">
        <v>11133</v>
      </c>
      <c r="E6" s="1864" t="s">
        <v>11134</v>
      </c>
      <c r="F6" s="1866">
        <v>44233.0</v>
      </c>
    </row>
    <row r="7">
      <c r="A7" s="1862" t="s">
        <v>11135</v>
      </c>
      <c r="B7" s="1867" t="s">
        <v>11136</v>
      </c>
      <c r="C7" s="1864" t="s">
        <v>826</v>
      </c>
      <c r="D7" s="1865" t="s">
        <v>11137</v>
      </c>
      <c r="E7" s="1864" t="s">
        <v>11134</v>
      </c>
      <c r="F7" s="1866">
        <v>43878.0</v>
      </c>
    </row>
    <row r="8">
      <c r="A8" s="1862" t="s">
        <v>11138</v>
      </c>
      <c r="B8" s="1868" t="s">
        <v>11139</v>
      </c>
      <c r="C8" s="1864" t="s">
        <v>328</v>
      </c>
      <c r="D8" s="1865" t="s">
        <v>11140</v>
      </c>
      <c r="E8" s="1864" t="s">
        <v>11134</v>
      </c>
      <c r="F8" s="1866">
        <v>43879.0</v>
      </c>
    </row>
    <row r="9">
      <c r="A9" s="1862" t="s">
        <v>11141</v>
      </c>
      <c r="B9" s="1869" t="s">
        <v>11142</v>
      </c>
      <c r="C9" s="1864" t="s">
        <v>3983</v>
      </c>
      <c r="D9" s="1865" t="s">
        <v>11143</v>
      </c>
      <c r="E9" s="1864" t="s">
        <v>11144</v>
      </c>
      <c r="F9" s="1866">
        <v>44084.0</v>
      </c>
    </row>
    <row r="10">
      <c r="A10" s="1862" t="s">
        <v>11145</v>
      </c>
      <c r="B10" s="1869" t="s">
        <v>11146</v>
      </c>
      <c r="C10" s="1870"/>
      <c r="D10" s="1871"/>
      <c r="E10" s="1870"/>
      <c r="F10" s="1870"/>
    </row>
    <row r="11">
      <c r="A11" s="1862" t="s">
        <v>11147</v>
      </c>
      <c r="B11" s="1856" t="s">
        <v>11135</v>
      </c>
      <c r="C11" s="1857"/>
      <c r="D11" s="1857"/>
      <c r="E11" s="1857"/>
      <c r="F11" s="1858"/>
    </row>
    <row r="12">
      <c r="A12" s="1862" t="s">
        <v>11148</v>
      </c>
      <c r="B12" s="1859"/>
      <c r="C12" s="1860"/>
      <c r="D12" s="1860"/>
      <c r="E12" s="1860"/>
      <c r="F12" s="1861"/>
    </row>
    <row r="13">
      <c r="A13" s="1862" t="s">
        <v>11149</v>
      </c>
      <c r="B13" s="1863" t="s">
        <v>11132</v>
      </c>
      <c r="C13" s="1864" t="s">
        <v>4261</v>
      </c>
      <c r="D13" s="1865" t="s">
        <v>11150</v>
      </c>
      <c r="E13" s="1864" t="s">
        <v>11134</v>
      </c>
      <c r="F13" s="1866">
        <v>44250.0</v>
      </c>
    </row>
    <row r="14" ht="15.75" customHeight="1">
      <c r="A14" s="1862" t="s">
        <v>11151</v>
      </c>
      <c r="B14" s="1867" t="s">
        <v>11136</v>
      </c>
      <c r="C14" s="1864" t="s">
        <v>4229</v>
      </c>
      <c r="D14" s="1865" t="s">
        <v>11152</v>
      </c>
      <c r="E14" s="1864" t="s">
        <v>11134</v>
      </c>
      <c r="F14" s="1866">
        <v>43364.0</v>
      </c>
    </row>
    <row r="15">
      <c r="A15" s="1862" t="s">
        <v>11153</v>
      </c>
      <c r="B15" s="1868" t="s">
        <v>11139</v>
      </c>
      <c r="C15" s="1864" t="s">
        <v>11154</v>
      </c>
      <c r="D15" s="1865" t="s">
        <v>11155</v>
      </c>
      <c r="E15" s="1864" t="s">
        <v>11144</v>
      </c>
      <c r="F15" s="1866">
        <v>43757.0</v>
      </c>
    </row>
    <row r="16">
      <c r="A16" s="1862" t="s">
        <v>11156</v>
      </c>
      <c r="B16" s="1869" t="s">
        <v>11142</v>
      </c>
      <c r="C16" s="1864" t="s">
        <v>11157</v>
      </c>
      <c r="D16" s="1865" t="s">
        <v>11158</v>
      </c>
      <c r="E16" s="1864" t="s">
        <v>11144</v>
      </c>
      <c r="F16" s="1866">
        <v>43438.0</v>
      </c>
    </row>
    <row r="17">
      <c r="A17" s="1862" t="s">
        <v>11159</v>
      </c>
      <c r="B17" s="1869" t="s">
        <v>11146</v>
      </c>
      <c r="C17" s="1870"/>
      <c r="D17" s="1871"/>
      <c r="E17" s="1870"/>
      <c r="F17" s="1870"/>
    </row>
    <row r="18">
      <c r="A18" s="1862" t="s">
        <v>11160</v>
      </c>
      <c r="B18" s="1872" t="s">
        <v>11138</v>
      </c>
      <c r="C18" s="1857"/>
      <c r="D18" s="1857"/>
      <c r="E18" s="1857"/>
      <c r="F18" s="1858"/>
    </row>
    <row r="19">
      <c r="A19" s="1862" t="s">
        <v>11161</v>
      </c>
      <c r="B19" s="1860"/>
      <c r="C19" s="1860"/>
      <c r="D19" s="1860"/>
      <c r="E19" s="1860"/>
      <c r="F19" s="1861"/>
    </row>
    <row r="20">
      <c r="A20" s="1873"/>
      <c r="B20" s="1863" t="s">
        <v>11132</v>
      </c>
      <c r="C20" s="1864" t="s">
        <v>11162</v>
      </c>
      <c r="D20" s="1865" t="s">
        <v>11163</v>
      </c>
      <c r="E20" s="1864" t="s">
        <v>11134</v>
      </c>
      <c r="F20" s="1866">
        <v>44021.0</v>
      </c>
    </row>
    <row r="21">
      <c r="A21" s="1873"/>
      <c r="B21" s="1867" t="s">
        <v>11136</v>
      </c>
      <c r="C21" s="1864" t="s">
        <v>5222</v>
      </c>
      <c r="D21" s="1865" t="s">
        <v>11164</v>
      </c>
      <c r="E21" s="1864" t="s">
        <v>11144</v>
      </c>
      <c r="F21" s="1866">
        <v>44022.0</v>
      </c>
    </row>
    <row r="22">
      <c r="A22" s="1874"/>
      <c r="B22" s="1868" t="s">
        <v>11139</v>
      </c>
      <c r="C22" s="1864" t="s">
        <v>11165</v>
      </c>
      <c r="D22" s="1865" t="s">
        <v>11166</v>
      </c>
      <c r="E22" s="1864" t="s">
        <v>11167</v>
      </c>
      <c r="F22" s="1866">
        <v>43884.0</v>
      </c>
    </row>
    <row r="23">
      <c r="A23" s="1874"/>
      <c r="B23" s="1869" t="s">
        <v>11142</v>
      </c>
      <c r="C23" s="1864" t="s">
        <v>5404</v>
      </c>
      <c r="D23" s="1865" t="s">
        <v>11168</v>
      </c>
      <c r="E23" s="1864" t="s">
        <v>11134</v>
      </c>
      <c r="F23" s="1866">
        <v>43892.0</v>
      </c>
    </row>
    <row r="24">
      <c r="A24" s="1874"/>
      <c r="B24" s="1869" t="s">
        <v>11146</v>
      </c>
      <c r="C24" s="1870"/>
      <c r="D24" s="1871"/>
      <c r="E24" s="1870"/>
      <c r="F24" s="1870"/>
    </row>
    <row r="25">
      <c r="A25" s="1874"/>
      <c r="B25" s="1856" t="s">
        <v>11141</v>
      </c>
      <c r="C25" s="1857"/>
      <c r="D25" s="1857"/>
      <c r="E25" s="1857"/>
      <c r="F25" s="1858"/>
    </row>
    <row r="26">
      <c r="A26" s="1874"/>
      <c r="B26" s="1859"/>
      <c r="C26" s="1860"/>
      <c r="D26" s="1860"/>
      <c r="E26" s="1860"/>
      <c r="F26" s="1861"/>
    </row>
    <row r="27">
      <c r="A27" s="1874"/>
      <c r="B27" s="1875" t="s">
        <v>11169</v>
      </c>
      <c r="C27" s="1857"/>
      <c r="D27" s="1857"/>
      <c r="E27" s="1857"/>
      <c r="F27" s="1858"/>
    </row>
    <row r="28">
      <c r="A28" s="1874"/>
      <c r="B28" s="1859"/>
      <c r="C28" s="1860"/>
      <c r="D28" s="1860"/>
      <c r="E28" s="1860"/>
      <c r="F28" s="1861"/>
    </row>
    <row r="29">
      <c r="A29" s="1874"/>
      <c r="B29" s="1863" t="s">
        <v>11132</v>
      </c>
      <c r="C29" s="1876" t="s">
        <v>434</v>
      </c>
      <c r="D29" s="1865" t="s">
        <v>11170</v>
      </c>
      <c r="E29" s="1864" t="s">
        <v>11134</v>
      </c>
      <c r="F29" s="1866">
        <v>43659.0</v>
      </c>
    </row>
    <row r="30">
      <c r="A30" s="1874"/>
      <c r="B30" s="1867" t="s">
        <v>11136</v>
      </c>
      <c r="C30" s="1864" t="s">
        <v>1633</v>
      </c>
      <c r="D30" s="1865" t="s">
        <v>11171</v>
      </c>
      <c r="E30" s="1864" t="s">
        <v>11134</v>
      </c>
      <c r="F30" s="1866">
        <v>43228.0</v>
      </c>
    </row>
    <row r="31">
      <c r="A31" s="1874"/>
      <c r="B31" s="1868" t="s">
        <v>11139</v>
      </c>
      <c r="C31" s="1870"/>
      <c r="D31" s="1877"/>
      <c r="E31" s="1870"/>
      <c r="F31" s="1870"/>
    </row>
    <row r="32">
      <c r="A32" s="1874"/>
      <c r="B32" s="1869" t="s">
        <v>11142</v>
      </c>
      <c r="C32" s="1870"/>
      <c r="D32" s="1877"/>
      <c r="E32" s="1870"/>
      <c r="F32" s="1870"/>
    </row>
    <row r="33">
      <c r="A33" s="1874"/>
      <c r="B33" s="1869" t="s">
        <v>11146</v>
      </c>
      <c r="C33" s="1870"/>
      <c r="D33" s="1877"/>
      <c r="E33" s="1870"/>
      <c r="F33" s="1870"/>
    </row>
    <row r="34">
      <c r="A34" s="1874"/>
      <c r="B34" s="1875" t="s">
        <v>11172</v>
      </c>
      <c r="C34" s="1857"/>
      <c r="D34" s="1857"/>
      <c r="E34" s="1857"/>
      <c r="F34" s="1858"/>
    </row>
    <row r="35">
      <c r="A35" s="1874"/>
      <c r="B35" s="1859"/>
      <c r="C35" s="1860"/>
      <c r="D35" s="1860"/>
      <c r="E35" s="1860"/>
      <c r="F35" s="1861"/>
    </row>
    <row r="36">
      <c r="A36" s="1874"/>
      <c r="B36" s="1863" t="s">
        <v>11132</v>
      </c>
      <c r="C36" s="1864" t="s">
        <v>1633</v>
      </c>
      <c r="D36" s="1865" t="s">
        <v>11173</v>
      </c>
      <c r="E36" s="1864" t="s">
        <v>11134</v>
      </c>
      <c r="F36" s="1866">
        <v>43352.0</v>
      </c>
    </row>
    <row r="37">
      <c r="A37" s="1874"/>
      <c r="B37" s="1867" t="s">
        <v>11136</v>
      </c>
      <c r="C37" s="1864" t="s">
        <v>11174</v>
      </c>
      <c r="D37" s="1865" t="s">
        <v>11175</v>
      </c>
      <c r="E37" s="1864" t="s">
        <v>11134</v>
      </c>
      <c r="F37" s="1866">
        <v>43799.0</v>
      </c>
    </row>
    <row r="38">
      <c r="A38" s="1874"/>
      <c r="B38" s="1868" t="s">
        <v>11139</v>
      </c>
      <c r="C38" s="1870"/>
      <c r="D38" s="1871"/>
      <c r="E38" s="1870"/>
      <c r="F38" s="1870"/>
    </row>
    <row r="39">
      <c r="A39" s="1874"/>
      <c r="B39" s="1869" t="s">
        <v>11142</v>
      </c>
      <c r="C39" s="1870"/>
      <c r="D39" s="1871"/>
      <c r="E39" s="1870"/>
      <c r="F39" s="1870"/>
    </row>
    <row r="40">
      <c r="A40" s="1874"/>
      <c r="B40" s="1869" t="s">
        <v>11146</v>
      </c>
      <c r="C40" s="1870"/>
      <c r="D40" s="1871"/>
      <c r="E40" s="1870"/>
      <c r="F40" s="1870"/>
    </row>
    <row r="41">
      <c r="A41" s="1874"/>
      <c r="B41" s="1856" t="s">
        <v>11145</v>
      </c>
      <c r="C41" s="1857"/>
      <c r="D41" s="1857"/>
      <c r="E41" s="1857"/>
      <c r="F41" s="1858"/>
    </row>
    <row r="42">
      <c r="A42" s="1874"/>
      <c r="B42" s="1859"/>
      <c r="C42" s="1860"/>
      <c r="D42" s="1860"/>
      <c r="E42" s="1860"/>
      <c r="F42" s="1861"/>
    </row>
    <row r="43">
      <c r="A43" s="1874"/>
      <c r="B43" s="1863" t="s">
        <v>11132</v>
      </c>
      <c r="C43" s="1864" t="s">
        <v>7194</v>
      </c>
      <c r="D43" s="1878" t="s">
        <v>11176</v>
      </c>
      <c r="E43" s="1864" t="s">
        <v>11134</v>
      </c>
      <c r="F43" s="1879">
        <v>44511.0</v>
      </c>
    </row>
    <row r="44">
      <c r="A44" s="1874"/>
      <c r="B44" s="1867" t="s">
        <v>11136</v>
      </c>
      <c r="C44" s="1864" t="s">
        <v>11174</v>
      </c>
      <c r="D44" s="1878" t="s">
        <v>11177</v>
      </c>
      <c r="E44" s="1864" t="s">
        <v>11134</v>
      </c>
      <c r="F44" s="1879">
        <v>43740.0</v>
      </c>
    </row>
    <row r="45">
      <c r="A45" s="1874"/>
      <c r="B45" s="1868" t="s">
        <v>11139</v>
      </c>
      <c r="C45" s="1864" t="s">
        <v>10242</v>
      </c>
      <c r="D45" s="1878" t="s">
        <v>11178</v>
      </c>
      <c r="E45" s="1864" t="s">
        <v>11134</v>
      </c>
      <c r="F45" s="1879">
        <v>42098.0</v>
      </c>
    </row>
    <row r="46">
      <c r="A46" s="1874"/>
      <c r="B46" s="1869" t="s">
        <v>11142</v>
      </c>
      <c r="C46" s="1864"/>
      <c r="D46" s="1878"/>
      <c r="E46" s="1864"/>
      <c r="F46" s="1879"/>
    </row>
    <row r="47">
      <c r="A47" s="1874"/>
      <c r="B47" s="1869" t="s">
        <v>11146</v>
      </c>
      <c r="C47" s="1870"/>
      <c r="D47" s="1880"/>
      <c r="E47" s="1870"/>
      <c r="F47" s="1874"/>
    </row>
    <row r="48">
      <c r="A48" s="1874"/>
      <c r="B48" s="1856" t="s">
        <v>11147</v>
      </c>
      <c r="C48" s="1857"/>
      <c r="D48" s="1857"/>
      <c r="E48" s="1857"/>
      <c r="F48" s="1858"/>
    </row>
    <row r="49">
      <c r="A49" s="1874"/>
      <c r="B49" s="1859"/>
      <c r="C49" s="1860"/>
      <c r="D49" s="1860"/>
      <c r="E49" s="1860"/>
      <c r="F49" s="1861"/>
    </row>
    <row r="50">
      <c r="A50" s="1874"/>
      <c r="B50" s="1863" t="s">
        <v>11132</v>
      </c>
      <c r="C50" s="1864" t="s">
        <v>11179</v>
      </c>
      <c r="D50" s="1878" t="s">
        <v>11180</v>
      </c>
      <c r="E50" s="1864" t="s">
        <v>11181</v>
      </c>
      <c r="F50" s="1879">
        <v>43395.0</v>
      </c>
    </row>
    <row r="51">
      <c r="A51" s="1874"/>
      <c r="B51" s="1867" t="s">
        <v>11136</v>
      </c>
      <c r="C51" s="1864" t="s">
        <v>2256</v>
      </c>
      <c r="D51" s="1878" t="s">
        <v>11182</v>
      </c>
      <c r="E51" s="1864" t="s">
        <v>11144</v>
      </c>
      <c r="F51" s="1879">
        <v>43376.0</v>
      </c>
    </row>
    <row r="52">
      <c r="A52" s="1874"/>
      <c r="B52" s="1868" t="s">
        <v>11139</v>
      </c>
      <c r="C52" s="1870"/>
      <c r="D52" s="1880"/>
      <c r="E52" s="1870"/>
      <c r="F52" s="1874"/>
    </row>
    <row r="53">
      <c r="A53" s="1874"/>
      <c r="B53" s="1869" t="s">
        <v>11142</v>
      </c>
      <c r="C53" s="1870"/>
      <c r="D53" s="1880"/>
      <c r="E53" s="1870"/>
      <c r="F53" s="1874"/>
    </row>
    <row r="54">
      <c r="A54" s="1874"/>
      <c r="B54" s="1869" t="s">
        <v>11146</v>
      </c>
      <c r="C54" s="1870"/>
      <c r="D54" s="1880"/>
      <c r="E54" s="1870"/>
      <c r="F54" s="1874"/>
    </row>
    <row r="55">
      <c r="A55" s="1874"/>
      <c r="B55" s="1856" t="s">
        <v>11148</v>
      </c>
      <c r="C55" s="1857"/>
      <c r="D55" s="1857"/>
      <c r="E55" s="1857"/>
      <c r="F55" s="1858"/>
    </row>
    <row r="56">
      <c r="A56" s="1874"/>
      <c r="B56" s="1859"/>
      <c r="C56" s="1860"/>
      <c r="D56" s="1860"/>
      <c r="E56" s="1860"/>
      <c r="F56" s="1861"/>
    </row>
    <row r="57">
      <c r="A57" s="1874"/>
      <c r="B57" s="1881" t="s">
        <v>11183</v>
      </c>
      <c r="C57" s="1857"/>
      <c r="D57" s="1857"/>
      <c r="E57" s="1857"/>
      <c r="F57" s="1858"/>
    </row>
    <row r="58">
      <c r="A58" s="1874"/>
      <c r="B58" s="1859"/>
      <c r="C58" s="1860"/>
      <c r="D58" s="1860"/>
      <c r="E58" s="1860"/>
      <c r="F58" s="1861"/>
    </row>
    <row r="59">
      <c r="A59" s="1874"/>
      <c r="B59" s="1863" t="s">
        <v>11132</v>
      </c>
      <c r="C59" s="1882" t="s">
        <v>434</v>
      </c>
      <c r="D59" s="1878" t="s">
        <v>11184</v>
      </c>
      <c r="E59" s="1864" t="s">
        <v>11134</v>
      </c>
      <c r="F59" s="1879">
        <v>43758.0</v>
      </c>
    </row>
    <row r="60">
      <c r="A60" s="1874"/>
      <c r="B60" s="1867" t="s">
        <v>11136</v>
      </c>
      <c r="C60" s="1870"/>
      <c r="D60" s="1880"/>
      <c r="E60" s="1870"/>
      <c r="F60" s="1874"/>
    </row>
    <row r="61">
      <c r="A61" s="1874"/>
      <c r="B61" s="1868" t="s">
        <v>11139</v>
      </c>
      <c r="C61" s="1870"/>
      <c r="D61" s="1880"/>
      <c r="E61" s="1870"/>
      <c r="F61" s="1874"/>
    </row>
    <row r="62">
      <c r="A62" s="1874"/>
      <c r="B62" s="1869" t="s">
        <v>11142</v>
      </c>
      <c r="C62" s="1870"/>
      <c r="D62" s="1880"/>
      <c r="E62" s="1870"/>
      <c r="F62" s="1874"/>
    </row>
    <row r="63">
      <c r="A63" s="1874"/>
      <c r="B63" s="1869" t="s">
        <v>11146</v>
      </c>
      <c r="C63" s="1870"/>
      <c r="D63" s="1880"/>
      <c r="E63" s="1870"/>
      <c r="F63" s="1874"/>
    </row>
    <row r="64">
      <c r="A64" s="1874"/>
      <c r="B64" s="1881" t="s">
        <v>11172</v>
      </c>
      <c r="C64" s="1857"/>
      <c r="D64" s="1857"/>
      <c r="E64" s="1857"/>
      <c r="F64" s="1858"/>
    </row>
    <row r="65">
      <c r="A65" s="1874"/>
      <c r="B65" s="1859"/>
      <c r="C65" s="1860"/>
      <c r="D65" s="1860"/>
      <c r="E65" s="1860"/>
      <c r="F65" s="1861"/>
    </row>
    <row r="66">
      <c r="A66" s="1874"/>
      <c r="B66" s="1863" t="s">
        <v>11132</v>
      </c>
      <c r="C66" s="1864" t="s">
        <v>11185</v>
      </c>
      <c r="D66" s="1883" t="s">
        <v>11186</v>
      </c>
      <c r="E66" s="1864" t="s">
        <v>11134</v>
      </c>
      <c r="F66" s="1879">
        <v>44805.0</v>
      </c>
    </row>
    <row r="67">
      <c r="A67" s="1874"/>
      <c r="B67" s="1867" t="s">
        <v>11136</v>
      </c>
      <c r="C67" s="1864" t="s">
        <v>11187</v>
      </c>
      <c r="D67" s="1878" t="s">
        <v>11188</v>
      </c>
      <c r="E67" s="1864" t="s">
        <v>11134</v>
      </c>
      <c r="F67" s="1879">
        <v>43307.0</v>
      </c>
    </row>
    <row r="68">
      <c r="A68" s="1874"/>
      <c r="B68" s="1868" t="s">
        <v>11139</v>
      </c>
      <c r="C68" s="1870"/>
      <c r="D68" s="1880"/>
      <c r="E68" s="1870"/>
      <c r="F68" s="1874"/>
    </row>
    <row r="69">
      <c r="A69" s="1874"/>
      <c r="B69" s="1869" t="s">
        <v>11142</v>
      </c>
      <c r="C69" s="1870"/>
      <c r="D69" s="1880"/>
      <c r="E69" s="1870"/>
      <c r="F69" s="1874"/>
    </row>
    <row r="70">
      <c r="A70" s="1874"/>
      <c r="B70" s="1869" t="s">
        <v>11146</v>
      </c>
      <c r="C70" s="1870"/>
      <c r="D70" s="1880"/>
      <c r="E70" s="1870"/>
      <c r="F70" s="1874"/>
    </row>
    <row r="71">
      <c r="A71" s="1874"/>
      <c r="B71" s="1856" t="s">
        <v>11149</v>
      </c>
      <c r="C71" s="1857"/>
      <c r="D71" s="1857"/>
      <c r="E71" s="1857"/>
      <c r="F71" s="1858"/>
    </row>
    <row r="72">
      <c r="A72" s="1874"/>
      <c r="B72" s="1859"/>
      <c r="C72" s="1860"/>
      <c r="D72" s="1860"/>
      <c r="E72" s="1860"/>
      <c r="F72" s="1861"/>
    </row>
    <row r="73">
      <c r="A73" s="1874"/>
      <c r="B73" s="1881" t="s">
        <v>11189</v>
      </c>
      <c r="C73" s="1857"/>
      <c r="D73" s="1857"/>
      <c r="E73" s="1857"/>
      <c r="F73" s="1858"/>
    </row>
    <row r="74">
      <c r="A74" s="1874"/>
      <c r="B74" s="1859"/>
      <c r="C74" s="1860"/>
      <c r="D74" s="1860"/>
      <c r="E74" s="1860"/>
      <c r="F74" s="1861"/>
    </row>
    <row r="75">
      <c r="A75" s="1874"/>
      <c r="B75" s="1863" t="s">
        <v>11132</v>
      </c>
      <c r="C75" s="1864" t="s">
        <v>4261</v>
      </c>
      <c r="D75" s="1878" t="s">
        <v>11190</v>
      </c>
      <c r="E75" s="1864" t="s">
        <v>11134</v>
      </c>
      <c r="F75" s="1879">
        <v>44246.0</v>
      </c>
    </row>
    <row r="76">
      <c r="A76" s="1874"/>
      <c r="B76" s="1867" t="s">
        <v>11136</v>
      </c>
      <c r="C76" s="1864" t="s">
        <v>11179</v>
      </c>
      <c r="D76" s="1878" t="s">
        <v>11191</v>
      </c>
      <c r="E76" s="1864" t="s">
        <v>11181</v>
      </c>
      <c r="F76" s="1879">
        <v>43637.0</v>
      </c>
    </row>
    <row r="77">
      <c r="A77" s="1874"/>
      <c r="B77" s="1868" t="s">
        <v>11139</v>
      </c>
      <c r="C77" s="1870"/>
      <c r="D77" s="1880"/>
      <c r="E77" s="1870"/>
      <c r="F77" s="1874"/>
    </row>
    <row r="78">
      <c r="A78" s="1874"/>
      <c r="B78" s="1869" t="s">
        <v>11142</v>
      </c>
      <c r="C78" s="1870"/>
      <c r="D78" s="1880"/>
      <c r="E78" s="1870"/>
      <c r="F78" s="1874"/>
    </row>
    <row r="79">
      <c r="A79" s="1874"/>
      <c r="B79" s="1869" t="s">
        <v>11146</v>
      </c>
      <c r="C79" s="1870"/>
      <c r="D79" s="1880"/>
      <c r="E79" s="1870"/>
      <c r="F79" s="1874"/>
    </row>
    <row r="80">
      <c r="A80" s="1874"/>
      <c r="B80" s="1881" t="s">
        <v>11192</v>
      </c>
      <c r="C80" s="1857"/>
      <c r="D80" s="1857"/>
      <c r="E80" s="1857"/>
      <c r="F80" s="1858"/>
    </row>
    <row r="81">
      <c r="A81" s="1874"/>
      <c r="B81" s="1859"/>
      <c r="C81" s="1860"/>
      <c r="D81" s="1860"/>
      <c r="E81" s="1860"/>
      <c r="F81" s="1861"/>
    </row>
    <row r="82">
      <c r="A82" s="1874"/>
      <c r="B82" s="1863" t="s">
        <v>11132</v>
      </c>
      <c r="C82" s="1864" t="s">
        <v>6211</v>
      </c>
      <c r="D82" s="1878" t="s">
        <v>11193</v>
      </c>
      <c r="E82" s="1864" t="s">
        <v>11134</v>
      </c>
      <c r="F82" s="1879">
        <v>43592.0</v>
      </c>
    </row>
    <row r="83">
      <c r="A83" s="1874"/>
      <c r="B83" s="1867" t="s">
        <v>11136</v>
      </c>
      <c r="C83" s="1864" t="s">
        <v>11194</v>
      </c>
      <c r="D83" s="1878" t="s">
        <v>11195</v>
      </c>
      <c r="E83" s="1864" t="s">
        <v>11134</v>
      </c>
      <c r="F83" s="1879">
        <v>43396.0</v>
      </c>
    </row>
    <row r="84">
      <c r="A84" s="1874"/>
      <c r="B84" s="1868" t="s">
        <v>11139</v>
      </c>
      <c r="C84" s="1870"/>
      <c r="D84" s="1880"/>
      <c r="E84" s="1870"/>
      <c r="F84" s="1874"/>
    </row>
    <row r="85">
      <c r="A85" s="1874"/>
      <c r="B85" s="1869" t="s">
        <v>11142</v>
      </c>
      <c r="C85" s="1870"/>
      <c r="D85" s="1880"/>
      <c r="E85" s="1870"/>
      <c r="F85" s="1874"/>
    </row>
    <row r="86">
      <c r="A86" s="1874"/>
      <c r="B86" s="1869" t="s">
        <v>11146</v>
      </c>
      <c r="C86" s="1870"/>
      <c r="D86" s="1880"/>
      <c r="E86" s="1870"/>
      <c r="F86" s="1874"/>
    </row>
    <row r="87">
      <c r="A87" s="1874"/>
      <c r="B87" s="1856" t="s">
        <v>11151</v>
      </c>
      <c r="C87" s="1857"/>
      <c r="D87" s="1857"/>
      <c r="E87" s="1857"/>
      <c r="F87" s="1858"/>
    </row>
    <row r="88">
      <c r="A88" s="1874"/>
      <c r="B88" s="1859"/>
      <c r="C88" s="1860"/>
      <c r="D88" s="1860"/>
      <c r="E88" s="1860"/>
      <c r="F88" s="1861"/>
    </row>
    <row r="89">
      <c r="A89" s="1874"/>
      <c r="B89" s="1863" t="s">
        <v>11132</v>
      </c>
      <c r="C89" s="1882" t="s">
        <v>434</v>
      </c>
      <c r="D89" s="1878" t="s">
        <v>11196</v>
      </c>
      <c r="E89" s="1864" t="s">
        <v>11134</v>
      </c>
      <c r="F89" s="1879">
        <v>43457.0</v>
      </c>
    </row>
    <row r="90">
      <c r="A90" s="1874"/>
      <c r="B90" s="1867" t="s">
        <v>11136</v>
      </c>
      <c r="C90" s="1864" t="s">
        <v>2450</v>
      </c>
      <c r="D90" s="1878" t="s">
        <v>11197</v>
      </c>
      <c r="E90" s="1864" t="s">
        <v>11134</v>
      </c>
      <c r="F90" s="1879">
        <v>43925.0</v>
      </c>
    </row>
    <row r="91">
      <c r="A91" s="1874"/>
      <c r="B91" s="1868" t="s">
        <v>11139</v>
      </c>
      <c r="C91" s="1864" t="s">
        <v>4724</v>
      </c>
      <c r="D91" s="1878" t="s">
        <v>11198</v>
      </c>
      <c r="E91" s="1864" t="s">
        <v>11167</v>
      </c>
      <c r="F91" s="1879">
        <v>43433.0</v>
      </c>
    </row>
    <row r="92">
      <c r="A92" s="1874"/>
      <c r="B92" s="1869" t="s">
        <v>11142</v>
      </c>
      <c r="C92" s="1870"/>
      <c r="D92" s="1880"/>
      <c r="E92" s="1870"/>
      <c r="F92" s="1874"/>
    </row>
    <row r="93">
      <c r="A93" s="1874"/>
      <c r="B93" s="1869" t="s">
        <v>11146</v>
      </c>
      <c r="C93" s="1870"/>
      <c r="D93" s="1880"/>
      <c r="E93" s="1870"/>
      <c r="F93" s="1874"/>
    </row>
    <row r="94">
      <c r="A94" s="1874"/>
      <c r="B94" s="1856" t="s">
        <v>11153</v>
      </c>
      <c r="C94" s="1857"/>
      <c r="D94" s="1857"/>
      <c r="E94" s="1857"/>
      <c r="F94" s="1858"/>
    </row>
    <row r="95">
      <c r="A95" s="1874"/>
      <c r="B95" s="1859"/>
      <c r="C95" s="1860"/>
      <c r="D95" s="1860"/>
      <c r="E95" s="1860"/>
      <c r="F95" s="1861"/>
    </row>
    <row r="96">
      <c r="A96" s="1874"/>
      <c r="B96" s="1881" t="s">
        <v>11199</v>
      </c>
      <c r="C96" s="1857"/>
      <c r="D96" s="1857"/>
      <c r="E96" s="1857"/>
      <c r="F96" s="1858"/>
    </row>
    <row r="97">
      <c r="A97" s="1874"/>
      <c r="B97" s="1859"/>
      <c r="C97" s="1860"/>
      <c r="D97" s="1860"/>
      <c r="E97" s="1860"/>
      <c r="F97" s="1861"/>
    </row>
    <row r="98">
      <c r="A98" s="1874"/>
      <c r="B98" s="1863" t="s">
        <v>11132</v>
      </c>
      <c r="C98" s="1864" t="s">
        <v>11174</v>
      </c>
      <c r="D98" s="1878" t="s">
        <v>11200</v>
      </c>
      <c r="E98" s="1864" t="s">
        <v>11134</v>
      </c>
      <c r="F98" s="1879">
        <v>43862.0</v>
      </c>
    </row>
    <row r="99">
      <c r="A99" s="1874"/>
      <c r="B99" s="1867" t="s">
        <v>11136</v>
      </c>
      <c r="C99" s="1870"/>
      <c r="D99" s="1880"/>
      <c r="E99" s="1870"/>
      <c r="F99" s="1874"/>
    </row>
    <row r="100">
      <c r="A100" s="1874"/>
      <c r="B100" s="1868" t="s">
        <v>11139</v>
      </c>
      <c r="C100" s="1870"/>
      <c r="D100" s="1880"/>
      <c r="E100" s="1870"/>
      <c r="F100" s="1874"/>
    </row>
    <row r="101">
      <c r="A101" s="1874"/>
      <c r="B101" s="1869" t="s">
        <v>11142</v>
      </c>
      <c r="C101" s="1870"/>
      <c r="D101" s="1880"/>
      <c r="E101" s="1870"/>
      <c r="F101" s="1874"/>
    </row>
    <row r="102">
      <c r="A102" s="1874"/>
      <c r="B102" s="1869" t="s">
        <v>11146</v>
      </c>
      <c r="C102" s="1870"/>
      <c r="D102" s="1880"/>
      <c r="E102" s="1870"/>
      <c r="F102" s="1874"/>
    </row>
    <row r="103">
      <c r="A103" s="1874"/>
      <c r="B103" s="1881" t="s">
        <v>11201</v>
      </c>
      <c r="C103" s="1857"/>
      <c r="D103" s="1857"/>
      <c r="E103" s="1857"/>
      <c r="F103" s="1858"/>
    </row>
    <row r="104">
      <c r="A104" s="1874"/>
      <c r="B104" s="1859"/>
      <c r="C104" s="1860"/>
      <c r="D104" s="1860"/>
      <c r="E104" s="1860"/>
      <c r="F104" s="1861"/>
    </row>
    <row r="105">
      <c r="A105" s="1874"/>
      <c r="B105" s="1863" t="s">
        <v>11132</v>
      </c>
      <c r="C105" s="1864" t="s">
        <v>11174</v>
      </c>
      <c r="D105" s="1878" t="s">
        <v>11202</v>
      </c>
      <c r="E105" s="1864" t="s">
        <v>11134</v>
      </c>
      <c r="F105" s="1879">
        <v>43862.0</v>
      </c>
    </row>
    <row r="106">
      <c r="A106" s="1874"/>
      <c r="B106" s="1867" t="s">
        <v>11136</v>
      </c>
      <c r="C106" s="1884" t="s">
        <v>6121</v>
      </c>
      <c r="D106" s="1878" t="s">
        <v>11203</v>
      </c>
      <c r="E106" s="1864" t="s">
        <v>11181</v>
      </c>
      <c r="F106" s="1879">
        <v>43630.0</v>
      </c>
    </row>
    <row r="107">
      <c r="A107" s="1874"/>
      <c r="B107" s="1868" t="s">
        <v>11139</v>
      </c>
      <c r="C107" s="1870"/>
      <c r="D107" s="1880"/>
      <c r="E107" s="1870"/>
      <c r="F107" s="1874"/>
    </row>
    <row r="108">
      <c r="A108" s="1874"/>
      <c r="B108" s="1869" t="s">
        <v>11142</v>
      </c>
      <c r="C108" s="1870"/>
      <c r="D108" s="1880"/>
      <c r="E108" s="1870"/>
      <c r="F108" s="1874"/>
    </row>
    <row r="109">
      <c r="A109" s="1874"/>
      <c r="B109" s="1869" t="s">
        <v>11146</v>
      </c>
      <c r="C109" s="1870"/>
      <c r="D109" s="1880"/>
      <c r="E109" s="1870"/>
      <c r="F109" s="1874"/>
    </row>
    <row r="110">
      <c r="A110" s="1874"/>
      <c r="B110" s="1856" t="s">
        <v>11156</v>
      </c>
      <c r="C110" s="1857"/>
      <c r="D110" s="1857"/>
      <c r="E110" s="1857"/>
      <c r="F110" s="1858"/>
    </row>
    <row r="111">
      <c r="A111" s="1874"/>
      <c r="B111" s="1859"/>
      <c r="C111" s="1860"/>
      <c r="D111" s="1860"/>
      <c r="E111" s="1860"/>
      <c r="F111" s="1861"/>
    </row>
    <row r="112">
      <c r="A112" s="1874"/>
      <c r="B112" s="1863" t="s">
        <v>11132</v>
      </c>
      <c r="C112" s="1864" t="s">
        <v>5222</v>
      </c>
      <c r="D112" s="1878" t="s">
        <v>11204</v>
      </c>
      <c r="E112" s="1864" t="s">
        <v>11144</v>
      </c>
      <c r="F112" s="1879">
        <v>44132.0</v>
      </c>
    </row>
    <row r="113">
      <c r="A113" s="1874"/>
      <c r="B113" s="1867" t="s">
        <v>11136</v>
      </c>
      <c r="C113" s="1870"/>
      <c r="D113" s="1880"/>
      <c r="E113" s="1870"/>
      <c r="F113" s="1874"/>
    </row>
    <row r="114">
      <c r="A114" s="1874"/>
      <c r="B114" s="1868" t="s">
        <v>11139</v>
      </c>
      <c r="C114" s="1870"/>
      <c r="D114" s="1880"/>
      <c r="E114" s="1870"/>
      <c r="F114" s="1874"/>
    </row>
    <row r="115">
      <c r="A115" s="1874"/>
      <c r="B115" s="1869" t="s">
        <v>11142</v>
      </c>
      <c r="C115" s="1870"/>
      <c r="D115" s="1880"/>
      <c r="E115" s="1870"/>
      <c r="F115" s="1874"/>
    </row>
    <row r="116">
      <c r="A116" s="1874"/>
      <c r="B116" s="1869" t="s">
        <v>11146</v>
      </c>
      <c r="C116" s="1870"/>
      <c r="D116" s="1880"/>
      <c r="E116" s="1870"/>
      <c r="F116" s="1874"/>
    </row>
    <row r="117">
      <c r="A117" s="1874"/>
      <c r="B117" s="1856" t="s">
        <v>11159</v>
      </c>
      <c r="C117" s="1857"/>
      <c r="D117" s="1857"/>
      <c r="E117" s="1857"/>
      <c r="F117" s="1858"/>
    </row>
    <row r="118">
      <c r="A118" s="1874"/>
      <c r="B118" s="1859"/>
      <c r="C118" s="1860"/>
      <c r="D118" s="1860"/>
      <c r="E118" s="1860"/>
      <c r="F118" s="1861"/>
    </row>
    <row r="119">
      <c r="A119" s="1874"/>
      <c r="B119" s="1863" t="s">
        <v>11132</v>
      </c>
      <c r="C119" s="1864" t="s">
        <v>6172</v>
      </c>
      <c r="D119" s="1878" t="s">
        <v>11205</v>
      </c>
      <c r="E119" s="1864" t="s">
        <v>11134</v>
      </c>
      <c r="F119" s="1879">
        <v>43741.0</v>
      </c>
    </row>
    <row r="120">
      <c r="A120" s="1874"/>
      <c r="B120" s="1867" t="s">
        <v>11136</v>
      </c>
      <c r="C120" s="1864" t="s">
        <v>11206</v>
      </c>
      <c r="D120" s="1878" t="s">
        <v>11207</v>
      </c>
      <c r="E120" s="1864" t="s">
        <v>11167</v>
      </c>
      <c r="F120" s="1879">
        <v>43748.0</v>
      </c>
    </row>
    <row r="121">
      <c r="A121" s="1874"/>
      <c r="B121" s="1868" t="s">
        <v>11139</v>
      </c>
      <c r="C121" s="1864" t="s">
        <v>2141</v>
      </c>
      <c r="D121" s="1878" t="s">
        <v>11208</v>
      </c>
      <c r="E121" s="1864" t="s">
        <v>11181</v>
      </c>
      <c r="F121" s="1879">
        <v>43729.0</v>
      </c>
    </row>
    <row r="122">
      <c r="A122" s="1874"/>
      <c r="B122" s="1869" t="s">
        <v>11142</v>
      </c>
      <c r="C122" s="1882" t="s">
        <v>434</v>
      </c>
      <c r="D122" s="1878" t="s">
        <v>11209</v>
      </c>
      <c r="E122" s="1864" t="s">
        <v>11134</v>
      </c>
      <c r="F122" s="1879">
        <v>44470.0</v>
      </c>
    </row>
    <row r="123">
      <c r="A123" s="1874"/>
      <c r="B123" s="1869" t="s">
        <v>11146</v>
      </c>
      <c r="C123" s="1864" t="s">
        <v>5222</v>
      </c>
      <c r="D123" s="1878" t="s">
        <v>11210</v>
      </c>
      <c r="E123" s="1864" t="s">
        <v>11144</v>
      </c>
      <c r="F123" s="1879">
        <v>44020.0</v>
      </c>
    </row>
    <row r="124">
      <c r="A124" s="1885" t="s">
        <v>11211</v>
      </c>
      <c r="B124" s="1856" t="s">
        <v>11160</v>
      </c>
      <c r="C124" s="1857"/>
      <c r="D124" s="1857"/>
      <c r="E124" s="1857"/>
      <c r="F124" s="1858"/>
    </row>
    <row r="125">
      <c r="A125" s="1885" t="s">
        <v>11212</v>
      </c>
      <c r="B125" s="1859"/>
      <c r="C125" s="1860"/>
      <c r="D125" s="1860"/>
      <c r="E125" s="1860"/>
      <c r="F125" s="1861"/>
    </row>
    <row r="126">
      <c r="A126" s="1886"/>
      <c r="B126" s="1863" t="s">
        <v>11132</v>
      </c>
      <c r="C126" s="1864" t="s">
        <v>986</v>
      </c>
      <c r="D126" s="1887">
        <v>0.06525462962962963</v>
      </c>
      <c r="E126" s="1864" t="s">
        <v>11144</v>
      </c>
      <c r="F126" s="1866">
        <v>44652.0</v>
      </c>
    </row>
    <row r="127">
      <c r="A127" s="1886"/>
      <c r="B127" s="1867" t="s">
        <v>11136</v>
      </c>
      <c r="C127" s="1864" t="s">
        <v>4112</v>
      </c>
      <c r="D127" s="1887">
        <v>0.06892361111111112</v>
      </c>
      <c r="E127" s="1864" t="s">
        <v>11144</v>
      </c>
      <c r="F127" s="1866">
        <v>44652.0</v>
      </c>
    </row>
    <row r="128">
      <c r="A128" s="1886"/>
      <c r="B128" s="1868" t="s">
        <v>11139</v>
      </c>
      <c r="C128" s="1873" t="s">
        <v>5324</v>
      </c>
      <c r="D128" s="1888">
        <v>0.07195601851851852</v>
      </c>
      <c r="E128" s="1873" t="s">
        <v>11144</v>
      </c>
      <c r="F128" s="1879">
        <v>44652.0</v>
      </c>
    </row>
    <row r="129">
      <c r="A129" s="1886"/>
      <c r="B129" s="1869" t="s">
        <v>11142</v>
      </c>
      <c r="C129" s="1870" t="s">
        <v>11213</v>
      </c>
      <c r="D129" s="1889">
        <v>0.07211805555555556</v>
      </c>
      <c r="E129" s="1890" t="s">
        <v>11214</v>
      </c>
      <c r="F129" s="1879">
        <v>44652.0</v>
      </c>
    </row>
    <row r="130">
      <c r="A130" s="1886"/>
      <c r="B130" s="1869" t="s">
        <v>11146</v>
      </c>
      <c r="C130" s="1870"/>
      <c r="D130" s="1870"/>
      <c r="E130" s="1870"/>
      <c r="F130" s="1870"/>
    </row>
    <row r="131">
      <c r="A131" s="1891" t="s">
        <v>11161</v>
      </c>
      <c r="B131" s="1856" t="s">
        <v>11161</v>
      </c>
      <c r="C131" s="1857"/>
      <c r="D131" s="1857"/>
      <c r="E131" s="1857"/>
      <c r="F131" s="1858"/>
    </row>
    <row r="132">
      <c r="A132" s="1886"/>
      <c r="B132" s="1859"/>
      <c r="C132" s="1860"/>
      <c r="D132" s="1860"/>
      <c r="E132" s="1860"/>
      <c r="F132" s="1861"/>
    </row>
    <row r="133">
      <c r="A133" s="1886"/>
      <c r="B133" s="1863" t="s">
        <v>11132</v>
      </c>
      <c r="C133" s="1864" t="s">
        <v>2450</v>
      </c>
      <c r="D133" s="1892" t="s">
        <v>11215</v>
      </c>
      <c r="E133" s="1864" t="s">
        <v>11134</v>
      </c>
      <c r="F133" s="1866">
        <v>45152.0</v>
      </c>
    </row>
    <row r="134">
      <c r="A134" s="1886"/>
      <c r="B134" s="1867" t="s">
        <v>11136</v>
      </c>
      <c r="C134" s="1864" t="s">
        <v>4229</v>
      </c>
      <c r="D134" s="1892" t="s">
        <v>11216</v>
      </c>
      <c r="E134" s="1864" t="s">
        <v>11134</v>
      </c>
      <c r="F134" s="1866">
        <v>44866.0</v>
      </c>
    </row>
    <row r="135">
      <c r="A135" s="1886"/>
      <c r="B135" s="1868" t="s">
        <v>11139</v>
      </c>
      <c r="C135" s="1870"/>
      <c r="D135" s="1889"/>
      <c r="E135" s="1890"/>
      <c r="F135" s="1879"/>
    </row>
    <row r="136">
      <c r="A136" s="1886"/>
      <c r="B136" s="1869" t="s">
        <v>11142</v>
      </c>
      <c r="C136" s="1870"/>
      <c r="D136" s="1889"/>
      <c r="E136" s="1890"/>
      <c r="F136" s="1879"/>
    </row>
    <row r="137">
      <c r="A137" s="1886"/>
      <c r="B137" s="1869" t="s">
        <v>11146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