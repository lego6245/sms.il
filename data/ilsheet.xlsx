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<sst xmlns="http://schemas.openxmlformats.org/spreadsheetml/2006/main" count="26742" uniqueCount="11104">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</sst>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6"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6"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6" numFmtId="49" xfId="0" applyAlignment="1" applyFont="1" applyNumberFormat="1">
      <alignment horizontal="center" vertical="center"/>
    </xf>
    <xf borderId="0" fillId="36" fontId="561"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6" numFmtId="49"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9" numFmtId="49" xfId="0" applyAlignment="1" applyBorder="1" applyFont="1" applyNumberFormat="1">
      <alignment horizontal="center"/>
    </xf>
    <xf borderId="7" fillId="0" fontId="579"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7"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2"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2" numFmtId="49" xfId="0" applyAlignment="1" applyFont="1" applyNumberFormat="1">
      <alignment horizontal="center"/>
    </xf>
    <xf borderId="0" fillId="30" fontId="106"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4"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aFSYyONMI" TargetMode="External"/><Relationship Id="rId3512" Type="http://schemas.openxmlformats.org/officeDocument/2006/relationships/hyperlink" Target="https://youtu.be/GPTfLN1gvc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Bw8HgqmY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9" TargetMode="External"/><Relationship Id="rId44" Type="http://schemas.openxmlformats.org/officeDocument/2006/relationships/hyperlink" Target="https://youtu.be/qQGN1qDjyGc" TargetMode="External"/><Relationship Id="rId3517" Type="http://schemas.openxmlformats.org/officeDocument/2006/relationships/hyperlink" Target="https://youtu.be/8lvROe5a3F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nokC0JcIXs" TargetMode="External"/><Relationship Id="rId46" Type="http://schemas.openxmlformats.org/officeDocument/2006/relationships/hyperlink" Target="https://youtu.be/HuZ6b_Zl2s8?t=13" TargetMode="External"/><Relationship Id="rId3519" Type="http://schemas.openxmlformats.org/officeDocument/2006/relationships/hyperlink" Target="https://youtu.be/0aDb7ovTkt8" TargetMode="External"/><Relationship Id="rId45" Type="http://schemas.openxmlformats.org/officeDocument/2006/relationships/hyperlink" Target="https://youtu.be/HuZ6b_Zl2s8" TargetMode="External"/><Relationship Id="rId3518" Type="http://schemas.openxmlformats.org/officeDocument/2006/relationships/hyperlink" Target="https://youtu.be/yBPrzGu9iR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DXznlVPmok" TargetMode="External"/><Relationship Id="rId3510" Type="http://schemas.openxmlformats.org/officeDocument/2006/relationships/hyperlink" Target="https://youtu.be/fuGW3I0caT8" TargetMode="External"/><Relationship Id="rId3502" Type="http://schemas.openxmlformats.org/officeDocument/2006/relationships/hyperlink" Target="https://youtu.be/BRbu8H2UIhE" TargetMode="External"/><Relationship Id="rId3501" Type="http://schemas.openxmlformats.org/officeDocument/2006/relationships/hyperlink" Target="https://youtu.be/hI8M3QDI7Y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MknFeDy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2178361669" TargetMode="External"/><Relationship Id="rId33" Type="http://schemas.openxmlformats.org/officeDocument/2006/relationships/hyperlink" Target="https://youtu.be/9qgFaso0QEo" TargetMode="External"/><Relationship Id="rId3506" Type="http://schemas.openxmlformats.org/officeDocument/2006/relationships/hyperlink" Target="https://youtu.be/xB7KPQD_bs8" TargetMode="External"/><Relationship Id="rId32" Type="http://schemas.openxmlformats.org/officeDocument/2006/relationships/hyperlink" Target="https://youtu.be/jCh84bu7RPY" TargetMode="External"/><Relationship Id="rId3505" Type="http://schemas.openxmlformats.org/officeDocument/2006/relationships/hyperlink" Target="https://youtu.be/F-2Vza5NDCs" TargetMode="External"/><Relationship Id="rId35" Type="http://schemas.openxmlformats.org/officeDocument/2006/relationships/hyperlink" Target="https://youtu.be/V88dab1VAo8" TargetMode="External"/><Relationship Id="rId3508" Type="http://schemas.openxmlformats.org/officeDocument/2006/relationships/hyperlink" Target="https://youtu.be/FbhZuABeUn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DUApekPqVx0" TargetMode="External"/><Relationship Id="rId3509" Type="http://schemas.openxmlformats.org/officeDocument/2006/relationships/hyperlink" Target="https://youtu.be/SyQIUMhk3N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54404870?t=00h13m35s" TargetMode="External"/><Relationship Id="rId2203" Type="http://schemas.openxmlformats.org/officeDocument/2006/relationships/hyperlink" Target="https://youtu.be/heIYVyxaiZY" TargetMode="External"/><Relationship Id="rId3535" Type="http://schemas.openxmlformats.org/officeDocument/2006/relationships/hyperlink" Target="https://youtu.be/lyWm_9LlYO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COIMShAaKd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49387882"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1X1H4tLcTu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3UELneIbRv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bINNm5Acee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I4Vok80o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4061006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564290677"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2V-E1Ry_EdM" TargetMode="External"/><Relationship Id="rId3524" Type="http://schemas.openxmlformats.org/officeDocument/2006/relationships/hyperlink" Target="https://www.twitch.tv/videos/1239274480" TargetMode="External"/><Relationship Id="rId3523" Type="http://schemas.openxmlformats.org/officeDocument/2006/relationships/hyperlink" Target="https://youtu.be/HPS5N1Vmy6Q" TargetMode="External"/><Relationship Id="rId3526" Type="http://schemas.openxmlformats.org/officeDocument/2006/relationships/hyperlink" Target="https://www.twitch.tv/videos/1221315070" TargetMode="External"/><Relationship Id="rId3525" Type="http://schemas.openxmlformats.org/officeDocument/2006/relationships/hyperlink" Target="https://youtu.be/o3BJ9s8uUxw" TargetMode="External"/><Relationship Id="rId11" Type="http://schemas.openxmlformats.org/officeDocument/2006/relationships/hyperlink" Target="https://youtu.be/4t1rpAakm5o" TargetMode="External"/><Relationship Id="rId3528" Type="http://schemas.openxmlformats.org/officeDocument/2006/relationships/hyperlink" Target="https://youtu.be/XTDyoF4Y4nU" TargetMode="External"/><Relationship Id="rId10" Type="http://schemas.openxmlformats.org/officeDocument/2006/relationships/hyperlink" Target="https://youtu.be/DPw4qWhC6vI" TargetMode="External"/><Relationship Id="rId3527" Type="http://schemas.openxmlformats.org/officeDocument/2006/relationships/hyperlink" Target="https://youtu.be/WH0jcgZhuS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L7okSeY5i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RHX3pgBvA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IOuZLjDgZX0" TargetMode="External"/><Relationship Id="rId3521" Type="http://schemas.openxmlformats.org/officeDocument/2006/relationships/hyperlink" Target="https://youtu.be/b5xLagqBHM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1DaDpONiHI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xuC6ejNPnCo?t=1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clips.twitch.tv/StylishScaryPhonePrime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EvC-eEXii6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acwlckXbeEU"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WqHjNER7-ac"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NimblePluckyFishRiPepperonis-Q2ntKBu4pZwpOLq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BloodyAuspiciousSnailPRChase-W3yni-madIFG2-gB"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r64vdwsXOZ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oPv6YYv10HQ"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wP71syAMx4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UwbdYDVj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AOqHxOuW5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qz5HLTgw3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JA8zPb_sJUI"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0VoHWs-0TQ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MGFeKWE-Rk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s7KwjQLw1k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lPkvTZpTvMI?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9JOn5dgSlg?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HAcEFJYINY0"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ZNski5gWt3o?t=13"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__8xHsdb0c"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VknbwipIcLI"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KindAgitatedCarrotTF2Joh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ObliqueKawaiiPotJKanStyl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n0keiZRptk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SucculentOutstandingStrawberryRlyTho"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3GaMR2hFr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RDsRdHr1gAQ"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wutk4BplKqE"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tHKISoTDxfg"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SourColdCardFutureMan"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vf7LO_ZZhj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GeniusWildSoybeanCoolStoryBob-fzlUT-FtG5z80EmV" TargetMode="External"/><Relationship Id="rId3540" Type="http://schemas.openxmlformats.org/officeDocument/2006/relationships/hyperlink" Target="https://youtu.be/d9DyDRTKOU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TFIMcWwNGc"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KV14OoM4Dw4" TargetMode="External"/><Relationship Id="rId2212" Type="http://schemas.openxmlformats.org/officeDocument/2006/relationships/hyperlink" Target="https://youtu.be/SMsD3PoVZ8w" TargetMode="External"/><Relationship Id="rId3544" Type="http://schemas.openxmlformats.org/officeDocument/2006/relationships/hyperlink" Target="https://youtu.be/Y2cUppv-m-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PVGqyyWrnSM" TargetMode="External"/><Relationship Id="rId2247" Type="http://schemas.openxmlformats.org/officeDocument/2006/relationships/hyperlink" Target="https://youtu.be/WZfTvH4o2Jg" TargetMode="External"/><Relationship Id="rId3579" Type="http://schemas.openxmlformats.org/officeDocument/2006/relationships/hyperlink" Target="https://youtu.be/k9aBZWJvGU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5Uc_VsYk4P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9fnwieEZ7E?t=6"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kcpgliFaAd4"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R_WzW5NJHN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ZAinYSFi65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KV5fX7jzM7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FrozenWealthyKleePeanutButterJellyTime-X-VX-sZ34T7fcx4T"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2h8GIu7yIPE?t=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ResilientCalmPancake4Head-74KL9EEE9YwD_kv7"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fdLppy_NAm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cDvzV86e5g"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7M6KJaNmgj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94xFxpvkY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cOth8i2Z9Jg"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gxCCdax0x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BRJoIrstX6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RAW1TjecBxE?t=6"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18zO3mkSFA"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qFebwt8ICn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BoldDaintyHamburgerDoggo-HwljQ6lnz6OyXn3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RichSpineyBubbleteaM4xHeh-fIFup2DAWZcRVyH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Ha1CEnqV7r0"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923267417"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BlTsOFlPg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LLV-ujq1ytc" TargetMode="External"/><Relationship Id="rId3630" Type="http://schemas.openxmlformats.org/officeDocument/2006/relationships/hyperlink" Target="https://clips.twitch.tv/TameFaintBottleYee-IEkbSrtMvnFQwhH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clips.twitch.tv/HomelyPlausibleFloofBCWarrior-sSytr9fCDheZ_hDo" TargetMode="External"/><Relationship Id="rId3622" Type="http://schemas.openxmlformats.org/officeDocument/2006/relationships/hyperlink" Target="https://clips.twitch.tv/SaltyCrispyIcecreamWoofer" TargetMode="External"/><Relationship Id="rId3625" Type="http://schemas.openxmlformats.org/officeDocument/2006/relationships/hyperlink" Target="https://clips.twitch.tv/TallDistinctAniseFrankerZ-3S4o-2k1o4GqXMhX" TargetMode="External"/><Relationship Id="rId3624" Type="http://schemas.openxmlformats.org/officeDocument/2006/relationships/hyperlink" Target="https://clips.twitch.tv/MoldyRelatedTrollBatChest-WcJP5jR_ykR-S_WD" TargetMode="External"/><Relationship Id="rId3627" Type="http://schemas.openxmlformats.org/officeDocument/2006/relationships/hyperlink" Target="https://clips.twitch.tv/CrepuscularScrumptiousOtterTakeNRG-cxJP968a0d4wce-J" TargetMode="External"/><Relationship Id="rId3626" Type="http://schemas.openxmlformats.org/officeDocument/2006/relationships/hyperlink" Target="https://www.youtube.com/watch?v=-tGRQrXio5s" TargetMode="External"/><Relationship Id="rId3629" Type="http://schemas.openxmlformats.org/officeDocument/2006/relationships/hyperlink" Target="https://clips.twitch.tv/CoweringAffluentGazelleMVGame-2lym0QMvFNPpiY48" TargetMode="External"/><Relationship Id="rId3628" Type="http://schemas.openxmlformats.org/officeDocument/2006/relationships/hyperlink" Target="https://clips.twitch.tv/SavoryFrailDillRiPepperonis-_a-yQIVP6RrToBfk" TargetMode="External"/><Relationship Id="rId3621" Type="http://schemas.openxmlformats.org/officeDocument/2006/relationships/hyperlink" Target="https://clips.twitch.tv/SnappyPoorZebraTwitchRaid" TargetMode="External"/><Relationship Id="rId3620" Type="http://schemas.openxmlformats.org/officeDocument/2006/relationships/hyperlink" Target="https://clips.twitch.tv/TrustworthyBoldFishGivePLZ-Po2fD7at-sek261_"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ClearTangibleOryxOMGScoots-RUJeu6MdrRyS8XMp"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aI2boBx2eg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S2yDCubR2o4"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Df8m_IV4vr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fNVSKf4AXPg" TargetMode="External"/><Relationship Id="rId3650" Type="http://schemas.openxmlformats.org/officeDocument/2006/relationships/hyperlink" Target="https://clips.twitch.tv/EmpathicBlitheMouseCclamChamp-vw9pV9yJ-0wMcIEx"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BlindingWittySquidArsonNoSexy-an14cMVazpBQ8zTL"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DependableWimpyPlumberNerfRedBlaster-l0N1ltNqN24Dfq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ProductivePlausibleSageTinyFace-GuTRGs_oKypV63I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oDxj7CTWpx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fVvehheK9_Q?si=JCqDHGURTBuXBpo6"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39324675"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811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1583188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975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985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RtlEfGBLHmo"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1864132423"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U69TxGBhuZ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lGpzbfDV7ps?si=nLRSH2YZSKc9zTVw"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TenderUninterestedBisonEleGiggle-mdGTz9P-vvJ_SomS" TargetMode="External"/><Relationship Id="rId3611" Type="http://schemas.openxmlformats.org/officeDocument/2006/relationships/hyperlink" Target="https://clips.twitch.tv/HyperDaintyShallotCoolCat-ndROv_i6E4CKkm7N" TargetMode="External"/><Relationship Id="rId3614" Type="http://schemas.openxmlformats.org/officeDocument/2006/relationships/hyperlink" Target="https://clips.twitch.tv/EncouragingSecretiveLlamaDoggo-bwQ_C8eP-5aDg2tv" TargetMode="External"/><Relationship Id="rId3613" Type="http://schemas.openxmlformats.org/officeDocument/2006/relationships/hyperlink" Target="https://www.twitch.tv/videos/885940624" TargetMode="External"/><Relationship Id="rId3616" Type="http://schemas.openxmlformats.org/officeDocument/2006/relationships/hyperlink" Target="https://www.twitch.tv/videos/957409450" TargetMode="External"/><Relationship Id="rId3615" Type="http://schemas.openxmlformats.org/officeDocument/2006/relationships/hyperlink" Target="https://clips.twitch.tv/ViscousRepleteGoldfishPanicBasket-YqdRyFXSK23tLcD3" TargetMode="External"/><Relationship Id="rId3618" Type="http://schemas.openxmlformats.org/officeDocument/2006/relationships/hyperlink" Target="https://clips.twitch.tv/ViscousBloodyCheeseSpicyBoy" TargetMode="External"/><Relationship Id="rId3617" Type="http://schemas.openxmlformats.org/officeDocument/2006/relationships/hyperlink" Target="https://clips.twitch.tv/FriendlyAffluentTofuYouWHY-UP1xCokl0WqaQm4g" TargetMode="External"/><Relationship Id="rId3619" Type="http://schemas.openxmlformats.org/officeDocument/2006/relationships/hyperlink" Target="https://clips.twitch.tv/ClumsyCrepuscularPlumageNerfBlueBlaster-heP3VC5LrNVyumjo" TargetMode="External"/><Relationship Id="rId3610" Type="http://schemas.openxmlformats.org/officeDocument/2006/relationships/hyperlink" Target="https://clips.twitch.tv/RefinedSmallBobaOhMyDog" TargetMode="External"/><Relationship Id="rId3601" Type="http://schemas.openxmlformats.org/officeDocument/2006/relationships/hyperlink" Target="https://www.youtube.com/watch?v=WDclqZxjsAk" TargetMode="External"/><Relationship Id="rId3600" Type="http://schemas.openxmlformats.org/officeDocument/2006/relationships/hyperlink" Target="https://www.youtube.com/watch?v=IbImU2sQNWo" TargetMode="External"/><Relationship Id="rId3603" Type="http://schemas.openxmlformats.org/officeDocument/2006/relationships/hyperlink" Target="https://www.youtube.com/watch?v=7ewxs-J8-IA" TargetMode="External"/><Relationship Id="rId3602" Type="http://schemas.openxmlformats.org/officeDocument/2006/relationships/hyperlink" Target="https://www.twitch.tv/videos/1935019822" TargetMode="External"/><Relationship Id="rId3605" Type="http://schemas.openxmlformats.org/officeDocument/2006/relationships/hyperlink" Target="https://youtu.be/5jM0EgimauY" TargetMode="External"/><Relationship Id="rId3604" Type="http://schemas.openxmlformats.org/officeDocument/2006/relationships/hyperlink" Target="https://www.twitch.tv/videos/2138466749" TargetMode="External"/><Relationship Id="rId3607" Type="http://schemas.openxmlformats.org/officeDocument/2006/relationships/hyperlink" Target="https://clips.twitch.tv/FilthyTalentedQuailStinkyCheese" TargetMode="External"/><Relationship Id="rId3606" Type="http://schemas.openxmlformats.org/officeDocument/2006/relationships/hyperlink" Target="https://youtu.be/KpohDuuulIM" TargetMode="External"/><Relationship Id="rId3609" Type="http://schemas.openxmlformats.org/officeDocument/2006/relationships/hyperlink" Target="https://clips.twitch.tv/SassyBeautifulShrewSMOrc" TargetMode="External"/><Relationship Id="rId3608" Type="http://schemas.openxmlformats.org/officeDocument/2006/relationships/hyperlink" Target="https://clips.twitch.tv/WealthyIcyNeanderthalFreakinStinkin"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S2-pKof3dr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69ic33AvIa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UbE6nG94rbc" TargetMode="External"/><Relationship Id="rId1019" Type="http://schemas.openxmlformats.org/officeDocument/2006/relationships/hyperlink" Target="https://youtu.be/-TE0ZMUEmeI" TargetMode="External"/><Relationship Id="rId3670" Type="http://schemas.openxmlformats.org/officeDocument/2006/relationships/hyperlink" Target="https://youtu.be/q-qecF2b-PI"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P1zYoS5W0-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0cqSvG8RrC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7ZgVTZnK5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nggxOuqniq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L3JP_GvYE7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s_vY-Grc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wi1P8hhbE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Cr_xP8bgJec"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79vpdi3lud8"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u-0TbF-x-ys"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RjXUBXs_PiQ"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5NFV4JlVEh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NqCh1AR43c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lsxUCl28VA"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ixBwATUne_8"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74H20Y0ruuk"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3Ovu89Qc6h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TOrGSUJHW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gl9c1qhsTT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vc2vKpA4W0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_5EE7piEfd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xILNN4X1Su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clips.twitch.tv/IgnorantInexpensiveWhaleAMPEnergyCherry-0_APFnMlwRxp93Up"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WYCGplnVh4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npPbGmcpwT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IA9rZ_hatPE"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HhrXXa3_6Q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cMWcL3kLKVs"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qKz5kBAucjo"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gs6T_sN1V7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5awgm4vADL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Oc0mzisGZg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K9g9bFufOgE"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_yyE2bJP2Bk"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oJ7uiss0Fac"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6in2eMbJ0ow"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M0zcfBzYqS0" TargetMode="External"/><Relationship Id="rId2424" Type="http://schemas.openxmlformats.org/officeDocument/2006/relationships/hyperlink" Target="https://youtu.be/F5NfRzs9WmY" TargetMode="External"/><Relationship Id="rId3754" Type="http://schemas.openxmlformats.org/officeDocument/2006/relationships/hyperlink" Target="https://youtu.be/zLRiS54kMLo" TargetMode="External"/><Relationship Id="rId2425" Type="http://schemas.openxmlformats.org/officeDocument/2006/relationships/hyperlink" Target="https://youtu.be/zZ4xsh3x0VA" TargetMode="External"/><Relationship Id="rId3757" Type="http://schemas.openxmlformats.org/officeDocument/2006/relationships/hyperlink" Target="https://youtu.be/XECoTk_c05M" TargetMode="External"/><Relationship Id="rId2426" Type="http://schemas.openxmlformats.org/officeDocument/2006/relationships/hyperlink" Target="https://youtu.be/m_ZBiqY_Nho" TargetMode="External"/><Relationship Id="rId3756" Type="http://schemas.openxmlformats.org/officeDocument/2006/relationships/hyperlink" Target="https://youtu.be/2pdrTGGpy2s" TargetMode="External"/><Relationship Id="rId2427" Type="http://schemas.openxmlformats.org/officeDocument/2006/relationships/hyperlink" Target="https://youtu.be/abhI8pfN-HM" TargetMode="External"/><Relationship Id="rId3759" Type="http://schemas.openxmlformats.org/officeDocument/2006/relationships/hyperlink" Target="https://youtu.be/umgWlwQvLlg" TargetMode="External"/><Relationship Id="rId2428" Type="http://schemas.openxmlformats.org/officeDocument/2006/relationships/hyperlink" Target="https://youtu.be/5o3N19-vMCQ" TargetMode="External"/><Relationship Id="rId3758" Type="http://schemas.openxmlformats.org/officeDocument/2006/relationships/hyperlink" Target="https://youtu.be/7DKS_xqCH8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WEi5En16ras" TargetMode="External"/><Relationship Id="rId2420" Type="http://schemas.openxmlformats.org/officeDocument/2006/relationships/hyperlink" Target="https://youtu.be/TLVlIuyOwrI" TargetMode="External"/><Relationship Id="rId3750" Type="http://schemas.openxmlformats.org/officeDocument/2006/relationships/hyperlink" Target="https://youtu.be/1dW06SPmkiU" TargetMode="External"/><Relationship Id="rId2421" Type="http://schemas.openxmlformats.org/officeDocument/2006/relationships/hyperlink" Target="https://youtu.be/0Ad-hocDWwg" TargetMode="External"/><Relationship Id="rId3753" Type="http://schemas.openxmlformats.org/officeDocument/2006/relationships/hyperlink" Target="https://youtu.be/P9VWSfZRdZ8" TargetMode="External"/><Relationship Id="rId2422" Type="http://schemas.openxmlformats.org/officeDocument/2006/relationships/hyperlink" Target="https://youtu.be/aoIG8OwyKNU" TargetMode="External"/><Relationship Id="rId3752" Type="http://schemas.openxmlformats.org/officeDocument/2006/relationships/hyperlink" Target="https://youtu.be/aROk5J96rU0" TargetMode="External"/><Relationship Id="rId2412" Type="http://schemas.openxmlformats.org/officeDocument/2006/relationships/hyperlink" Target="https://youtu.be/KXI5m0Ayd5U" TargetMode="External"/><Relationship Id="rId3744" Type="http://schemas.openxmlformats.org/officeDocument/2006/relationships/hyperlink" Target="https://youtu.be/ADxHxNj6HV0" TargetMode="External"/><Relationship Id="rId2413" Type="http://schemas.openxmlformats.org/officeDocument/2006/relationships/hyperlink" Target="https://youtu.be/bVIluirGDYk" TargetMode="External"/><Relationship Id="rId3743" Type="http://schemas.openxmlformats.org/officeDocument/2006/relationships/hyperlink" Target="https://youtu.be/0XUpJc8IzRk" TargetMode="External"/><Relationship Id="rId2414" Type="http://schemas.openxmlformats.org/officeDocument/2006/relationships/hyperlink" Target="https://youtu.be/giKr74OQdto" TargetMode="External"/><Relationship Id="rId3746" Type="http://schemas.openxmlformats.org/officeDocument/2006/relationships/hyperlink" Target="https://youtu.be/_iXBKQwq-Ys" TargetMode="External"/><Relationship Id="rId2415" Type="http://schemas.openxmlformats.org/officeDocument/2006/relationships/hyperlink" Target="https://youtu.be/00710huXVlk" TargetMode="External"/><Relationship Id="rId3745" Type="http://schemas.openxmlformats.org/officeDocument/2006/relationships/hyperlink" Target="https://youtu.be/HLtLqTHqXYA" TargetMode="External"/><Relationship Id="rId2416" Type="http://schemas.openxmlformats.org/officeDocument/2006/relationships/hyperlink" Target="https://youtu.be/fLc4yFhnP6Q" TargetMode="External"/><Relationship Id="rId3748" Type="http://schemas.openxmlformats.org/officeDocument/2006/relationships/hyperlink" Target="https://youtu.be/qo_9Tt8brsI" TargetMode="External"/><Relationship Id="rId2417" Type="http://schemas.openxmlformats.org/officeDocument/2006/relationships/hyperlink" Target="https://youtu.be/oOnV-NlfnIE" TargetMode="External"/><Relationship Id="rId3747" Type="http://schemas.openxmlformats.org/officeDocument/2006/relationships/hyperlink" Target="https://youtu.be/v_H6xRBJa_g"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hvHHeJ6c_8" TargetMode="External"/><Relationship Id="rId3740" Type="http://schemas.openxmlformats.org/officeDocument/2006/relationships/hyperlink" Target="https://youtu.be/qgluFqR_tLI" TargetMode="External"/><Relationship Id="rId2410" Type="http://schemas.openxmlformats.org/officeDocument/2006/relationships/hyperlink" Target="https://youtu.be/VKdpuTD0_0I" TargetMode="External"/><Relationship Id="rId3742" Type="http://schemas.openxmlformats.org/officeDocument/2006/relationships/hyperlink" Target="https://youtu.be/YB9LQDhmWDY" TargetMode="External"/><Relationship Id="rId2411" Type="http://schemas.openxmlformats.org/officeDocument/2006/relationships/hyperlink" Target="https://youtu.be/bJMASdX424E" TargetMode="External"/><Relationship Id="rId3741" Type="http://schemas.openxmlformats.org/officeDocument/2006/relationships/hyperlink" Target="https://youtu.be/2fhIenEkLl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gF0Swsi3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DZ8BfAN4c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MSMADxISL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SlWniPyjlm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RqUNHa6gnVg" TargetMode="External"/><Relationship Id="rId2440" Type="http://schemas.openxmlformats.org/officeDocument/2006/relationships/hyperlink" Target="https://youtu.be/lTLV2YNvtk0" TargetMode="External"/><Relationship Id="rId3770" Type="http://schemas.openxmlformats.org/officeDocument/2006/relationships/hyperlink" Target="https://youtu.be/YkHffV7svT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v8KAMn60A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JNGeEHSpy7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wrHqU3R3n8s"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y0NuMK8xH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BZgjhNOo-go"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D0Oc-Q4O40A"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Op5piQQYq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X-ta1hc2wpQ"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CfDEkDG5HFI"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H-4uKm6is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HZezdHtroIM"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www.twitch.tv/videos/1562978554"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638636950"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3UNx_t8T6EY" TargetMode="External"/><Relationship Id="rId3711" Type="http://schemas.openxmlformats.org/officeDocument/2006/relationships/hyperlink" Target="https://youtu.be/djpRgtYWDDw" TargetMode="External"/><Relationship Id="rId3710" Type="http://schemas.openxmlformats.org/officeDocument/2006/relationships/hyperlink" Target="https://youtu.be/YAMDglE01Tg" TargetMode="External"/><Relationship Id="rId3713" Type="http://schemas.openxmlformats.org/officeDocument/2006/relationships/hyperlink" Target="https://www.youtube.com/watch?v=odXAa6vbdas" TargetMode="External"/><Relationship Id="rId3712" Type="http://schemas.openxmlformats.org/officeDocument/2006/relationships/hyperlink" Target="https://www.youtube.com/watch?v=NBnUp-T3fhc" TargetMode="External"/><Relationship Id="rId3715" Type="http://schemas.openxmlformats.org/officeDocument/2006/relationships/hyperlink" Target="https://www.youtube.com/watch?v=CgWCSuJ5jnk" TargetMode="External"/><Relationship Id="rId3714" Type="http://schemas.openxmlformats.org/officeDocument/2006/relationships/hyperlink" Target="https://youtu.be/gsTC2weC5Ok" TargetMode="External"/><Relationship Id="rId3717" Type="http://schemas.openxmlformats.org/officeDocument/2006/relationships/hyperlink" Target="https://youtu.be/-X-8cgwjxbo" TargetMode="External"/><Relationship Id="rId3716" Type="http://schemas.openxmlformats.org/officeDocument/2006/relationships/hyperlink" Target="https://www.youtube.com/watch?v=dRTrvAdi71A" TargetMode="External"/><Relationship Id="rId3719" Type="http://schemas.openxmlformats.org/officeDocument/2006/relationships/hyperlink" Target="https://youtu.be/XFv2JXpwzPA" TargetMode="External"/><Relationship Id="rId3718" Type="http://schemas.openxmlformats.org/officeDocument/2006/relationships/hyperlink" Target="https://www.youtube.com/watch?v=5ezTSko_BOU" TargetMode="External"/><Relationship Id="rId3700" Type="http://schemas.openxmlformats.org/officeDocument/2006/relationships/hyperlink" Target="https://youtu.be/OSNXTmoonnM" TargetMode="External"/><Relationship Id="rId3702" Type="http://schemas.openxmlformats.org/officeDocument/2006/relationships/hyperlink" Target="https://youtu.be/mEmDaTtNmiw" TargetMode="External"/><Relationship Id="rId3701" Type="http://schemas.openxmlformats.org/officeDocument/2006/relationships/hyperlink" Target="https://youtu.be/YQQ0q65ToQQ" TargetMode="External"/><Relationship Id="rId3704" Type="http://schemas.openxmlformats.org/officeDocument/2006/relationships/hyperlink" Target="https://youtu.be/BzPxFP5PIps" TargetMode="External"/><Relationship Id="rId3703" Type="http://schemas.openxmlformats.org/officeDocument/2006/relationships/hyperlink" Target="https://youtu.be/MMo3ZBMPIrU" TargetMode="External"/><Relationship Id="rId3706" Type="http://schemas.openxmlformats.org/officeDocument/2006/relationships/hyperlink" Target="https://youtu.be/x4wUe8VzFL4" TargetMode="External"/><Relationship Id="rId3705" Type="http://schemas.openxmlformats.org/officeDocument/2006/relationships/hyperlink" Target="https://youtu.be/ewGQiYOg6F4" TargetMode="External"/><Relationship Id="rId3708" Type="http://schemas.openxmlformats.org/officeDocument/2006/relationships/hyperlink" Target="https://youtu.be/_BiWC77BP3o" TargetMode="External"/><Relationship Id="rId3707" Type="http://schemas.openxmlformats.org/officeDocument/2006/relationships/hyperlink" Target="https://youtu.be/hfxXpN4iAks" TargetMode="External"/><Relationship Id="rId3709" Type="http://schemas.openxmlformats.org/officeDocument/2006/relationships/hyperlink" Target="https://youtu.be/PW3RefbTtj8" TargetMode="External"/><Relationship Id="rId2401" Type="http://schemas.openxmlformats.org/officeDocument/2006/relationships/hyperlink" Target="https://youtu.be/t9drpBX9klU" TargetMode="External"/><Relationship Id="rId3733" Type="http://schemas.openxmlformats.org/officeDocument/2006/relationships/hyperlink" Target="https://youtu.be/lURSmO_AyEw" TargetMode="External"/><Relationship Id="rId2402" Type="http://schemas.openxmlformats.org/officeDocument/2006/relationships/hyperlink" Target="https://youtu.be/rPuytD0LZNY" TargetMode="External"/><Relationship Id="rId3732" Type="http://schemas.openxmlformats.org/officeDocument/2006/relationships/hyperlink" Target="https://youtu.be/zwrAxg51_j8" TargetMode="External"/><Relationship Id="rId2403" Type="http://schemas.openxmlformats.org/officeDocument/2006/relationships/hyperlink" Target="https://youtu.be/chTeu9FixQo" TargetMode="External"/><Relationship Id="rId3735" Type="http://schemas.openxmlformats.org/officeDocument/2006/relationships/hyperlink" Target="https://youtu.be/MpHdG2rZYIU" TargetMode="External"/><Relationship Id="rId2404" Type="http://schemas.openxmlformats.org/officeDocument/2006/relationships/hyperlink" Target="https://youtu.be/KA4asInrEtg" TargetMode="External"/><Relationship Id="rId3734" Type="http://schemas.openxmlformats.org/officeDocument/2006/relationships/hyperlink" Target="https://youtu.be/-EuPHAugnvU" TargetMode="External"/><Relationship Id="rId2405" Type="http://schemas.openxmlformats.org/officeDocument/2006/relationships/hyperlink" Target="https://youtu.be/4piPovOx8O4" TargetMode="External"/><Relationship Id="rId3737" Type="http://schemas.openxmlformats.org/officeDocument/2006/relationships/hyperlink" Target="https://youtu.be/FxAyf0hf3S4" TargetMode="External"/><Relationship Id="rId2406" Type="http://schemas.openxmlformats.org/officeDocument/2006/relationships/hyperlink" Target="https://youtu.be/7PV_sbgZrbk" TargetMode="External"/><Relationship Id="rId3736" Type="http://schemas.openxmlformats.org/officeDocument/2006/relationships/hyperlink" Target="https://youtu.be/3VT120o91Mg" TargetMode="External"/><Relationship Id="rId2407" Type="http://schemas.openxmlformats.org/officeDocument/2006/relationships/hyperlink" Target="https://youtu.be/Lun8aJPbx0M" TargetMode="External"/><Relationship Id="rId3739" Type="http://schemas.openxmlformats.org/officeDocument/2006/relationships/hyperlink" Target="https://youtu.be/PAuCtRTeOZQ"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traHO3RCMFc"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52488021"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64996095" TargetMode="External"/><Relationship Id="rId3722" Type="http://schemas.openxmlformats.org/officeDocument/2006/relationships/hyperlink" Target="https://youtu.be/AlDJUqcUgNE" TargetMode="External"/><Relationship Id="rId3721" Type="http://schemas.openxmlformats.org/officeDocument/2006/relationships/hyperlink" Target="https://youtu.be/H3JDwX7khMg" TargetMode="External"/><Relationship Id="rId3724" Type="http://schemas.openxmlformats.org/officeDocument/2006/relationships/hyperlink" Target="https://clips.twitch.tv/AdorableAuspiciousPonyOMGScoots-cOHUPAy5-HX8cTlY" TargetMode="External"/><Relationship Id="rId3723" Type="http://schemas.openxmlformats.org/officeDocument/2006/relationships/hyperlink" Target="https://clips.twitch.tv/OpenSwissHorseradishPlanking-F6U4Rdie9N3lGJTB" TargetMode="External"/><Relationship Id="rId3726" Type="http://schemas.openxmlformats.org/officeDocument/2006/relationships/hyperlink" Target="https://www.twitch.tv/videos/1230321696" TargetMode="External"/><Relationship Id="rId3725" Type="http://schemas.openxmlformats.org/officeDocument/2006/relationships/hyperlink" Target="https://clips.twitch.tv/AmericanTardyDugongSpicyBoy-u5HRN4Pv98XlV4QZ" TargetMode="External"/><Relationship Id="rId3728" Type="http://schemas.openxmlformats.org/officeDocument/2006/relationships/hyperlink" Target="https://clips.twitch.tv/UnsightlyObservantCrabsKappaClaus-1ZkgEyeYp8b3WKgQ" TargetMode="External"/><Relationship Id="rId3727" Type="http://schemas.openxmlformats.org/officeDocument/2006/relationships/hyperlink" Target="https://www.twitch.tv/videos/1224432075" TargetMode="External"/><Relationship Id="rId3729" Type="http://schemas.openxmlformats.org/officeDocument/2006/relationships/hyperlink" Target="https://clips.twitch.tv/SarcasticJoyousMacaroniSaltBae-7jY8PhjdTlVbfUri" TargetMode="External"/><Relationship Id="rId3720" Type="http://schemas.openxmlformats.org/officeDocument/2006/relationships/hyperlink" Target="https://youtu.be/APN1OdPY8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UkTxsy8QDI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_JChUmIMzx8"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hNY2YLYWw0A" TargetMode="External"/><Relationship Id="rId2460" Type="http://schemas.openxmlformats.org/officeDocument/2006/relationships/hyperlink" Target="https://youtu.be/Bn7k3tpxw3w" TargetMode="External"/><Relationship Id="rId3790" Type="http://schemas.openxmlformats.org/officeDocument/2006/relationships/hyperlink" Target="https://youtu.be/sY5sBSU2oXc"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SIiCoZ2Xvr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U6dEEcEm8K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vhL6kN-JE8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Di70vEjIi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GQMa4hZZBy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ulLGhaW70TY"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ztk8dAiWwug"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6EsFfnuEY4Q"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o57m9Wl80T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rPxyleozvM" TargetMode="External"/><Relationship Id="rId2450" Type="http://schemas.openxmlformats.org/officeDocument/2006/relationships/hyperlink" Target="https://youtu.be/poDJMF6bwDc" TargetMode="External"/><Relationship Id="rId3782" Type="http://schemas.openxmlformats.org/officeDocument/2006/relationships/hyperlink" Target="https://youtu.be/Qym3rnWucf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tBNhb-7Um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HDY6lt3F9U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nBxf4JU_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LUwqtTI4T1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r_HuXdZOnm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imREf_VJU&amp;list=PLH8CCpX902G8-DFOg7YgVOyqIefxKmrqU&amp;index=2&amp;ab_channel=Trobbin" TargetMode="External"/><Relationship Id="rId3812" Type="http://schemas.openxmlformats.org/officeDocument/2006/relationships/hyperlink" Target="https://www.youtube.com/watch?v=bymG0fP87Kc&amp;list=PLH8CCpX902G8-DFOg7YgVOyqIefxKmrqU&amp;index=5&amp;ab_channel=Trobbin" TargetMode="External"/><Relationship Id="rId3811" Type="http://schemas.openxmlformats.org/officeDocument/2006/relationships/hyperlink" Target="https://www.youtube.com/watch?v=dOCaFHQS77I&amp;ab_channel=Trobbin" TargetMode="External"/><Relationship Id="rId3814" Type="http://schemas.openxmlformats.org/officeDocument/2006/relationships/hyperlink" Target="https://www.twitch.tv/pksmg2_/clip/DoubtfulAmusedKleeSeemsGood-aazgfPoXoD59ojT1" TargetMode="External"/><Relationship Id="rId3813" Type="http://schemas.openxmlformats.org/officeDocument/2006/relationships/hyperlink" Target="https://www.youtube.com/watch?v=g9Q1066yuWk&amp;list=PLH8CCpX902G8-DFOg7YgVOyqIefxKmrqU&amp;index=12&amp;ab_channel=Trobbin" TargetMode="External"/><Relationship Id="rId3816" Type="http://schemas.openxmlformats.org/officeDocument/2006/relationships/hyperlink" Target="https://www.youtube.com/watch?v=9yjWNlcF8pA" TargetMode="External"/><Relationship Id="rId3815" Type="http://schemas.openxmlformats.org/officeDocument/2006/relationships/hyperlink" Target="https://www.youtube.com/watch?v=_fuGO3wdf_c" TargetMode="External"/><Relationship Id="rId3818" Type="http://schemas.openxmlformats.org/officeDocument/2006/relationships/hyperlink" Target="https://www.youtube.com/watch?v=pI5iMtqB7BU" TargetMode="External"/><Relationship Id="rId3817" Type="http://schemas.openxmlformats.org/officeDocument/2006/relationships/hyperlink" Target="https://www.youtube.com/watch?v=uRlpI4FPxow" TargetMode="External"/><Relationship Id="rId3819" Type="http://schemas.openxmlformats.org/officeDocument/2006/relationships/hyperlink" Target="https://www.youtube.com/watch?v=JJYKLDBrWSw" TargetMode="External"/><Relationship Id="rId3801" Type="http://schemas.openxmlformats.org/officeDocument/2006/relationships/hyperlink" Target="https://www.youtube.com/watch?v=lGYLythfgVM&amp;feature=youtu.be" TargetMode="External"/><Relationship Id="rId3800" Type="http://schemas.openxmlformats.org/officeDocument/2006/relationships/hyperlink" Target="https://youtu.be/5H6ttD7tFYo" TargetMode="External"/><Relationship Id="rId3803" Type="http://schemas.openxmlformats.org/officeDocument/2006/relationships/hyperlink" Target="https://www.youtube.com/watch?v=dbu2Wi9biHM&amp;feature=youtu.be" TargetMode="External"/><Relationship Id="rId3802" Type="http://schemas.openxmlformats.org/officeDocument/2006/relationships/hyperlink" Target="https://www.youtube.com/watch?v=n6t3ryt15_M&amp;feature=youtu.be" TargetMode="External"/><Relationship Id="rId3805" Type="http://schemas.openxmlformats.org/officeDocument/2006/relationships/hyperlink" Target="https://streamable.com/ece2zm" TargetMode="External"/><Relationship Id="rId3804" Type="http://schemas.openxmlformats.org/officeDocument/2006/relationships/hyperlink" Target="https://www.youtube.com/watch?v=4lOtCb_AozM&amp;feature=youtu.be" TargetMode="External"/><Relationship Id="rId3807" Type="http://schemas.openxmlformats.org/officeDocument/2006/relationships/hyperlink" Target="https://www.youtube.com/watch?v=Z4wlm-YC5rk&amp;ab_channel=Trobbin" TargetMode="External"/><Relationship Id="rId3806" Type="http://schemas.openxmlformats.org/officeDocument/2006/relationships/hyperlink" Target="https://streamable.com/fsx42y" TargetMode="External"/><Relationship Id="rId3809" Type="http://schemas.openxmlformats.org/officeDocument/2006/relationships/hyperlink" Target="https://clips.twitch.tv/HelpfulRenownedMangoSoBayed-Zs9YC8cIaAL4tKOa" TargetMode="External"/><Relationship Id="rId3808" Type="http://schemas.openxmlformats.org/officeDocument/2006/relationships/hyperlink" Target="https://www.youtube.com/watch?v=u5aVDsE4yZs&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twitter.com/zelpikukirby/status/1295234878305271808"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1HDBaMUS5Dw"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FantasticHumbleNuggetsAMPTropPunch-8vOucFusTrXlS3mn"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7fwDH3Vvugs"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MqUb5dUiZM"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R4IxK2k5dl0&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PCcI6CIPGqk"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JVJuFsqyJ7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oO5-I1f_Syo"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xWCGegw2Yq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clips.twitch.tv/BoredGrossSageResidentSleeper-RoadRockbjIdqeR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m3di6ACAgl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7o-futAzyc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hOM8hYJojH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HPXO9760duU&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m-e9xTt4F-I"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YgcVpECSav8"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bGDn8Xgn3_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DFSFi_y42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Jnv7ihiQs6o?si=p089VCWihnt2eD8h"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vmlDrawing" Target="../drawings/vmlDrawing1.v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aU8VP9BHrg"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3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1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Qmg_xLCSSbA"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gRryQt-bhA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drawing" Target="../drawings/drawing2.x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YxaJDqTfNGk"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zuhk9lBcLv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twitch.tv/videos/1841251739"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aCHqyWs98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DxeBCVnAtNQ"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VdsKTXs-UTY"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SrUwkGFzCEE"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L4jVt_16yUg"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6Nt3IRc9yTw"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OEN9ux8xfE4"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bLwqganoodE" TargetMode="External"/><Relationship Id="rId2500" Type="http://schemas.openxmlformats.org/officeDocument/2006/relationships/hyperlink" Target="https://youtu.be/CMor1vJAChU" TargetMode="External"/><Relationship Id="rId3832" Type="http://schemas.openxmlformats.org/officeDocument/2006/relationships/hyperlink" Target="https://youtu.be/MRWKcNQGTvM" TargetMode="External"/><Relationship Id="rId2501" Type="http://schemas.openxmlformats.org/officeDocument/2006/relationships/hyperlink" Target="https://youtu.be/n463LInD2Yg" TargetMode="External"/><Relationship Id="rId3831" Type="http://schemas.openxmlformats.org/officeDocument/2006/relationships/hyperlink" Target="https://youtu.be/vRD_ott4DpA" TargetMode="External"/><Relationship Id="rId2502" Type="http://schemas.openxmlformats.org/officeDocument/2006/relationships/hyperlink" Target="https://youtu.be/6p3VF8pRF70" TargetMode="External"/><Relationship Id="rId3834" Type="http://schemas.openxmlformats.org/officeDocument/2006/relationships/hyperlink" Target="https://youtu.be/FYglbuzFuu4" TargetMode="External"/><Relationship Id="rId2503" Type="http://schemas.openxmlformats.org/officeDocument/2006/relationships/hyperlink" Target="https://youtu.be/FOSANZ3-euo" TargetMode="External"/><Relationship Id="rId3833" Type="http://schemas.openxmlformats.org/officeDocument/2006/relationships/hyperlink" Target="https://youtu.be/bIGrU1syHDY" TargetMode="External"/><Relationship Id="rId2504" Type="http://schemas.openxmlformats.org/officeDocument/2006/relationships/hyperlink" Target="https://youtu.be/1hiTwu9EL3A" TargetMode="External"/><Relationship Id="rId3836" Type="http://schemas.openxmlformats.org/officeDocument/2006/relationships/hyperlink" Target="https://youtu.be/RYYp3oKODso" TargetMode="External"/><Relationship Id="rId2505" Type="http://schemas.openxmlformats.org/officeDocument/2006/relationships/hyperlink" Target="https://youtu.be/ExWs_nsjiyE" TargetMode="External"/><Relationship Id="rId3835" Type="http://schemas.openxmlformats.org/officeDocument/2006/relationships/hyperlink" Target="https://youtu.be/V5dg32r_sOg" TargetMode="External"/><Relationship Id="rId2506" Type="http://schemas.openxmlformats.org/officeDocument/2006/relationships/hyperlink" Target="https://youtu.be/IZtnv1QUIi0" TargetMode="External"/><Relationship Id="rId3838" Type="http://schemas.openxmlformats.org/officeDocument/2006/relationships/hyperlink" Target="https://youtu.be/27CxZIOvcHM"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YKJ05njeDNs"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AwP6a85z6TM" TargetMode="External"/><Relationship Id="rId3830" Type="http://schemas.openxmlformats.org/officeDocument/2006/relationships/hyperlink" Target="https://youtu.be/A8KjkBjUfOk" TargetMode="External"/><Relationship Id="rId3821" Type="http://schemas.openxmlformats.org/officeDocument/2006/relationships/hyperlink" Target="https://www.twitch.tv/videos/1038648534" TargetMode="External"/><Relationship Id="rId3820" Type="http://schemas.openxmlformats.org/officeDocument/2006/relationships/hyperlink" Target="https://youtu.be/PbuzEBssXKI" TargetMode="External"/><Relationship Id="rId3823" Type="http://schemas.openxmlformats.org/officeDocument/2006/relationships/hyperlink" Target="https://clips.twitch.tv/ProtectiveSpookyDogCharlietheUnicorn-JXqs21stCUVSayku" TargetMode="External"/><Relationship Id="rId3822" Type="http://schemas.openxmlformats.org/officeDocument/2006/relationships/hyperlink" Target="https://www.youtube.com/watch?v=xJuhZoiiATI" TargetMode="External"/><Relationship Id="rId3825" Type="http://schemas.openxmlformats.org/officeDocument/2006/relationships/hyperlink" Target="https://www.youtube.com/watch?v=nZYcDtlRvM8" TargetMode="External"/><Relationship Id="rId3824" Type="http://schemas.openxmlformats.org/officeDocument/2006/relationships/hyperlink" Target="https://clips.twitch.tv/PricklyHelpfulOrangeRlyTho-klp6JQH6Wt_q38gr" TargetMode="External"/><Relationship Id="rId3827" Type="http://schemas.openxmlformats.org/officeDocument/2006/relationships/hyperlink" Target="https://youtu.be/kySJxVHeP0U" TargetMode="External"/><Relationship Id="rId3826" Type="http://schemas.openxmlformats.org/officeDocument/2006/relationships/hyperlink" Target="https://youtu.be/314rWkYHf6A" TargetMode="External"/><Relationship Id="rId3829" Type="http://schemas.openxmlformats.org/officeDocument/2006/relationships/hyperlink" Target="https://youtu.be/3TQw0AW_aJU" TargetMode="External"/><Relationship Id="rId3828" Type="http://schemas.openxmlformats.org/officeDocument/2006/relationships/hyperlink" Target="https://youtu.be/1xe-zs2KVf0"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djpYdinwdW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LvIg-evunV8"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924471122"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qXYDyZM1sz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_m4RGK97kEg"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856216849"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1623676612" TargetMode="External"/><Relationship Id="rId3850" Type="http://schemas.openxmlformats.org/officeDocument/2006/relationships/hyperlink" Target="https://www.youtube.com/watch?v=f17gzDXlYE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gzUXXtTt4nU"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ABGOgReoYkg"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zXqDdDpJsaY"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Yd8E5eorTcc&amp;feature=youtu.be" TargetMode="External"/><Relationship Id="rId2513" Type="http://schemas.openxmlformats.org/officeDocument/2006/relationships/hyperlink" Target="https://youtu.be/wXNk5xmg6kg" TargetMode="External"/><Relationship Id="rId3845" Type="http://schemas.openxmlformats.org/officeDocument/2006/relationships/hyperlink" Target="https://youtu.be/LR7-pLYq8ms" TargetMode="External"/><Relationship Id="rId2514" Type="http://schemas.openxmlformats.org/officeDocument/2006/relationships/hyperlink" Target="https://youtu.be/pHhJIhtpLLk" TargetMode="External"/><Relationship Id="rId3844" Type="http://schemas.openxmlformats.org/officeDocument/2006/relationships/hyperlink" Target="https://youtu.be/iZi92oX7OFc"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nFAborGQoIQ"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4txGCrw2IKU&amp;feature=youtu.be"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k-c9j9gTfW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VZeV5aR2Gc" TargetMode="External"/><Relationship Id="rId2519" Type="http://schemas.openxmlformats.org/officeDocument/2006/relationships/hyperlink" Target="https://youtu.be/8pgc62ldBtA" TargetMode="External"/><Relationship Id="rId3841" Type="http://schemas.openxmlformats.org/officeDocument/2006/relationships/hyperlink" Target="https://youtu.be/yZc7PHqxRO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q-NdD4rXL5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UjlD_1SEn8" TargetMode="External"/><Relationship Id="rId3017" Type="http://schemas.openxmlformats.org/officeDocument/2006/relationships/hyperlink" Target="https://youtu.be/YMIhOgmmF3o" TargetMode="External"/><Relationship Id="rId3019" Type="http://schemas.openxmlformats.org/officeDocument/2006/relationships/hyperlink" Target="https://youtu.be/i1Ebe_5XOx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FitPrettyHerdBibleThump-vDZWtqjwrPASP1r-"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gat0aiNqB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operativeToughClamKeyboardCat-WMqqrTRLaI53Tf0e"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angentialPrettyMartenFUNgineer-JujlITh1bGg2iakw"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676931693" TargetMode="External"/><Relationship Id="rId486" Type="http://schemas.openxmlformats.org/officeDocument/2006/relationships/hyperlink" Target="https://youtu.be/WHv3_aF_TJ8" TargetMode="External"/><Relationship Id="rId3016" Type="http://schemas.openxmlformats.org/officeDocument/2006/relationships/hyperlink" Target="https://youtu.be/yr_fODWKb4I"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DirtyRenownedSnailJonCarnage-vZ4T4UskQ8t0-qTx" TargetMode="External"/><Relationship Id="rId3007" Type="http://schemas.openxmlformats.org/officeDocument/2006/relationships/hyperlink" Target="https://www.twitch.tv/videos/1011472618" TargetMode="External"/><Relationship Id="rId3006" Type="http://schemas.openxmlformats.org/officeDocument/2006/relationships/hyperlink" Target="https://clips.twitch.tv/SleepyMoralDogeDuDudu-Y_xr_ueYZqGH7D_Z" TargetMode="External"/><Relationship Id="rId3009" Type="http://schemas.openxmlformats.org/officeDocument/2006/relationships/hyperlink" Target="https://www.twitch.tv/videos/918236232" TargetMode="External"/><Relationship Id="rId3008" Type="http://schemas.openxmlformats.org/officeDocument/2006/relationships/hyperlink" Target="https://www.twitch.tv/videos/101526595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nusualCooperativeFerretYouWHY-bBNeMoXxZGJzEQus"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08373209"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gliestGoodCasetteRedCoat-1P1yZwQfLboRz9C7"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BashfulBumblingGuanacoPastaThat-z5cyWFvHAyO-9oO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heerfulVibrantSardineM4xHeh-_0MBEMmJtPaD7FKp"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iusCuriousBeeFloof-wUpHUgAU3iHCY-pW"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RI5AcY84MEo" TargetMode="External"/><Relationship Id="rId3072" Type="http://schemas.openxmlformats.org/officeDocument/2006/relationships/hyperlink" Target="https://youtu.be/ZPR9oUIQeEA" TargetMode="External"/><Relationship Id="rId3071" Type="http://schemas.openxmlformats.org/officeDocument/2006/relationships/hyperlink" Target="https://youtu.be/Xp9IP1lZ7LU" TargetMode="External"/><Relationship Id="rId3074" Type="http://schemas.openxmlformats.org/officeDocument/2006/relationships/hyperlink" Target="https://youtu.be/loNcgSec9fw" TargetMode="External"/><Relationship Id="rId3073" Type="http://schemas.openxmlformats.org/officeDocument/2006/relationships/hyperlink" Target="https://youtu.be/gHoGodHBYmM" TargetMode="External"/><Relationship Id="rId3076" Type="http://schemas.openxmlformats.org/officeDocument/2006/relationships/hyperlink" Target="https://youtu.be/xqGdtKz3vWg" TargetMode="External"/><Relationship Id="rId3075" Type="http://schemas.openxmlformats.org/officeDocument/2006/relationships/hyperlink" Target="https://youtu.be/wU6hfjRrSxo" TargetMode="External"/><Relationship Id="rId3078" Type="http://schemas.openxmlformats.org/officeDocument/2006/relationships/hyperlink" Target="https://youtu.be/R9wP8ND1I6s" TargetMode="External"/><Relationship Id="rId3077" Type="http://schemas.openxmlformats.org/officeDocument/2006/relationships/hyperlink" Target="https://youtu.be/V87CeEi0AsQ" TargetMode="External"/><Relationship Id="rId3079" Type="http://schemas.openxmlformats.org/officeDocument/2006/relationships/hyperlink" Target="https://youtu.be/t5hXpPGKNyA" TargetMode="External"/><Relationship Id="rId3061" Type="http://schemas.openxmlformats.org/officeDocument/2006/relationships/hyperlink" Target="https://youtu.be/UmwGM4VFmLI" TargetMode="External"/><Relationship Id="rId3060" Type="http://schemas.openxmlformats.org/officeDocument/2006/relationships/hyperlink" Target="https://youtu.be/gz34-kpuR84" TargetMode="External"/><Relationship Id="rId3063" Type="http://schemas.openxmlformats.org/officeDocument/2006/relationships/hyperlink" Target="https://youtu.be/2v0HEK6dxOU" TargetMode="External"/><Relationship Id="rId3062" Type="http://schemas.openxmlformats.org/officeDocument/2006/relationships/hyperlink" Target="https://youtu.be/vnxCm164M-4" TargetMode="External"/><Relationship Id="rId3065" Type="http://schemas.openxmlformats.org/officeDocument/2006/relationships/hyperlink" Target="https://youtu.be/dj05sSh1pgc" TargetMode="External"/><Relationship Id="rId3064" Type="http://schemas.openxmlformats.org/officeDocument/2006/relationships/hyperlink" Target="https://youtu.be/Rvub1wrT2wc" TargetMode="External"/><Relationship Id="rId3067" Type="http://schemas.openxmlformats.org/officeDocument/2006/relationships/hyperlink" Target="https://youtu.be/nY-Rcxy9cU8" TargetMode="External"/><Relationship Id="rId3066" Type="http://schemas.openxmlformats.org/officeDocument/2006/relationships/hyperlink" Target="https://youtu.be/4nNC7K7PtAY" TargetMode="External"/><Relationship Id="rId3069" Type="http://schemas.openxmlformats.org/officeDocument/2006/relationships/hyperlink" Target="https://youtu.be/KO-uV-a2Lc8" TargetMode="External"/><Relationship Id="rId3068" Type="http://schemas.openxmlformats.org/officeDocument/2006/relationships/hyperlink" Target="https://youtu.be/WJ1IZ_vrD1g" TargetMode="External"/><Relationship Id="rId3090" Type="http://schemas.openxmlformats.org/officeDocument/2006/relationships/hyperlink" Target="https://youtu.be/vVuEmcaLh3c" TargetMode="External"/><Relationship Id="rId3092" Type="http://schemas.openxmlformats.org/officeDocument/2006/relationships/hyperlink" Target="https://clips.twitch.tv/SleepyOpenFrog4Head-Aol0PHIlLnajoqq6" TargetMode="External"/><Relationship Id="rId3091" Type="http://schemas.openxmlformats.org/officeDocument/2006/relationships/hyperlink" Target="https://clips.twitch.tv/PhilanthropicCharmingFishKippa-bjFYCIzgNaxXnecZ" TargetMode="External"/><Relationship Id="rId3094" Type="http://schemas.openxmlformats.org/officeDocument/2006/relationships/hyperlink" Target="https://www.twitch.tv/videos/1270543463" TargetMode="External"/><Relationship Id="rId3093" Type="http://schemas.openxmlformats.org/officeDocument/2006/relationships/hyperlink" Target="https://youtu.be/_qc8NXWCj14" TargetMode="External"/><Relationship Id="rId3096" Type="http://schemas.openxmlformats.org/officeDocument/2006/relationships/hyperlink" Target="https://www.twitch.tv/videos/1775202143" TargetMode="External"/><Relationship Id="rId3095" Type="http://schemas.openxmlformats.org/officeDocument/2006/relationships/hyperlink" Target="https://clips.twitch.tv/AliveToughSageResidentSleeper-hbRuIMEkoIpxXiTL" TargetMode="External"/><Relationship Id="rId3098" Type="http://schemas.openxmlformats.org/officeDocument/2006/relationships/hyperlink" Target="https://clips.twitch.tv/FantasticBoredJalapenoWutFace-KZ8G_qrG6v1uwtkz" TargetMode="External"/><Relationship Id="rId3097" Type="http://schemas.openxmlformats.org/officeDocument/2006/relationships/hyperlink" Target="https://clips.twitch.tv/SweetSplendidYakinikuMrDestructoid-ZUjVQIXDyZwjaTsj" TargetMode="External"/><Relationship Id="rId3099" Type="http://schemas.openxmlformats.org/officeDocument/2006/relationships/hyperlink" Target="https://www.twitch.tv/videos/1773827910" TargetMode="External"/><Relationship Id="rId3081" Type="http://schemas.openxmlformats.org/officeDocument/2006/relationships/hyperlink" Target="https://youtu.be/fcjGRlbwJFs" TargetMode="External"/><Relationship Id="rId3080" Type="http://schemas.openxmlformats.org/officeDocument/2006/relationships/hyperlink" Target="https://youtu.be/eFN7WguO3DU" TargetMode="External"/><Relationship Id="rId3083" Type="http://schemas.openxmlformats.org/officeDocument/2006/relationships/hyperlink" Target="https://youtu.be/YmB2FTJid2Q" TargetMode="External"/><Relationship Id="rId3082" Type="http://schemas.openxmlformats.org/officeDocument/2006/relationships/hyperlink" Target="https://youtu.be/8lSIo8FbQls" TargetMode="External"/><Relationship Id="rId3085" Type="http://schemas.openxmlformats.org/officeDocument/2006/relationships/hyperlink" Target="https://www.youtube.com/watch?v=I5OBY9P4kfk" TargetMode="External"/><Relationship Id="rId3084" Type="http://schemas.openxmlformats.org/officeDocument/2006/relationships/hyperlink" Target="https://clips.twitch.tv/CooperativeConsiderateGoldfishOSsloth-DO0S9fK1Db2caNvA" TargetMode="External"/><Relationship Id="rId3087" Type="http://schemas.openxmlformats.org/officeDocument/2006/relationships/hyperlink" Target="https://www.twitch.tv/videos/1628995922" TargetMode="External"/><Relationship Id="rId3086" Type="http://schemas.openxmlformats.org/officeDocument/2006/relationships/hyperlink" Target="https://www.twitch.tv/videos/1608779591" TargetMode="External"/><Relationship Id="rId3089" Type="http://schemas.openxmlformats.org/officeDocument/2006/relationships/hyperlink" Target="https://www.youtube.com/watch?v=OkUwD-oNDDs" TargetMode="External"/><Relationship Id="rId3088" Type="http://schemas.openxmlformats.org/officeDocument/2006/relationships/hyperlink" Target="https://www.twitch.tv/videos/1628903048" TargetMode="External"/><Relationship Id="rId3039" Type="http://schemas.openxmlformats.org/officeDocument/2006/relationships/hyperlink" Target="https://www.twitch.tv/videos/175517510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Qe3b27CW7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P2ntoFf21s" TargetMode="External"/><Relationship Id="rId3031" Type="http://schemas.openxmlformats.org/officeDocument/2006/relationships/hyperlink" Target="https://www.twitch.tv/videos/1066268738" TargetMode="External"/><Relationship Id="rId3034" Type="http://schemas.openxmlformats.org/officeDocument/2006/relationships/hyperlink" Target="https://clips.twitch.tv/WanderingConcernedSnailBloodTrail-QHkJlgTjCL40IQXI" TargetMode="External"/><Relationship Id="rId3033" Type="http://schemas.openxmlformats.org/officeDocument/2006/relationships/hyperlink" Target="https://youtu.be/qFIl_UHXJ1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J0DSI0rRFQ" TargetMode="External"/><Relationship Id="rId6" Type="http://schemas.openxmlformats.org/officeDocument/2006/relationships/hyperlink" Target="https://youtu.be/Y0j2xsw_2Sw" TargetMode="External"/><Relationship Id="rId3035" Type="http://schemas.openxmlformats.org/officeDocument/2006/relationships/hyperlink" Target="https://youtu.be/ZAZFU88_2tQ"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UA-X8_hh7v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CyEeG21zo3w" TargetMode="External"/><Relationship Id="rId3029" Type="http://schemas.openxmlformats.org/officeDocument/2006/relationships/hyperlink" Target="https://youtu.be/tkGTKD19NpU" TargetMode="External"/><Relationship Id="rId3028" Type="http://schemas.openxmlformats.org/officeDocument/2006/relationships/hyperlink" Target="https://www.youtube.com/watch?v=4xRCkacQ3yU" TargetMode="External"/><Relationship Id="rId3021" Type="http://schemas.openxmlformats.org/officeDocument/2006/relationships/hyperlink" Target="https://clips.twitch.tv/NurturingDeafWoodcockBIRB-qW-4AqWmkvTAsNVq" TargetMode="External"/><Relationship Id="rId3020" Type="http://schemas.openxmlformats.org/officeDocument/2006/relationships/hyperlink" Target="https://youtu.be/ixt4mhRLGe4" TargetMode="External"/><Relationship Id="rId3023" Type="http://schemas.openxmlformats.org/officeDocument/2006/relationships/hyperlink" Target="https://clips.twitch.tv/CalmArborealJayChefFrank-wThatWbLlJdW3vPM" TargetMode="External"/><Relationship Id="rId3022" Type="http://schemas.openxmlformats.org/officeDocument/2006/relationships/hyperlink" Target="https://clips.twitch.tv/CourteousFlirtyGoblinHassaanChop-Jl8upbEbaAiCMr8b" TargetMode="External"/><Relationship Id="rId3025" Type="http://schemas.openxmlformats.org/officeDocument/2006/relationships/hyperlink" Target="https://clips.twitch.tv/AverageTemperedNoodleFutureMan-_gVLeLrIzMbDMuN5" TargetMode="External"/><Relationship Id="rId3024" Type="http://schemas.openxmlformats.org/officeDocument/2006/relationships/hyperlink" Target="https://clips.twitch.tv/TolerantTubularHabaneroFloof-VQVNqY6q6Oep1Vi1" TargetMode="External"/><Relationship Id="rId3027" Type="http://schemas.openxmlformats.org/officeDocument/2006/relationships/hyperlink" Target="https://youtu.be/kSvxV93VTqc" TargetMode="External"/><Relationship Id="rId3026" Type="http://schemas.openxmlformats.org/officeDocument/2006/relationships/hyperlink" Target="https://www.youtube.com/watch?v=RWYJCk_yCAU" TargetMode="External"/><Relationship Id="rId3050" Type="http://schemas.openxmlformats.org/officeDocument/2006/relationships/hyperlink" Target="https://youtu.be/9ShLlVG0pfc" TargetMode="External"/><Relationship Id="rId3052" Type="http://schemas.openxmlformats.org/officeDocument/2006/relationships/hyperlink" Target="https://youtu.be/NDZ498hO4ps" TargetMode="External"/><Relationship Id="rId3051" Type="http://schemas.openxmlformats.org/officeDocument/2006/relationships/hyperlink" Target="https://youtu.be/ZpziCD-3Ssg" TargetMode="External"/><Relationship Id="rId3054" Type="http://schemas.openxmlformats.org/officeDocument/2006/relationships/hyperlink" Target="https://youtu.be/3Mna_6YKMV0" TargetMode="External"/><Relationship Id="rId3053" Type="http://schemas.openxmlformats.org/officeDocument/2006/relationships/hyperlink" Target="https://youtu.be/oqnUAc-eCOQ" TargetMode="External"/><Relationship Id="rId3056" Type="http://schemas.openxmlformats.org/officeDocument/2006/relationships/hyperlink" Target="https://youtu.be/uePJ0EltjPY" TargetMode="External"/><Relationship Id="rId3055" Type="http://schemas.openxmlformats.org/officeDocument/2006/relationships/hyperlink" Target="https://youtu.be/ut2EL2pR3q4" TargetMode="External"/><Relationship Id="rId3058" Type="http://schemas.openxmlformats.org/officeDocument/2006/relationships/hyperlink" Target="https://youtu.be/ZAZZPqkBtMg" TargetMode="External"/><Relationship Id="rId3057" Type="http://schemas.openxmlformats.org/officeDocument/2006/relationships/hyperlink" Target="https://youtu.be/YxpK9Nc-PAc" TargetMode="External"/><Relationship Id="rId3059" Type="http://schemas.openxmlformats.org/officeDocument/2006/relationships/hyperlink" Target="https://youtu.be/YEFaOcnCTJc" TargetMode="External"/><Relationship Id="rId3041" Type="http://schemas.openxmlformats.org/officeDocument/2006/relationships/hyperlink" Target="https://youtu.be/uHA-DoZezcw" TargetMode="External"/><Relationship Id="rId3040" Type="http://schemas.openxmlformats.org/officeDocument/2006/relationships/hyperlink" Target="https://www.youtube.com/watch?v=NQMRGPpGdTg" TargetMode="External"/><Relationship Id="rId3043" Type="http://schemas.openxmlformats.org/officeDocument/2006/relationships/hyperlink" Target="https://www.twitch.tv/videos/1709849831" TargetMode="External"/><Relationship Id="rId3042" Type="http://schemas.openxmlformats.org/officeDocument/2006/relationships/hyperlink" Target="https://www.youtube.com/watch?v=3Vvsqm1-AoI" TargetMode="External"/><Relationship Id="rId3045" Type="http://schemas.openxmlformats.org/officeDocument/2006/relationships/hyperlink" Target="https://youtu.be/wiRCuPHQdaY" TargetMode="External"/><Relationship Id="rId3044" Type="http://schemas.openxmlformats.org/officeDocument/2006/relationships/hyperlink" Target="https://youtu.be/-1oMjQNtFSg" TargetMode="External"/><Relationship Id="rId3047" Type="http://schemas.openxmlformats.org/officeDocument/2006/relationships/hyperlink" Target="https://clips.twitch.tv/ShyReliableSardineJKanStyle-c_PKpvtmTIXWFn94" TargetMode="External"/><Relationship Id="rId3046" Type="http://schemas.openxmlformats.org/officeDocument/2006/relationships/hyperlink" Target="https://youtu.be/O68ilJdATyE" TargetMode="External"/><Relationship Id="rId3049" Type="http://schemas.openxmlformats.org/officeDocument/2006/relationships/hyperlink" Target="https://youtu.be/Joa1eB6_E5o" TargetMode="External"/><Relationship Id="rId3048" Type="http://schemas.openxmlformats.org/officeDocument/2006/relationships/hyperlink" Target="https://youtu.be/58eP_cmK3YQ" TargetMode="External"/><Relationship Id="rId3902" Type="http://schemas.openxmlformats.org/officeDocument/2006/relationships/table" Target="../tables/table2.xml"/><Relationship Id="rId3901" Type="http://schemas.openxmlformats.org/officeDocument/2006/relationships/table" Target="../tables/table1.xml"/><Relationship Id="rId3903"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EfkEnFT04eI"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2JHbtB6EH4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HoXpezYTRA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cZl2-wLbNR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PWIlS-5fZH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Ssuf-qnU_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J6acbhNm2l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WimpyFilthyWrenchStinkyCheese-B3XE-70fD1bF9W8_" TargetMode="External"/><Relationship Id="rId3116" Type="http://schemas.openxmlformats.org/officeDocument/2006/relationships/hyperlink" Target="https://www.twitch.tv/videos/1780302978" TargetMode="External"/><Relationship Id="rId3119" Type="http://schemas.openxmlformats.org/officeDocument/2006/relationships/hyperlink" Target="https://clips.twitch.tv/DrabAmazingAardvarkPrimeMe-uUJBm66ZI1HMLKVh" TargetMode="External"/><Relationship Id="rId3118" Type="http://schemas.openxmlformats.org/officeDocument/2006/relationships/hyperlink" Target="https://clips.twitch.tv/ColorfulKindSalmonOptimizePrime-tj72s6jVvWGJqwc9" TargetMode="External"/><Relationship Id="rId3111" Type="http://schemas.openxmlformats.org/officeDocument/2006/relationships/hyperlink" Target="https://www.twitch.tv/videos/1624073687" TargetMode="External"/><Relationship Id="rId3110" Type="http://schemas.openxmlformats.org/officeDocument/2006/relationships/hyperlink" Target="https://www.twitch.tv/videos/1623882210" TargetMode="External"/><Relationship Id="rId3113" Type="http://schemas.openxmlformats.org/officeDocument/2006/relationships/hyperlink" Target="https://youtu.be/xDvK9BajRjc" TargetMode="External"/><Relationship Id="rId3112" Type="http://schemas.openxmlformats.org/officeDocument/2006/relationships/hyperlink" Target="https://www.twitch.tv/videos/1624405057" TargetMode="External"/><Relationship Id="rId3115" Type="http://schemas.openxmlformats.org/officeDocument/2006/relationships/hyperlink" Target="https://www.youtube.com/watch?v=S2yri_1-_YA" TargetMode="External"/><Relationship Id="rId3114" Type="http://schemas.openxmlformats.org/officeDocument/2006/relationships/hyperlink" Target="https://www.twitch.tv/videos/1632815303" TargetMode="External"/><Relationship Id="rId3106" Type="http://schemas.openxmlformats.org/officeDocument/2006/relationships/hyperlink" Target="https://youtu.be/nEeLpTRXpvo" TargetMode="External"/><Relationship Id="rId3105" Type="http://schemas.openxmlformats.org/officeDocument/2006/relationships/hyperlink" Target="https://youtu.be/XEgNHXLHfkQ" TargetMode="External"/><Relationship Id="rId3108" Type="http://schemas.openxmlformats.org/officeDocument/2006/relationships/hyperlink" Target="https://www.twitch.tv/videos/1623880272" TargetMode="External"/><Relationship Id="rId3107" Type="http://schemas.openxmlformats.org/officeDocument/2006/relationships/hyperlink" Target="https://youtu.be/ordp-uT82Ag" TargetMode="External"/><Relationship Id="rId3109" Type="http://schemas.openxmlformats.org/officeDocument/2006/relationships/hyperlink" Target="https://www.twitch.tv/videos/1632818182" TargetMode="External"/><Relationship Id="rId3100" Type="http://schemas.openxmlformats.org/officeDocument/2006/relationships/hyperlink" Target="https://youtu.be/c89HaUk4nbc" TargetMode="External"/><Relationship Id="rId3102" Type="http://schemas.openxmlformats.org/officeDocument/2006/relationships/hyperlink" Target="https://youtu.be/tvihn2dsyqA" TargetMode="External"/><Relationship Id="rId3101" Type="http://schemas.openxmlformats.org/officeDocument/2006/relationships/hyperlink" Target="https://clips.twitch.tv/AthleticYummyJaguarRalpherZ-KE8ObkWnAAOVvlOA" TargetMode="External"/><Relationship Id="rId3104" Type="http://schemas.openxmlformats.org/officeDocument/2006/relationships/hyperlink" Target="https://youtu.be/1cOuRzVzcE8" TargetMode="External"/><Relationship Id="rId3103" Type="http://schemas.openxmlformats.org/officeDocument/2006/relationships/hyperlink" Target="https://youtu.be/Vgx0hz9TNAs" TargetMode="External"/><Relationship Id="rId3139" Type="http://schemas.openxmlformats.org/officeDocument/2006/relationships/hyperlink" Target="https://youtu.be/a0bnPVCnIRc" TargetMode="External"/><Relationship Id="rId3138" Type="http://schemas.openxmlformats.org/officeDocument/2006/relationships/hyperlink" Target="https://youtu.be/nlrPDrjW3lQ" TargetMode="External"/><Relationship Id="rId3131" Type="http://schemas.openxmlformats.org/officeDocument/2006/relationships/hyperlink" Target="https://youtu.be/jm7cQ1q_Ev8" TargetMode="External"/><Relationship Id="rId3130" Type="http://schemas.openxmlformats.org/officeDocument/2006/relationships/hyperlink" Target="https://youtu.be/kaGzTfzwFJE" TargetMode="External"/><Relationship Id="rId3133" Type="http://schemas.openxmlformats.org/officeDocument/2006/relationships/hyperlink" Target="https://youtu.be/pdL09gCEx0o" TargetMode="External"/><Relationship Id="rId3132" Type="http://schemas.openxmlformats.org/officeDocument/2006/relationships/hyperlink" Target="https://youtu.be/WvBLxMdbnes" TargetMode="External"/><Relationship Id="rId3135" Type="http://schemas.openxmlformats.org/officeDocument/2006/relationships/hyperlink" Target="https://youtu.be/vOrhzrLsIhs" TargetMode="External"/><Relationship Id="rId3134" Type="http://schemas.openxmlformats.org/officeDocument/2006/relationships/hyperlink" Target="https://youtu.be/_HO24zetxpY" TargetMode="External"/><Relationship Id="rId3137" Type="http://schemas.openxmlformats.org/officeDocument/2006/relationships/hyperlink" Target="https://youtu.be/elOuhLU-n_c" TargetMode="External"/><Relationship Id="rId3136" Type="http://schemas.openxmlformats.org/officeDocument/2006/relationships/hyperlink" Target="https://youtu.be/hJOFOIdXjeY" TargetMode="External"/><Relationship Id="rId3128" Type="http://schemas.openxmlformats.org/officeDocument/2006/relationships/hyperlink" Target="https://clips.twitch.tv/MotionlessPlayfulVampireTooSpicy-8ogNVwiH68dCLs-p" TargetMode="External"/><Relationship Id="rId3127" Type="http://schemas.openxmlformats.org/officeDocument/2006/relationships/hyperlink" Target="https://clips.twitch.tv/OutstandingDeterminedTeaKeepo-6m4Av8CnB9LhyfSI" TargetMode="External"/><Relationship Id="rId3129" Type="http://schemas.openxmlformats.org/officeDocument/2006/relationships/hyperlink" Target="https://youtu.be/VEWojbDRB5g" TargetMode="External"/><Relationship Id="rId3120" Type="http://schemas.openxmlformats.org/officeDocument/2006/relationships/hyperlink" Target="https://youtu.be/gRTZT1WzcVU" TargetMode="External"/><Relationship Id="rId3122" Type="http://schemas.openxmlformats.org/officeDocument/2006/relationships/hyperlink" Target="https://clips.twitch.tv/SpotlessArborealEndiveFeelsBadMan-BCfu6nu5bvpma3Q4" TargetMode="External"/><Relationship Id="rId3121" Type="http://schemas.openxmlformats.org/officeDocument/2006/relationships/hyperlink" Target="https://clips.twitch.tv/FurryThirstyGaurUncleNox-62xsKc6hM-iBI_O-" TargetMode="External"/><Relationship Id="rId3124" Type="http://schemas.openxmlformats.org/officeDocument/2006/relationships/hyperlink" Target="https://clips.twitch.tv/GoldenAnimatedCroquettePeteZaroll-R7KWvyl2Ft5SHI8d" TargetMode="External"/><Relationship Id="rId3123" Type="http://schemas.openxmlformats.org/officeDocument/2006/relationships/hyperlink" Target="https://clips.twitch.tv/TiredScrumptiousMouseBloodTrail-2UTmo4ATFSKQ1Vnu" TargetMode="External"/><Relationship Id="rId3126" Type="http://schemas.openxmlformats.org/officeDocument/2006/relationships/hyperlink" Target="https://clips.twitch.tv/KindEnchantingParrotKreygasm-JSg4-rheFF4hNMQQ" TargetMode="External"/><Relationship Id="rId3125" Type="http://schemas.openxmlformats.org/officeDocument/2006/relationships/hyperlink" Target="https://clips.twitch.tv/FunnyLongSrirachaAllenHuhu-OHfAcLfBuxqFU0F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8"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7?t=00h00m15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6761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2073851119130624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5159502858135552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030220263"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eT23JDdPU5Y" TargetMode="External"/><Relationship Id="rId3190" Type="http://schemas.openxmlformats.org/officeDocument/2006/relationships/hyperlink" Target="https://youtu.be/ceF49l7ToEM" TargetMode="External"/><Relationship Id="rId3193" Type="http://schemas.openxmlformats.org/officeDocument/2006/relationships/hyperlink" Target="https://youtu.be/cBNsS10llbg" TargetMode="External"/><Relationship Id="rId3192" Type="http://schemas.openxmlformats.org/officeDocument/2006/relationships/hyperlink" Target="https://youtu.be/T9E3KVuY3nk" TargetMode="External"/><Relationship Id="rId3195" Type="http://schemas.openxmlformats.org/officeDocument/2006/relationships/hyperlink" Target="https://youtu.be/PIcAVkxTJkM" TargetMode="External"/><Relationship Id="rId3194" Type="http://schemas.openxmlformats.org/officeDocument/2006/relationships/hyperlink" Target="https://youtu.be/L5KFF_6302E" TargetMode="External"/><Relationship Id="rId3197" Type="http://schemas.openxmlformats.org/officeDocument/2006/relationships/hyperlink" Target="https://www.twitch.tv/videos/1460806233" TargetMode="External"/><Relationship Id="rId3196" Type="http://schemas.openxmlformats.org/officeDocument/2006/relationships/hyperlink" Target="https://youtu.be/8kAPcI0sVo4" TargetMode="External"/><Relationship Id="rId3199" Type="http://schemas.openxmlformats.org/officeDocument/2006/relationships/hyperlink" Target="https://youtu.be/tnqOox8OBB0" TargetMode="External"/><Relationship Id="rId3198" Type="http://schemas.openxmlformats.org/officeDocument/2006/relationships/hyperlink" Target="https://youtu.be/qlmCdJa-I5c" TargetMode="External"/><Relationship Id="rId3180" Type="http://schemas.openxmlformats.org/officeDocument/2006/relationships/hyperlink" Target="https://youtu.be/0KsmRlkm06g" TargetMode="External"/><Relationship Id="rId3182" Type="http://schemas.openxmlformats.org/officeDocument/2006/relationships/hyperlink" Target="https://youtu.be/pzNVImszI5A" TargetMode="External"/><Relationship Id="rId3181" Type="http://schemas.openxmlformats.org/officeDocument/2006/relationships/hyperlink" Target="https://youtu.be/iPq4Fkezf9o" TargetMode="External"/><Relationship Id="rId3184" Type="http://schemas.openxmlformats.org/officeDocument/2006/relationships/hyperlink" Target="https://youtu.be/og-NgPQ62Pk" TargetMode="External"/><Relationship Id="rId3183" Type="http://schemas.openxmlformats.org/officeDocument/2006/relationships/hyperlink" Target="https://youtu.be/heRgxUjOxr4" TargetMode="External"/><Relationship Id="rId3186" Type="http://schemas.openxmlformats.org/officeDocument/2006/relationships/hyperlink" Target="https://youtu.be/h_ZwMDatTD4" TargetMode="External"/><Relationship Id="rId3185" Type="http://schemas.openxmlformats.org/officeDocument/2006/relationships/hyperlink" Target="https://youtu.be/2k_uSmCXMAs" TargetMode="External"/><Relationship Id="rId3188" Type="http://schemas.openxmlformats.org/officeDocument/2006/relationships/hyperlink" Target="https://youtu.be/Fbj8d2_w-Lg" TargetMode="External"/><Relationship Id="rId3187" Type="http://schemas.openxmlformats.org/officeDocument/2006/relationships/hyperlink" Target="https://youtu.be/FuJwJXH4fBc" TargetMode="External"/><Relationship Id="rId3189" Type="http://schemas.openxmlformats.org/officeDocument/2006/relationships/hyperlink" Target="https://youtu.be/qsMq1e98Vqk" TargetMode="External"/><Relationship Id="rId3151" Type="http://schemas.openxmlformats.org/officeDocument/2006/relationships/hyperlink" Target="https://youtu.be/5Us0VMAHyDM" TargetMode="External"/><Relationship Id="rId3150" Type="http://schemas.openxmlformats.org/officeDocument/2006/relationships/hyperlink" Target="https://youtu.be/X7rJV7KOVYQ" TargetMode="External"/><Relationship Id="rId3153" Type="http://schemas.openxmlformats.org/officeDocument/2006/relationships/hyperlink" Target="https://youtu.be/QjvRF9dDu7Q" TargetMode="External"/><Relationship Id="rId3152" Type="http://schemas.openxmlformats.org/officeDocument/2006/relationships/hyperlink" Target="https://youtu.be/L0kwtUs8tjs" TargetMode="External"/><Relationship Id="rId3155" Type="http://schemas.openxmlformats.org/officeDocument/2006/relationships/hyperlink" Target="https://youtu.be/rwx07fh8Tf0" TargetMode="External"/><Relationship Id="rId3154" Type="http://schemas.openxmlformats.org/officeDocument/2006/relationships/hyperlink" Target="https://youtu.be/hZTfAUGA5eU" TargetMode="External"/><Relationship Id="rId3157" Type="http://schemas.openxmlformats.org/officeDocument/2006/relationships/hyperlink" Target="https://youtu.be/HP3O4N-AQZc" TargetMode="External"/><Relationship Id="rId3156" Type="http://schemas.openxmlformats.org/officeDocument/2006/relationships/hyperlink" Target="https://youtu.be/0UhBlgNLJ4k" TargetMode="External"/><Relationship Id="rId3159" Type="http://schemas.openxmlformats.org/officeDocument/2006/relationships/hyperlink" Target="https://youtu.be/-tRSlbW-NAw" TargetMode="External"/><Relationship Id="rId3158" Type="http://schemas.openxmlformats.org/officeDocument/2006/relationships/hyperlink" Target="https://youtu.be/sJku-3yPlDc" TargetMode="External"/><Relationship Id="rId3149" Type="http://schemas.openxmlformats.org/officeDocument/2006/relationships/hyperlink" Target="https://youtu.be/K4Bpa4J7Sc0" TargetMode="External"/><Relationship Id="rId3140" Type="http://schemas.openxmlformats.org/officeDocument/2006/relationships/hyperlink" Target="https://youtu.be/pJGbyLD9QYA" TargetMode="External"/><Relationship Id="rId3142" Type="http://schemas.openxmlformats.org/officeDocument/2006/relationships/hyperlink" Target="https://youtu.be/dlmjF1JKAwg" TargetMode="External"/><Relationship Id="rId3141" Type="http://schemas.openxmlformats.org/officeDocument/2006/relationships/hyperlink" Target="https://youtu.be/wA8kiGbhfZE" TargetMode="External"/><Relationship Id="rId3144" Type="http://schemas.openxmlformats.org/officeDocument/2006/relationships/hyperlink" Target="https://youtu.be/Nh3rB0QfbIE" TargetMode="External"/><Relationship Id="rId3143" Type="http://schemas.openxmlformats.org/officeDocument/2006/relationships/hyperlink" Target="https://youtu.be/HvP3lvkcZGw" TargetMode="External"/><Relationship Id="rId3146" Type="http://schemas.openxmlformats.org/officeDocument/2006/relationships/hyperlink" Target="https://youtu.be/bvygfLAU1AU" TargetMode="External"/><Relationship Id="rId3145" Type="http://schemas.openxmlformats.org/officeDocument/2006/relationships/hyperlink" Target="https://youtu.be/y3Ad_ddcjhc" TargetMode="External"/><Relationship Id="rId3148" Type="http://schemas.openxmlformats.org/officeDocument/2006/relationships/hyperlink" Target="https://youtu.be/bqKTMlMmr2c" TargetMode="External"/><Relationship Id="rId3147" Type="http://schemas.openxmlformats.org/officeDocument/2006/relationships/hyperlink" Target="https://youtu.be/z_We7WPUtVw" TargetMode="External"/><Relationship Id="rId3171" Type="http://schemas.openxmlformats.org/officeDocument/2006/relationships/hyperlink" Target="https://youtu.be/JE-MOlrG9rQ" TargetMode="External"/><Relationship Id="rId3170" Type="http://schemas.openxmlformats.org/officeDocument/2006/relationships/hyperlink" Target="https://youtu.be/BFC8g-DaB4A" TargetMode="External"/><Relationship Id="rId3173" Type="http://schemas.openxmlformats.org/officeDocument/2006/relationships/hyperlink" Target="https://youtu.be/O-YOfvZs49o" TargetMode="External"/><Relationship Id="rId3172" Type="http://schemas.openxmlformats.org/officeDocument/2006/relationships/hyperlink" Target="https://youtu.be/CPj2_3SQQH0" TargetMode="External"/><Relationship Id="rId3175" Type="http://schemas.openxmlformats.org/officeDocument/2006/relationships/hyperlink" Target="https://youtu.be/uatrSwIUKDc" TargetMode="External"/><Relationship Id="rId3174" Type="http://schemas.openxmlformats.org/officeDocument/2006/relationships/hyperlink" Target="https://youtu.be/InsBFCrFdLQ" TargetMode="External"/><Relationship Id="rId3177" Type="http://schemas.openxmlformats.org/officeDocument/2006/relationships/hyperlink" Target="https://youtu.be/9vSa36-LDQw" TargetMode="External"/><Relationship Id="rId3176" Type="http://schemas.openxmlformats.org/officeDocument/2006/relationships/hyperlink" Target="https://youtu.be/ZYluNBhBo9A" TargetMode="External"/><Relationship Id="rId3179" Type="http://schemas.openxmlformats.org/officeDocument/2006/relationships/hyperlink" Target="https://youtu.be/IOkYplnaPzo" TargetMode="External"/><Relationship Id="rId3178" Type="http://schemas.openxmlformats.org/officeDocument/2006/relationships/hyperlink" Target="https://youtu.be/110gjjURfvI" TargetMode="External"/><Relationship Id="rId3160" Type="http://schemas.openxmlformats.org/officeDocument/2006/relationships/hyperlink" Target="https://youtu.be/_5AETbvKx1Y" TargetMode="External"/><Relationship Id="rId3162" Type="http://schemas.openxmlformats.org/officeDocument/2006/relationships/hyperlink" Target="https://youtu.be/NZ9lpNZBN6k" TargetMode="External"/><Relationship Id="rId3161" Type="http://schemas.openxmlformats.org/officeDocument/2006/relationships/hyperlink" Target="https://youtu.be/gXXxm7tPaRE" TargetMode="External"/><Relationship Id="rId3164" Type="http://schemas.openxmlformats.org/officeDocument/2006/relationships/hyperlink" Target="https://youtu.be/u8pIVg9rCkc" TargetMode="External"/><Relationship Id="rId3163" Type="http://schemas.openxmlformats.org/officeDocument/2006/relationships/hyperlink" Target="https://youtu.be/e6rJY421L1Q" TargetMode="External"/><Relationship Id="rId3166" Type="http://schemas.openxmlformats.org/officeDocument/2006/relationships/hyperlink" Target="https://youtu.be/1LyYCvfR7Fk" TargetMode="External"/><Relationship Id="rId3165" Type="http://schemas.openxmlformats.org/officeDocument/2006/relationships/hyperlink" Target="https://youtu.be/9P-SfT1elNo" TargetMode="External"/><Relationship Id="rId3168" Type="http://schemas.openxmlformats.org/officeDocument/2006/relationships/hyperlink" Target="https://youtu.be/qS2AEjLfcD8" TargetMode="External"/><Relationship Id="rId3167" Type="http://schemas.openxmlformats.org/officeDocument/2006/relationships/hyperlink" Target="https://youtu.be/BHsY7fDItdY" TargetMode="External"/><Relationship Id="rId3169" Type="http://schemas.openxmlformats.org/officeDocument/2006/relationships/hyperlink" Target="https://youtu.be/FNvAjb6gfYc" TargetMode="External"/><Relationship Id="rId2700" Type="http://schemas.openxmlformats.org/officeDocument/2006/relationships/hyperlink" Target="https://www.twitch.tv/videos/1175701252" TargetMode="External"/><Relationship Id="rId2701" Type="http://schemas.openxmlformats.org/officeDocument/2006/relationships/hyperlink" Target="https://www.twitch.tv/videos/1175701252?t=00h00m21s" TargetMode="External"/><Relationship Id="rId2702" Type="http://schemas.openxmlformats.org/officeDocument/2006/relationships/hyperlink" Target="https://twitter.com/Reborn_Frog/status/1423669018343264258" TargetMode="External"/><Relationship Id="rId2703" Type="http://schemas.openxmlformats.org/officeDocument/2006/relationships/hyperlink" Target="https://twitter.com/Reborn_Frog/status/1447962818146226180" TargetMode="External"/><Relationship Id="rId2704" Type="http://schemas.openxmlformats.org/officeDocument/2006/relationships/hyperlink" Target="https://twitter.com/Reborn_Frog/status/1400021630357688324" TargetMode="External"/><Relationship Id="rId2705" Type="http://schemas.openxmlformats.org/officeDocument/2006/relationships/hyperlink" Target="https://twitter.com/Reborn_Frog/status/1534569660230017025" TargetMode="External"/><Relationship Id="rId2706" Type="http://schemas.openxmlformats.org/officeDocument/2006/relationships/hyperlink" Target="https://twitter.com/Reborn_Frog/status/1682007028665819137" TargetMode="External"/><Relationship Id="rId2707" Type="http://schemas.openxmlformats.org/officeDocument/2006/relationships/hyperlink" Target="https://twitter.com/Reborn_Frog/status/1583054746327216128" TargetMode="External"/><Relationship Id="rId2708" Type="http://schemas.openxmlformats.org/officeDocument/2006/relationships/hyperlink" Target="https://twitter.com/Reborn_Frog/status/1434918648292859910" TargetMode="External"/><Relationship Id="rId2709" Type="http://schemas.openxmlformats.org/officeDocument/2006/relationships/hyperlink" Target="https://twitter.com/Reborn_Frog/status/1423658706487574535" TargetMode="External"/><Relationship Id="rId2720" Type="http://schemas.openxmlformats.org/officeDocument/2006/relationships/hyperlink" Target="https://youtu.be/5pEbV8f4Eyg" TargetMode="External"/><Relationship Id="rId2721" Type="http://schemas.openxmlformats.org/officeDocument/2006/relationships/hyperlink" Target="https://twitter.com/otqkesan_/status/1509641709160136704?s=20&amp;t=DXf-pGT_AC639nNzoJmlrg" TargetMode="External"/><Relationship Id="rId2722" Type="http://schemas.openxmlformats.org/officeDocument/2006/relationships/hyperlink" Target="https://youtu.be/m8uNFFWGXs8" TargetMode="External"/><Relationship Id="rId2723" Type="http://schemas.openxmlformats.org/officeDocument/2006/relationships/hyperlink" Target="https://twitter.com/otqkesan_/status/1551150171639398400?s=20&amp;t=qLYbjo7WrfpUk3VFC4nJ5A" TargetMode="External"/><Relationship Id="rId2724" Type="http://schemas.openxmlformats.org/officeDocument/2006/relationships/hyperlink" Target="https://twitter.com/otqkesan_/status/1512355205823623170?s=20&amp;t=AXb5wxjeegJAML4SiMsGIA" TargetMode="External"/><Relationship Id="rId2725" Type="http://schemas.openxmlformats.org/officeDocument/2006/relationships/hyperlink" Target="https://twitter.com/otqkesan_/status/1448256394625384451?s=20" TargetMode="External"/><Relationship Id="rId2726" Type="http://schemas.openxmlformats.org/officeDocument/2006/relationships/hyperlink" Target="https://twitter.com/otqkesan_/status/1552342730357243904?s=20&amp;t=owHOkeaQ3QOpBMLEP9ivGw" TargetMode="External"/><Relationship Id="rId2727" Type="http://schemas.openxmlformats.org/officeDocument/2006/relationships/hyperlink" Target="https://www.youtube.com/watch?v=cfXyqpCCj-Y&amp;ab_channel=Corginess" TargetMode="External"/><Relationship Id="rId2728" Type="http://schemas.openxmlformats.org/officeDocument/2006/relationships/hyperlink" Target="https://www.youtube.com/watch?v=eyH8IIIp2Qw&amp;ab_channel=Corginess" TargetMode="External"/><Relationship Id="rId2729" Type="http://schemas.openxmlformats.org/officeDocument/2006/relationships/hyperlink" Target="https://www.youtube.com/watch?v=4LDUhkdA9Fo&amp;ab_channel=Corginess" TargetMode="External"/><Relationship Id="rId2710" Type="http://schemas.openxmlformats.org/officeDocument/2006/relationships/hyperlink" Target="https://www.twitch.tv/videos/1113071263" TargetMode="External"/><Relationship Id="rId2711" Type="http://schemas.openxmlformats.org/officeDocument/2006/relationships/hyperlink" Target="https://twitter.com/Reborn_Frog/status/1447190642082258948" TargetMode="External"/><Relationship Id="rId2712" Type="http://schemas.openxmlformats.org/officeDocument/2006/relationships/hyperlink" Target="https://twitter.com/otqkesan_/status/1508213958393864196?s=20&amp;t=fUoqnObXxhQMpD_DZ9ralg" TargetMode="External"/><Relationship Id="rId2713" Type="http://schemas.openxmlformats.org/officeDocument/2006/relationships/hyperlink" Target="https://twitter.com/otqkesan_/status/1460882274895892481?s=20" TargetMode="External"/><Relationship Id="rId2714" Type="http://schemas.openxmlformats.org/officeDocument/2006/relationships/hyperlink" Target="https://youtu.be/CBwzmfxQE4I" TargetMode="External"/><Relationship Id="rId2715" Type="http://schemas.openxmlformats.org/officeDocument/2006/relationships/hyperlink" Target="https://twitter.com/otqkesan_/status/1536661052997660674?s=20&amp;t=-dcuuq0VImjvNMwrHMH92A" TargetMode="External"/><Relationship Id="rId2716" Type="http://schemas.openxmlformats.org/officeDocument/2006/relationships/hyperlink" Target="https://twitter.com/otqkesan_/status/1509747073658527752?s=20&amp;t=sne1R5zpDkF10cvOG-ggDw" TargetMode="External"/><Relationship Id="rId2717" Type="http://schemas.openxmlformats.org/officeDocument/2006/relationships/hyperlink" Target="https://twitter.com/otqkesan_/status/1626582749569220610?s=20" TargetMode="External"/><Relationship Id="rId2718" Type="http://schemas.openxmlformats.org/officeDocument/2006/relationships/hyperlink" Target="https://twitter.com/otqkesan_/status/1461701099186839563?s=20" TargetMode="External"/><Relationship Id="rId2719" Type="http://schemas.openxmlformats.org/officeDocument/2006/relationships/hyperlink" Target="https://twitter.com/otqkesan_/status/1483035495043330051?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6izRodRG-Jo" TargetMode="External"/><Relationship Id="rId1456" Type="http://schemas.openxmlformats.org/officeDocument/2006/relationships/hyperlink" Target="https://youtu.be/CixX2Xv4Qqw" TargetMode="External"/><Relationship Id="rId2787" Type="http://schemas.openxmlformats.org/officeDocument/2006/relationships/hyperlink" Target="https://youtu.be/5YzyXaJq0VM?si=hl2fllQr8hqFvDJr" TargetMode="External"/><Relationship Id="rId1457" Type="http://schemas.openxmlformats.org/officeDocument/2006/relationships/hyperlink" Target="https://youtu.be/uphO1VmVpOw" TargetMode="External"/><Relationship Id="rId2788" Type="http://schemas.openxmlformats.org/officeDocument/2006/relationships/hyperlink" Target="https://youtu.be/78cQOXD-8mc" TargetMode="External"/><Relationship Id="rId1458" Type="http://schemas.openxmlformats.org/officeDocument/2006/relationships/hyperlink" Target="https://youtu.be/VKKPc5cQ5aU" TargetMode="External"/><Relationship Id="rId2789" Type="http://schemas.openxmlformats.org/officeDocument/2006/relationships/hyperlink" Target="https://youtu.be/Vcj1iQUY7L4"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N15kF8l42A" TargetMode="External"/><Relationship Id="rId1450" Type="http://schemas.openxmlformats.org/officeDocument/2006/relationships/hyperlink" Target="https://youtu.be/FhvAtgMe0NA" TargetMode="External"/><Relationship Id="rId2781" Type="http://schemas.openxmlformats.org/officeDocument/2006/relationships/hyperlink" Target="https://youtu.be/QGTt9T_bdN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WJoSVS1Z3xg?si=fYQpmxkGT7jYspnD" TargetMode="External"/><Relationship Id="rId1452" Type="http://schemas.openxmlformats.org/officeDocument/2006/relationships/hyperlink" Target="https://youtu.be/m45SeeT15mk" TargetMode="External"/><Relationship Id="rId2783" Type="http://schemas.openxmlformats.org/officeDocument/2006/relationships/hyperlink" Target="https://youtu.be/HR_8M5C1vsQ?si=Ys-a79qZJeEqrNW3" TargetMode="External"/><Relationship Id="rId1453" Type="http://schemas.openxmlformats.org/officeDocument/2006/relationships/hyperlink" Target="https://youtu.be/t9YQYIfgXoE" TargetMode="External"/><Relationship Id="rId2784" Type="http://schemas.openxmlformats.org/officeDocument/2006/relationships/hyperlink" Target="https://youtu.be/kR-lJRg0CzA" TargetMode="External"/><Relationship Id="rId1454" Type="http://schemas.openxmlformats.org/officeDocument/2006/relationships/hyperlink" Target="https://youtu.be/qOGRg7jwEbU" TargetMode="External"/><Relationship Id="rId2785" Type="http://schemas.openxmlformats.org/officeDocument/2006/relationships/hyperlink" Target="https://clips.twitch.tv/JollyHeartlessRadicchioYouDontSay-DnTtZQb3yYj2G9y0" TargetMode="External"/><Relationship Id="rId1444" Type="http://schemas.openxmlformats.org/officeDocument/2006/relationships/hyperlink" Target="https://youtu.be/N5ZBogC9UIs" TargetMode="External"/><Relationship Id="rId2775" Type="http://schemas.openxmlformats.org/officeDocument/2006/relationships/hyperlink" Target="https://youtu.be/uy9rheWl06I" TargetMode="External"/><Relationship Id="rId1445" Type="http://schemas.openxmlformats.org/officeDocument/2006/relationships/hyperlink" Target="https://youtu.be/5jJnXigEYDQ" TargetMode="External"/><Relationship Id="rId2776" Type="http://schemas.openxmlformats.org/officeDocument/2006/relationships/hyperlink" Target="https://youtu.be/46p-_sgtzjE?si=UWojTwmgLec4R2C6"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DsoEyYBXa6s" TargetMode="External"/><Relationship Id="rId1447" Type="http://schemas.openxmlformats.org/officeDocument/2006/relationships/hyperlink" Target="https://youtu.be/LaMvBuhMiVE" TargetMode="External"/><Relationship Id="rId2778" Type="http://schemas.openxmlformats.org/officeDocument/2006/relationships/hyperlink" Target="https://youtu.be/4Albb8wVFO8" TargetMode="External"/><Relationship Id="rId1448" Type="http://schemas.openxmlformats.org/officeDocument/2006/relationships/hyperlink" Target="https://youtu.be/thAQ0QN9CCI" TargetMode="External"/><Relationship Id="rId2779" Type="http://schemas.openxmlformats.org/officeDocument/2006/relationships/hyperlink" Target="https://youtu.be/-B2CKi3fQkc?si=RBzp8pCgfySVqz3i"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tc3Osmt8U?si=oqEGO-F3fTMWtNyc" TargetMode="External"/><Relationship Id="rId1440" Type="http://schemas.openxmlformats.org/officeDocument/2006/relationships/hyperlink" Target="https://youtu.be/1decqV2G2Xg" TargetMode="External"/><Relationship Id="rId2771" Type="http://schemas.openxmlformats.org/officeDocument/2006/relationships/hyperlink" Target="https://youtu.be/JOGyUo9T10k?si=x1eiObGUZ1wJ7xZK" TargetMode="External"/><Relationship Id="rId1441" Type="http://schemas.openxmlformats.org/officeDocument/2006/relationships/hyperlink" Target="https://youtu.be/J3cnoF2WOOM" TargetMode="External"/><Relationship Id="rId2772" Type="http://schemas.openxmlformats.org/officeDocument/2006/relationships/hyperlink" Target="https://youtu.be/rrZsnQOCJTY" TargetMode="External"/><Relationship Id="rId1442" Type="http://schemas.openxmlformats.org/officeDocument/2006/relationships/hyperlink" Target="https://youtu.be/r63vix6omi8" TargetMode="External"/><Relationship Id="rId2773" Type="http://schemas.openxmlformats.org/officeDocument/2006/relationships/hyperlink" Target="https://youtu.be/HG3hv0ssIsE?si=owrXympLAXpc-o60"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StrongRelievedWhaleCclamChamp-GxTqgCRS_aJvTd3l"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parklySnappyWasabiPJSalt-YOvVC1bGidPY76WI" TargetMode="External"/><Relationship Id="rId1467" Type="http://schemas.openxmlformats.org/officeDocument/2006/relationships/hyperlink" Target="https://youtu.be/t7D3CoBhB2Q" TargetMode="External"/><Relationship Id="rId2798" Type="http://schemas.openxmlformats.org/officeDocument/2006/relationships/hyperlink" Target="https://youtu.be/Un8GBYhUU3E?si=cB-vRJOczh6bhO1B" TargetMode="External"/><Relationship Id="rId1468" Type="http://schemas.openxmlformats.org/officeDocument/2006/relationships/hyperlink" Target="https://youtu.be/8uRf1H32Zmc" TargetMode="External"/><Relationship Id="rId2799" Type="http://schemas.openxmlformats.org/officeDocument/2006/relationships/hyperlink" Target="https://youtu.be/zbdC7rooh2Y"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nszH_OsVFY?si=1vZmdoRbmBpyNqgd" TargetMode="External"/><Relationship Id="rId1460" Type="http://schemas.openxmlformats.org/officeDocument/2006/relationships/hyperlink" Target="https://youtu.be/PU5uEqDv0vQ" TargetMode="External"/><Relationship Id="rId2791" Type="http://schemas.openxmlformats.org/officeDocument/2006/relationships/hyperlink" Target="https://youtu.be/2t1Cu_wtBX4?si=5LRBisijQNk5iFS8" TargetMode="External"/><Relationship Id="rId1461" Type="http://schemas.openxmlformats.org/officeDocument/2006/relationships/hyperlink" Target="https://youtu.be/RMKSoa356Sg" TargetMode="External"/><Relationship Id="rId2792" Type="http://schemas.openxmlformats.org/officeDocument/2006/relationships/hyperlink" Target="https://youtu.be/1CbHc28eZeg"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pLwKgRC1wcQ?si=F_ChIDkfJj31zCsE"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S6I-VumPqKc?si=B7eN9ym4YIx2Fca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ObliviousRacyElkSpicyBoy-NUc0Yura40wdJzKf" TargetMode="External"/><Relationship Id="rId1465" Type="http://schemas.openxmlformats.org/officeDocument/2006/relationships/hyperlink" Target="https://youtu.be/H1gHKKF0jUU" TargetMode="External"/><Relationship Id="rId2796" Type="http://schemas.openxmlformats.org/officeDocument/2006/relationships/hyperlink" Target="https://youtu.be/DnONET1FjZ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6MFmMms0BAo"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WiseNastyDumplingsSMOrc-VM5ip6rrVmTBfuoQ"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Nox9kjgDI4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qIvo6qXZbKo?si=1rgTpKD6mE4D8lJV"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Sk4iIK6Po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zb3MHlmCG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fVmzCJ9Y9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FuriousBetterKleePermaSmu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gitatedDifficultLEDHoneyBadger-SFPycH1fKX923sXJ"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GdUZv-Dv0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9nHyAz9xaVw&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ddMacPxLyU&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sERuA3k8EA&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9CNteerIuc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38594607461592678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607796015382529"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IA2OoXn2Kv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96303661921484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17632707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victlwna2Xk&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DiligentBadCaribouMVGame-bPPT36LcYcTnU3BU"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UglyDrabKoupreyAllenHuhu-PcT9KDbi_NPXvkHp" TargetMode="External"/><Relationship Id="rId1435" Type="http://schemas.openxmlformats.org/officeDocument/2006/relationships/hyperlink" Target="https://youtu.be/wGxpUlj4izo" TargetMode="External"/><Relationship Id="rId2766" Type="http://schemas.openxmlformats.org/officeDocument/2006/relationships/hyperlink" Target="https://youtu.be/PhDG8n4yprI" TargetMode="External"/><Relationship Id="rId1436" Type="http://schemas.openxmlformats.org/officeDocument/2006/relationships/hyperlink" Target="https://youtu.be/tUhvMNmgg1k" TargetMode="External"/><Relationship Id="rId2767" Type="http://schemas.openxmlformats.org/officeDocument/2006/relationships/hyperlink" Target="https://youtu.be/AISau0yWh7Q" TargetMode="External"/><Relationship Id="rId1437" Type="http://schemas.openxmlformats.org/officeDocument/2006/relationships/hyperlink" Target="https://youtu.be/6B5W4qJZUQE" TargetMode="External"/><Relationship Id="rId2768" Type="http://schemas.openxmlformats.org/officeDocument/2006/relationships/hyperlink" Target="https://youtu.be/2z-hvrGUrM4"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AttractiveBrainyArtichokeCorgiDerp-9zIn8sEeMNqM0OjZ"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HeadstrongKitschyTomatoFreakinStinkin-skucx88V6cLW2uRC" TargetMode="External"/><Relationship Id="rId1430" Type="http://schemas.openxmlformats.org/officeDocument/2006/relationships/hyperlink" Target="https://youtu.be/2BymxhYd6-Y" TargetMode="External"/><Relationship Id="rId2761" Type="http://schemas.openxmlformats.org/officeDocument/2006/relationships/hyperlink" Target="https://www.twitch.tv/videos/1024638839"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FaithfulDeterminedPeanutAsianGlow-K87dbZLe5-UZ8WRH" TargetMode="External"/><Relationship Id="rId1432" Type="http://schemas.openxmlformats.org/officeDocument/2006/relationships/hyperlink" Target="https://youtu.be/CBKn7DXTJGo" TargetMode="External"/><Relationship Id="rId2763" Type="http://schemas.openxmlformats.org/officeDocument/2006/relationships/hyperlink" Target="https://youtu.be/iBxubJeUng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arlingQuaintGoblinDxCat-ht9B7uxsNRHRQQg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Z-qtPivsFs?si=35mHOEGqJMYeCsw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R041B_Mtdg"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ViscousHelplessCarabeefTebowing-S-93KT0xAo5FgTE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h6cTGdi7D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Dv1TvIfiZts"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SparklyPluckyFlyPJSalt-8DGQ46oV3HtIw1JW"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CrazyExuberantTubersCharlieBitMe-EiZ2ogbgTjA-7ug3"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5kwser_j2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YnYhBPcoY?si=OugetNnKaBrbIxKE" TargetMode="External"/><Relationship Id="rId3238" Type="http://schemas.openxmlformats.org/officeDocument/2006/relationships/hyperlink" Target="https://youtu.be/H8UeSAC-sWk?si=LeXWMKHsBazFl6Da"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ts2SmqPB6to?si=wcYtebU5-TxduPMX"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cyNgZf4I7J8?si=kgHFS8Q-NitwcYba"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KqaFjIrx8AY?si=qePtJy_-SZSBG7fX" TargetMode="External"/><Relationship Id="rId3228" Type="http://schemas.openxmlformats.org/officeDocument/2006/relationships/hyperlink" Target="https://youtu.be/itnLI_wStCw?si=k-z3vEjId3Z7qKfB"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yBg9ZMGNbi4?si=VuaNM2sOhwNHbci2" TargetMode="External"/><Relationship Id="rId690" Type="http://schemas.openxmlformats.org/officeDocument/2006/relationships/hyperlink" Target="https://youtu.be/fhukxtokYnM" TargetMode="External"/><Relationship Id="rId3220" Type="http://schemas.openxmlformats.org/officeDocument/2006/relationships/hyperlink" Target="https://youtu.be/SlZxmUD-jaU?si=XUe0Ad1CF2A-0XDv" TargetMode="External"/><Relationship Id="rId697" Type="http://schemas.openxmlformats.org/officeDocument/2006/relationships/hyperlink" Target="https://youtu.be/6iVGtz8DKaE" TargetMode="External"/><Relationship Id="rId3223" Type="http://schemas.openxmlformats.org/officeDocument/2006/relationships/hyperlink" Target="https://youtu.be/zDIi0L1lUuc?si=11sfziyikLbPndH8" TargetMode="External"/><Relationship Id="rId696" Type="http://schemas.openxmlformats.org/officeDocument/2006/relationships/hyperlink" Target="https://youtu.be/C_te37mNXH8" TargetMode="External"/><Relationship Id="rId3222" Type="http://schemas.openxmlformats.org/officeDocument/2006/relationships/hyperlink" Target="https://youtu.be/88JF97MUQOY?si=k8_Qzy7dL3HkUS0R"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youtu.be/UDQz7kCJvR8" TargetMode="External"/><Relationship Id="rId3250" Type="http://schemas.openxmlformats.org/officeDocument/2006/relationships/hyperlink" Target="https://youtu.be/prEpqvZQgLQ" TargetMode="External"/><Relationship Id="rId3252" Type="http://schemas.openxmlformats.org/officeDocument/2006/relationships/hyperlink" Target="https://youtu.be/_DhWYRq0LwA" TargetMode="External"/><Relationship Id="rId3251" Type="http://schemas.openxmlformats.org/officeDocument/2006/relationships/hyperlink" Target="https://youtu.be/mF124RG60nQ" TargetMode="External"/><Relationship Id="rId3254" Type="http://schemas.openxmlformats.org/officeDocument/2006/relationships/hyperlink" Target="https://youtu.be/9oaIhANWDzo" TargetMode="External"/><Relationship Id="rId3253" Type="http://schemas.openxmlformats.org/officeDocument/2006/relationships/hyperlink" Target="https://www.youtube.com/watch?v=ftePd1cjfoQ" TargetMode="External"/><Relationship Id="rId3256" Type="http://schemas.openxmlformats.org/officeDocument/2006/relationships/hyperlink" Target="https://youtu.be/uQb2vYe8YII" TargetMode="External"/><Relationship Id="rId3255" Type="http://schemas.openxmlformats.org/officeDocument/2006/relationships/hyperlink" Target="https://youtu.be/gzOBWrCUX4g" TargetMode="External"/><Relationship Id="rId3258" Type="http://schemas.openxmlformats.org/officeDocument/2006/relationships/hyperlink" Target="https://youtu.be/mYzJU-sWJSo" TargetMode="External"/><Relationship Id="rId3257" Type="http://schemas.openxmlformats.org/officeDocument/2006/relationships/hyperlink" Target="https://youtu.be/QWmK3VCxdP8" TargetMode="External"/><Relationship Id="rId3249" Type="http://schemas.openxmlformats.org/officeDocument/2006/relationships/hyperlink" Target="https://youtu.be/5VwqykDW0oQ" TargetMode="External"/><Relationship Id="rId3248" Type="http://schemas.openxmlformats.org/officeDocument/2006/relationships/hyperlink" Target="https://youtu.be/ZmY_5WSb6yM"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DIcjtHJf4AI"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www.youtube.com/watch?v=kPNwdDX3Bps" TargetMode="External"/><Relationship Id="rId3244" Type="http://schemas.openxmlformats.org/officeDocument/2006/relationships/hyperlink" Target="https://twitter.com/Samura1man/status/1271734162496516096" TargetMode="External"/><Relationship Id="rId3247" Type="http://schemas.openxmlformats.org/officeDocument/2006/relationships/hyperlink" Target="https://youtu.be/czwc5nX4nvk" TargetMode="External"/><Relationship Id="rId3246" Type="http://schemas.openxmlformats.org/officeDocument/2006/relationships/hyperlink" Target="https://youtu.be/iKTeySuLwAI"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ckqGSQqnSbQ?si=8Iy5YvFP2dGI8Mkn" TargetMode="External"/><Relationship Id="rId3215" Type="http://schemas.openxmlformats.org/officeDocument/2006/relationships/hyperlink" Target="https://youtu.be/OZGCU7a4RPY" TargetMode="External"/><Relationship Id="rId3218" Type="http://schemas.openxmlformats.org/officeDocument/2006/relationships/hyperlink" Target="https://youtu.be/wgmqieTlGak" TargetMode="External"/><Relationship Id="rId3217" Type="http://schemas.openxmlformats.org/officeDocument/2006/relationships/hyperlink" Target="https://youtu.be/QdeI18gsMZU?si=qLdoR9t8JoucZN2e" TargetMode="External"/><Relationship Id="rId3219" Type="http://schemas.openxmlformats.org/officeDocument/2006/relationships/hyperlink" Target="https://clips.twitch.tv/CleanSpeedySquirrelNerfRedBlaster-wAymz7ty7RNzWK-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6nVi2MEUxY" TargetMode="External"/><Relationship Id="rId686" Type="http://schemas.openxmlformats.org/officeDocument/2006/relationships/hyperlink" Target="https://youtu.be/7Mhgn15Ov0o" TargetMode="External"/><Relationship Id="rId3212" Type="http://schemas.openxmlformats.org/officeDocument/2006/relationships/hyperlink" Target="https://youtu.be/O2T-Fv05olA?si=VPbV1xl5cUmslfgt"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ExuberantBoxyAsteriskHassanChop-Gt1dcfITEwf4leaE" TargetMode="External"/><Relationship Id="rId684" Type="http://schemas.openxmlformats.org/officeDocument/2006/relationships/hyperlink" Target="https://youtu.be/wJXpqcpjJlw" TargetMode="External"/><Relationship Id="rId3214" Type="http://schemas.openxmlformats.org/officeDocument/2006/relationships/hyperlink" Target="https://youtu.be/1pCe98NxFyI?si=z50CWfaSRuCH1pu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07701165" TargetMode="External"/><Relationship Id="rId3205" Type="http://schemas.openxmlformats.org/officeDocument/2006/relationships/hyperlink" Target="https://youtu.be/tCxfGJ-WQmU" TargetMode="External"/><Relationship Id="rId3204" Type="http://schemas.openxmlformats.org/officeDocument/2006/relationships/hyperlink" Target="https://www.twitch.tv/videos/1253747682" TargetMode="External"/><Relationship Id="rId3207" Type="http://schemas.openxmlformats.org/officeDocument/2006/relationships/hyperlink" Target="https://clips.twitch.tv/AnnoyingThoughtfulAmazonDuDudu-wqpqPbwlm3aK78kS" TargetMode="External"/><Relationship Id="rId3206" Type="http://schemas.openxmlformats.org/officeDocument/2006/relationships/hyperlink" Target="https://youtu.be/7PUaYJbrA9s" TargetMode="External"/><Relationship Id="rId3209" Type="http://schemas.openxmlformats.org/officeDocument/2006/relationships/hyperlink" Target="https://youtu.be/Log8qYsdK6g" TargetMode="External"/><Relationship Id="rId3208" Type="http://schemas.openxmlformats.org/officeDocument/2006/relationships/hyperlink" Target="https://youtu.be/ikqJGmbTIGo?si=noiMjO8uoHoLtR0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vWSq-iwlL7M?si=9YNxT6hsz6IPAhfA" TargetMode="External"/><Relationship Id="rId674" Type="http://schemas.openxmlformats.org/officeDocument/2006/relationships/hyperlink" Target="https://youtu.be/kPoIju-AS9o" TargetMode="External"/><Relationship Id="rId3200" Type="http://schemas.openxmlformats.org/officeDocument/2006/relationships/hyperlink" Target="https://youtu.be/pD9XOt8-FZo" TargetMode="External"/><Relationship Id="rId673" Type="http://schemas.openxmlformats.org/officeDocument/2006/relationships/hyperlink" Target="https://youtu.be/CwbLgREWKVs" TargetMode="External"/><Relationship Id="rId3203" Type="http://schemas.openxmlformats.org/officeDocument/2006/relationships/hyperlink" Target="https://youtu.be/AiZSsoBBgag?si=O14LOgoCojAk_41z" TargetMode="External"/><Relationship Id="rId672" Type="http://schemas.openxmlformats.org/officeDocument/2006/relationships/hyperlink" Target="https://youtu.be/ncwLZhBr8GE" TargetMode="External"/><Relationship Id="rId3202" Type="http://schemas.openxmlformats.org/officeDocument/2006/relationships/hyperlink" Target="https://youtu.be/_bDKS86UQ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XIuPXMHoVU0" TargetMode="External"/><Relationship Id="rId3272" Type="http://schemas.openxmlformats.org/officeDocument/2006/relationships/hyperlink" Target="https://youtu.be/QCZ15YXP7O0" TargetMode="External"/><Relationship Id="rId3271" Type="http://schemas.openxmlformats.org/officeDocument/2006/relationships/hyperlink" Target="https://youtu.be/2t3V_BAcyNg"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_vR3jZU-bbA" TargetMode="External"/><Relationship Id="rId3278" Type="http://schemas.openxmlformats.org/officeDocument/2006/relationships/hyperlink" Target="https://youtu.be/2Yd9N52a0y4" TargetMode="External"/><Relationship Id="rId146" Type="http://schemas.openxmlformats.org/officeDocument/2006/relationships/hyperlink" Target="https://youtu.be/y8VrWQkqapM"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CE1fcOgskc" TargetMode="External"/><Relationship Id="rId3260" Type="http://schemas.openxmlformats.org/officeDocument/2006/relationships/hyperlink" Target="https://youtu.be/UeQdaOSfhqQ" TargetMode="External"/><Relationship Id="rId132" Type="http://schemas.openxmlformats.org/officeDocument/2006/relationships/hyperlink" Target="https://youtu.be/MRr3K9-CgXA" TargetMode="External"/><Relationship Id="rId3263" Type="http://schemas.openxmlformats.org/officeDocument/2006/relationships/hyperlink" Target="https://youtu.be/miExYfqR64E" TargetMode="External"/><Relationship Id="rId131" Type="http://schemas.openxmlformats.org/officeDocument/2006/relationships/hyperlink" Target="https://youtu.be/axRUDJiOFdc" TargetMode="External"/><Relationship Id="rId3262" Type="http://schemas.openxmlformats.org/officeDocument/2006/relationships/hyperlink" Target="https://youtu.be/bEtJQK0rkxo" TargetMode="External"/><Relationship Id="rId130" Type="http://schemas.openxmlformats.org/officeDocument/2006/relationships/hyperlink" Target="https://youtu.be/ZrUDpq5YIYk" TargetMode="External"/><Relationship Id="rId3265" Type="http://schemas.openxmlformats.org/officeDocument/2006/relationships/hyperlink" Target="https://youtu.be/9BdlAgvdzrY" TargetMode="External"/><Relationship Id="rId3264" Type="http://schemas.openxmlformats.org/officeDocument/2006/relationships/hyperlink" Target="https://www.youtube.com/watch?v=Vq9jDB675Ac" TargetMode="External"/><Relationship Id="rId136" Type="http://schemas.openxmlformats.org/officeDocument/2006/relationships/hyperlink" Target="https://youtu.be/WdUb5ytzcy0" TargetMode="External"/><Relationship Id="rId3267" Type="http://schemas.openxmlformats.org/officeDocument/2006/relationships/hyperlink" Target="https://youtu.be/fYoR2wp4hxQ" TargetMode="External"/><Relationship Id="rId135" Type="http://schemas.openxmlformats.org/officeDocument/2006/relationships/hyperlink" Target="https://youtu.be/-TFh1R9JRZU" TargetMode="External"/><Relationship Id="rId3266" Type="http://schemas.openxmlformats.org/officeDocument/2006/relationships/hyperlink" Target="https://youtu.be/sVyD7rZ_lQY" TargetMode="External"/><Relationship Id="rId134" Type="http://schemas.openxmlformats.org/officeDocument/2006/relationships/hyperlink" Target="https://youtu.be/CG5OJeNOPn0" TargetMode="External"/><Relationship Id="rId3269" Type="http://schemas.openxmlformats.org/officeDocument/2006/relationships/hyperlink" Target="https://youtu.be/fvXb3xHb3Os" TargetMode="External"/><Relationship Id="rId133" Type="http://schemas.openxmlformats.org/officeDocument/2006/relationships/hyperlink" Target="https://youtu.be/9IQVw8IoUMw" TargetMode="External"/><Relationship Id="rId3268" Type="http://schemas.openxmlformats.org/officeDocument/2006/relationships/hyperlink" Target="https://youtu.be/TrxUurtXie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5ItCib67nd4" TargetMode="External"/><Relationship Id="rId164" Type="http://schemas.openxmlformats.org/officeDocument/2006/relationships/hyperlink" Target="https://youtu.be/CbOKw_Wf8YY" TargetMode="External"/><Relationship Id="rId3295" Type="http://schemas.openxmlformats.org/officeDocument/2006/relationships/hyperlink" Target="https://youtu.be/kUpiYpqjSf4" TargetMode="External"/><Relationship Id="rId163" Type="http://schemas.openxmlformats.org/officeDocument/2006/relationships/hyperlink" Target="https://youtu.be/FgS3d3bfVOQ" TargetMode="External"/><Relationship Id="rId3298" Type="http://schemas.openxmlformats.org/officeDocument/2006/relationships/hyperlink" Target="https://youtu.be/MQ4431xDyKg" TargetMode="External"/><Relationship Id="rId162" Type="http://schemas.openxmlformats.org/officeDocument/2006/relationships/hyperlink" Target="https://youtu.be/IONmc9QAwO4" TargetMode="External"/><Relationship Id="rId3297" Type="http://schemas.openxmlformats.org/officeDocument/2006/relationships/hyperlink" Target="https://youtu.be/bXwkS_c6hb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udIvyZW0s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5-9l1rH9mEw" TargetMode="External"/><Relationship Id="rId3285" Type="http://schemas.openxmlformats.org/officeDocument/2006/relationships/hyperlink" Target="https://youtu.be/01NeQiQX0LU" TargetMode="External"/><Relationship Id="rId153" Type="http://schemas.openxmlformats.org/officeDocument/2006/relationships/hyperlink" Target="https://youtu.be/31FQiJUFINE" TargetMode="External"/><Relationship Id="rId3284" Type="http://schemas.openxmlformats.org/officeDocument/2006/relationships/hyperlink" Target="https://youtu.be/KpqQOIm_K_g" TargetMode="External"/><Relationship Id="rId152" Type="http://schemas.openxmlformats.org/officeDocument/2006/relationships/hyperlink" Target="https://youtu.be/UR7ZMBOYxIA" TargetMode="External"/><Relationship Id="rId3287" Type="http://schemas.openxmlformats.org/officeDocument/2006/relationships/hyperlink" Target="https://youtu.be/YPMd_F15dOM" TargetMode="External"/><Relationship Id="rId151" Type="http://schemas.openxmlformats.org/officeDocument/2006/relationships/hyperlink" Target="https://youtu.be/IcMp1u1HA7U" TargetMode="External"/><Relationship Id="rId3286" Type="http://schemas.openxmlformats.org/officeDocument/2006/relationships/hyperlink" Target="https://youtu.be/KtqbanHvemo" TargetMode="External"/><Relationship Id="rId158" Type="http://schemas.openxmlformats.org/officeDocument/2006/relationships/hyperlink" Target="https://youtu.be/UNibrH7ZgHQ" TargetMode="External"/><Relationship Id="rId3289" Type="http://schemas.openxmlformats.org/officeDocument/2006/relationships/hyperlink" Target="https://youtu.be/5sBu6lUT9RE" TargetMode="External"/><Relationship Id="rId157" Type="http://schemas.openxmlformats.org/officeDocument/2006/relationships/hyperlink" Target="https://youtu.be/0KK1hD5i0r8" TargetMode="External"/><Relationship Id="rId3288" Type="http://schemas.openxmlformats.org/officeDocument/2006/relationships/hyperlink" Target="https://youtu.be/HIeVgcy-xt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_2PNqonhiE?t=78" TargetMode="External"/><Relationship Id="rId2821" Type="http://schemas.openxmlformats.org/officeDocument/2006/relationships/hyperlink" Target="https://www.twitch.tv/videos/1562073537" TargetMode="External"/><Relationship Id="rId2822" Type="http://schemas.openxmlformats.org/officeDocument/2006/relationships/hyperlink" Target="https://youtu.be/KsCaHmAtT40?t=73" TargetMode="External"/><Relationship Id="rId2823" Type="http://schemas.openxmlformats.org/officeDocument/2006/relationships/hyperlink" Target="https://clips.twitch.tv/ArborealBenevolentAlbatrossRaccAttack-tG8zkd8ZWCpLllAt" TargetMode="External"/><Relationship Id="rId2824" Type="http://schemas.openxmlformats.org/officeDocument/2006/relationships/hyperlink" Target="https://www.twitch.tv/videos/978843334" TargetMode="External"/><Relationship Id="rId2825" Type="http://schemas.openxmlformats.org/officeDocument/2006/relationships/hyperlink" Target="https://youtu.be/mSxlnpIew64" TargetMode="External"/><Relationship Id="rId2826" Type="http://schemas.openxmlformats.org/officeDocument/2006/relationships/hyperlink" Target="https://youtu.be/yIz9wnY5hAg" TargetMode="External"/><Relationship Id="rId2827" Type="http://schemas.openxmlformats.org/officeDocument/2006/relationships/hyperlink" Target="https://youtu.be/MT9EJFRcn0I" TargetMode="External"/><Relationship Id="rId2828" Type="http://schemas.openxmlformats.org/officeDocument/2006/relationships/hyperlink" Target="https://youtu.be/FAbKnrOcr4U" TargetMode="External"/><Relationship Id="rId2829" Type="http://schemas.openxmlformats.org/officeDocument/2006/relationships/hyperlink" Target="https://youtu.be/xVEgIQtLGGo" TargetMode="External"/><Relationship Id="rId2810" Type="http://schemas.openxmlformats.org/officeDocument/2006/relationships/hyperlink" Target="https://youtu.be/q0wfTMcrG2c" TargetMode="External"/><Relationship Id="rId2811" Type="http://schemas.openxmlformats.org/officeDocument/2006/relationships/hyperlink" Target="https://youtu.be/RkId4sqRWCM?t=11" TargetMode="External"/><Relationship Id="rId2812" Type="http://schemas.openxmlformats.org/officeDocument/2006/relationships/hyperlink" Target="https://clips.twitch.tv/RelievedConcernedYogurtDeIlluminati-zMj7smUzIz4TJdUV" TargetMode="External"/><Relationship Id="rId2813" Type="http://schemas.openxmlformats.org/officeDocument/2006/relationships/hyperlink" Target="https://youtu.be/QXJWIGZ_-PM?t=87" TargetMode="External"/><Relationship Id="rId2814" Type="http://schemas.openxmlformats.org/officeDocument/2006/relationships/hyperlink" Target="https://youtu.be/Bc_KeNmwrGE?t=14" TargetMode="External"/><Relationship Id="rId2815" Type="http://schemas.openxmlformats.org/officeDocument/2006/relationships/hyperlink" Target="https://youtu.be/Qw5fWLP9z9I?t=54" TargetMode="External"/><Relationship Id="rId2816" Type="http://schemas.openxmlformats.org/officeDocument/2006/relationships/hyperlink" Target="https://clips.twitch.tv/AbnegateBashfulMosquitoCoolStoryBro-G2yAtvJJ0m-qb9Z_" TargetMode="External"/><Relationship Id="rId2817" Type="http://schemas.openxmlformats.org/officeDocument/2006/relationships/hyperlink" Target="https://youtu.be/9X8uD16gIe4" TargetMode="External"/><Relationship Id="rId2818" Type="http://schemas.openxmlformats.org/officeDocument/2006/relationships/hyperlink" Target="https://youtu.be/-_a-JdF9-eg" TargetMode="External"/><Relationship Id="rId2819" Type="http://schemas.openxmlformats.org/officeDocument/2006/relationships/hyperlink" Target="https://youtu.be/TVtB24SbhQ8?t=27" TargetMode="External"/><Relationship Id="rId1510" Type="http://schemas.openxmlformats.org/officeDocument/2006/relationships/hyperlink" Target="https://youtu.be/Awt0kRubMRs" TargetMode="External"/><Relationship Id="rId2841" Type="http://schemas.openxmlformats.org/officeDocument/2006/relationships/hyperlink" Target="https://youtu.be/oZdwWMYy0a4" TargetMode="External"/><Relationship Id="rId1511" Type="http://schemas.openxmlformats.org/officeDocument/2006/relationships/hyperlink" Target="https://youtu.be/IVozaNgTvUE" TargetMode="External"/><Relationship Id="rId2842" Type="http://schemas.openxmlformats.org/officeDocument/2006/relationships/hyperlink" Target="https://youtu.be/-wI4eOXX5VQ" TargetMode="External"/><Relationship Id="rId1512" Type="http://schemas.openxmlformats.org/officeDocument/2006/relationships/hyperlink" Target="https://youtu.be/fpEEA8nWq0Q" TargetMode="External"/><Relationship Id="rId2843" Type="http://schemas.openxmlformats.org/officeDocument/2006/relationships/hyperlink" Target="https://youtu.be/1CEmbGtaZss" TargetMode="External"/><Relationship Id="rId1513" Type="http://schemas.openxmlformats.org/officeDocument/2006/relationships/hyperlink" Target="https://youtu.be/vRTP-4qZ-TE" TargetMode="External"/><Relationship Id="rId2844" Type="http://schemas.openxmlformats.org/officeDocument/2006/relationships/hyperlink" Target="https://youtu.be/i5K95t5A5-E"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FgD3j3c8Xuk" TargetMode="External"/><Relationship Id="rId1515" Type="http://schemas.openxmlformats.org/officeDocument/2006/relationships/hyperlink" Target="https://youtu.be/j28XGO4YMtY" TargetMode="External"/><Relationship Id="rId2846" Type="http://schemas.openxmlformats.org/officeDocument/2006/relationships/hyperlink" Target="https://youtu.be/q9NqTu4doho" TargetMode="External"/><Relationship Id="rId1516" Type="http://schemas.openxmlformats.org/officeDocument/2006/relationships/hyperlink" Target="https://youtu.be/X--ZqeRpwpk" TargetMode="External"/><Relationship Id="rId2847" Type="http://schemas.openxmlformats.org/officeDocument/2006/relationships/hyperlink" Target="https://youtu.be/DgA-YTFtPe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wEvPbbAPOAE" TargetMode="External"/><Relationship Id="rId1518" Type="http://schemas.openxmlformats.org/officeDocument/2006/relationships/hyperlink" Target="https://youtu.be/W8actl5B-TQ" TargetMode="External"/><Relationship Id="rId2849" Type="http://schemas.openxmlformats.org/officeDocument/2006/relationships/hyperlink" Target="https://youtu.be/OILKxKXzsug" TargetMode="External"/><Relationship Id="rId1519" Type="http://schemas.openxmlformats.org/officeDocument/2006/relationships/hyperlink" Target="https://youtu.be/2dcoUbjAoTM" TargetMode="External"/><Relationship Id="rId2840" Type="http://schemas.openxmlformats.org/officeDocument/2006/relationships/hyperlink" Target="https://youtu.be/I1kYsikf7eM" TargetMode="External"/><Relationship Id="rId2830" Type="http://schemas.openxmlformats.org/officeDocument/2006/relationships/hyperlink" Target="https://youtu.be/5cjt7pGohwM"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YVv0rBrJn0" TargetMode="External"/><Relationship Id="rId1501" Type="http://schemas.openxmlformats.org/officeDocument/2006/relationships/hyperlink" Target="https://youtu.be/ZD38xZvhuTY" TargetMode="External"/><Relationship Id="rId2832" Type="http://schemas.openxmlformats.org/officeDocument/2006/relationships/hyperlink" Target="https://youtu.be/xMprl48ulxI" TargetMode="External"/><Relationship Id="rId1502" Type="http://schemas.openxmlformats.org/officeDocument/2006/relationships/hyperlink" Target="https://youtu.be/cTFRTeFZ_J8" TargetMode="External"/><Relationship Id="rId2833" Type="http://schemas.openxmlformats.org/officeDocument/2006/relationships/hyperlink" Target="https://youtu.be/FB1XWg1rF7Y"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kWhi-7sUxc" TargetMode="External"/><Relationship Id="rId1504" Type="http://schemas.openxmlformats.org/officeDocument/2006/relationships/hyperlink" Target="https://youtu.be/RUEB2vlTuT0" TargetMode="External"/><Relationship Id="rId2835" Type="http://schemas.openxmlformats.org/officeDocument/2006/relationships/hyperlink" Target="https://youtu.be/qXnT5NwVdVc" TargetMode="External"/><Relationship Id="rId1505" Type="http://schemas.openxmlformats.org/officeDocument/2006/relationships/hyperlink" Target="https://youtu.be/KXv-tmNS8TM" TargetMode="External"/><Relationship Id="rId2836" Type="http://schemas.openxmlformats.org/officeDocument/2006/relationships/hyperlink" Target="https://youtu.be/eS00EfXv8n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cXI7YNmjeTE" TargetMode="External"/><Relationship Id="rId1507" Type="http://schemas.openxmlformats.org/officeDocument/2006/relationships/hyperlink" Target="https://youtu.be/n9Pgok3_gLk" TargetMode="External"/><Relationship Id="rId2838" Type="http://schemas.openxmlformats.org/officeDocument/2006/relationships/hyperlink" Target="https://youtu.be/9Txs-AKZ3pM" TargetMode="External"/><Relationship Id="rId1508" Type="http://schemas.openxmlformats.org/officeDocument/2006/relationships/hyperlink" Target="https://youtu.be/Jcn9IeVHjQ0" TargetMode="External"/><Relationship Id="rId2839" Type="http://schemas.openxmlformats.org/officeDocument/2006/relationships/hyperlink" Target="https://youtu.be/Yp6Usy3bgz0"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ProductiveSmallTofuPrimeMe-BiqUcXrrRzLE_GF3" TargetMode="External"/><Relationship Id="rId2801" Type="http://schemas.openxmlformats.org/officeDocument/2006/relationships/hyperlink" Target="https://youtu.be/1oFQGYiycIQ?si=guM2fGz7XAv1O3bK" TargetMode="External"/><Relationship Id="rId2802" Type="http://schemas.openxmlformats.org/officeDocument/2006/relationships/hyperlink" Target="https://clips.twitch.tv/SolidPerfectSandwichDerp-865AbQlAGdrhQILD" TargetMode="External"/><Relationship Id="rId2803" Type="http://schemas.openxmlformats.org/officeDocument/2006/relationships/hyperlink" Target="https://clips.twitch.tv/GleamingPerfectHamCclamChamp-jFnYmbomn_l-QbEC" TargetMode="External"/><Relationship Id="rId2804" Type="http://schemas.openxmlformats.org/officeDocument/2006/relationships/hyperlink" Target="https://youtu.be/nU39IMkm8w0" TargetMode="External"/><Relationship Id="rId2805" Type="http://schemas.openxmlformats.org/officeDocument/2006/relationships/hyperlink" Target="https://youtu.be/YuiSZnk7wx4" TargetMode="External"/><Relationship Id="rId2806" Type="http://schemas.openxmlformats.org/officeDocument/2006/relationships/hyperlink" Target="https://youtu.be/rAB7TqLFJuw?si=Ev9AlvQZ03To222J" TargetMode="External"/><Relationship Id="rId2807" Type="http://schemas.openxmlformats.org/officeDocument/2006/relationships/hyperlink" Target="https://youtu.be/n-p6FtdE57E" TargetMode="External"/><Relationship Id="rId2808" Type="http://schemas.openxmlformats.org/officeDocument/2006/relationships/hyperlink" Target="https://clips.twitch.tv/BetterSmallPoxTheThing-WaS8ZgfSeycrHOAP" TargetMode="External"/><Relationship Id="rId2809" Type="http://schemas.openxmlformats.org/officeDocument/2006/relationships/hyperlink" Target="https://clips.twitch.tv/NastyImpossibleCrabAMPEnergyCherry-g2mwU33oKy1EP3fo"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k6JbP64JkN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uY90PjWR_MQ"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i_ce-GWye7U"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A9P2CMHF3Y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oD_AfiGwrg"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6hYggzyKab4"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VTU8txxlfCw"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GdLrIFLMKmE"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mzqUfdUISr8"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2Ljvh9ZW7o"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SjksR7FORTY"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NOWSgC9zU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C4fgstw2I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6RkdOC38ItI"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q00oaSFgRa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2sfFBuyhVz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I_ca5My7vuk"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IQE_b9u3TQ" TargetMode="External"/><Relationship Id="rId1530" Type="http://schemas.openxmlformats.org/officeDocument/2006/relationships/hyperlink" Target="https://youtu.be/rAJYFxf_aGk" TargetMode="External"/><Relationship Id="rId2861" Type="http://schemas.openxmlformats.org/officeDocument/2006/relationships/hyperlink" Target="https://youtu.be/RUgqny8h0s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YB5wKtwqOyw" TargetMode="External"/><Relationship Id="rId1521" Type="http://schemas.openxmlformats.org/officeDocument/2006/relationships/hyperlink" Target="https://youtu.be/0Dge4F9rCFw" TargetMode="External"/><Relationship Id="rId2852" Type="http://schemas.openxmlformats.org/officeDocument/2006/relationships/hyperlink" Target="https://youtu.be/jM5FPGlhp28" TargetMode="External"/><Relationship Id="rId1522" Type="http://schemas.openxmlformats.org/officeDocument/2006/relationships/hyperlink" Target="https://youtu.be/UkJdOKDmTO4" TargetMode="External"/><Relationship Id="rId2853" Type="http://schemas.openxmlformats.org/officeDocument/2006/relationships/hyperlink" Target="https://youtu.be/ZxwjwidcM2s" TargetMode="External"/><Relationship Id="rId1523" Type="http://schemas.openxmlformats.org/officeDocument/2006/relationships/hyperlink" Target="https://youtu.be/zDa47CZ6kZE" TargetMode="External"/><Relationship Id="rId2854" Type="http://schemas.openxmlformats.org/officeDocument/2006/relationships/hyperlink" Target="https://youtu.be/ByUKm794K8w" TargetMode="External"/><Relationship Id="rId1524" Type="http://schemas.openxmlformats.org/officeDocument/2006/relationships/hyperlink" Target="https://youtu.be/cglmrOESoXw" TargetMode="External"/><Relationship Id="rId2855" Type="http://schemas.openxmlformats.org/officeDocument/2006/relationships/hyperlink" Target="https://youtu.be/t5YcZAJjZ90" TargetMode="External"/><Relationship Id="rId1525" Type="http://schemas.openxmlformats.org/officeDocument/2006/relationships/hyperlink" Target="https://youtu.be/DIgaPixq6_I" TargetMode="External"/><Relationship Id="rId2856" Type="http://schemas.openxmlformats.org/officeDocument/2006/relationships/hyperlink" Target="https://youtu.be/4vsh8nXUJ4s" TargetMode="External"/><Relationship Id="rId1526" Type="http://schemas.openxmlformats.org/officeDocument/2006/relationships/hyperlink" Target="https://youtu.be/bqnOhkvDyGg" TargetMode="External"/><Relationship Id="rId2857" Type="http://schemas.openxmlformats.org/officeDocument/2006/relationships/hyperlink" Target="https://youtu.be/2j90JKuzXaQ" TargetMode="External"/><Relationship Id="rId1527" Type="http://schemas.openxmlformats.org/officeDocument/2006/relationships/hyperlink" Target="https://youtu.be/Db9MT50RlTw" TargetMode="External"/><Relationship Id="rId2858" Type="http://schemas.openxmlformats.org/officeDocument/2006/relationships/hyperlink" Target="https://youtu.be/YO-FLXpQqj8" TargetMode="External"/><Relationship Id="rId1528" Type="http://schemas.openxmlformats.org/officeDocument/2006/relationships/hyperlink" Target="https://youtu.be/1oDiXs88pCY" TargetMode="External"/><Relationship Id="rId2859" Type="http://schemas.openxmlformats.org/officeDocument/2006/relationships/hyperlink" Target="https://youtu.be/TZ-9-A8DC3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TwStcD_xno" TargetMode="External"/><Relationship Id="rId1520" Type="http://schemas.openxmlformats.org/officeDocument/2006/relationships/hyperlink" Target="https://youtu.be/hgJMiaPyN6M" TargetMode="External"/><Relationship Id="rId2851" Type="http://schemas.openxmlformats.org/officeDocument/2006/relationships/hyperlink" Target="https://youtu.be/0Q8y9nC5zGU"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BwT0G0Js7b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pawyESzE27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zwZeHlmEP2M"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iuuLyEqTcA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www.twitch.tv/videos/1987229986"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LW_CzIdUod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e_xaTqVbvj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xxu8PlNJM6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C8NGezkLAl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a4ItpBSNA8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bmqKzl5tCgw"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XCuw2OQP0g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iw2QWgqAfa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ttyXEh8FKOQ"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6Ds4733b-o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QIpqsOaHaNM"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jtk5aQl9r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JSCeONtih5o"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OVLOMgv4lHM"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gCtUuDALAN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3m97t6tp29M"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pag5OgFa-20"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8q7o_zP_TI"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1e9z1PbD77A"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_mzBjl3h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STNcYhrfQ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8hV9BTnmR0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VkSJErBsxQ4&amp;feature=youtu.b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QnKXrjvJcW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BLi_QcGdq6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KeDOSS_rZy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ZN38JdGGFm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D-mRbQcJAM" TargetMode="External"/><Relationship Id="rId3340" Type="http://schemas.openxmlformats.org/officeDocument/2006/relationships/hyperlink" Target="https://www.youtube.com/watch?v=M6NIiiOR1JE"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RBXgjzCnmA8"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1lSjQDmXPV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_0djMnD5vs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nTi7p7Xt3P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ClHigHZYVx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BAG5FY3kVjI"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47109177495621635"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6057844895962317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665599511228825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599878234561331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500345171943432"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SincereFrailKiwiMcaT-cll-Z5LVUleWSJQ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12053686030336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7RwpSqYaoG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7327353879909172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kpJ8_cW35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clips.twitch.tv/BrainyEncouragingGrassBudStar-2D1zGgy3xj8nr8wJ"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FJ-n-TcDIfk"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_gaming/status/1374359061391581191"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395036836762816515"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46200697403227340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clips.twitch.tv/MagnificentSavageLionResidentSleeper-iqxh7JjaEGn-6K9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884960921829417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92518044539244554"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qxetrmxdIs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h08q6m_4FLI?t=17"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XcdhjjYE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sdbX_ISt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a5SKsvLsNUU"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oYJmt9xuN2s"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vGl0Io2el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bE2vqCzhDB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h08q6m_4FLI"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eIr_vT2HyBU" TargetMode="External"/><Relationship Id="rId3326" Type="http://schemas.openxmlformats.org/officeDocument/2006/relationships/hyperlink" Target="https://youtu.be/iqxAAuoszW0" TargetMode="External"/><Relationship Id="rId3325" Type="http://schemas.openxmlformats.org/officeDocument/2006/relationships/hyperlink" Target="https://www.youtube.com/watch?v=c1a0JbGeYQw" TargetMode="External"/><Relationship Id="rId3328" Type="http://schemas.openxmlformats.org/officeDocument/2006/relationships/hyperlink" Target="https://www.youtube.com/watch?v=8nEu-AX89xQ" TargetMode="External"/><Relationship Id="rId3327" Type="http://schemas.openxmlformats.org/officeDocument/2006/relationships/hyperlink" Target="https://youtu.be/p6taesLvQnI" TargetMode="External"/><Relationship Id="rId3329" Type="http://schemas.openxmlformats.org/officeDocument/2006/relationships/hyperlink" Target="https://www.youtube.com/watch?v=5n5G5Prn4E4" TargetMode="External"/><Relationship Id="rId3320" Type="http://schemas.openxmlformats.org/officeDocument/2006/relationships/hyperlink" Target="https://www.twitch.tv/videos/1875864310"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www.twitch.tv/videos/1961406996" TargetMode="External"/><Relationship Id="rId3324" Type="http://schemas.openxmlformats.org/officeDocument/2006/relationships/hyperlink" Target="https://www.youtube.com/watch?v=jvdFWQScL4g"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Yt0zyR9tMF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8I7D7nA__e4"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youtu.be/ih72PfgTrlQ" TargetMode="External"/><Relationship Id="rId3399" Type="http://schemas.openxmlformats.org/officeDocument/2006/relationships/hyperlink" Target="https://youtu.be/oFa9Fham62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K1nCKnWMVRY" TargetMode="External"/><Relationship Id="rId2051" Type="http://schemas.openxmlformats.org/officeDocument/2006/relationships/hyperlink" Target="https://youtu.be/DquCdn1ZAX4" TargetMode="External"/><Relationship Id="rId3381" Type="http://schemas.openxmlformats.org/officeDocument/2006/relationships/hyperlink" Target="https://www.twitch.tv/videos/86791147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youtu.be/UvWYrs7a1P8" TargetMode="External"/><Relationship Id="rId3383" Type="http://schemas.openxmlformats.org/officeDocument/2006/relationships/hyperlink" Target="https://youtu.be/6dC2qWCsfig"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youtu.be/_ay0-XMIuGI" TargetMode="External"/><Relationship Id="rId3385" Type="http://schemas.openxmlformats.org/officeDocument/2006/relationships/hyperlink" Target="https://youtu.be/PYAakrWfQxM"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youtu.be/oIuzjQeQ2A4"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PricklyAbstruseMangoEleGiggle"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www.youtube.com/watch?v=kDeufBKsOAU"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mMhiRc3TJ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GwS8wf3Pw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AN8TAOiDrSg"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eajwFpfUX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pe4CMRWRZ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sM0FB5GUQAY"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NaIS70Vl_I"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qr647GdRJB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jwdmmdBQQ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ubHiXNrq-O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jUYJKy7kPJ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clips.twitch.tv/HotKnottyTurnipDerp"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sgGbpZD7NYE"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FX3sCjSeE_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ETwbMGnjhUs"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wT9TpExoWK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oa8lLdUH5mo"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SBnH1_4qsD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tDkTt7K0Ww"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Wfq4ZAr7ero"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gzdnV0_HfsY"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ZZg3OSmQkz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ioQWDuOmgh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TmQAiow0Rn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clips.twitch.tv/IronicSmallBaconPastaThat"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01y64a7M2G8" TargetMode="External"/><Relationship Id="rId2900" Type="http://schemas.openxmlformats.org/officeDocument/2006/relationships/hyperlink" Target="https://youtu.be/JKPEUYks_1s" TargetMode="External"/><Relationship Id="rId2901" Type="http://schemas.openxmlformats.org/officeDocument/2006/relationships/hyperlink" Target="https://youtu.be/ohMgslKKLzg" TargetMode="External"/><Relationship Id="rId2902" Type="http://schemas.openxmlformats.org/officeDocument/2006/relationships/hyperlink" Target="https://youtu.be/6LUCAOmDMOM" TargetMode="External"/><Relationship Id="rId2903" Type="http://schemas.openxmlformats.org/officeDocument/2006/relationships/hyperlink" Target="https://youtu.be/Q9zO6Ey-tuY" TargetMode="External"/><Relationship Id="rId2904" Type="http://schemas.openxmlformats.org/officeDocument/2006/relationships/hyperlink" Target="https://youtu.be/CA9si0gN3zQ" TargetMode="External"/><Relationship Id="rId2905" Type="http://schemas.openxmlformats.org/officeDocument/2006/relationships/hyperlink" Target="https://youtu.be/qCn2ckp3j1Q" TargetMode="External"/><Relationship Id="rId2906" Type="http://schemas.openxmlformats.org/officeDocument/2006/relationships/hyperlink" Target="https://youtu.be/mnPxRyeakV0" TargetMode="External"/><Relationship Id="rId2907" Type="http://schemas.openxmlformats.org/officeDocument/2006/relationships/hyperlink" Target="https://youtu.be/tpGBiGHZxK0" TargetMode="External"/><Relationship Id="rId2908" Type="http://schemas.openxmlformats.org/officeDocument/2006/relationships/hyperlink" Target="https://youtu.be/Nlc3xwtARF8" TargetMode="External"/><Relationship Id="rId2909" Type="http://schemas.openxmlformats.org/officeDocument/2006/relationships/hyperlink" Target="https://youtu.be/NrxoTM4YwvE" TargetMode="External"/><Relationship Id="rId2920" Type="http://schemas.openxmlformats.org/officeDocument/2006/relationships/hyperlink" Target="https://clips.twitch.tv/AbrasiveHonestOrangeChefFrank-j8cDNyhsaAF9Icmr" TargetMode="External"/><Relationship Id="rId2921" Type="http://schemas.openxmlformats.org/officeDocument/2006/relationships/hyperlink" Target="https://youtu.be/N_eafUtJ3F8" TargetMode="External"/><Relationship Id="rId2922" Type="http://schemas.openxmlformats.org/officeDocument/2006/relationships/hyperlink" Target="https://youtu.be/ItBrVNSktmo" TargetMode="External"/><Relationship Id="rId2923" Type="http://schemas.openxmlformats.org/officeDocument/2006/relationships/hyperlink" Target="https://youtu.be/nvZHnEp3KPs" TargetMode="External"/><Relationship Id="rId2924" Type="http://schemas.openxmlformats.org/officeDocument/2006/relationships/hyperlink" Target="https://youtu.be/7nND3fN067c" TargetMode="External"/><Relationship Id="rId2925" Type="http://schemas.openxmlformats.org/officeDocument/2006/relationships/hyperlink" Target="https://youtu.be/7VV4yzQV6B8" TargetMode="External"/><Relationship Id="rId2926" Type="http://schemas.openxmlformats.org/officeDocument/2006/relationships/hyperlink" Target="https://youtu.be/yYgJO43PiR0" TargetMode="External"/><Relationship Id="rId2927" Type="http://schemas.openxmlformats.org/officeDocument/2006/relationships/hyperlink" Target="https://youtu.be/AaZj0nu2fB4" TargetMode="External"/><Relationship Id="rId2928" Type="http://schemas.openxmlformats.org/officeDocument/2006/relationships/hyperlink" Target="https://youtu.be/wB9-lVIMv3Q" TargetMode="External"/><Relationship Id="rId2929" Type="http://schemas.openxmlformats.org/officeDocument/2006/relationships/hyperlink" Target="https://youtu.be/QQgiEmt7WPI" TargetMode="External"/><Relationship Id="rId2910" Type="http://schemas.openxmlformats.org/officeDocument/2006/relationships/hyperlink" Target="https://youtu.be/h8-dOiebvyE" TargetMode="External"/><Relationship Id="rId2911" Type="http://schemas.openxmlformats.org/officeDocument/2006/relationships/hyperlink" Target="https://youtu.be/6ckMTVhUsz0" TargetMode="External"/><Relationship Id="rId2912" Type="http://schemas.openxmlformats.org/officeDocument/2006/relationships/hyperlink" Target="https://clips.twitch.tv/SpinelessCrowdedMetalNotLikeThis-NFgxTWVg1bHGAQFi" TargetMode="External"/><Relationship Id="rId2913" Type="http://schemas.openxmlformats.org/officeDocument/2006/relationships/hyperlink" Target="https://youtu.be/i7r_qOr_cXg" TargetMode="External"/><Relationship Id="rId2914" Type="http://schemas.openxmlformats.org/officeDocument/2006/relationships/hyperlink" Target="https://youtu.be/e_fjYfcBFxI?t=91" TargetMode="External"/><Relationship Id="rId2915" Type="http://schemas.openxmlformats.org/officeDocument/2006/relationships/hyperlink" Target="https://youtu.be/V4eSfU-5U5A" TargetMode="External"/><Relationship Id="rId2916" Type="http://schemas.openxmlformats.org/officeDocument/2006/relationships/hyperlink" Target="https://youtu.be/hGlgfKEVg8c" TargetMode="External"/><Relationship Id="rId2917" Type="http://schemas.openxmlformats.org/officeDocument/2006/relationships/hyperlink" Target="https://youtu.be/Us9T8WWTGj0" TargetMode="External"/><Relationship Id="rId2918" Type="http://schemas.openxmlformats.org/officeDocument/2006/relationships/hyperlink" Target="https://youtu.be/OsZuBiufTYs" TargetMode="External"/><Relationship Id="rId2919" Type="http://schemas.openxmlformats.org/officeDocument/2006/relationships/hyperlink" Target="https://youtu.be/OAme1dyHAjY"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Mbc7M7uEm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WMDXHBrBqb8"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CVxNfJLH3Ys" TargetMode="External"/><Relationship Id="rId2984" Type="http://schemas.openxmlformats.org/officeDocument/2006/relationships/hyperlink" Target="https://clips.twitch.tv/OnerousBlindingRedpandaAMPEnergy" TargetMode="External"/><Relationship Id="rId1654" Type="http://schemas.openxmlformats.org/officeDocument/2006/relationships/hyperlink" Target="https://youtu.be/nzAydYYQitQ" TargetMode="External"/><Relationship Id="rId2985" Type="http://schemas.openxmlformats.org/officeDocument/2006/relationships/hyperlink" Target="https://youtu.be/Ee2Kgonkzns" TargetMode="External"/><Relationship Id="rId1655" Type="http://schemas.openxmlformats.org/officeDocument/2006/relationships/hyperlink" Target="https://youtu.be/Uirbw05oUPg" TargetMode="External"/><Relationship Id="rId2986" Type="http://schemas.openxmlformats.org/officeDocument/2006/relationships/hyperlink" Target="https://youtu.be/hobNE1dk8yc" TargetMode="External"/><Relationship Id="rId1656" Type="http://schemas.openxmlformats.org/officeDocument/2006/relationships/hyperlink" Target="https://youtu.be/WZPtWcc1y_Q" TargetMode="External"/><Relationship Id="rId2987" Type="http://schemas.openxmlformats.org/officeDocument/2006/relationships/hyperlink" Target="https://youtu.be/2w_O0zyHFmY" TargetMode="External"/><Relationship Id="rId1657" Type="http://schemas.openxmlformats.org/officeDocument/2006/relationships/hyperlink" Target="https://youtu.be/XFDg8CGpYlg" TargetMode="External"/><Relationship Id="rId2988" Type="http://schemas.openxmlformats.org/officeDocument/2006/relationships/hyperlink" Target="https://youtu.be/Qk97_U7SbEM" TargetMode="External"/><Relationship Id="rId1658" Type="http://schemas.openxmlformats.org/officeDocument/2006/relationships/hyperlink" Target="https://youtu.be/2sRu4sA8Uj8" TargetMode="External"/><Relationship Id="rId2989" Type="http://schemas.openxmlformats.org/officeDocument/2006/relationships/hyperlink" Target="https://youtu.be/GKyOB2A6rIk"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EnticingGoldenCroquetteANELE"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pcjir39OTPI"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hudCn3r08_8" TargetMode="External"/><Relationship Id="rId1652" Type="http://schemas.openxmlformats.org/officeDocument/2006/relationships/hyperlink" Target="https://youtu.be/03iDs8Ajosw" TargetMode="External"/><Relationship Id="rId2983" Type="http://schemas.openxmlformats.org/officeDocument/2006/relationships/hyperlink" Target="https://youtu.be/dMj6gcrcCN0"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u1o--hzlyjU"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7AQWRYux8PE"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6Gihf30Odt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StU5PipHn_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c36kW3uIxsg" TargetMode="External"/><Relationship Id="rId1647" Type="http://schemas.openxmlformats.org/officeDocument/2006/relationships/hyperlink" Target="https://youtu.be/M8NNlWgE7Ec" TargetMode="External"/><Relationship Id="rId2978" Type="http://schemas.openxmlformats.org/officeDocument/2006/relationships/hyperlink" Target="https://youtu.be/ZD0CMju73nU" TargetMode="External"/><Relationship Id="rId1648" Type="http://schemas.openxmlformats.org/officeDocument/2006/relationships/hyperlink" Target="https://youtu.be/mahJ2Kepn44" TargetMode="External"/><Relationship Id="rId2979" Type="http://schemas.openxmlformats.org/officeDocument/2006/relationships/hyperlink" Target="https://youtu.be/zbchXOsKbPY"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h0PiWdcdO8"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XWCYtAuHCc"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h4hEoYBsvtw"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www.twitch.tv/videos/1252282582"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PopularCrowdedAniseSSSsss-X8fwlzMOHVsqztE1"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MagnificentSuccessfulSnoodWutFace-QhoH5irvAm5q48Xt"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CrispySwissSkunkBatChest-y0rF0fHrJQEZNKn2"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GentleNurturingTaroStinkyCheese-9V_4eUy0yyQSX58D"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LG7eoGL-7A" TargetMode="External"/><Relationship Id="rId1660" Type="http://schemas.openxmlformats.org/officeDocument/2006/relationships/hyperlink" Target="https://youtu.be/5QxvGVBxe-4" TargetMode="External"/><Relationship Id="rId2991" Type="http://schemas.openxmlformats.org/officeDocument/2006/relationships/hyperlink" Target="https://youtu.be/odNZqs6N5o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iXRFMomp1lw" TargetMode="External"/><Relationship Id="rId1662" Type="http://schemas.openxmlformats.org/officeDocument/2006/relationships/hyperlink" Target="https://youtu.be/LCowgF1NuuI" TargetMode="External"/><Relationship Id="rId2993" Type="http://schemas.openxmlformats.org/officeDocument/2006/relationships/hyperlink" Target="https://youtu.be/YZg4WEuElJI"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CuteSneakyAlfalfaTheThing-iXlaNo_eDeWR9qah"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tfA20ORFXOA" TargetMode="External"/><Relationship Id="rId3470" Type="http://schemas.openxmlformats.org/officeDocument/2006/relationships/hyperlink" Target="https://twitter.com/tomato_modest/status/1457519468427501568"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clips.twitch.tv/TacitAbstemiousSquidPeanutButterJellyTime-rOXXsBM6dkX7u0o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WHLT219rsvU"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53065418860646407"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36192421247950849"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XCkL-zmJur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2pTWUr4GnDk"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YpXg5eonyBw"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IOQId00skq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eBRChBIMd2Q"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FyY79WUdWI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OKOvNxVhYh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RkeXZsAEZAw"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3fqRcGfUd40"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MUPo8htAg-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WfGIEVvzDo"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e8w0PEk24j4"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_-vCzJ7BwD0"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QrmFMoWKslE" TargetMode="External"/><Relationship Id="rId3490" Type="http://schemas.openxmlformats.org/officeDocument/2006/relationships/hyperlink" Target="https://youtu.be/hiGJSHz1BA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akrSPU-0bWg"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hgBVDdP5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2SbVn5Coi2U"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216240957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ayZBt7K60eA"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20198941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099059" TargetMode="External"/><Relationship Id="rId2167" Type="http://schemas.openxmlformats.org/officeDocument/2006/relationships/hyperlink" Target="https://youtu.be/G3WjUrEsVKg" TargetMode="External"/><Relationship Id="rId3497" Type="http://schemas.openxmlformats.org/officeDocument/2006/relationships/hyperlink" Target="https://youtu.be/SmKBzl3ASw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100776"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k5RDI6nw79U"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clips.twitch.tv/ConcernedBoxyOkapiLitty-If_2beSNl1Blwg-q"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940-hmnF3bc"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twitch.tv/videos/215385240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RrJQMEHIAqU"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WiTRLXuuPTk"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35lpY0B2fhc"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videos/1009373326"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twitch.tv/modest_tomato/clip/AmazonianSincereChinchillaSSSsss-XG84eIbLtaW8n4cA?filter=clips&amp;range=all&amp;sort=tim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aGMhM9u6a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steRzjHmiE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ZrfhNe_zSDk"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UwyAk-T4H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6dazNb50DcI"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2lvlGEOHn0" TargetMode="External"/><Relationship Id="rId3430" Type="http://schemas.openxmlformats.org/officeDocument/2006/relationships/hyperlink" Target="https://www.youtube.com/watch?v=4a9t8QQ8Hpc"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d8BstfzLK4"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NI_eFWO8vc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gFM20J1BXg"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H7bFpLcD-W0" TargetMode="External"/><Relationship Id="rId3425" Type="http://schemas.openxmlformats.org/officeDocument/2006/relationships/hyperlink" Target="https://www.youtube.com/watch?v=6DNL3nIer-o" TargetMode="External"/><Relationship Id="rId3424" Type="http://schemas.openxmlformats.org/officeDocument/2006/relationships/hyperlink" Target="https://www.youtube.com/watch?v=nPgTV1NdmnI" TargetMode="External"/><Relationship Id="rId3427" Type="http://schemas.openxmlformats.org/officeDocument/2006/relationships/hyperlink" Target="https://www.youtube.com/watch?v=XfqPu5IyiKk" TargetMode="External"/><Relationship Id="rId3426" Type="http://schemas.openxmlformats.org/officeDocument/2006/relationships/hyperlink" Target="https://www.youtube.com/watch?v=J4L2ABVkSJI" TargetMode="External"/><Relationship Id="rId3429" Type="http://schemas.openxmlformats.org/officeDocument/2006/relationships/hyperlink" Target="https://www.youtube.com/watch?v=yvjAOvKZAiA" TargetMode="External"/><Relationship Id="rId3428" Type="http://schemas.openxmlformats.org/officeDocument/2006/relationships/hyperlink" Target="https://www.youtube.com/watch?v=TNON8fY4oys"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p6j_MUKckJM"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ltwagdpYLDc"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vbdvMNZFFug"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X3T9ZZSIzj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gEIyUeIBVc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SK0YPuxwu8"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bLjbsRbEWJo" TargetMode="External"/><Relationship Id="rId3450" Type="http://schemas.openxmlformats.org/officeDocument/2006/relationships/hyperlink" Target="https://www.youtube.com/watch?v=8-PbKF3qQe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com/watch?v=FSlD443aJsk"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B2f5gogIPSY"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mTXUY9xpRFg"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QxWPg7mdDfE"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HBjmXQeIW4"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CXysMP8sBxs"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kKfeqwrHHg8"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xcxhZO7BvJw"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40nfD6pREm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FJKfE_oi77Q"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MNHwaZl1-s"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jqxed1-LkF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S4oGlzAKWF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_3JPlL3Pmj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60ATcpC4rT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L0pX0kEFF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Zt72DgCMRr4"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youtu.be/ONge9Un7EcM"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_NBS1W67eMY?feature=shared"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3"/>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t="s">
        <v>3279</v>
      </c>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3269</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3264</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3269</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3265</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3266</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3269</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3275</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4931</v>
      </c>
      <c r="J98" s="112" t="s">
        <v>2169</v>
      </c>
      <c r="K98" s="112" t="s">
        <v>3340</v>
      </c>
      <c r="L98" s="112" t="s">
        <v>4932</v>
      </c>
      <c r="M98" s="112" t="str">
        <f>HYPERLINK("https://youtu.be/EP_OKh5RgxA", "2:18.82")</f>
        <v>2:18.82</v>
      </c>
      <c r="N98" s="112" t="s">
        <v>4933</v>
      </c>
      <c r="O98" s="112" t="s">
        <v>265</v>
      </c>
      <c r="P98" s="112" t="s">
        <v>552</v>
      </c>
      <c r="Q98" s="223"/>
      <c r="R98" s="223"/>
      <c r="S98" s="223"/>
      <c r="T98" s="223"/>
      <c r="U98" s="223"/>
      <c r="V98" s="223"/>
      <c r="W98" s="92"/>
      <c r="X98" s="116" t="s">
        <v>4934</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4935</v>
      </c>
      <c r="BC98" s="127" t="s">
        <v>2168</v>
      </c>
      <c r="BD98" s="174" t="s">
        <v>4936</v>
      </c>
      <c r="BE98" s="173"/>
      <c r="BF98" s="173"/>
      <c r="BG98" s="173"/>
      <c r="BH98" s="127" t="s">
        <v>607</v>
      </c>
      <c r="BI98" s="173"/>
      <c r="BJ98" s="127" t="s">
        <v>4937</v>
      </c>
      <c r="BK98" s="127" t="s">
        <v>2601</v>
      </c>
      <c r="BL98" s="173"/>
      <c r="BM98" s="173"/>
      <c r="BN98" s="173"/>
      <c r="BO98" s="173"/>
      <c r="BP98" s="277"/>
      <c r="BQ98" s="131" t="s">
        <v>4938</v>
      </c>
      <c r="BR98" s="280"/>
      <c r="BS98" s="131" t="s">
        <v>2926</v>
      </c>
      <c r="BT98" s="131" t="s">
        <v>4939</v>
      </c>
      <c r="BU98" s="280"/>
      <c r="BV98" s="131" t="s">
        <v>910</v>
      </c>
      <c r="BW98" s="175" t="s">
        <v>4940</v>
      </c>
      <c r="BX98" s="280"/>
      <c r="BY98" s="131" t="s">
        <v>4941</v>
      </c>
      <c r="BZ98" s="131" t="s">
        <v>1463</v>
      </c>
      <c r="CA98" s="280"/>
      <c r="CB98" s="280"/>
      <c r="CC98" s="280"/>
      <c r="CD98" s="280"/>
      <c r="CE98" s="281"/>
      <c r="CF98" s="284"/>
      <c r="CG98" s="284"/>
      <c r="CH98" s="284"/>
      <c r="CI98" s="177" t="s">
        <v>4942</v>
      </c>
      <c r="CJ98" s="177"/>
      <c r="CK98" s="284"/>
      <c r="CL98" s="136" t="s">
        <v>3278</v>
      </c>
      <c r="CM98" s="136" t="s">
        <v>1691</v>
      </c>
      <c r="CN98" s="284"/>
      <c r="CO98" s="284"/>
      <c r="CP98" s="284"/>
      <c r="CQ98" s="284"/>
      <c r="CR98" s="284"/>
      <c r="CS98" s="101"/>
      <c r="CT98" s="141" t="s">
        <v>4943</v>
      </c>
      <c r="CU98" s="410" t="str">
        <f>HYPERLINK("https://youtu.be/E3G9EWGMU-8?t=986", "14.55")</f>
        <v>14.55</v>
      </c>
      <c r="CV98" s="141" t="s">
        <v>1714</v>
      </c>
      <c r="CW98" s="141" t="s">
        <v>4944</v>
      </c>
      <c r="CX98" s="141" t="s">
        <v>620</v>
      </c>
      <c r="CY98" s="285"/>
      <c r="CZ98" s="141" t="s">
        <v>4945</v>
      </c>
      <c r="DA98" s="141" t="s">
        <v>3971</v>
      </c>
      <c r="DB98" s="285"/>
      <c r="DC98" s="285"/>
      <c r="DD98" s="285"/>
      <c r="DE98" s="285"/>
      <c r="DF98" s="286"/>
      <c r="DG98" s="146" t="s">
        <v>2405</v>
      </c>
      <c r="DH98" s="287"/>
      <c r="DI98" s="287"/>
      <c r="DJ98" s="287"/>
      <c r="DK98" s="146" t="s">
        <v>526</v>
      </c>
      <c r="DL98" s="287"/>
      <c r="DM98" s="287"/>
      <c r="DN98" s="287"/>
      <c r="DO98" s="287"/>
      <c r="DP98" s="146" t="s">
        <v>4946</v>
      </c>
      <c r="DQ98" s="146" t="s">
        <v>2449</v>
      </c>
      <c r="DR98" s="287"/>
      <c r="DS98" s="287"/>
      <c r="DT98" s="287"/>
      <c r="DU98" s="287"/>
      <c r="DV98" s="287"/>
      <c r="DW98" s="287"/>
      <c r="DX98" s="287"/>
      <c r="DY98" s="207" t="s">
        <v>4947</v>
      </c>
      <c r="DZ98" s="146" t="s">
        <v>2669</v>
      </c>
      <c r="EA98" s="287"/>
      <c r="EB98" s="143" t="s">
        <v>1800</v>
      </c>
    </row>
    <row r="99">
      <c r="A99" s="639" t="s">
        <v>4948</v>
      </c>
      <c r="B99" s="82" t="s">
        <v>4949</v>
      </c>
      <c r="C99" s="83" t="s">
        <v>1415</v>
      </c>
      <c r="D99" s="84" t="s">
        <v>1415</v>
      </c>
      <c r="E99" s="85" t="s">
        <v>1415</v>
      </c>
      <c r="F99" s="86" t="s">
        <v>738</v>
      </c>
      <c r="G99" s="82" t="s">
        <v>2334</v>
      </c>
      <c r="H99" s="93" t="s">
        <v>679</v>
      </c>
      <c r="I99" s="93" t="s">
        <v>4950</v>
      </c>
      <c r="J99" s="93" t="s">
        <v>4951</v>
      </c>
      <c r="K99" s="93" t="s">
        <v>3239</v>
      </c>
      <c r="L99" s="93" t="s">
        <v>2776</v>
      </c>
      <c r="M99" s="93" t="s">
        <v>4952</v>
      </c>
      <c r="N99" s="93" t="s">
        <v>4953</v>
      </c>
      <c r="O99" s="93" t="s">
        <v>1820</v>
      </c>
      <c r="P99" s="93" t="s">
        <v>4954</v>
      </c>
      <c r="Q99" s="98"/>
      <c r="R99" s="98"/>
      <c r="S99" s="93" t="s">
        <v>4955</v>
      </c>
      <c r="T99" s="98"/>
      <c r="U99" s="93" t="s">
        <v>634</v>
      </c>
      <c r="V99" s="98"/>
      <c r="W99" s="92"/>
      <c r="X99" s="93" t="s">
        <v>1993</v>
      </c>
      <c r="Y99" s="93" t="s">
        <v>1821</v>
      </c>
      <c r="Z99" s="93" t="s">
        <v>4956</v>
      </c>
      <c r="AA99" s="93" t="s">
        <v>3542</v>
      </c>
      <c r="AB99" s="375" t="s">
        <v>4245</v>
      </c>
      <c r="AC99" s="93" t="s">
        <v>4469</v>
      </c>
      <c r="AD99" s="98"/>
      <c r="AE99" s="98"/>
      <c r="AF99" s="93" t="s">
        <v>4957</v>
      </c>
      <c r="AG99" s="98"/>
      <c r="AH99" s="98"/>
      <c r="AI99" s="98"/>
      <c r="AJ99" s="98"/>
      <c r="AK99" s="92"/>
      <c r="AL99" s="93" t="s">
        <v>2423</v>
      </c>
      <c r="AM99" s="93" t="s">
        <v>4958</v>
      </c>
      <c r="AN99" s="98"/>
      <c r="AO99" s="98"/>
      <c r="AP99" s="98"/>
      <c r="AQ99" s="98"/>
      <c r="AR99" s="93" t="s">
        <v>1143</v>
      </c>
      <c r="AS99" s="98"/>
      <c r="AT99" s="93" t="s">
        <v>2592</v>
      </c>
      <c r="AU99" s="93" t="s">
        <v>1666</v>
      </c>
      <c r="AV99" s="93" t="s">
        <v>4193</v>
      </c>
      <c r="AW99" s="98"/>
      <c r="AX99" s="93" t="s">
        <v>4936</v>
      </c>
      <c r="AY99" s="93" t="s">
        <v>4959</v>
      </c>
      <c r="AZ99" s="96"/>
      <c r="BA99" s="93" t="s">
        <v>4960</v>
      </c>
      <c r="BB99" s="93" t="s">
        <v>4961</v>
      </c>
      <c r="BC99" s="93" t="s">
        <v>1046</v>
      </c>
      <c r="BD99" s="93" t="s">
        <v>1024</v>
      </c>
      <c r="BE99" s="93" t="s">
        <v>2953</v>
      </c>
      <c r="BF99" s="93" t="s">
        <v>2839</v>
      </c>
      <c r="BG99" s="93" t="s">
        <v>4962</v>
      </c>
      <c r="BH99" s="93" t="s">
        <v>4963</v>
      </c>
      <c r="BI99" s="98"/>
      <c r="BJ99" s="93" t="s">
        <v>4964</v>
      </c>
      <c r="BK99" s="93" t="s">
        <v>2855</v>
      </c>
      <c r="BL99" s="98"/>
      <c r="BM99" s="98"/>
      <c r="BN99" s="93"/>
      <c r="BO99" s="98"/>
      <c r="BP99" s="264"/>
      <c r="BQ99" s="98"/>
      <c r="BR99" s="98"/>
      <c r="BS99" s="93" t="s">
        <v>4965</v>
      </c>
      <c r="BT99" s="93" t="s">
        <v>2189</v>
      </c>
      <c r="BU99" s="98"/>
      <c r="BV99" s="93" t="s">
        <v>3463</v>
      </c>
      <c r="BW99" s="98"/>
      <c r="BX99" s="98"/>
      <c r="BY99" s="98"/>
      <c r="BZ99" s="93" t="s">
        <v>2637</v>
      </c>
      <c r="CA99" s="98"/>
      <c r="CB99" s="93" t="s">
        <v>4966</v>
      </c>
      <c r="CC99" s="98"/>
      <c r="CD99" s="98"/>
      <c r="CE99" s="264"/>
      <c r="CF99" s="93" t="s">
        <v>4967</v>
      </c>
      <c r="CG99" s="93" t="s">
        <v>4968</v>
      </c>
      <c r="CH99" s="93" t="s">
        <v>110</v>
      </c>
      <c r="CI99" s="93"/>
      <c r="CJ99" s="93" t="s">
        <v>4969</v>
      </c>
      <c r="CK99" s="93" t="s">
        <v>4621</v>
      </c>
      <c r="CL99" s="383" t="s">
        <v>1315</v>
      </c>
      <c r="CM99" s="93" t="s">
        <v>3027</v>
      </c>
      <c r="CN99" s="98"/>
      <c r="CO99" s="98"/>
      <c r="CP99" s="93"/>
      <c r="CQ99" s="93" t="s">
        <v>4970</v>
      </c>
      <c r="CR99" s="98"/>
      <c r="CS99" s="101"/>
      <c r="CT99" s="93" t="s">
        <v>4971</v>
      </c>
      <c r="CU99" s="93" t="s">
        <v>2623</v>
      </c>
      <c r="CV99" s="93" t="s">
        <v>4972</v>
      </c>
      <c r="CW99" s="93" t="s">
        <v>4393</v>
      </c>
      <c r="CX99" s="98"/>
      <c r="CY99" s="93" t="s">
        <v>389</v>
      </c>
      <c r="CZ99" s="93" t="s">
        <v>4973</v>
      </c>
      <c r="DA99" s="93" t="s">
        <v>4238</v>
      </c>
      <c r="DB99" s="98"/>
      <c r="DC99" s="98"/>
      <c r="DD99" s="93" t="s">
        <v>3379</v>
      </c>
      <c r="DE99" s="93" t="s">
        <v>1539</v>
      </c>
      <c r="DF99" s="96"/>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90"/>
    </row>
    <row r="100">
      <c r="A100" s="166" t="s">
        <v>4977</v>
      </c>
      <c r="B100" s="103" t="s">
        <v>4978</v>
      </c>
      <c r="C100" s="104" t="s">
        <v>1415</v>
      </c>
      <c r="D100" s="105" t="s">
        <v>1415</v>
      </c>
      <c r="E100" s="106" t="s">
        <v>1415</v>
      </c>
      <c r="F100" s="107" t="s">
        <v>438</v>
      </c>
      <c r="G100" s="103" t="s">
        <v>2868</v>
      </c>
      <c r="H100" s="167" t="s">
        <v>996</v>
      </c>
      <c r="I100" s="223"/>
      <c r="J100" s="167" t="s">
        <v>4979</v>
      </c>
      <c r="K100" s="167" t="s">
        <v>3239</v>
      </c>
      <c r="L100" s="167" t="s">
        <v>1612</v>
      </c>
      <c r="M100" s="167" t="s">
        <v>4980</v>
      </c>
      <c r="N100" s="167" t="s">
        <v>1578</v>
      </c>
      <c r="O100" s="167" t="s">
        <v>4981</v>
      </c>
      <c r="P100" s="167" t="s">
        <v>1082</v>
      </c>
      <c r="Q100" s="223"/>
      <c r="R100" s="223"/>
      <c r="S100" s="223"/>
      <c r="T100" s="223"/>
      <c r="U100" s="223"/>
      <c r="V100" s="223"/>
      <c r="W100" s="92"/>
      <c r="X100" s="273"/>
      <c r="Y100" s="199" t="s">
        <v>2876</v>
      </c>
      <c r="Z100" s="199" t="s">
        <v>1773</v>
      </c>
      <c r="AA100" s="307" t="s">
        <v>1992</v>
      </c>
      <c r="AB100" s="199" t="s">
        <v>3334</v>
      </c>
      <c r="AC100" s="199" t="s">
        <v>4982</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4983</v>
      </c>
      <c r="BG100" s="173"/>
      <c r="BH100" s="125" t="str">
        <f>HYPERLINK("https://www.youtube.com/watch?v=D3qit_yrtB8&amp;feature=youtu.be","27.76")</f>
        <v>27.76</v>
      </c>
      <c r="BI100" s="174" t="s">
        <v>4436</v>
      </c>
      <c r="BJ100" s="174"/>
      <c r="BK100" s="174" t="s">
        <v>4984</v>
      </c>
      <c r="BL100" s="173"/>
      <c r="BM100" s="174" t="s">
        <v>1593</v>
      </c>
      <c r="BN100" s="173"/>
      <c r="BO100" s="173"/>
      <c r="BP100" s="277"/>
      <c r="BQ100" s="280"/>
      <c r="BR100" s="175" t="s">
        <v>4985</v>
      </c>
      <c r="BS100" s="175" t="s">
        <v>4986</v>
      </c>
      <c r="BT100" s="175" t="s">
        <v>4307</v>
      </c>
      <c r="BU100" s="280"/>
      <c r="BV100" s="175" t="s">
        <v>2991</v>
      </c>
      <c r="BW100" s="280"/>
      <c r="BX100" s="175" t="s">
        <v>4987</v>
      </c>
      <c r="BY100" s="280"/>
      <c r="BZ100" s="175" t="s">
        <v>4988</v>
      </c>
      <c r="CA100" s="175" t="s">
        <v>4989</v>
      </c>
      <c r="CB100" s="280"/>
      <c r="CC100" s="280"/>
      <c r="CD100" s="280"/>
      <c r="CE100" s="281"/>
      <c r="CF100" s="177" t="s">
        <v>4990</v>
      </c>
      <c r="CG100" s="314" t="s">
        <v>4991</v>
      </c>
      <c r="CH100" s="177"/>
      <c r="CI100" s="284"/>
      <c r="CJ100" s="284" t="s">
        <v>547</v>
      </c>
      <c r="CK100" s="284"/>
      <c r="CL100" s="314" t="s">
        <v>4025</v>
      </c>
      <c r="CM100" s="177" t="s">
        <v>4992</v>
      </c>
      <c r="CN100" s="284"/>
      <c r="CO100" s="284"/>
      <c r="CP100" s="284"/>
      <c r="CQ100" s="284"/>
      <c r="CR100" s="284"/>
      <c r="CS100" s="101"/>
      <c r="CT100" s="206" t="s">
        <v>4993</v>
      </c>
      <c r="CU100" s="206"/>
      <c r="CV100" s="206" t="s">
        <v>3383</v>
      </c>
      <c r="CW100" s="285"/>
      <c r="CX100" s="285"/>
      <c r="CY100" s="285"/>
      <c r="CZ100" s="206" t="s">
        <v>4994</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4995</v>
      </c>
      <c r="B101" s="82" t="s">
        <v>4996</v>
      </c>
      <c r="C101" s="83" t="s">
        <v>1415</v>
      </c>
      <c r="D101" s="84" t="s">
        <v>1415</v>
      </c>
      <c r="E101" s="85" t="s">
        <v>1415</v>
      </c>
      <c r="F101" s="86" t="s">
        <v>828</v>
      </c>
      <c r="G101" s="82" t="s">
        <v>4997</v>
      </c>
      <c r="H101" s="93" t="s">
        <v>3628</v>
      </c>
      <c r="I101" s="93" t="s">
        <v>3910</v>
      </c>
      <c r="J101" s="93" t="s">
        <v>4998</v>
      </c>
      <c r="K101" s="93" t="s">
        <v>3444</v>
      </c>
      <c r="L101" s="93" t="s">
        <v>4999</v>
      </c>
      <c r="M101" s="93" t="s">
        <v>5000</v>
      </c>
      <c r="N101" s="93" t="s">
        <v>5001</v>
      </c>
      <c r="O101" s="93" t="s">
        <v>5002</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5003</v>
      </c>
      <c r="BF101" s="98"/>
      <c r="BG101" s="98"/>
      <c r="BH101" s="93" t="s">
        <v>1921</v>
      </c>
      <c r="BI101" s="98"/>
      <c r="BJ101" s="93" t="s">
        <v>5004</v>
      </c>
      <c r="BK101" s="93" t="s">
        <v>2087</v>
      </c>
      <c r="BL101" s="98"/>
      <c r="BM101" s="98"/>
      <c r="BN101" s="98"/>
      <c r="BO101" s="98"/>
      <c r="BP101" s="264"/>
      <c r="BQ101" s="94"/>
      <c r="BR101" s="98"/>
      <c r="BS101" s="93" t="s">
        <v>5005</v>
      </c>
      <c r="BT101" s="93" t="s">
        <v>5006</v>
      </c>
      <c r="BU101" s="93" t="s">
        <v>5007</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5008</v>
      </c>
      <c r="CU101" s="98"/>
      <c r="CV101" s="93" t="s">
        <v>2661</v>
      </c>
      <c r="CW101" s="93" t="s">
        <v>5009</v>
      </c>
      <c r="CX101" s="93"/>
      <c r="CY101" s="94"/>
      <c r="CZ101" s="93" t="s">
        <v>5010</v>
      </c>
      <c r="DA101" s="93" t="s">
        <v>5011</v>
      </c>
      <c r="DB101" s="98"/>
      <c r="DC101" s="98"/>
      <c r="DD101" s="98"/>
      <c r="DE101" s="98"/>
      <c r="DF101" s="264"/>
      <c r="DG101" s="98"/>
      <c r="DH101" s="98"/>
      <c r="DI101" s="98"/>
      <c r="DJ101" s="98"/>
      <c r="DK101" s="98"/>
      <c r="DL101" s="98"/>
      <c r="DM101" s="98"/>
      <c r="DN101" s="98"/>
      <c r="DO101" s="98"/>
      <c r="DP101" s="93" t="s">
        <v>5012</v>
      </c>
      <c r="DQ101" s="93"/>
      <c r="DR101" s="98"/>
      <c r="DS101" s="98"/>
      <c r="DT101" s="98"/>
      <c r="DU101" s="98"/>
      <c r="DV101" s="98"/>
      <c r="DW101" s="98"/>
      <c r="DX101" s="98"/>
      <c r="DY101" s="98"/>
      <c r="DZ101" s="98"/>
      <c r="EA101" s="98"/>
      <c r="EB101" s="290"/>
    </row>
    <row r="102">
      <c r="A102" s="166" t="s">
        <v>5013</v>
      </c>
      <c r="B102" s="103" t="s">
        <v>5014</v>
      </c>
      <c r="C102" s="104" t="s">
        <v>1415</v>
      </c>
      <c r="D102" s="105" t="s">
        <v>1415</v>
      </c>
      <c r="E102" s="106" t="s">
        <v>1415</v>
      </c>
      <c r="F102" s="107" t="s">
        <v>738</v>
      </c>
      <c r="G102" s="103" t="s">
        <v>5015</v>
      </c>
      <c r="H102" s="167" t="s">
        <v>4855</v>
      </c>
      <c r="I102" s="167" t="s">
        <v>4192</v>
      </c>
      <c r="J102" s="167" t="s">
        <v>2462</v>
      </c>
      <c r="K102" s="305" t="s">
        <v>4312</v>
      </c>
      <c r="L102" s="167" t="s">
        <v>5016</v>
      </c>
      <c r="M102" s="223"/>
      <c r="N102" s="167" t="s">
        <v>669</v>
      </c>
      <c r="O102" s="167" t="s">
        <v>3787</v>
      </c>
      <c r="P102" s="167" t="s">
        <v>4268</v>
      </c>
      <c r="Q102" s="167" t="s">
        <v>5017</v>
      </c>
      <c r="R102" s="167"/>
      <c r="S102" s="167" t="s">
        <v>230</v>
      </c>
      <c r="T102" s="223"/>
      <c r="U102" s="167" t="s">
        <v>2432</v>
      </c>
      <c r="V102" s="167" t="s">
        <v>5018</v>
      </c>
      <c r="W102" s="92"/>
      <c r="X102" s="199" t="s">
        <v>5019</v>
      </c>
      <c r="Y102" s="307" t="s">
        <v>2650</v>
      </c>
      <c r="Z102" s="199" t="s">
        <v>2775</v>
      </c>
      <c r="AA102" s="199" t="s">
        <v>5020</v>
      </c>
      <c r="AB102" s="199" t="s">
        <v>977</v>
      </c>
      <c r="AC102" s="199" t="s">
        <v>4274</v>
      </c>
      <c r="AD102" s="199" t="s">
        <v>5021</v>
      </c>
      <c r="AE102" s="199" t="s">
        <v>1293</v>
      </c>
      <c r="AF102" s="307" t="s">
        <v>5022</v>
      </c>
      <c r="AG102" s="273"/>
      <c r="AH102" s="200"/>
      <c r="AI102" s="115" t="str">
        <f>HYPERLINK("https://www.youtube.com/watch?v=KtPfnnrz_CQ","1:01.05")</f>
        <v>1:01.05</v>
      </c>
      <c r="AJ102" s="273"/>
      <c r="AK102" s="92"/>
      <c r="AL102" s="168" t="s">
        <v>5023</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5024</v>
      </c>
      <c r="BE102" s="173"/>
      <c r="BF102" s="173"/>
      <c r="BG102" s="173"/>
      <c r="BH102" s="174" t="s">
        <v>5025</v>
      </c>
      <c r="BI102" s="173"/>
      <c r="BJ102" s="173"/>
      <c r="BK102" s="173"/>
      <c r="BL102" s="173"/>
      <c r="BM102" s="174" t="s">
        <v>5026</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5027</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5028</v>
      </c>
      <c r="DO102" s="395"/>
      <c r="DP102" s="287"/>
      <c r="DQ102" s="287"/>
      <c r="DR102" s="287"/>
      <c r="DS102" s="287"/>
      <c r="DT102" s="287"/>
      <c r="DU102" s="287"/>
      <c r="DV102" s="287"/>
      <c r="DW102" s="287"/>
      <c r="DX102" s="287"/>
      <c r="DY102" s="287"/>
      <c r="DZ102" s="287"/>
      <c r="EA102" s="287"/>
      <c r="EB102" s="320"/>
    </row>
    <row r="103">
      <c r="A103" s="640" t="s">
        <v>5029</v>
      </c>
      <c r="B103" s="82" t="s">
        <v>5030</v>
      </c>
      <c r="C103" s="83" t="s">
        <v>1415</v>
      </c>
      <c r="D103" s="84" t="s">
        <v>1415</v>
      </c>
      <c r="E103" s="85" t="s">
        <v>1415</v>
      </c>
      <c r="F103" s="86" t="s">
        <v>333</v>
      </c>
      <c r="G103" s="82" t="s">
        <v>1257</v>
      </c>
      <c r="H103" s="88" t="s">
        <v>5031</v>
      </c>
      <c r="I103" s="88" t="s">
        <v>2932</v>
      </c>
      <c r="J103" s="88" t="s">
        <v>3893</v>
      </c>
      <c r="K103" s="93" t="s">
        <v>1339</v>
      </c>
      <c r="L103" s="93" t="s">
        <v>5032</v>
      </c>
      <c r="M103" s="93" t="s">
        <v>5033</v>
      </c>
      <c r="N103" s="93" t="s">
        <v>5034</v>
      </c>
      <c r="O103" s="93" t="s">
        <v>5023</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3" t="s">
        <v>2635</v>
      </c>
      <c r="BE103" s="93" t="s">
        <v>5039</v>
      </c>
      <c r="BF103" s="93" t="s">
        <v>3562</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4463</v>
      </c>
      <c r="BT103" s="93" t="s">
        <v>4298</v>
      </c>
      <c r="BU103" s="98"/>
      <c r="BV103" s="210" t="s">
        <v>431</v>
      </c>
      <c r="BW103" s="98"/>
      <c r="BX103" s="98"/>
      <c r="BY103" s="93" t="s">
        <v>3656</v>
      </c>
      <c r="BZ103" s="93" t="s">
        <v>637</v>
      </c>
      <c r="CA103" s="88" t="s">
        <v>5055</v>
      </c>
      <c r="CB103" s="93" t="s">
        <v>5056</v>
      </c>
      <c r="CC103" s="93" t="s">
        <v>3516</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3930</v>
      </c>
      <c r="CV103" s="88" t="s">
        <v>5066</v>
      </c>
      <c r="CW103" s="93" t="s">
        <v>5067</v>
      </c>
      <c r="CX103" s="98"/>
      <c r="CY103" s="93" t="s">
        <v>4362</v>
      </c>
      <c r="CZ103" s="93" t="s">
        <v>5068</v>
      </c>
      <c r="DA103" s="93" t="s">
        <v>4100</v>
      </c>
      <c r="DB103" s="93" t="s">
        <v>5069</v>
      </c>
      <c r="DC103" s="93" t="s">
        <v>5070</v>
      </c>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5015</v>
      </c>
      <c r="G109" s="82" t="s">
        <v>5083</v>
      </c>
      <c r="H109" s="98"/>
      <c r="I109" s="337" t="s">
        <v>2056</v>
      </c>
      <c r="J109" s="337" t="s">
        <v>5179</v>
      </c>
      <c r="K109" s="337" t="s">
        <v>657</v>
      </c>
      <c r="L109" s="337" t="s">
        <v>4999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5020</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3278</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4932</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5065</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5022</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3266</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4988</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5003</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4956</v>
      </c>
      <c r="CV120" s="206" t="s">
        <v>5504</v>
      </c>
      <c r="CW120" s="206" t="s">
        <v>4501</v>
      </c>
      <c r="CX120" s="206" t="s">
        <v>5157</v>
      </c>
      <c r="CY120" s="206" t="s">
        <v>4934</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4954</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5023</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4944</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3266</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4971</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4968</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4979</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687"/>
      <c r="CO134" s="284"/>
      <c r="CP134" s="284"/>
      <c r="CQ134" s="284"/>
      <c r="CR134" s="284"/>
      <c r="CS134" s="101"/>
      <c r="CT134" s="317" t="s">
        <v>5723</v>
      </c>
      <c r="CU134" s="317" t="s">
        <v>5724</v>
      </c>
      <c r="CV134" s="688"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9" t="s">
        <v>3536</v>
      </c>
      <c r="M135" s="290" t="s">
        <v>5734</v>
      </c>
      <c r="N135" s="290" t="s">
        <v>5735</v>
      </c>
      <c r="O135" s="290" t="s">
        <v>1742</v>
      </c>
      <c r="P135" s="290" t="s">
        <v>249</v>
      </c>
      <c r="Q135" s="690"/>
      <c r="R135" s="690"/>
      <c r="S135" s="691">
        <v>37.85</v>
      </c>
      <c r="T135" s="690"/>
      <c r="U135" s="93" t="s">
        <v>1906</v>
      </c>
      <c r="V135" s="691" t="s">
        <v>5736</v>
      </c>
      <c r="W135" s="692"/>
      <c r="X135" s="693"/>
      <c r="Y135" s="693"/>
      <c r="Z135" s="100" t="s">
        <v>2947</v>
      </c>
      <c r="AA135" s="694"/>
      <c r="AB135" s="290" t="s">
        <v>3369</v>
      </c>
      <c r="AC135" s="693"/>
      <c r="AD135" s="690"/>
      <c r="AE135" s="693"/>
      <c r="AF135" s="693"/>
      <c r="AG135" s="690"/>
      <c r="AH135" s="690"/>
      <c r="AI135" s="100" t="s">
        <v>2287</v>
      </c>
      <c r="AJ135" s="690"/>
      <c r="AK135" s="692"/>
      <c r="AL135" s="693"/>
      <c r="AM135" s="100" t="s">
        <v>2499</v>
      </c>
      <c r="AN135" s="690"/>
      <c r="AO135" s="690"/>
      <c r="AP135" s="691"/>
      <c r="AQ135" s="691"/>
      <c r="AR135" s="690"/>
      <c r="AS135" s="690"/>
      <c r="AT135" s="290" t="s">
        <v>5659</v>
      </c>
      <c r="AU135" s="290" t="s">
        <v>3238</v>
      </c>
      <c r="AV135" s="290" t="s">
        <v>480</v>
      </c>
      <c r="AW135" s="690"/>
      <c r="AX135" s="690"/>
      <c r="AY135" s="690"/>
      <c r="AZ135" s="695"/>
      <c r="BA135" s="693"/>
      <c r="BB135" s="693"/>
      <c r="BC135" s="100" t="s">
        <v>1735</v>
      </c>
      <c r="BD135" s="290" t="s">
        <v>372</v>
      </c>
      <c r="BE135" s="693"/>
      <c r="BF135" s="693"/>
      <c r="BG135" s="690"/>
      <c r="BH135" s="290" t="s">
        <v>2978</v>
      </c>
      <c r="BI135" s="690"/>
      <c r="BJ135" s="100" t="s">
        <v>5737</v>
      </c>
      <c r="BK135" s="290" t="s">
        <v>3746</v>
      </c>
      <c r="BL135" s="690"/>
      <c r="BM135" s="691">
        <v>35.32</v>
      </c>
      <c r="BN135" s="693"/>
      <c r="BO135" s="690"/>
      <c r="BP135" s="695"/>
      <c r="BQ135" s="693"/>
      <c r="BR135" s="693"/>
      <c r="BS135" s="290" t="s">
        <v>2643</v>
      </c>
      <c r="BT135" s="290" t="s">
        <v>5738</v>
      </c>
      <c r="BU135" s="693"/>
      <c r="BV135" s="290" t="s">
        <v>2885</v>
      </c>
      <c r="BW135" s="690"/>
      <c r="BX135" s="693"/>
      <c r="BY135" s="693"/>
      <c r="BZ135" s="100" t="s">
        <v>5448</v>
      </c>
      <c r="CA135" s="691" t="s">
        <v>5739</v>
      </c>
      <c r="CB135" s="690"/>
      <c r="CC135" s="691">
        <v>37.19</v>
      </c>
      <c r="CD135" s="691" t="s">
        <v>5740</v>
      </c>
      <c r="CE135" s="695"/>
      <c r="CF135" s="693"/>
      <c r="CG135" s="693"/>
      <c r="CH135" s="693"/>
      <c r="CI135" s="693"/>
      <c r="CJ135" s="693"/>
      <c r="CK135" s="290" t="s">
        <v>5741</v>
      </c>
      <c r="CL135" s="290" t="s">
        <v>841</v>
      </c>
      <c r="CM135" s="693"/>
      <c r="CN135" s="696"/>
      <c r="CO135" s="690"/>
      <c r="CP135" s="690"/>
      <c r="CQ135" s="691">
        <v>52.7</v>
      </c>
      <c r="CR135" s="690"/>
      <c r="CS135" s="697"/>
      <c r="CT135" s="693"/>
      <c r="CU135" s="290" t="s">
        <v>3174</v>
      </c>
      <c r="CV135" s="100" t="s">
        <v>2816</v>
      </c>
      <c r="CW135" s="693"/>
      <c r="CX135" s="693"/>
      <c r="CY135" s="290" t="s">
        <v>2358</v>
      </c>
      <c r="CZ135" s="698" t="s">
        <v>5742</v>
      </c>
      <c r="DA135" s="693"/>
      <c r="DB135" s="690"/>
      <c r="DC135" s="690"/>
      <c r="DD135" s="690"/>
      <c r="DE135" s="690"/>
      <c r="DF135" s="695"/>
      <c r="DG135" s="693"/>
      <c r="DH135" s="690"/>
      <c r="DI135" s="690"/>
      <c r="DJ135" s="693"/>
      <c r="DK135" s="693"/>
      <c r="DL135" s="290" t="s">
        <v>3932</v>
      </c>
      <c r="DM135" s="690"/>
      <c r="DN135" s="690"/>
      <c r="DO135" s="690"/>
      <c r="DP135" s="290" t="s">
        <v>5743</v>
      </c>
      <c r="DQ135" s="290" t="s">
        <v>4573</v>
      </c>
      <c r="DR135" s="690"/>
      <c r="DS135" s="693"/>
      <c r="DT135" s="690"/>
      <c r="DU135" s="690"/>
      <c r="DV135" s="690"/>
      <c r="DW135" s="690"/>
      <c r="DX135" s="690"/>
      <c r="DY135" s="693"/>
      <c r="DZ135" s="690"/>
      <c r="EA135" s="690"/>
      <c r="EB135" s="698"/>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3272</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5775</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5776</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5777</v>
      </c>
      <c r="CC137" s="88" t="s">
        <v>623</v>
      </c>
      <c r="CD137" s="98"/>
      <c r="CE137" s="264"/>
      <c r="CF137" s="98"/>
      <c r="CG137" s="88" t="s">
        <v>5778</v>
      </c>
      <c r="CH137" s="93" t="s">
        <v>5779</v>
      </c>
      <c r="CI137" s="98"/>
      <c r="CJ137" s="98"/>
      <c r="CK137" s="98"/>
      <c r="CL137" s="98"/>
      <c r="CM137" s="98"/>
      <c r="CN137" s="98"/>
      <c r="CO137" s="98"/>
      <c r="CP137" s="98"/>
      <c r="CQ137" s="98"/>
      <c r="CR137" s="88" t="s">
        <v>182</v>
      </c>
      <c r="CS137" s="101"/>
      <c r="CT137" s="98"/>
      <c r="CU137" s="98"/>
      <c r="CV137" s="98"/>
      <c r="CW137" s="98"/>
      <c r="CX137" s="98"/>
      <c r="CY137" s="98"/>
      <c r="CZ137" s="88" t="s">
        <v>5780</v>
      </c>
      <c r="DA137" s="98"/>
      <c r="DB137" s="98"/>
      <c r="DC137" s="98"/>
      <c r="DD137" s="98"/>
      <c r="DE137" s="88" t="s">
        <v>5781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5782</v>
      </c>
      <c r="B138" s="103" t="s">
        <v>5783</v>
      </c>
      <c r="C138" s="104" t="s">
        <v>1415</v>
      </c>
      <c r="D138" s="105" t="s">
        <v>1415</v>
      </c>
      <c r="E138" s="106" t="s">
        <v>1415</v>
      </c>
      <c r="F138" s="107" t="s">
        <v>1415</v>
      </c>
      <c r="G138" s="103" t="s">
        <v>1881</v>
      </c>
      <c r="H138" s="167" t="s">
        <v>2066</v>
      </c>
      <c r="I138" s="167" t="s">
        <v>3566</v>
      </c>
      <c r="J138" s="167" t="s">
        <v>568</v>
      </c>
      <c r="K138" s="167" t="s">
        <v>3077</v>
      </c>
      <c r="L138" s="167" t="s">
        <v>4047</v>
      </c>
      <c r="M138" s="167" t="s">
        <v>5784</v>
      </c>
      <c r="N138" s="167" t="s">
        <v>5785</v>
      </c>
      <c r="O138" s="167" t="s">
        <v>444</v>
      </c>
      <c r="P138" s="167" t="s">
        <v>3971</v>
      </c>
      <c r="Q138" s="223"/>
      <c r="R138" s="223"/>
      <c r="S138" s="223"/>
      <c r="T138" s="223"/>
      <c r="U138" s="223"/>
      <c r="V138" s="223"/>
      <c r="W138" s="92"/>
      <c r="X138" s="199" t="s">
        <v>4927</v>
      </c>
      <c r="Y138" s="199" t="s">
        <v>4217</v>
      </c>
      <c r="Z138" s="199" t="s">
        <v>5786</v>
      </c>
      <c r="AA138" s="199" t="s">
        <v>785</v>
      </c>
      <c r="AB138" s="199" t="s">
        <v>4368</v>
      </c>
      <c r="AC138" s="199" t="s">
        <v>1731</v>
      </c>
      <c r="AD138" s="273"/>
      <c r="AE138" s="273"/>
      <c r="AF138" s="199" t="s">
        <v>5787</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5788</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4951</v>
      </c>
      <c r="BT138" s="175" t="s">
        <v>211</v>
      </c>
      <c r="BU138" s="280"/>
      <c r="BV138" s="175" t="s">
        <v>5789</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5790</v>
      </c>
      <c r="DA138" s="285"/>
      <c r="DB138" s="285"/>
      <c r="DC138" s="285"/>
      <c r="DD138" s="206" t="s">
        <v>2132</v>
      </c>
      <c r="DE138" s="285"/>
      <c r="DF138" s="286"/>
      <c r="DG138" s="287"/>
      <c r="DH138" s="287"/>
      <c r="DI138" s="287"/>
      <c r="DJ138" s="287"/>
      <c r="DK138" s="207" t="s">
        <v>5791</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5792</v>
      </c>
      <c r="B139" s="82" t="s">
        <v>5793</v>
      </c>
      <c r="C139" s="83" t="s">
        <v>1415</v>
      </c>
      <c r="D139" s="84" t="s">
        <v>1415</v>
      </c>
      <c r="E139" s="85" t="s">
        <v>1415</v>
      </c>
      <c r="F139" s="86" t="s">
        <v>2692</v>
      </c>
      <c r="G139" s="82" t="s">
        <v>2692</v>
      </c>
      <c r="H139" s="98"/>
      <c r="I139" s="98"/>
      <c r="J139" s="98"/>
      <c r="K139" s="98"/>
      <c r="L139" s="98"/>
      <c r="M139" s="98"/>
      <c r="N139" s="98"/>
      <c r="O139" s="88" t="s">
        <v>5794</v>
      </c>
      <c r="P139" s="88" t="s">
        <v>5795</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5796</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5797</v>
      </c>
      <c r="CA139" s="98"/>
      <c r="CB139" s="98"/>
      <c r="CC139" s="98"/>
      <c r="CD139" s="98"/>
      <c r="CE139" s="264"/>
      <c r="CF139" s="98"/>
      <c r="CG139" s="98"/>
      <c r="CH139" s="98"/>
      <c r="CI139" s="88" t="s">
        <v>5798</v>
      </c>
      <c r="CJ139" s="88" t="s">
        <v>5799</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5800</v>
      </c>
      <c r="B140" s="103" t="s">
        <v>5801</v>
      </c>
      <c r="C140" s="104" t="s">
        <v>1415</v>
      </c>
      <c r="D140" s="105" t="s">
        <v>738</v>
      </c>
      <c r="E140" s="106" t="s">
        <v>1415</v>
      </c>
      <c r="F140" s="107" t="s">
        <v>3650</v>
      </c>
      <c r="G140" s="103" t="s">
        <v>4915</v>
      </c>
      <c r="H140" s="223"/>
      <c r="I140" s="167" t="s">
        <v>5802</v>
      </c>
      <c r="J140" s="167" t="s">
        <v>4269</v>
      </c>
      <c r="K140" s="112" t="s">
        <v>657</v>
      </c>
      <c r="L140" s="112" t="s">
        <v>5803</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5804</v>
      </c>
      <c r="CH140" s="284"/>
      <c r="CI140" s="314" t="s">
        <v>3828</v>
      </c>
      <c r="CJ140" s="314"/>
      <c r="CK140" s="284"/>
      <c r="CL140" s="284"/>
      <c r="CM140" s="177" t="s">
        <v>933</v>
      </c>
      <c r="CN140" s="284"/>
      <c r="CO140" s="284"/>
      <c r="CP140" s="284"/>
      <c r="CQ140" s="284"/>
      <c r="CR140" s="284"/>
      <c r="CS140" s="101"/>
      <c r="CT140" s="206" t="s">
        <v>5805</v>
      </c>
      <c r="CU140" s="285"/>
      <c r="CV140" s="141" t="s">
        <v>5806</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5807</v>
      </c>
      <c r="DR140" s="287"/>
      <c r="DS140" s="287"/>
      <c r="DT140" s="287"/>
      <c r="DU140" s="287"/>
      <c r="DV140" s="287"/>
      <c r="DW140" s="287"/>
      <c r="DX140" s="287"/>
      <c r="DY140" s="287"/>
      <c r="DZ140" s="287"/>
      <c r="EA140" s="287"/>
      <c r="EB140" s="379" t="s">
        <v>5808</v>
      </c>
    </row>
    <row r="141">
      <c r="A141" s="700" t="s">
        <v>5809</v>
      </c>
      <c r="B141" s="82" t="s">
        <v>5810</v>
      </c>
      <c r="C141" s="83" t="s">
        <v>1415</v>
      </c>
      <c r="D141" s="84" t="s">
        <v>1415</v>
      </c>
      <c r="E141" s="85" t="s">
        <v>1415</v>
      </c>
      <c r="F141" s="86" t="s">
        <v>1415</v>
      </c>
      <c r="G141" s="82" t="s">
        <v>3716</v>
      </c>
      <c r="H141" s="93" t="s">
        <v>3947</v>
      </c>
      <c r="I141" s="93" t="s">
        <v>4014</v>
      </c>
      <c r="J141" s="93" t="s">
        <v>673</v>
      </c>
      <c r="K141" s="93" t="s">
        <v>5811</v>
      </c>
      <c r="L141" s="93" t="s">
        <v>5812</v>
      </c>
      <c r="M141" s="93" t="s">
        <v>5813</v>
      </c>
      <c r="N141" s="93" t="s">
        <v>5814</v>
      </c>
      <c r="O141" s="93" t="s">
        <v>3011</v>
      </c>
      <c r="P141" s="93" t="s">
        <v>4140</v>
      </c>
      <c r="Q141" s="93" t="s">
        <v>5815</v>
      </c>
      <c r="R141" s="98"/>
      <c r="S141" s="93" t="s">
        <v>904</v>
      </c>
      <c r="T141" s="98"/>
      <c r="U141" s="93" t="s">
        <v>5816</v>
      </c>
      <c r="V141" s="93" t="s">
        <v>5817</v>
      </c>
      <c r="W141" s="92"/>
      <c r="X141" s="93" t="s">
        <v>5818</v>
      </c>
      <c r="Y141" s="93" t="s">
        <v>2007</v>
      </c>
      <c r="Z141" s="93" t="s">
        <v>3490</v>
      </c>
      <c r="AA141" s="93" t="s">
        <v>3536</v>
      </c>
      <c r="AB141" s="93" t="s">
        <v>3114</v>
      </c>
      <c r="AC141" s="93" t="s">
        <v>5819</v>
      </c>
      <c r="AD141" s="93"/>
      <c r="AE141" s="93" t="s">
        <v>5820</v>
      </c>
      <c r="AF141" s="93" t="s">
        <v>5821</v>
      </c>
      <c r="AG141" s="93" t="s">
        <v>5822</v>
      </c>
      <c r="AH141" s="98"/>
      <c r="AI141" s="93" t="s">
        <v>5134</v>
      </c>
      <c r="AJ141" s="93" t="s">
        <v>5823</v>
      </c>
      <c r="AK141" s="92"/>
      <c r="AL141" s="93" t="s">
        <v>5824</v>
      </c>
      <c r="AM141" s="93" t="s">
        <v>5474</v>
      </c>
      <c r="AN141" s="93" t="s">
        <v>5825</v>
      </c>
      <c r="AO141" s="93" t="s">
        <v>1977</v>
      </c>
      <c r="AP141" s="93" t="s">
        <v>5826</v>
      </c>
      <c r="AQ141" s="93" t="s">
        <v>5827</v>
      </c>
      <c r="AR141" s="93" t="s">
        <v>5828</v>
      </c>
      <c r="AS141" s="93" t="s">
        <v>5829</v>
      </c>
      <c r="AT141" s="93" t="s">
        <v>597</v>
      </c>
      <c r="AU141" s="93" t="s">
        <v>1583</v>
      </c>
      <c r="AV141" s="93" t="s">
        <v>5830</v>
      </c>
      <c r="AW141" s="98"/>
      <c r="AX141" s="93" t="s">
        <v>5831</v>
      </c>
      <c r="AY141" s="93" t="s">
        <v>5832</v>
      </c>
      <c r="AZ141" s="264"/>
      <c r="BA141" s="93" t="s">
        <v>5833</v>
      </c>
      <c r="BB141" s="93" t="s">
        <v>5834</v>
      </c>
      <c r="BC141" s="93" t="s">
        <v>3057</v>
      </c>
      <c r="BD141" s="93" t="s">
        <v>3730</v>
      </c>
      <c r="BE141" s="93" t="s">
        <v>5835</v>
      </c>
      <c r="BF141" s="93" t="s">
        <v>5836</v>
      </c>
      <c r="BG141" s="93" t="s">
        <v>5837</v>
      </c>
      <c r="BH141" s="93" t="s">
        <v>5838</v>
      </c>
      <c r="BI141" s="98"/>
      <c r="BJ141" s="98"/>
      <c r="BK141" s="93" t="s">
        <v>456</v>
      </c>
      <c r="BL141" s="93" t="s">
        <v>5839</v>
      </c>
      <c r="BM141" s="93" t="s">
        <v>4250</v>
      </c>
      <c r="BN141" s="93" t="s">
        <v>556</v>
      </c>
      <c r="BO141" s="93" t="s">
        <v>5840</v>
      </c>
      <c r="BP141" s="264"/>
      <c r="BQ141" s="93" t="s">
        <v>5841</v>
      </c>
      <c r="BR141" s="93" t="s">
        <v>1160</v>
      </c>
      <c r="BS141" s="93" t="s">
        <v>879</v>
      </c>
      <c r="BT141" s="93" t="s">
        <v>2345</v>
      </c>
      <c r="BU141" s="93" t="s">
        <v>5842</v>
      </c>
      <c r="BV141" s="93" t="s">
        <v>5843</v>
      </c>
      <c r="BW141" s="93" t="s">
        <v>1584</v>
      </c>
      <c r="BX141" s="93" t="s">
        <v>1249</v>
      </c>
      <c r="BY141" s="98"/>
      <c r="BZ141" s="93" t="s">
        <v>5844</v>
      </c>
      <c r="CA141" s="93" t="s">
        <v>5845</v>
      </c>
      <c r="CB141" s="93" t="s">
        <v>452</v>
      </c>
      <c r="CC141" s="93" t="s">
        <v>179</v>
      </c>
      <c r="CD141" s="93" t="s">
        <v>5846</v>
      </c>
      <c r="CE141" s="264"/>
      <c r="CF141" s="93" t="s">
        <v>5847</v>
      </c>
      <c r="CG141" s="93" t="s">
        <v>1446</v>
      </c>
      <c r="CH141" s="93" t="s">
        <v>487</v>
      </c>
      <c r="CI141" s="93" t="s">
        <v>5848</v>
      </c>
      <c r="CJ141" s="93" t="s">
        <v>4956</v>
      </c>
      <c r="CK141" s="93" t="s">
        <v>5849</v>
      </c>
      <c r="CL141" s="93" t="s">
        <v>3779</v>
      </c>
      <c r="CM141" s="93" t="s">
        <v>2110</v>
      </c>
      <c r="CN141" s="93" t="s">
        <v>5850</v>
      </c>
      <c r="CO141" s="93" t="s">
        <v>5851</v>
      </c>
      <c r="CP141" s="98"/>
      <c r="CQ141" s="93" t="s">
        <v>5852</v>
      </c>
      <c r="CR141" s="93" t="s">
        <v>5853</v>
      </c>
      <c r="CS141" s="101"/>
      <c r="CT141" s="93" t="s">
        <v>2720</v>
      </c>
      <c r="CU141" s="93" t="s">
        <v>5854</v>
      </c>
      <c r="CV141" s="93" t="s">
        <v>2378</v>
      </c>
      <c r="CW141" s="93" t="s">
        <v>5855</v>
      </c>
      <c r="CX141" s="93" t="s">
        <v>1429</v>
      </c>
      <c r="CY141" s="93" t="s">
        <v>4197</v>
      </c>
      <c r="CZ141" s="93" t="s">
        <v>5856</v>
      </c>
      <c r="DA141" s="93" t="s">
        <v>5857</v>
      </c>
      <c r="DB141" s="93" t="s">
        <v>5858</v>
      </c>
      <c r="DC141" s="93" t="s">
        <v>4160</v>
      </c>
      <c r="DD141" s="93" t="s">
        <v>2172</v>
      </c>
      <c r="DE141" s="93" t="s">
        <v>5859</v>
      </c>
      <c r="DF141" s="264"/>
      <c r="DG141" s="93" t="s">
        <v>3851</v>
      </c>
      <c r="DH141" s="98"/>
      <c r="DI141" s="93" t="s">
        <v>2664</v>
      </c>
      <c r="DJ141" s="93" t="s">
        <v>2101</v>
      </c>
      <c r="DK141" s="93" t="s">
        <v>3296</v>
      </c>
      <c r="DL141" s="93" t="s">
        <v>2441</v>
      </c>
      <c r="DM141" s="93" t="s">
        <v>4061</v>
      </c>
      <c r="DN141" s="93" t="s">
        <v>5860</v>
      </c>
      <c r="DO141" s="93" t="s">
        <v>199</v>
      </c>
      <c r="DP141" s="93" t="s">
        <v>5861</v>
      </c>
      <c r="DQ141" s="93" t="s">
        <v>3012</v>
      </c>
      <c r="DR141" s="93" t="s">
        <v>4733</v>
      </c>
      <c r="DS141" s="93" t="s">
        <v>5862</v>
      </c>
      <c r="DT141" s="93" t="s">
        <v>5863</v>
      </c>
      <c r="DU141" s="93" t="s">
        <v>1125</v>
      </c>
      <c r="DV141" s="93" t="s">
        <v>3818</v>
      </c>
      <c r="DW141" s="93" t="s">
        <v>5864</v>
      </c>
      <c r="DX141" s="93" t="s">
        <v>4454</v>
      </c>
      <c r="DY141" s="93" t="s">
        <v>2575</v>
      </c>
      <c r="DZ141" s="93" t="s">
        <v>5195</v>
      </c>
      <c r="EA141" s="93" t="s">
        <v>2307</v>
      </c>
      <c r="EB141" s="701" t="s">
        <v>4417</v>
      </c>
    </row>
    <row r="142">
      <c r="A142" s="702" t="s">
        <v>5865</v>
      </c>
      <c r="B142" s="103" t="s">
        <v>5866</v>
      </c>
      <c r="C142" s="104" t="s">
        <v>1415</v>
      </c>
      <c r="D142" s="105" t="s">
        <v>1415</v>
      </c>
      <c r="E142" s="106" t="s">
        <v>1415</v>
      </c>
      <c r="F142" s="107" t="s">
        <v>5687</v>
      </c>
      <c r="G142" s="103" t="s">
        <v>1881</v>
      </c>
      <c r="H142" s="305"/>
      <c r="I142" s="110" t="s">
        <v>5867</v>
      </c>
      <c r="J142" s="112" t="s">
        <v>4659</v>
      </c>
      <c r="K142" s="112" t="s">
        <v>5868</v>
      </c>
      <c r="L142" s="112" t="s">
        <v>2021</v>
      </c>
      <c r="M142" s="494"/>
      <c r="N142" s="112" t="s">
        <v>709</v>
      </c>
      <c r="O142" s="295" t="s">
        <v>5869</v>
      </c>
      <c r="P142" s="112" t="s">
        <v>1933</v>
      </c>
      <c r="Q142" s="223"/>
      <c r="R142" s="223"/>
      <c r="S142" s="223"/>
      <c r="T142" s="223"/>
      <c r="U142" s="223"/>
      <c r="V142" s="223"/>
      <c r="W142" s="92"/>
      <c r="X142" s="116" t="s">
        <v>5870</v>
      </c>
      <c r="Y142" s="117" t="s">
        <v>5871</v>
      </c>
      <c r="Z142" s="117" t="s">
        <v>5872</v>
      </c>
      <c r="AA142" s="376" t="s">
        <v>2694</v>
      </c>
      <c r="AB142" s="117"/>
      <c r="AC142" s="117" t="s">
        <v>5873</v>
      </c>
      <c r="AD142" s="273"/>
      <c r="AE142" s="117"/>
      <c r="AF142" s="117"/>
      <c r="AG142" s="273"/>
      <c r="AH142" s="273"/>
      <c r="AI142" s="117"/>
      <c r="AJ142" s="273"/>
      <c r="AK142" s="92"/>
      <c r="AL142" s="124"/>
      <c r="AM142" s="124"/>
      <c r="AN142" s="274"/>
      <c r="AO142" s="274"/>
      <c r="AP142" s="168"/>
      <c r="AQ142" s="168"/>
      <c r="AR142" s="274"/>
      <c r="AS142" s="274"/>
      <c r="AT142" s="121" t="s">
        <v>1192</v>
      </c>
      <c r="AU142" s="121" t="s">
        <v>5874</v>
      </c>
      <c r="AV142" s="124"/>
      <c r="AW142" s="274"/>
      <c r="AX142" s="274"/>
      <c r="AY142" s="274"/>
      <c r="AZ142" s="275"/>
      <c r="BA142" s="127" t="s">
        <v>5875</v>
      </c>
      <c r="BB142" s="334" t="s">
        <v>5876</v>
      </c>
      <c r="BC142" s="409"/>
      <c r="BD142" s="127" t="s">
        <v>1538</v>
      </c>
      <c r="BE142" s="127" t="s">
        <v>4515</v>
      </c>
      <c r="BF142" s="409"/>
      <c r="BG142" s="173"/>
      <c r="BH142" s="127" t="s">
        <v>2966</v>
      </c>
      <c r="BI142" s="334" t="s">
        <v>5877</v>
      </c>
      <c r="BJ142" s="409"/>
      <c r="BK142" s="409"/>
      <c r="BL142" s="173"/>
      <c r="BM142" s="173"/>
      <c r="BN142" s="409"/>
      <c r="BO142" s="173"/>
      <c r="BP142" s="277"/>
      <c r="BQ142" s="133" t="s">
        <v>2501</v>
      </c>
      <c r="BR142" s="133" t="s">
        <v>5878</v>
      </c>
      <c r="BS142" s="133"/>
      <c r="BT142" s="133" t="s">
        <v>2877</v>
      </c>
      <c r="BU142" s="133" t="s">
        <v>5879</v>
      </c>
      <c r="BV142" s="133"/>
      <c r="BW142" s="280"/>
      <c r="BX142" s="133"/>
      <c r="BY142" s="133"/>
      <c r="BZ142" s="133"/>
      <c r="CA142" s="280"/>
      <c r="CB142" s="280"/>
      <c r="CC142" s="280"/>
      <c r="CD142" s="280"/>
      <c r="CE142" s="281"/>
      <c r="CF142" s="137" t="s">
        <v>5880</v>
      </c>
      <c r="CG142" s="137" t="s">
        <v>4080</v>
      </c>
      <c r="CH142" s="137" t="s">
        <v>3349</v>
      </c>
      <c r="CI142" s="137" t="s">
        <v>5881</v>
      </c>
      <c r="CJ142" s="137"/>
      <c r="CK142" s="137" t="s">
        <v>5882</v>
      </c>
      <c r="CL142" s="136" t="s">
        <v>3075</v>
      </c>
      <c r="CM142" s="137"/>
      <c r="CN142" s="687"/>
      <c r="CO142" s="284"/>
      <c r="CP142" s="284"/>
      <c r="CQ142" s="284"/>
      <c r="CR142" s="284"/>
      <c r="CS142" s="101"/>
      <c r="CT142" s="141" t="s">
        <v>5304</v>
      </c>
      <c r="CU142" s="318"/>
      <c r="CV142" s="378" t="s">
        <v>5883</v>
      </c>
      <c r="CW142" s="318"/>
      <c r="CX142" s="141" t="s">
        <v>5884</v>
      </c>
      <c r="CY142" s="318"/>
      <c r="CZ142" s="141" t="s">
        <v>5885</v>
      </c>
      <c r="DA142" s="318"/>
      <c r="DB142" s="285"/>
      <c r="DC142" s="285"/>
      <c r="DD142" s="285"/>
      <c r="DE142" s="285"/>
      <c r="DF142" s="286"/>
      <c r="DG142" s="208"/>
      <c r="DH142" s="287"/>
      <c r="DI142" s="287"/>
      <c r="DJ142" s="208"/>
      <c r="DK142" s="208"/>
      <c r="DL142" s="208"/>
      <c r="DM142" s="287"/>
      <c r="DN142" s="287"/>
      <c r="DO142" s="287"/>
      <c r="DP142" s="208" t="s">
        <v>5886</v>
      </c>
      <c r="DQ142" s="208"/>
      <c r="DR142" s="287"/>
      <c r="DS142" s="208"/>
      <c r="DT142" s="287"/>
      <c r="DU142" s="287"/>
      <c r="DV142" s="287"/>
      <c r="DW142" s="287"/>
      <c r="DX142" s="287"/>
      <c r="DY142" s="208"/>
      <c r="DZ142" s="287"/>
      <c r="EA142" s="287"/>
      <c r="EB142" s="320"/>
    </row>
    <row r="143">
      <c r="A143" s="81" t="s">
        <v>5887</v>
      </c>
      <c r="B143" s="82" t="s">
        <v>5888</v>
      </c>
      <c r="C143" s="83" t="s">
        <v>1415</v>
      </c>
      <c r="D143" s="84" t="s">
        <v>1415</v>
      </c>
      <c r="E143" s="85" t="s">
        <v>1415</v>
      </c>
      <c r="F143" s="86" t="s">
        <v>738</v>
      </c>
      <c r="G143" s="82" t="s">
        <v>914</v>
      </c>
      <c r="H143" s="98"/>
      <c r="I143" s="98"/>
      <c r="J143" s="93" t="s">
        <v>5889</v>
      </c>
      <c r="K143" s="93" t="s">
        <v>657</v>
      </c>
      <c r="L143" s="93" t="s">
        <v>5890</v>
      </c>
      <c r="M143" s="98"/>
      <c r="N143" s="93" t="s">
        <v>2591</v>
      </c>
      <c r="O143" s="93" t="s">
        <v>5891</v>
      </c>
      <c r="P143" s="98"/>
      <c r="Q143" s="98"/>
      <c r="R143" s="98"/>
      <c r="S143" s="98"/>
      <c r="T143" s="98"/>
      <c r="U143" s="98"/>
      <c r="V143" s="98"/>
      <c r="W143" s="92"/>
      <c r="X143" s="98"/>
      <c r="Y143" s="98"/>
      <c r="Z143" s="93" t="s">
        <v>5892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5893</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5894</v>
      </c>
      <c r="B144" s="103" t="s">
        <v>5895</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5896</v>
      </c>
      <c r="B145" s="82" t="s">
        <v>5897</v>
      </c>
      <c r="C145" s="83" t="s">
        <v>1415</v>
      </c>
      <c r="D145" s="84" t="s">
        <v>1415</v>
      </c>
      <c r="E145" s="85" t="s">
        <v>1415</v>
      </c>
      <c r="F145" s="86" t="s">
        <v>1064</v>
      </c>
      <c r="G145" s="82" t="s">
        <v>1881</v>
      </c>
      <c r="H145" s="93"/>
      <c r="I145" s="88" t="s">
        <v>5898</v>
      </c>
      <c r="J145" s="88" t="s">
        <v>1653</v>
      </c>
      <c r="K145" s="88" t="s">
        <v>1894</v>
      </c>
      <c r="L145" s="88" t="s">
        <v>5899</v>
      </c>
      <c r="M145" s="93" t="s">
        <v>5900</v>
      </c>
      <c r="N145" s="93" t="s">
        <v>3592</v>
      </c>
      <c r="O145" s="93" t="s">
        <v>5679</v>
      </c>
      <c r="P145" s="93" t="s">
        <v>3971</v>
      </c>
      <c r="Q145" s="98"/>
      <c r="R145" s="98"/>
      <c r="S145" s="98"/>
      <c r="T145" s="98"/>
      <c r="U145" s="98"/>
      <c r="V145" s="98"/>
      <c r="W145" s="92"/>
      <c r="X145" s="93" t="s">
        <v>5901</v>
      </c>
      <c r="Y145" s="98"/>
      <c r="Z145" s="93" t="s">
        <v>671</v>
      </c>
      <c r="AA145" s="93" t="s">
        <v>5902</v>
      </c>
      <c r="AB145" s="88" t="s">
        <v>5418</v>
      </c>
      <c r="AC145" s="98"/>
      <c r="AD145" s="98"/>
      <c r="AE145" s="93" t="s">
        <v>5903</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5904</v>
      </c>
      <c r="BE145" s="93" t="s">
        <v>1455</v>
      </c>
      <c r="BF145" s="93" t="s">
        <v>180</v>
      </c>
      <c r="BG145" s="98"/>
      <c r="BH145" s="88" t="s">
        <v>5905</v>
      </c>
      <c r="BI145" s="98"/>
      <c r="BJ145" s="98"/>
      <c r="BK145" s="93" t="s">
        <v>1262</v>
      </c>
      <c r="BL145" s="98"/>
      <c r="BM145" s="98"/>
      <c r="BN145" s="98"/>
      <c r="BO145" s="98"/>
      <c r="BP145" s="264"/>
      <c r="BQ145" s="93"/>
      <c r="BR145" s="98"/>
      <c r="BS145" s="98"/>
      <c r="BT145" s="93" t="s">
        <v>5906</v>
      </c>
      <c r="BU145" s="98"/>
      <c r="BV145" s="93" t="s">
        <v>2050</v>
      </c>
      <c r="BW145" s="98"/>
      <c r="BX145" s="93" t="s">
        <v>5907</v>
      </c>
      <c r="BY145" s="98"/>
      <c r="BZ145" s="93" t="s">
        <v>5908</v>
      </c>
      <c r="CA145" s="98"/>
      <c r="CB145" s="98"/>
      <c r="CC145" s="98"/>
      <c r="CD145" s="98"/>
      <c r="CE145" s="264"/>
      <c r="CF145" s="98"/>
      <c r="CG145" s="93" t="s">
        <v>5909</v>
      </c>
      <c r="CH145" s="98"/>
      <c r="CI145" s="210" t="s">
        <v>5910</v>
      </c>
      <c r="CJ145" s="210" t="s">
        <v>5662</v>
      </c>
      <c r="CK145" s="98"/>
      <c r="CL145" s="98"/>
      <c r="CM145" s="98"/>
      <c r="CN145" s="98"/>
      <c r="CO145" s="98"/>
      <c r="CP145" s="98"/>
      <c r="CQ145" s="98"/>
      <c r="CR145" s="98"/>
      <c r="CS145" s="101"/>
      <c r="CT145" s="98"/>
      <c r="CU145" s="93" t="s">
        <v>5573</v>
      </c>
      <c r="CV145" s="93" t="s">
        <v>5911</v>
      </c>
      <c r="CW145" s="98"/>
      <c r="CX145" s="98"/>
      <c r="CY145" s="93" t="s">
        <v>5354</v>
      </c>
      <c r="CZ145" s="210" t="s">
        <v>5498</v>
      </c>
      <c r="DA145" s="93" t="s">
        <v>5912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5913</v>
      </c>
      <c r="B146" s="103" t="s">
        <v>5914</v>
      </c>
      <c r="C146" s="104" t="s">
        <v>1415</v>
      </c>
      <c r="D146" s="105" t="s">
        <v>1415</v>
      </c>
      <c r="E146" s="106" t="s">
        <v>1415</v>
      </c>
      <c r="F146" s="107" t="s">
        <v>1415</v>
      </c>
      <c r="G146" s="103" t="s">
        <v>2762</v>
      </c>
      <c r="H146" s="167" t="s">
        <v>2662</v>
      </c>
      <c r="I146" s="167" t="s">
        <v>5915</v>
      </c>
      <c r="J146" s="167" t="s">
        <v>4745</v>
      </c>
      <c r="K146" s="167" t="s">
        <v>547</v>
      </c>
      <c r="L146" s="167" t="s">
        <v>5916</v>
      </c>
      <c r="M146" s="223"/>
      <c r="N146" s="223"/>
      <c r="O146" s="167" t="s">
        <v>1904</v>
      </c>
      <c r="P146" s="167" t="s">
        <v>351</v>
      </c>
      <c r="Q146" s="167"/>
      <c r="R146" s="223"/>
      <c r="S146" s="167" t="s">
        <v>5917</v>
      </c>
      <c r="T146" s="223"/>
      <c r="U146" s="167" t="s">
        <v>2783</v>
      </c>
      <c r="V146" s="223"/>
      <c r="W146" s="92"/>
      <c r="X146" s="199" t="s">
        <v>5918</v>
      </c>
      <c r="Y146" s="273"/>
      <c r="Z146" s="199" t="s">
        <v>552</v>
      </c>
      <c r="AA146" s="273"/>
      <c r="AB146" s="273"/>
      <c r="AC146" s="273"/>
      <c r="AD146" s="273"/>
      <c r="AE146" s="273"/>
      <c r="AF146" s="199" t="s">
        <v>5919</v>
      </c>
      <c r="AG146" s="199" t="s">
        <v>5920</v>
      </c>
      <c r="AH146" s="199"/>
      <c r="AI146" s="199" t="s">
        <v>5921</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5922</v>
      </c>
      <c r="BD146" s="173"/>
      <c r="BE146" s="173"/>
      <c r="BF146" s="174" t="s">
        <v>119</v>
      </c>
      <c r="BG146" s="173"/>
      <c r="BH146" s="174" t="s">
        <v>5923</v>
      </c>
      <c r="BI146" s="173"/>
      <c r="BJ146" s="173"/>
      <c r="BK146" s="173"/>
      <c r="BL146" s="173"/>
      <c r="BM146" s="173"/>
      <c r="BN146" s="173"/>
      <c r="BO146" s="173"/>
      <c r="BP146" s="277"/>
      <c r="BQ146" s="175"/>
      <c r="BR146" s="280"/>
      <c r="BS146" s="280"/>
      <c r="BT146" s="175" t="s">
        <v>5924</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5925</v>
      </c>
      <c r="B147" s="82" t="s">
        <v>5926</v>
      </c>
      <c r="C147" s="83" t="s">
        <v>1415</v>
      </c>
      <c r="D147" s="84" t="s">
        <v>1415</v>
      </c>
      <c r="E147" s="85" t="s">
        <v>1415</v>
      </c>
      <c r="F147" s="86" t="s">
        <v>334</v>
      </c>
      <c r="G147" s="82" t="s">
        <v>333</v>
      </c>
      <c r="H147" s="98"/>
      <c r="I147" s="98"/>
      <c r="J147" s="93" t="s">
        <v>5927</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5928</v>
      </c>
      <c r="BJ147" s="98"/>
      <c r="BK147" s="98"/>
      <c r="BL147" s="98"/>
      <c r="BM147" s="98"/>
      <c r="BN147" s="98"/>
      <c r="BO147" s="98"/>
      <c r="BP147" s="264"/>
      <c r="BQ147" s="98"/>
      <c r="BR147" s="98"/>
      <c r="BS147" s="88" t="s">
        <v>1261</v>
      </c>
      <c r="BT147" s="88" t="s">
        <v>4252</v>
      </c>
      <c r="BU147" s="98"/>
      <c r="BV147" s="301" t="s">
        <v>5929</v>
      </c>
      <c r="BW147" s="98"/>
      <c r="BX147" s="98"/>
      <c r="BY147" s="98"/>
      <c r="BZ147" s="98"/>
      <c r="CA147" s="98"/>
      <c r="CB147" s="98"/>
      <c r="CC147" s="98"/>
      <c r="CD147" s="98"/>
      <c r="CE147" s="264"/>
      <c r="CF147" s="93"/>
      <c r="CG147" s="88" t="s">
        <v>5930</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5931</v>
      </c>
      <c r="B148" s="103" t="s">
        <v>5932</v>
      </c>
      <c r="C148" s="104" t="s">
        <v>1415</v>
      </c>
      <c r="D148" s="105" t="s">
        <v>1415</v>
      </c>
      <c r="E148" s="106" t="s">
        <v>1415</v>
      </c>
      <c r="F148" s="107" t="s">
        <v>738</v>
      </c>
      <c r="G148" s="103" t="s">
        <v>3303</v>
      </c>
      <c r="H148" s="389"/>
      <c r="I148" s="389" t="s">
        <v>2683</v>
      </c>
      <c r="J148" s="389" t="s">
        <v>3117</v>
      </c>
      <c r="K148" s="389" t="s">
        <v>5262</v>
      </c>
      <c r="L148" s="494" t="s">
        <v>4127</v>
      </c>
      <c r="M148" s="494" t="s">
        <v>5933</v>
      </c>
      <c r="N148" s="494" t="s">
        <v>5613</v>
      </c>
      <c r="O148" s="494"/>
      <c r="P148" s="494" t="s">
        <v>2874</v>
      </c>
      <c r="Q148" s="223"/>
      <c r="R148" s="223"/>
      <c r="S148" s="223"/>
      <c r="T148" s="223"/>
      <c r="U148" s="223"/>
      <c r="V148" s="223"/>
      <c r="W148" s="92"/>
      <c r="X148" s="117"/>
      <c r="Y148" s="117"/>
      <c r="Z148" s="117" t="s">
        <v>4992</v>
      </c>
      <c r="AA148" s="376"/>
      <c r="AB148" s="117" t="s">
        <v>4275</v>
      </c>
      <c r="AC148" s="117"/>
      <c r="AD148" s="273"/>
      <c r="AE148" s="117" t="s">
        <v>5934</v>
      </c>
      <c r="AF148" s="117" t="s">
        <v>4957</v>
      </c>
      <c r="AG148" s="273"/>
      <c r="AH148" s="273"/>
      <c r="AI148" s="117"/>
      <c r="AJ148" s="273"/>
      <c r="AK148" s="92"/>
      <c r="AL148" s="124"/>
      <c r="AM148" s="124"/>
      <c r="AN148" s="274"/>
      <c r="AO148" s="274"/>
      <c r="AP148" s="168"/>
      <c r="AQ148" s="168"/>
      <c r="AR148" s="274"/>
      <c r="AS148" s="168"/>
      <c r="AT148" s="706" t="s">
        <v>5173</v>
      </c>
      <c r="AU148" s="124"/>
      <c r="AV148" s="124"/>
      <c r="AW148" s="274"/>
      <c r="AX148" s="274"/>
      <c r="AY148" s="274"/>
      <c r="AZ148" s="275"/>
      <c r="BA148" s="409" t="s">
        <v>3398</v>
      </c>
      <c r="BB148" s="409"/>
      <c r="BC148" s="409"/>
      <c r="BD148" s="409" t="s">
        <v>4501</v>
      </c>
      <c r="BE148" s="409" t="s">
        <v>5935</v>
      </c>
      <c r="BF148" s="409"/>
      <c r="BG148" s="173"/>
      <c r="BH148" s="409"/>
      <c r="BI148" s="173"/>
      <c r="BJ148" s="409"/>
      <c r="BK148" s="409"/>
      <c r="BL148" s="173"/>
      <c r="BM148" s="173"/>
      <c r="BN148" s="409"/>
      <c r="BO148" s="173"/>
      <c r="BP148" s="277"/>
      <c r="BQ148" s="133" t="s">
        <v>5936</v>
      </c>
      <c r="BR148" s="133"/>
      <c r="BS148" s="133"/>
      <c r="BT148" s="131" t="s">
        <v>1080</v>
      </c>
      <c r="BU148" s="133"/>
      <c r="BV148" s="133" t="s">
        <v>5789</v>
      </c>
      <c r="BW148" s="280"/>
      <c r="BX148" s="133"/>
      <c r="BY148" s="133" t="s">
        <v>5937</v>
      </c>
      <c r="BZ148" s="133"/>
      <c r="CA148" s="280"/>
      <c r="CB148" s="280"/>
      <c r="CC148" s="280"/>
      <c r="CD148" s="280"/>
      <c r="CE148" s="281"/>
      <c r="CF148" s="137"/>
      <c r="CG148" s="137" t="s">
        <v>5938</v>
      </c>
      <c r="CH148" s="137"/>
      <c r="CI148" s="137"/>
      <c r="CJ148" s="137"/>
      <c r="CK148" s="137"/>
      <c r="CL148" s="137"/>
      <c r="CM148" s="137" t="s">
        <v>455</v>
      </c>
      <c r="CN148" s="687"/>
      <c r="CO148" s="284"/>
      <c r="CP148" s="284"/>
      <c r="CQ148" s="284"/>
      <c r="CR148" s="284"/>
      <c r="CS148" s="101"/>
      <c r="CT148" s="318"/>
      <c r="CU148" s="318"/>
      <c r="CV148" s="707" t="s">
        <v>5286</v>
      </c>
      <c r="CW148" s="707" t="s">
        <v>5939</v>
      </c>
      <c r="CX148" s="318"/>
      <c r="CY148" s="318" t="s">
        <v>5940</v>
      </c>
      <c r="CZ148" s="318" t="s">
        <v>5941</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5942</v>
      </c>
      <c r="B149" s="82" t="s">
        <v>5943</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5944</v>
      </c>
      <c r="B150" s="103" t="s">
        <v>5945</v>
      </c>
      <c r="C150" s="104" t="s">
        <v>1415</v>
      </c>
      <c r="D150" s="105" t="s">
        <v>1415</v>
      </c>
      <c r="E150" s="106" t="s">
        <v>1415</v>
      </c>
      <c r="F150" s="107" t="s">
        <v>438</v>
      </c>
      <c r="G150" s="103" t="s">
        <v>5550</v>
      </c>
      <c r="H150" s="223"/>
      <c r="I150" s="167" t="s">
        <v>1834</v>
      </c>
      <c r="J150" s="167" t="s">
        <v>2587</v>
      </c>
      <c r="K150" s="167" t="s">
        <v>2224</v>
      </c>
      <c r="L150" s="167" t="s">
        <v>145</v>
      </c>
      <c r="M150" s="167" t="s">
        <v>5946</v>
      </c>
      <c r="N150" s="167" t="s">
        <v>5947</v>
      </c>
      <c r="O150" s="167" t="s">
        <v>5948</v>
      </c>
      <c r="P150" s="167" t="s">
        <v>4140</v>
      </c>
      <c r="Q150" s="223"/>
      <c r="R150" s="223"/>
      <c r="S150" s="223"/>
      <c r="T150" s="223"/>
      <c r="U150" s="223"/>
      <c r="V150" s="223"/>
      <c r="W150" s="92"/>
      <c r="X150" s="199" t="s">
        <v>5243</v>
      </c>
      <c r="Y150" s="199" t="s">
        <v>2122</v>
      </c>
      <c r="Z150" s="199" t="s">
        <v>2202</v>
      </c>
      <c r="AA150" s="199" t="s">
        <v>3568</v>
      </c>
      <c r="AB150" s="199" t="s">
        <v>5949</v>
      </c>
      <c r="AC150" s="116" t="s">
        <v>5950</v>
      </c>
      <c r="AD150" s="273"/>
      <c r="AE150" s="273"/>
      <c r="AF150" s="273"/>
      <c r="AG150" s="273"/>
      <c r="AH150" s="273"/>
      <c r="AI150" s="273"/>
      <c r="AJ150" s="273"/>
      <c r="AK150" s="92"/>
      <c r="AL150" s="274"/>
      <c r="AM150" s="274"/>
      <c r="AN150" s="274"/>
      <c r="AO150" s="274"/>
      <c r="AP150" s="274"/>
      <c r="AQ150" s="274"/>
      <c r="AR150" s="274"/>
      <c r="AS150" s="274"/>
      <c r="AT150" s="168" t="s">
        <v>5951</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5952</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5953</v>
      </c>
      <c r="DH150" s="287"/>
      <c r="DI150" s="287"/>
      <c r="DJ150" s="207"/>
      <c r="DK150" s="287"/>
      <c r="DL150" s="207" t="s">
        <v>3433</v>
      </c>
      <c r="DM150" s="207" t="s">
        <v>5954</v>
      </c>
      <c r="DN150" s="287"/>
      <c r="DO150" s="287"/>
      <c r="DP150" s="287"/>
      <c r="DQ150" s="287"/>
      <c r="DR150" s="287"/>
      <c r="DS150" s="287"/>
      <c r="DT150" s="287"/>
      <c r="DU150" s="287"/>
      <c r="DV150" s="287"/>
      <c r="DW150" s="287"/>
      <c r="DX150" s="207" t="s">
        <v>5955</v>
      </c>
      <c r="DY150" s="287"/>
      <c r="DZ150" s="287"/>
      <c r="EA150" s="207" t="s">
        <v>4219</v>
      </c>
      <c r="EB150" s="320"/>
    </row>
    <row r="151">
      <c r="A151" s="81" t="s">
        <v>5956</v>
      </c>
      <c r="B151" s="82" t="s">
        <v>5957</v>
      </c>
      <c r="C151" s="83" t="s">
        <v>1415</v>
      </c>
      <c r="D151" s="84" t="s">
        <v>1415</v>
      </c>
      <c r="E151" s="85" t="s">
        <v>1415</v>
      </c>
      <c r="F151" s="86" t="s">
        <v>332</v>
      </c>
      <c r="G151" s="82" t="s">
        <v>3680</v>
      </c>
      <c r="H151" s="93" t="s">
        <v>5958</v>
      </c>
      <c r="I151" s="93" t="s">
        <v>4840</v>
      </c>
      <c r="J151" s="93" t="s">
        <v>2417</v>
      </c>
      <c r="K151" s="93" t="s">
        <v>1427</v>
      </c>
      <c r="L151" s="93" t="s">
        <v>3973</v>
      </c>
      <c r="M151" s="93" t="s">
        <v>3955</v>
      </c>
      <c r="N151" s="93" t="s">
        <v>5061</v>
      </c>
      <c r="O151" s="98"/>
      <c r="P151" s="98"/>
      <c r="Q151" s="98"/>
      <c r="R151" s="98"/>
      <c r="S151" s="98"/>
      <c r="T151" s="98"/>
      <c r="U151" s="98"/>
      <c r="V151" s="98"/>
      <c r="W151" s="92"/>
      <c r="X151" s="97" t="str">
        <f>HYPERLINK("https://www.youtube.com/watch?v=F9HuyJ73joE","56.96")</f>
        <v>56.96</v>
      </c>
      <c r="Y151" s="93" t="s">
        <v>4026</v>
      </c>
      <c r="Z151" s="93" t="s">
        <v>5959</v>
      </c>
      <c r="AA151" s="93" t="s">
        <v>4494</v>
      </c>
      <c r="AB151" s="93" t="s">
        <v>5960</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5961</v>
      </c>
      <c r="BS151" s="93" t="s">
        <v>5962</v>
      </c>
      <c r="BT151" s="98"/>
      <c r="BU151" s="98"/>
      <c r="BV151" s="93" t="s">
        <v>5963</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5964</v>
      </c>
      <c r="B152" s="103" t="s">
        <v>5965</v>
      </c>
      <c r="C152" s="104" t="s">
        <v>1415</v>
      </c>
      <c r="D152" s="105" t="s">
        <v>1415</v>
      </c>
      <c r="E152" s="106" t="s">
        <v>1415</v>
      </c>
      <c r="F152" s="107" t="s">
        <v>1415</v>
      </c>
      <c r="G152" s="103" t="s">
        <v>3389</v>
      </c>
      <c r="H152" s="305" t="s">
        <v>3353</v>
      </c>
      <c r="I152" s="305" t="s">
        <v>5966</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5967</v>
      </c>
      <c r="B153" s="82" t="s">
        <v>5968</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5969</v>
      </c>
      <c r="Y153" s="93" t="s">
        <v>3660</v>
      </c>
      <c r="Z153" s="93" t="s">
        <v>5970</v>
      </c>
      <c r="AA153" s="98"/>
      <c r="AB153" s="93" t="s">
        <v>1285</v>
      </c>
      <c r="AC153" s="93" t="s">
        <v>5971</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5972</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5973</v>
      </c>
      <c r="B154" s="103" t="s">
        <v>5974</v>
      </c>
      <c r="C154" s="104" t="s">
        <v>1415</v>
      </c>
      <c r="D154" s="105" t="s">
        <v>1415</v>
      </c>
      <c r="E154" s="106" t="s">
        <v>1415</v>
      </c>
      <c r="F154" s="107" t="s">
        <v>1415</v>
      </c>
      <c r="G154" s="103" t="s">
        <v>220</v>
      </c>
      <c r="H154" s="167" t="s">
        <v>1831</v>
      </c>
      <c r="I154" s="167" t="s">
        <v>2239</v>
      </c>
      <c r="J154" s="223"/>
      <c r="K154" s="167" t="s">
        <v>3077</v>
      </c>
      <c r="L154" s="223"/>
      <c r="M154" s="223"/>
      <c r="N154" s="223"/>
      <c r="O154" s="167" t="s">
        <v>5975</v>
      </c>
      <c r="P154" s="167" t="s">
        <v>2045</v>
      </c>
      <c r="Q154" s="223"/>
      <c r="R154" s="223"/>
      <c r="S154" s="223"/>
      <c r="T154" s="223"/>
      <c r="U154" s="223"/>
      <c r="V154" s="223"/>
      <c r="W154" s="92"/>
      <c r="X154" s="199" t="s">
        <v>3448</v>
      </c>
      <c r="Y154" s="273"/>
      <c r="Z154" s="199" t="s">
        <v>4652</v>
      </c>
      <c r="AA154" s="273"/>
      <c r="AB154" s="199" t="s">
        <v>2479</v>
      </c>
      <c r="AC154" s="273"/>
      <c r="AD154" s="273"/>
      <c r="AE154" s="199" t="s">
        <v>5976</v>
      </c>
      <c r="AF154" s="273"/>
      <c r="AG154" s="273"/>
      <c r="AH154" s="273"/>
      <c r="AI154" s="273"/>
      <c r="AJ154" s="199" t="s">
        <v>5977</v>
      </c>
      <c r="AK154" s="92"/>
      <c r="AL154" s="274"/>
      <c r="AM154" s="168" t="s">
        <v>5978</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5979</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5980</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5981</v>
      </c>
      <c r="DZ154" s="287"/>
      <c r="EA154" s="207" t="s">
        <v>413</v>
      </c>
      <c r="EB154" s="320"/>
    </row>
    <row r="155">
      <c r="A155" s="709" t="s">
        <v>5982</v>
      </c>
      <c r="B155" s="82" t="s">
        <v>5983</v>
      </c>
      <c r="C155" s="83" t="s">
        <v>1415</v>
      </c>
      <c r="D155" s="84" t="s">
        <v>1415</v>
      </c>
      <c r="E155" s="85" t="s">
        <v>1415</v>
      </c>
      <c r="F155" s="86" t="s">
        <v>438</v>
      </c>
      <c r="G155" s="82" t="s">
        <v>1063</v>
      </c>
      <c r="H155" s="98"/>
      <c r="I155" s="93" t="s">
        <v>5984</v>
      </c>
      <c r="J155" s="93" t="s">
        <v>5985</v>
      </c>
      <c r="K155" s="93" t="s">
        <v>5334</v>
      </c>
      <c r="L155" s="93" t="s">
        <v>2782</v>
      </c>
      <c r="M155" s="98"/>
      <c r="N155" s="98"/>
      <c r="O155" s="98"/>
      <c r="P155" s="88" t="s">
        <v>5986</v>
      </c>
      <c r="Q155" s="98"/>
      <c r="R155" s="98"/>
      <c r="S155" s="98"/>
      <c r="T155" s="98"/>
      <c r="U155" s="98"/>
      <c r="V155" s="98"/>
      <c r="W155" s="92"/>
      <c r="X155" s="98"/>
      <c r="Y155" s="98"/>
      <c r="Z155" s="301" t="s">
        <v>5811</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5987</v>
      </c>
      <c r="AV155" s="98"/>
      <c r="AW155" s="98"/>
      <c r="AX155" s="98"/>
      <c r="AY155" s="98"/>
      <c r="AZ155" s="264"/>
      <c r="BA155" s="93" t="s">
        <v>5988</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5989</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5990</v>
      </c>
      <c r="B156" s="103" t="s">
        <v>5991</v>
      </c>
      <c r="C156" s="104" t="s">
        <v>1415</v>
      </c>
      <c r="D156" s="105" t="s">
        <v>1415</v>
      </c>
      <c r="E156" s="106" t="s">
        <v>1415</v>
      </c>
      <c r="F156" s="107" t="s">
        <v>738</v>
      </c>
      <c r="G156" s="103" t="s">
        <v>3389</v>
      </c>
      <c r="H156" s="223"/>
      <c r="I156" s="223"/>
      <c r="J156" s="223"/>
      <c r="K156" s="167" t="s">
        <v>5992</v>
      </c>
      <c r="L156" s="167" t="s">
        <v>5993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5994</v>
      </c>
      <c r="CJ156" s="177"/>
      <c r="CK156" s="284"/>
      <c r="CL156" s="284"/>
      <c r="CM156" s="284"/>
      <c r="CN156" s="284"/>
      <c r="CO156" s="284"/>
      <c r="CP156" s="284"/>
      <c r="CQ156" s="284"/>
      <c r="CR156" s="284"/>
      <c r="CS156" s="101"/>
      <c r="CT156" s="206" t="s">
        <v>5995</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5996</v>
      </c>
      <c r="B157" s="82" t="s">
        <v>5997</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5999</v>
      </c>
      <c r="B158" s="103" t="s">
        <v>6000</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6001</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6002</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6003</v>
      </c>
      <c r="B159" s="82" t="s">
        <v>6004</v>
      </c>
      <c r="C159" s="83" t="s">
        <v>1415</v>
      </c>
      <c r="D159" s="84" t="s">
        <v>1415</v>
      </c>
      <c r="E159" s="85" t="s">
        <v>1415</v>
      </c>
      <c r="F159" s="86" t="s">
        <v>332</v>
      </c>
      <c r="G159" s="82" t="s">
        <v>6005</v>
      </c>
      <c r="H159" s="100" t="s">
        <v>4071</v>
      </c>
      <c r="I159" s="100" t="s">
        <v>6006</v>
      </c>
      <c r="J159" s="100" t="s">
        <v>450</v>
      </c>
      <c r="K159" s="100" t="s">
        <v>4297</v>
      </c>
      <c r="L159" s="100" t="s">
        <v>6007</v>
      </c>
      <c r="M159" s="100" t="s">
        <v>6008</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6009</v>
      </c>
      <c r="CN159" s="263"/>
      <c r="CO159" s="98"/>
      <c r="CP159" s="98"/>
      <c r="CQ159" s="98"/>
      <c r="CR159" s="98"/>
      <c r="CS159" s="101"/>
      <c r="CT159" s="100"/>
      <c r="CU159" s="100"/>
      <c r="CV159" s="100" t="s">
        <v>5102</v>
      </c>
      <c r="CW159" s="100" t="s">
        <v>3348</v>
      </c>
      <c r="CX159" s="100"/>
      <c r="CY159" s="100"/>
      <c r="CZ159" s="88" t="s">
        <v>6010</v>
      </c>
      <c r="DA159" s="100" t="s">
        <v>6011</v>
      </c>
      <c r="DB159" s="98"/>
      <c r="DC159" s="98"/>
      <c r="DD159" s="98"/>
      <c r="DE159" s="98"/>
      <c r="DF159" s="264"/>
      <c r="DG159" s="100"/>
      <c r="DH159" s="98"/>
      <c r="DI159" s="98"/>
      <c r="DJ159" s="100"/>
      <c r="DK159" s="100"/>
      <c r="DL159" s="100"/>
      <c r="DM159" s="98"/>
      <c r="DN159" s="98"/>
      <c r="DO159" s="98"/>
      <c r="DP159" s="100"/>
      <c r="DQ159" s="100" t="s">
        <v>6012</v>
      </c>
      <c r="DR159" s="98"/>
      <c r="DS159" s="100"/>
      <c r="DT159" s="98"/>
      <c r="DU159" s="98"/>
      <c r="DV159" s="98"/>
      <c r="DW159" s="98"/>
      <c r="DX159" s="98"/>
      <c r="DY159" s="100"/>
      <c r="DZ159" s="98"/>
      <c r="EA159" s="98"/>
      <c r="EB159" s="290"/>
    </row>
    <row r="160">
      <c r="A160" s="166" t="s">
        <v>6013</v>
      </c>
      <c r="B160" s="103" t="s">
        <v>6014</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6015</v>
      </c>
      <c r="B161" s="82" t="s">
        <v>6016</v>
      </c>
      <c r="C161" s="83" t="s">
        <v>1415</v>
      </c>
      <c r="D161" s="84" t="s">
        <v>1415</v>
      </c>
      <c r="E161" s="85" t="s">
        <v>1415</v>
      </c>
      <c r="F161" s="86" t="s">
        <v>738</v>
      </c>
      <c r="G161" s="82" t="s">
        <v>6017</v>
      </c>
      <c r="H161" s="98"/>
      <c r="I161" s="337" t="s">
        <v>6018</v>
      </c>
      <c r="J161" s="93" t="s">
        <v>5927</v>
      </c>
      <c r="K161" s="93" t="s">
        <v>2224</v>
      </c>
      <c r="L161" s="93" t="s">
        <v>6019</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6020</v>
      </c>
      <c r="AU161" s="93" t="s">
        <v>6021</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6022</v>
      </c>
      <c r="CV161" s="93" t="s">
        <v>5286</v>
      </c>
      <c r="CW161" s="98"/>
      <c r="CX161" s="93"/>
      <c r="CY161" s="98"/>
      <c r="CZ161" s="93" t="s">
        <v>6023</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6024</v>
      </c>
      <c r="B162" s="103" t="s">
        <v>6025</v>
      </c>
      <c r="C162" s="104" t="s">
        <v>1415</v>
      </c>
      <c r="D162" s="105" t="s">
        <v>1415</v>
      </c>
      <c r="E162" s="106" t="s">
        <v>1415</v>
      </c>
      <c r="F162" s="107" t="s">
        <v>1415</v>
      </c>
      <c r="G162" s="103" t="s">
        <v>3988</v>
      </c>
      <c r="H162" s="389"/>
      <c r="I162" s="389"/>
      <c r="J162" s="389" t="s">
        <v>1829</v>
      </c>
      <c r="K162" s="389" t="s">
        <v>1143</v>
      </c>
      <c r="L162" s="389" t="s">
        <v>2847</v>
      </c>
      <c r="M162" s="389"/>
      <c r="N162" s="389"/>
      <c r="O162" s="389" t="s">
        <v>6026</v>
      </c>
      <c r="P162" s="389" t="s">
        <v>2592</v>
      </c>
      <c r="Q162" s="718"/>
      <c r="R162" s="718"/>
      <c r="S162" s="718"/>
      <c r="T162" s="718"/>
      <c r="U162" s="718"/>
      <c r="V162" s="718"/>
      <c r="W162" s="719"/>
      <c r="X162" s="398"/>
      <c r="Y162" s="398" t="s">
        <v>2837</v>
      </c>
      <c r="Z162" s="398" t="s">
        <v>2626</v>
      </c>
      <c r="AA162" s="398" t="s">
        <v>6027</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6028</v>
      </c>
      <c r="BE162" s="202"/>
      <c r="BF162" s="202"/>
      <c r="BG162" s="724"/>
      <c r="BH162" s="202" t="s">
        <v>3581</v>
      </c>
      <c r="BI162" s="724"/>
      <c r="BJ162" s="202" t="s">
        <v>6029</v>
      </c>
      <c r="BK162" s="202" t="s">
        <v>4195</v>
      </c>
      <c r="BL162" s="724"/>
      <c r="BM162" s="724"/>
      <c r="BN162" s="202"/>
      <c r="BO162" s="724"/>
      <c r="BP162" s="725"/>
      <c r="BQ162" s="406"/>
      <c r="BR162" s="406"/>
      <c r="BS162" s="406" t="s">
        <v>3102</v>
      </c>
      <c r="BT162" s="406" t="s">
        <v>6030</v>
      </c>
      <c r="BU162" s="406" t="s">
        <v>6031</v>
      </c>
      <c r="BV162" s="406" t="s">
        <v>482</v>
      </c>
      <c r="BW162" s="726"/>
      <c r="BX162" s="406"/>
      <c r="BY162" s="406"/>
      <c r="BZ162" s="406" t="s">
        <v>2781</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1997</v>
      </c>
      <c r="CU162" s="317"/>
      <c r="CV162" s="317" t="s">
        <v>227</v>
      </c>
      <c r="CW162" s="317"/>
      <c r="CX162" s="317"/>
      <c r="CY162" s="317"/>
      <c r="CZ162" s="317" t="s">
        <v>6032</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6033</v>
      </c>
      <c r="B163" s="82" t="s">
        <v>6034</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6035</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6036</v>
      </c>
      <c r="B164" s="103" t="s">
        <v>6037</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6038</v>
      </c>
      <c r="B165" s="82" t="s">
        <v>6039</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6040</v>
      </c>
      <c r="Y165" s="100"/>
      <c r="Z165" s="88" t="s">
        <v>4770</v>
      </c>
      <c r="AA165" s="301"/>
      <c r="AB165" s="100"/>
      <c r="AC165" s="100"/>
      <c r="AD165" s="98"/>
      <c r="AE165" s="100"/>
      <c r="AF165" s="88" t="s">
        <v>6041</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6042</v>
      </c>
      <c r="B166" s="103" t="s">
        <v>6043</v>
      </c>
      <c r="C166" s="104" t="s">
        <v>1415</v>
      </c>
      <c r="D166" s="105" t="s">
        <v>1415</v>
      </c>
      <c r="E166" s="106" t="s">
        <v>1415</v>
      </c>
      <c r="F166" s="107" t="s">
        <v>1415</v>
      </c>
      <c r="G166" s="103" t="s">
        <v>4997</v>
      </c>
      <c r="H166" s="167"/>
      <c r="I166" s="167" t="s">
        <v>6044</v>
      </c>
      <c r="J166" s="167" t="s">
        <v>2931</v>
      </c>
      <c r="K166" s="167" t="s">
        <v>752</v>
      </c>
      <c r="L166" s="167" t="s">
        <v>6045</v>
      </c>
      <c r="M166" s="167" t="s">
        <v>6046</v>
      </c>
      <c r="N166" s="167" t="s">
        <v>6047</v>
      </c>
      <c r="O166" s="167" t="s">
        <v>6048</v>
      </c>
      <c r="P166" s="167" t="s">
        <v>1942</v>
      </c>
      <c r="Q166" s="223"/>
      <c r="R166" s="223"/>
      <c r="S166" s="223"/>
      <c r="T166" s="223"/>
      <c r="U166" s="223"/>
      <c r="V166" s="223"/>
      <c r="W166" s="92"/>
      <c r="X166" s="199" t="s">
        <v>6049</v>
      </c>
      <c r="Y166" s="199"/>
      <c r="Z166" s="199" t="s">
        <v>6050</v>
      </c>
      <c r="AA166" s="273"/>
      <c r="AB166" s="199" t="s">
        <v>6051</v>
      </c>
      <c r="AC166" s="199" t="s">
        <v>3366</v>
      </c>
      <c r="AD166" s="273"/>
      <c r="AE166" s="273"/>
      <c r="AF166" s="199" t="s">
        <v>4992</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6052</v>
      </c>
      <c r="BB166" s="174" t="s">
        <v>789</v>
      </c>
      <c r="BC166" s="174" t="s">
        <v>840</v>
      </c>
      <c r="BD166" s="174" t="s">
        <v>3524</v>
      </c>
      <c r="BE166" s="174" t="s">
        <v>6053</v>
      </c>
      <c r="BF166" s="173"/>
      <c r="BG166" s="173"/>
      <c r="BH166" s="174" t="s">
        <v>3695</v>
      </c>
      <c r="BI166" s="173"/>
      <c r="BJ166" s="173"/>
      <c r="BK166" s="174" t="s">
        <v>526</v>
      </c>
      <c r="BL166" s="173"/>
      <c r="BM166" s="173"/>
      <c r="BN166" s="173"/>
      <c r="BO166" s="173"/>
      <c r="BP166" s="277"/>
      <c r="BQ166" s="175" t="s">
        <v>6054</v>
      </c>
      <c r="BR166" s="175" t="s">
        <v>6055</v>
      </c>
      <c r="BS166" s="175" t="s">
        <v>879</v>
      </c>
      <c r="BT166" s="175" t="s">
        <v>532</v>
      </c>
      <c r="BU166" s="175" t="s">
        <v>6056</v>
      </c>
      <c r="BV166" s="175" t="s">
        <v>1354</v>
      </c>
      <c r="BW166" s="280"/>
      <c r="BX166" s="280"/>
      <c r="BY166" s="280"/>
      <c r="BZ166" s="175" t="s">
        <v>977</v>
      </c>
      <c r="CA166" s="280"/>
      <c r="CB166" s="280"/>
      <c r="CC166" s="280"/>
      <c r="CD166" s="280"/>
      <c r="CE166" s="281"/>
      <c r="CF166" s="177" t="s">
        <v>6057</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6058</v>
      </c>
      <c r="CW166" s="206" t="s">
        <v>2878</v>
      </c>
      <c r="CX166" s="206" t="s">
        <v>6059</v>
      </c>
      <c r="CY166" s="206" t="s">
        <v>6060</v>
      </c>
      <c r="CZ166" s="206" t="s">
        <v>6061</v>
      </c>
      <c r="DA166" s="206" t="s">
        <v>6062</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6063</v>
      </c>
      <c r="B167" s="82" t="s">
        <v>6064</v>
      </c>
      <c r="C167" s="83" t="s">
        <v>738</v>
      </c>
      <c r="D167" s="84" t="s">
        <v>1415</v>
      </c>
      <c r="E167" s="85" t="s">
        <v>1415</v>
      </c>
      <c r="F167" s="86" t="s">
        <v>738</v>
      </c>
      <c r="G167" s="82" t="s">
        <v>3988</v>
      </c>
      <c r="H167" s="736" t="s">
        <v>2917</v>
      </c>
      <c r="I167" s="736" t="s">
        <v>6065</v>
      </c>
      <c r="J167" s="736" t="s">
        <v>6066</v>
      </c>
      <c r="K167" s="736" t="s">
        <v>752</v>
      </c>
      <c r="L167" s="736" t="s">
        <v>835</v>
      </c>
      <c r="M167" s="737"/>
      <c r="N167" s="736" t="s">
        <v>6067</v>
      </c>
      <c r="O167" s="736" t="s">
        <v>6068</v>
      </c>
      <c r="P167" s="736" t="s">
        <v>5341</v>
      </c>
      <c r="Q167" s="737"/>
      <c r="R167" s="737"/>
      <c r="S167" s="737"/>
      <c r="T167" s="737"/>
      <c r="U167" s="737"/>
      <c r="V167" s="737"/>
      <c r="W167" s="738"/>
      <c r="X167" s="736" t="s">
        <v>6069</v>
      </c>
      <c r="Y167" s="739" t="s">
        <v>380</v>
      </c>
      <c r="Z167" s="739" t="s">
        <v>955</v>
      </c>
      <c r="AA167" s="739" t="s">
        <v>3834</v>
      </c>
      <c r="AB167" s="736" t="s">
        <v>6070</v>
      </c>
      <c r="AC167" s="739" t="s">
        <v>6071</v>
      </c>
      <c r="AD167" s="737"/>
      <c r="AE167" s="737"/>
      <c r="AF167" s="739" t="s">
        <v>370</v>
      </c>
      <c r="AG167" s="737"/>
      <c r="AH167" s="737"/>
      <c r="AI167" s="737"/>
      <c r="AJ167" s="737"/>
      <c r="AK167" s="738"/>
      <c r="AL167" s="737"/>
      <c r="AM167" s="737"/>
      <c r="AN167" s="737"/>
      <c r="AO167" s="737"/>
      <c r="AP167" s="737"/>
      <c r="AQ167" s="737"/>
      <c r="AR167" s="737"/>
      <c r="AS167" s="737"/>
      <c r="AT167" s="737"/>
      <c r="AU167" s="736" t="s">
        <v>2044</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5070</v>
      </c>
      <c r="BT167" s="739" t="s">
        <v>2794</v>
      </c>
      <c r="BU167" s="737"/>
      <c r="BV167" s="737"/>
      <c r="BW167" s="737"/>
      <c r="BX167" s="737"/>
      <c r="BY167" s="737"/>
      <c r="BZ167" s="737"/>
      <c r="CA167" s="737"/>
      <c r="CB167" s="737"/>
      <c r="CC167" s="737"/>
      <c r="CD167" s="737"/>
      <c r="CE167" s="740"/>
      <c r="CF167" s="737"/>
      <c r="CG167" s="736" t="s">
        <v>6072</v>
      </c>
      <c r="CH167" s="737"/>
      <c r="CI167" s="737"/>
      <c r="CJ167" s="737"/>
      <c r="CK167" s="737"/>
      <c r="CL167" s="737"/>
      <c r="CM167" s="737"/>
      <c r="CN167" s="737"/>
      <c r="CO167" s="737"/>
      <c r="CP167" s="737"/>
      <c r="CQ167" s="737"/>
      <c r="CR167" s="737"/>
      <c r="CS167" s="741"/>
      <c r="CT167" s="736" t="s">
        <v>5174</v>
      </c>
      <c r="CU167" s="736" t="s">
        <v>2466</v>
      </c>
      <c r="CV167" s="736" t="s">
        <v>5103</v>
      </c>
      <c r="CW167" s="737"/>
      <c r="CX167" s="737"/>
      <c r="CY167" s="737"/>
      <c r="CZ167" s="736" t="s">
        <v>6073</v>
      </c>
      <c r="DA167" s="739" t="s">
        <v>6074</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4998</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5012</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5905</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4981</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6057</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5015</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5021</v>
      </c>
      <c r="BH173" s="93" t="s">
        <v>5987</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5948</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4962</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6020</v>
      </c>
      <c r="CN174" s="284"/>
      <c r="CO174" s="284"/>
      <c r="CP174" s="284"/>
      <c r="CQ174" s="284"/>
      <c r="CR174" s="284"/>
      <c r="CS174" s="101"/>
      <c r="CT174" s="206" t="s">
        <v>4983</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3"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5805</v>
      </c>
      <c r="Y175" s="290" t="s">
        <v>6160</v>
      </c>
      <c r="Z175" s="290" t="s">
        <v>5011</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6199</v>
      </c>
      <c r="B182" s="103" t="s">
        <v>6200</v>
      </c>
      <c r="C182" s="104" t="s">
        <v>1415</v>
      </c>
      <c r="D182" s="105" t="s">
        <v>1415</v>
      </c>
      <c r="E182" s="106" t="s">
        <v>1415</v>
      </c>
      <c r="F182" s="107" t="s">
        <v>1415</v>
      </c>
      <c r="G182" s="103" t="s">
        <v>6005</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7"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4990</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5971</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5902</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5786</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4997</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6306</v>
      </c>
      <c r="B202" s="103" t="s">
        <v>6005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1" t="s">
        <v>6311</v>
      </c>
      <c r="B203" s="82" t="s">
        <v>6005</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3"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N52"/>
    <hyperlink r:id="rId2684" ref="CR52"/>
    <hyperlink r:id="rId2685" ref="CW52"/>
    <hyperlink r:id="rId2686" ref="CZ52"/>
    <hyperlink r:id="rId2687" ref="DA52"/>
    <hyperlink r:id="rId2688" ref="DP52"/>
    <hyperlink r:id="rId2689" ref="DY52"/>
    <hyperlink r:id="rId2690" ref="EA52"/>
    <hyperlink r:id="rId2691" ref="H53"/>
    <hyperlink r:id="rId2692" ref="I53"/>
    <hyperlink r:id="rId2693" ref="M53"/>
    <hyperlink r:id="rId2694" ref="O53"/>
    <hyperlink r:id="rId2695" ref="AA53"/>
    <hyperlink r:id="rId2696" ref="AD53"/>
    <hyperlink r:id="rId2697" ref="AE53"/>
    <hyperlink r:id="rId2698" ref="AL53"/>
    <hyperlink r:id="rId2699" ref="AM53"/>
    <hyperlink r:id="rId2700" ref="AP53"/>
    <hyperlink r:id="rId2701" ref="AQ53"/>
    <hyperlink r:id="rId2702" ref="AU53"/>
    <hyperlink r:id="rId2703" ref="BD53"/>
    <hyperlink r:id="rId2704" ref="BV53"/>
    <hyperlink r:id="rId2705" ref="CC53"/>
    <hyperlink r:id="rId2706" ref="CK53"/>
    <hyperlink r:id="rId2707" ref="CT53"/>
    <hyperlink r:id="rId2708" ref="CV53"/>
    <hyperlink r:id="rId2709" ref="CW53"/>
    <hyperlink r:id="rId2710" ref="CZ53"/>
    <hyperlink r:id="rId2711" ref="DL53"/>
    <hyperlink r:id="rId2712" ref="K54"/>
    <hyperlink r:id="rId2713" ref="O54"/>
    <hyperlink r:id="rId2714" ref="P54"/>
    <hyperlink r:id="rId2715" ref="Q54"/>
    <hyperlink r:id="rId2716" ref="U54"/>
    <hyperlink r:id="rId2717" ref="X54"/>
    <hyperlink r:id="rId2718" ref="AB54"/>
    <hyperlink r:id="rId2719" ref="BE54"/>
    <hyperlink r:id="rId2720" ref="BF54"/>
    <hyperlink r:id="rId2721" ref="BV54"/>
    <hyperlink r:id="rId2722" ref="CB54"/>
    <hyperlink r:id="rId2723" ref="CC54"/>
    <hyperlink r:id="rId2724" ref="CY54"/>
    <hyperlink r:id="rId2725" ref="DK54"/>
    <hyperlink r:id="rId2726" ref="DX54"/>
    <hyperlink r:id="rId2727" ref="L55"/>
    <hyperlink r:id="rId2728" ref="AA55"/>
    <hyperlink r:id="rId2729" ref="BR55"/>
    <hyperlink r:id="rId2730" ref="BU55"/>
    <hyperlink r:id="rId2731" ref="CI55"/>
    <hyperlink r:id="rId2732" ref="CV55"/>
    <hyperlink r:id="rId2733" ref="DB55"/>
    <hyperlink r:id="rId2734" ref="DE55"/>
    <hyperlink r:id="rId2735" ref="O56"/>
    <hyperlink r:id="rId2736" ref="X56"/>
    <hyperlink r:id="rId2737" ref="BF56"/>
    <hyperlink r:id="rId2738" ref="BT56"/>
    <hyperlink r:id="rId2739" ref="DK56"/>
    <hyperlink r:id="rId2740" ref="H57"/>
    <hyperlink r:id="rId2741" ref="I57"/>
    <hyperlink r:id="rId2742" ref="J57"/>
    <hyperlink r:id="rId2743" ref="K57"/>
    <hyperlink r:id="rId2744" ref="L57"/>
    <hyperlink r:id="rId2745" ref="M57"/>
    <hyperlink r:id="rId2746" ref="N57"/>
    <hyperlink r:id="rId2747" ref="O57"/>
    <hyperlink r:id="rId2748" ref="P57"/>
    <hyperlink r:id="rId2749" ref="S57"/>
    <hyperlink r:id="rId2750" ref="U57"/>
    <hyperlink r:id="rId2751" ref="X57"/>
    <hyperlink r:id="rId2752" ref="Y57"/>
    <hyperlink r:id="rId2753" ref="Z57"/>
    <hyperlink r:id="rId2754" ref="AA57"/>
    <hyperlink r:id="rId2755" ref="AB57"/>
    <hyperlink r:id="rId2756" ref="AC57"/>
    <hyperlink r:id="rId2757" ref="AE57"/>
    <hyperlink r:id="rId2758" ref="AF57"/>
    <hyperlink r:id="rId2759" ref="AI57"/>
    <hyperlink r:id="rId2760" ref="AM57"/>
    <hyperlink r:id="rId2761" ref="AO57"/>
    <hyperlink r:id="rId2762" ref="AT57"/>
    <hyperlink r:id="rId2763" ref="AU57"/>
    <hyperlink r:id="rId2764" ref="AX57"/>
    <hyperlink r:id="rId2765" ref="BA57"/>
    <hyperlink r:id="rId2766" ref="BB57"/>
    <hyperlink r:id="rId2767" ref="BC57"/>
    <hyperlink r:id="rId2768" ref="BE57"/>
    <hyperlink r:id="rId2769" ref="BF57"/>
    <hyperlink r:id="rId2770" ref="BH57"/>
    <hyperlink r:id="rId2771" ref="BI57"/>
    <hyperlink r:id="rId2772" ref="BJ57"/>
    <hyperlink r:id="rId2773" ref="BK57"/>
    <hyperlink r:id="rId2774" ref="BM57"/>
    <hyperlink r:id="rId2775" ref="BN57"/>
    <hyperlink r:id="rId2776" ref="BQ57"/>
    <hyperlink r:id="rId2777" ref="BR57"/>
    <hyperlink r:id="rId2778" ref="BS57"/>
    <hyperlink r:id="rId2779" ref="BT57"/>
    <hyperlink r:id="rId2780" ref="BU57"/>
    <hyperlink r:id="rId2781" ref="BV57"/>
    <hyperlink r:id="rId2782" ref="BX57"/>
    <hyperlink r:id="rId2783" ref="BY57"/>
    <hyperlink r:id="rId2784" ref="BZ57"/>
    <hyperlink r:id="rId2785" ref="CB57"/>
    <hyperlink r:id="rId2786" ref="CC57"/>
    <hyperlink r:id="rId2787" ref="CF57"/>
    <hyperlink r:id="rId2788" ref="CG57"/>
    <hyperlink r:id="rId2789" ref="CH57"/>
    <hyperlink r:id="rId2790" ref="CI57"/>
    <hyperlink r:id="rId2791" ref="CJ57"/>
    <hyperlink r:id="rId2792" ref="CK57"/>
    <hyperlink r:id="rId2793" ref="CL57"/>
    <hyperlink r:id="rId2794" ref="CM57"/>
    <hyperlink r:id="rId2795" ref="CQ57"/>
    <hyperlink r:id="rId2796" ref="CT57"/>
    <hyperlink r:id="rId2797" ref="CU57"/>
    <hyperlink r:id="rId2798" ref="CV57"/>
    <hyperlink r:id="rId2799" ref="CW57"/>
    <hyperlink r:id="rId2800" ref="CX57"/>
    <hyperlink r:id="rId2801" ref="CZ57"/>
    <hyperlink r:id="rId2802" ref="DA57"/>
    <hyperlink r:id="rId2803" ref="DG57"/>
    <hyperlink r:id="rId2804" ref="DK57"/>
    <hyperlink r:id="rId2805" ref="DN57"/>
    <hyperlink r:id="rId2806" ref="DP57"/>
    <hyperlink r:id="rId2807" ref="DU57"/>
    <hyperlink r:id="rId2808" ref="DY57"/>
    <hyperlink r:id="rId2809" ref="EA57"/>
    <hyperlink r:id="rId2810" ref="EB57"/>
    <hyperlink r:id="rId2811" ref="K58"/>
    <hyperlink r:id="rId2812" ref="L58"/>
    <hyperlink r:id="rId2813" ref="N58"/>
    <hyperlink r:id="rId2814" ref="R58"/>
    <hyperlink r:id="rId2815" ref="U58"/>
    <hyperlink r:id="rId2816" ref="AU58"/>
    <hyperlink r:id="rId2817" ref="BB58"/>
    <hyperlink r:id="rId2818" ref="BC58"/>
    <hyperlink r:id="rId2819" ref="BH58"/>
    <hyperlink r:id="rId2820" ref="BM58"/>
    <hyperlink r:id="rId2821" ref="BQ58"/>
    <hyperlink r:id="rId2822" ref="CO58"/>
    <hyperlink r:id="rId2823" ref="CV58"/>
    <hyperlink r:id="rId2824" ref="DA58"/>
    <hyperlink r:id="rId2825" ref="H59"/>
    <hyperlink r:id="rId2826" ref="I59"/>
    <hyperlink r:id="rId2827" ref="J59"/>
    <hyperlink r:id="rId2828" ref="K59"/>
    <hyperlink r:id="rId2829" ref="L59"/>
    <hyperlink r:id="rId2830" ref="M59"/>
    <hyperlink r:id="rId2831" ref="N59"/>
    <hyperlink r:id="rId2832" ref="O59"/>
    <hyperlink r:id="rId2833" ref="P59"/>
    <hyperlink r:id="rId2834" ref="Q59"/>
    <hyperlink r:id="rId2835" ref="S59"/>
    <hyperlink r:id="rId2836" ref="X59"/>
    <hyperlink r:id="rId2837" ref="Y59"/>
    <hyperlink r:id="rId2838" ref="Z59"/>
    <hyperlink r:id="rId2839" ref="AA59"/>
    <hyperlink r:id="rId2840" ref="AB59"/>
    <hyperlink r:id="rId2841" ref="AC59"/>
    <hyperlink r:id="rId2842" ref="AE59"/>
    <hyperlink r:id="rId2843" ref="AF59"/>
    <hyperlink r:id="rId2844" ref="AI59"/>
    <hyperlink r:id="rId2845" ref="AJ59"/>
    <hyperlink r:id="rId2846" ref="AL59"/>
    <hyperlink r:id="rId2847" ref="AM59"/>
    <hyperlink r:id="rId2848" ref="AQ59"/>
    <hyperlink r:id="rId2849" ref="AR59"/>
    <hyperlink r:id="rId2850" ref="AT59"/>
    <hyperlink r:id="rId2851" ref="AU59"/>
    <hyperlink r:id="rId2852" ref="AV59"/>
    <hyperlink r:id="rId2853" ref="AY59"/>
    <hyperlink r:id="rId2854" ref="BA59"/>
    <hyperlink r:id="rId2855" ref="BB59"/>
    <hyperlink r:id="rId2856" ref="BC59"/>
    <hyperlink r:id="rId2857" ref="BD59"/>
    <hyperlink r:id="rId2858" ref="BE59"/>
    <hyperlink r:id="rId2859" ref="BH59"/>
    <hyperlink r:id="rId2860" ref="BJ59"/>
    <hyperlink r:id="rId2861" ref="BK59"/>
    <hyperlink r:id="rId2862" ref="BM59"/>
    <hyperlink r:id="rId2863" ref="BN59"/>
    <hyperlink r:id="rId2864" ref="BO59"/>
    <hyperlink r:id="rId2865" ref="BQ59"/>
    <hyperlink r:id="rId2866" ref="BR59"/>
    <hyperlink r:id="rId2867" ref="BS59"/>
    <hyperlink r:id="rId2868" ref="BT59"/>
    <hyperlink r:id="rId2869" ref="BU59"/>
    <hyperlink r:id="rId2870" ref="BV59"/>
    <hyperlink r:id="rId2871" ref="BW59"/>
    <hyperlink r:id="rId2872" ref="BY59"/>
    <hyperlink r:id="rId2873" ref="BZ59"/>
    <hyperlink r:id="rId2874" ref="CA59"/>
    <hyperlink r:id="rId2875" ref="CD59"/>
    <hyperlink r:id="rId2876" ref="CF59"/>
    <hyperlink r:id="rId2877" ref="CG59"/>
    <hyperlink r:id="rId2878" ref="CH59"/>
    <hyperlink r:id="rId2879" ref="CI59"/>
    <hyperlink r:id="rId2880" ref="CJ59"/>
    <hyperlink r:id="rId2881" ref="CK59"/>
    <hyperlink r:id="rId2882" ref="CL59"/>
    <hyperlink r:id="rId2883" ref="CM59"/>
    <hyperlink r:id="rId2884" ref="CR59"/>
    <hyperlink r:id="rId2885" ref="CT59"/>
    <hyperlink r:id="rId2886" ref="CU59"/>
    <hyperlink r:id="rId2887" ref="CV59"/>
    <hyperlink r:id="rId2888" ref="CW59"/>
    <hyperlink r:id="rId2889" ref="CX59"/>
    <hyperlink r:id="rId2890" ref="CY59"/>
    <hyperlink r:id="rId2891" ref="CZ59"/>
    <hyperlink r:id="rId2892" ref="DA59"/>
    <hyperlink r:id="rId2893" ref="DC59"/>
    <hyperlink r:id="rId2894" ref="DE59"/>
    <hyperlink r:id="rId2895" ref="DG59"/>
    <hyperlink r:id="rId2896" ref="DK59"/>
    <hyperlink r:id="rId2897" ref="DL59"/>
    <hyperlink r:id="rId2898" ref="DM59"/>
    <hyperlink r:id="rId2899" ref="DP59"/>
    <hyperlink r:id="rId2900" ref="DQ59"/>
    <hyperlink r:id="rId2901" ref="DR59"/>
    <hyperlink r:id="rId2902" ref="DS59"/>
    <hyperlink r:id="rId2903" ref="DU59"/>
    <hyperlink r:id="rId2904" ref="DY59"/>
    <hyperlink r:id="rId2905" ref="DZ59"/>
    <hyperlink r:id="rId2906" ref="EA59"/>
    <hyperlink r:id="rId2907" ref="EB59"/>
    <hyperlink r:id="rId2908" ref="H60"/>
    <hyperlink r:id="rId2909" ref="I60"/>
    <hyperlink r:id="rId2910" ref="J60"/>
    <hyperlink r:id="rId2911" ref="K60"/>
    <hyperlink r:id="rId2912" ref="L60"/>
    <hyperlink r:id="rId2913" ref="X60"/>
    <hyperlink r:id="rId2914" ref="Y60"/>
    <hyperlink r:id="rId2915" ref="Z60"/>
    <hyperlink r:id="rId2916" ref="AT60"/>
    <hyperlink r:id="rId2917" ref="AU60"/>
    <hyperlink r:id="rId2918" ref="BC60"/>
    <hyperlink r:id="rId2919" ref="BD60"/>
    <hyperlink r:id="rId2920" ref="CG60"/>
    <hyperlink r:id="rId2921" ref="CK60"/>
    <hyperlink r:id="rId2922" ref="CV60"/>
    <hyperlink r:id="rId2923" ref="K61"/>
    <hyperlink r:id="rId2924" ref="N61"/>
    <hyperlink r:id="rId2925" ref="O61"/>
    <hyperlink r:id="rId2926" ref="P61"/>
    <hyperlink r:id="rId2927" ref="AC61"/>
    <hyperlink r:id="rId2928" ref="AF61"/>
    <hyperlink r:id="rId2929" ref="BD61"/>
    <hyperlink r:id="rId2930" ref="BH61"/>
    <hyperlink r:id="rId2931" ref="BS61"/>
    <hyperlink r:id="rId2932" ref="BT61"/>
    <hyperlink r:id="rId2933" ref="BV61"/>
    <hyperlink r:id="rId2934" ref="CG61"/>
    <hyperlink r:id="rId2935" ref="CJ61"/>
    <hyperlink r:id="rId2936" ref="CK61"/>
    <hyperlink r:id="rId2937" ref="CL61"/>
    <hyperlink r:id="rId2938" ref="CW61"/>
    <hyperlink r:id="rId2939" ref="CZ61"/>
    <hyperlink r:id="rId2940" ref="DA61"/>
    <hyperlink r:id="rId2941" ref="DK61"/>
    <hyperlink r:id="rId2942" ref="DN61"/>
    <hyperlink r:id="rId2943" ref="DP61"/>
    <hyperlink r:id="rId2944" ref="EB61"/>
    <hyperlink r:id="rId2945" ref="CF63"/>
    <hyperlink r:id="rId2946" ref="CW63"/>
    <hyperlink r:id="rId2947" ref="L64"/>
    <hyperlink r:id="rId2948" ref="P64"/>
    <hyperlink r:id="rId2949" ref="S64"/>
    <hyperlink r:id="rId2950" ref="BD64"/>
    <hyperlink r:id="rId2951" ref="BE64"/>
    <hyperlink r:id="rId2952" ref="BM64"/>
    <hyperlink r:id="rId2953" ref="CZ64"/>
    <hyperlink r:id="rId2954" ref="J65"/>
    <hyperlink r:id="rId2955" ref="K65"/>
    <hyperlink r:id="rId2956" ref="N65"/>
    <hyperlink r:id="rId2957" ref="O65"/>
    <hyperlink r:id="rId2958" ref="P65"/>
    <hyperlink r:id="rId2959" ref="X65"/>
    <hyperlink r:id="rId2960" ref="Y65"/>
    <hyperlink r:id="rId2961" ref="Z65"/>
    <hyperlink r:id="rId2962" ref="AA65"/>
    <hyperlink r:id="rId2963" ref="AB65"/>
    <hyperlink r:id="rId2964" ref="AC65"/>
    <hyperlink r:id="rId2965" ref="AF65"/>
    <hyperlink r:id="rId2966" ref="AI65"/>
    <hyperlink r:id="rId2967" ref="AM65"/>
    <hyperlink r:id="rId2968" ref="AT65"/>
    <hyperlink r:id="rId2969" ref="AU65"/>
    <hyperlink r:id="rId2970" ref="BA65"/>
    <hyperlink r:id="rId2971" ref="BC65"/>
    <hyperlink r:id="rId2972" ref="BD65"/>
    <hyperlink r:id="rId2973" ref="BE65"/>
    <hyperlink r:id="rId2974" ref="BF65"/>
    <hyperlink r:id="rId2975" ref="BH65"/>
    <hyperlink r:id="rId2976" ref="BI65"/>
    <hyperlink r:id="rId2977" ref="BK65"/>
    <hyperlink r:id="rId2978" ref="BR65"/>
    <hyperlink r:id="rId2979" ref="BS65"/>
    <hyperlink r:id="rId2980" ref="BT65"/>
    <hyperlink r:id="rId2981" ref="BV65"/>
    <hyperlink r:id="rId2982" ref="BZ65"/>
    <hyperlink r:id="rId2983" ref="CL65"/>
    <hyperlink r:id="rId2984" ref="CM65"/>
    <hyperlink r:id="rId2985" ref="CU65"/>
    <hyperlink r:id="rId2986" ref="CV65"/>
    <hyperlink r:id="rId2987" ref="CW65"/>
    <hyperlink r:id="rId2988" ref="DA65"/>
    <hyperlink r:id="rId2989" ref="DE65"/>
    <hyperlink r:id="rId2990" ref="DL65"/>
    <hyperlink r:id="rId2991" ref="DP65"/>
    <hyperlink r:id="rId2992" ref="DS65"/>
    <hyperlink r:id="rId2993" ref="DU65"/>
    <hyperlink r:id="rId2994" ref="J66"/>
    <hyperlink r:id="rId2995" ref="N66"/>
    <hyperlink r:id="rId2996" ref="X66"/>
    <hyperlink r:id="rId2997" ref="Y66"/>
    <hyperlink r:id="rId2998" ref="AA66"/>
    <hyperlink r:id="rId2999" ref="AB66"/>
    <hyperlink r:id="rId3000" ref="AC66"/>
    <hyperlink r:id="rId3001" ref="AF66"/>
    <hyperlink r:id="rId3002" ref="AH66"/>
    <hyperlink r:id="rId3003" ref="AL66"/>
    <hyperlink r:id="rId3004" ref="AU66"/>
    <hyperlink r:id="rId3005" ref="BB66"/>
    <hyperlink r:id="rId3006" ref="BG66"/>
    <hyperlink r:id="rId3007" ref="BI66"/>
    <hyperlink r:id="rId3008" ref="BJ66"/>
    <hyperlink r:id="rId3009" ref="BQ66"/>
    <hyperlink r:id="rId3010" ref="BS66"/>
    <hyperlink r:id="rId3011" ref="BX66"/>
    <hyperlink r:id="rId3012" ref="CD66"/>
    <hyperlink r:id="rId3013" ref="CI66"/>
    <hyperlink r:id="rId3014" ref="CL66"/>
    <hyperlink r:id="rId3015" ref="CM66"/>
    <hyperlink r:id="rId3016" ref="H67"/>
    <hyperlink r:id="rId3017" ref="S67"/>
    <hyperlink r:id="rId3018" ref="AX67"/>
    <hyperlink r:id="rId3019" ref="BD67"/>
    <hyperlink r:id="rId3020" ref="BR67"/>
    <hyperlink r:id="rId3021" ref="CF67"/>
    <hyperlink r:id="rId3022" ref="CU67"/>
    <hyperlink r:id="rId3023" ref="DA67"/>
    <hyperlink r:id="rId3024" ref="DG67"/>
    <hyperlink r:id="rId3025" ref="DQ67"/>
    <hyperlink r:id="rId3026" ref="P68"/>
    <hyperlink r:id="rId3027" ref="U68"/>
    <hyperlink r:id="rId3028" ref="X68"/>
    <hyperlink r:id="rId3029" ref="AA68"/>
    <hyperlink r:id="rId3030" ref="AB68"/>
    <hyperlink r:id="rId3031" ref="AJ68"/>
    <hyperlink r:id="rId3032" ref="AM68"/>
    <hyperlink r:id="rId3033" ref="AX68"/>
    <hyperlink r:id="rId3034" ref="BA68"/>
    <hyperlink r:id="rId3035" ref="BC68"/>
    <hyperlink r:id="rId3036" ref="BD68"/>
    <hyperlink r:id="rId3037" ref="BL68"/>
    <hyperlink r:id="rId3038" ref="BM68"/>
    <hyperlink r:id="rId3039" ref="BQ68"/>
    <hyperlink r:id="rId3040" ref="BS68"/>
    <hyperlink r:id="rId3041" ref="CA68"/>
    <hyperlink r:id="rId3042" ref="CB68"/>
    <hyperlink r:id="rId3043" ref="CF68"/>
    <hyperlink r:id="rId3044" ref="CG68"/>
    <hyperlink r:id="rId3045" ref="CI68"/>
    <hyperlink r:id="rId3046" ref="CL68"/>
    <hyperlink r:id="rId3047" ref="CW68"/>
    <hyperlink r:id="rId3048" ref="DC68"/>
    <hyperlink r:id="rId3049" ref="DE68"/>
    <hyperlink r:id="rId3050" ref="DK68"/>
    <hyperlink r:id="rId3051" ref="EA68"/>
    <hyperlink r:id="rId3052" ref="H69"/>
    <hyperlink r:id="rId3053" ref="I69"/>
    <hyperlink r:id="rId3054" ref="J69"/>
    <hyperlink r:id="rId3055" ref="K69"/>
    <hyperlink r:id="rId3056" ref="L69"/>
    <hyperlink r:id="rId3057" ref="M69"/>
    <hyperlink r:id="rId3058" ref="P69"/>
    <hyperlink r:id="rId3059" ref="X69"/>
    <hyperlink r:id="rId3060" ref="Y69"/>
    <hyperlink r:id="rId3061" ref="Z69"/>
    <hyperlink r:id="rId3062" ref="AA69"/>
    <hyperlink r:id="rId3063" ref="AB69"/>
    <hyperlink r:id="rId3064" ref="AD69"/>
    <hyperlink r:id="rId3065" ref="AF69"/>
    <hyperlink r:id="rId3066" ref="AM69"/>
    <hyperlink r:id="rId3067" ref="AT69"/>
    <hyperlink r:id="rId3068" ref="AU69"/>
    <hyperlink r:id="rId3069" ref="BA69"/>
    <hyperlink r:id="rId3070" ref="BB69"/>
    <hyperlink r:id="rId3071" ref="BE69"/>
    <hyperlink r:id="rId3072" ref="BS69"/>
    <hyperlink r:id="rId3073" ref="CF69"/>
    <hyperlink r:id="rId3074" ref="CG69"/>
    <hyperlink r:id="rId3075" ref="CL69"/>
    <hyperlink r:id="rId3076" ref="CV69"/>
    <hyperlink r:id="rId3077" ref="DG69"/>
    <hyperlink r:id="rId3078" ref="DL69"/>
    <hyperlink r:id="rId3079" ref="DP69"/>
    <hyperlink r:id="rId3080" ref="DU69"/>
    <hyperlink r:id="rId3081" ref="H70"/>
    <hyperlink r:id="rId3082" ref="I70"/>
    <hyperlink r:id="rId3083" ref="J70"/>
    <hyperlink r:id="rId3084" ref="K70"/>
    <hyperlink r:id="rId3085" ref="L70"/>
    <hyperlink r:id="rId3086" ref="N70"/>
    <hyperlink r:id="rId3087" ref="O70"/>
    <hyperlink r:id="rId3088" ref="P70"/>
    <hyperlink r:id="rId3089" ref="X70"/>
    <hyperlink r:id="rId3090" ref="Y70"/>
    <hyperlink r:id="rId3091" ref="Z70"/>
    <hyperlink r:id="rId3092" ref="AB70"/>
    <hyperlink r:id="rId3093" ref="AC70"/>
    <hyperlink r:id="rId3094" ref="AE70"/>
    <hyperlink r:id="rId3095" ref="AF70"/>
    <hyperlink r:id="rId3096" ref="AM70"/>
    <hyperlink r:id="rId3097" ref="AT70"/>
    <hyperlink r:id="rId3098" ref="AX70"/>
    <hyperlink r:id="rId3099" ref="AY70"/>
    <hyperlink r:id="rId3100" ref="BA70"/>
    <hyperlink r:id="rId3101" ref="BB70"/>
    <hyperlink r:id="rId3102" ref="BC70"/>
    <hyperlink r:id="rId3103" ref="BD70"/>
    <hyperlink r:id="rId3104" ref="BE70"/>
    <hyperlink r:id="rId3105" ref="BJ70"/>
    <hyperlink r:id="rId3106" ref="BK70"/>
    <hyperlink r:id="rId3107" ref="BQ70"/>
    <hyperlink r:id="rId3108" ref="BR70"/>
    <hyperlink r:id="rId3109" ref="BS70"/>
    <hyperlink r:id="rId3110" ref="BT70"/>
    <hyperlink r:id="rId3111" ref="BU70"/>
    <hyperlink r:id="rId3112" ref="BV70"/>
    <hyperlink r:id="rId3113" ref="BZ70"/>
    <hyperlink r:id="rId3114" ref="CC70"/>
    <hyperlink r:id="rId3115" ref="CG70"/>
    <hyperlink r:id="rId3116" ref="CO70"/>
    <hyperlink r:id="rId3117" ref="CQ70"/>
    <hyperlink r:id="rId3118" ref="CU70"/>
    <hyperlink r:id="rId3119" ref="CW70"/>
    <hyperlink r:id="rId3120" ref="CY70"/>
    <hyperlink r:id="rId3121" ref="DA70"/>
    <hyperlink r:id="rId3122" ref="DC70"/>
    <hyperlink r:id="rId3123" ref="DK70"/>
    <hyperlink r:id="rId3124" ref="DM70"/>
    <hyperlink r:id="rId3125" ref="DS70"/>
    <hyperlink r:id="rId3126" ref="DZ70"/>
    <hyperlink r:id="rId3127" ref="EA70"/>
    <hyperlink r:id="rId3128" ref="EB70"/>
    <hyperlink r:id="rId3129" ref="H71"/>
    <hyperlink r:id="rId3130" ref="I71"/>
    <hyperlink r:id="rId3131" ref="J71"/>
    <hyperlink r:id="rId3132" ref="K71"/>
    <hyperlink r:id="rId3133" ref="L71"/>
    <hyperlink r:id="rId3134" ref="M71"/>
    <hyperlink r:id="rId3135" ref="N71"/>
    <hyperlink r:id="rId3136" ref="O71"/>
    <hyperlink r:id="rId3137" ref="P71"/>
    <hyperlink r:id="rId3138" ref="X71"/>
    <hyperlink r:id="rId3139" ref="Y71"/>
    <hyperlink r:id="rId3140" ref="Z71"/>
    <hyperlink r:id="rId3141" ref="AA71"/>
    <hyperlink r:id="rId3142" ref="AB71"/>
    <hyperlink r:id="rId3143" ref="AC71"/>
    <hyperlink r:id="rId3144" ref="AE71"/>
    <hyperlink r:id="rId3145" ref="AF71"/>
    <hyperlink r:id="rId3146" ref="AG71"/>
    <hyperlink r:id="rId3147" ref="AL71"/>
    <hyperlink r:id="rId3148" ref="AM71"/>
    <hyperlink r:id="rId3149" ref="AT71"/>
    <hyperlink r:id="rId3150" ref="AU71"/>
    <hyperlink r:id="rId3151" ref="BA71"/>
    <hyperlink r:id="rId3152" ref="BB71"/>
    <hyperlink r:id="rId3153" ref="BC71"/>
    <hyperlink r:id="rId3154" ref="BD71"/>
    <hyperlink r:id="rId3155" ref="BE71"/>
    <hyperlink r:id="rId3156" ref="BF71"/>
    <hyperlink r:id="rId3157" ref="BG71"/>
    <hyperlink r:id="rId3158" ref="BH71"/>
    <hyperlink r:id="rId3159" ref="BI71"/>
    <hyperlink r:id="rId3160" ref="BJ71"/>
    <hyperlink r:id="rId3161" ref="BK71"/>
    <hyperlink r:id="rId3162" ref="BL71"/>
    <hyperlink r:id="rId3163" ref="BM71"/>
    <hyperlink r:id="rId3164" ref="BN71"/>
    <hyperlink r:id="rId3165" ref="BQ71"/>
    <hyperlink r:id="rId3166" ref="BR71"/>
    <hyperlink r:id="rId3167" ref="BS71"/>
    <hyperlink r:id="rId3168" ref="BT71"/>
    <hyperlink r:id="rId3169" ref="BU71"/>
    <hyperlink r:id="rId3170" ref="BV71"/>
    <hyperlink r:id="rId3171" ref="BW71"/>
    <hyperlink r:id="rId3172" ref="BX71"/>
    <hyperlink r:id="rId3173" ref="BZ71"/>
    <hyperlink r:id="rId3174" ref="CC71"/>
    <hyperlink r:id="rId3175" ref="CF71"/>
    <hyperlink r:id="rId3176" ref="CG71"/>
    <hyperlink r:id="rId3177" ref="CH71"/>
    <hyperlink r:id="rId3178" ref="CI71"/>
    <hyperlink r:id="rId3179" ref="CJ71"/>
    <hyperlink r:id="rId3180" ref="CK71"/>
    <hyperlink r:id="rId3181" ref="CL71"/>
    <hyperlink r:id="rId3182" ref="CM71"/>
    <hyperlink r:id="rId3183" ref="CT71"/>
    <hyperlink r:id="rId3184" ref="CU71"/>
    <hyperlink r:id="rId3185" ref="CV71"/>
    <hyperlink r:id="rId3186" ref="CW71"/>
    <hyperlink r:id="rId3187" ref="CX71"/>
    <hyperlink r:id="rId3188" ref="CY71"/>
    <hyperlink r:id="rId3189" ref="CZ71"/>
    <hyperlink r:id="rId3190" ref="DA71"/>
    <hyperlink r:id="rId3191" ref="DD71"/>
    <hyperlink r:id="rId3192" ref="DK71"/>
    <hyperlink r:id="rId3193" ref="DL71"/>
    <hyperlink r:id="rId3194" ref="DP71"/>
    <hyperlink r:id="rId3195" ref="DQ71"/>
    <hyperlink r:id="rId3196" ref="DU71"/>
    <hyperlink r:id="rId3197" ref="DX71"/>
    <hyperlink r:id="rId3198" ref="DY71"/>
    <hyperlink r:id="rId3199" ref="H74"/>
    <hyperlink r:id="rId3200" ref="Q74"/>
    <hyperlink r:id="rId3201" ref="V74"/>
    <hyperlink r:id="rId3202" ref="AB74"/>
    <hyperlink r:id="rId3203" ref="AJ74"/>
    <hyperlink r:id="rId3204" ref="AN74"/>
    <hyperlink r:id="rId3205" ref="AQ74"/>
    <hyperlink r:id="rId3206" ref="AU74"/>
    <hyperlink r:id="rId3207" ref="AV74"/>
    <hyperlink r:id="rId3208" ref="AY74"/>
    <hyperlink r:id="rId3209" ref="BD74"/>
    <hyperlink r:id="rId3210" ref="BF74"/>
    <hyperlink r:id="rId3211" ref="BH74"/>
    <hyperlink r:id="rId3212" ref="BO74"/>
    <hyperlink r:id="rId3213" ref="CA74"/>
    <hyperlink r:id="rId3214" ref="CD74"/>
    <hyperlink r:id="rId3215" ref="CG74"/>
    <hyperlink r:id="rId3216" ref="DB74"/>
    <hyperlink r:id="rId3217" ref="DD74"/>
    <hyperlink r:id="rId3218" ref="DQ74"/>
    <hyperlink r:id="rId3219" ref="DX74"/>
    <hyperlink r:id="rId3220" ref="I75"/>
    <hyperlink r:id="rId3221" ref="K75"/>
    <hyperlink r:id="rId3222" ref="O75"/>
    <hyperlink r:id="rId3223" ref="X75"/>
    <hyperlink r:id="rId3224" ref="Y75"/>
    <hyperlink r:id="rId3225" ref="Z75"/>
    <hyperlink r:id="rId3226" ref="AA75"/>
    <hyperlink r:id="rId3227" ref="AB75"/>
    <hyperlink r:id="rId3228" ref="AC75"/>
    <hyperlink r:id="rId3229" ref="AE75"/>
    <hyperlink r:id="rId3230" ref="AF75"/>
    <hyperlink r:id="rId3231" ref="AG75"/>
    <hyperlink r:id="rId3232" ref="AJ75"/>
    <hyperlink r:id="rId3233" ref="BC75"/>
    <hyperlink r:id="rId3234" ref="BD75"/>
    <hyperlink r:id="rId3235" ref="BH75"/>
    <hyperlink r:id="rId3236" ref="BS75"/>
    <hyperlink r:id="rId3237" ref="CF75"/>
    <hyperlink r:id="rId3238" ref="CG75"/>
    <hyperlink r:id="rId3239" ref="CH75"/>
    <hyperlink r:id="rId3240" ref="CV75"/>
    <hyperlink r:id="rId3241" ref="CY75"/>
    <hyperlink r:id="rId3242" ref="CZ75"/>
    <hyperlink r:id="rId3243" ref="BW76"/>
    <hyperlink r:id="rId3244" ref="CI76"/>
    <hyperlink r:id="rId3245" ref="BW79"/>
    <hyperlink r:id="rId3246" ref="I80"/>
    <hyperlink r:id="rId3247" ref="L80"/>
    <hyperlink r:id="rId3248" ref="P80"/>
    <hyperlink r:id="rId3249" ref="X80"/>
    <hyperlink r:id="rId3250" ref="Z80"/>
    <hyperlink r:id="rId3251" ref="AB80"/>
    <hyperlink r:id="rId3252" ref="BD80"/>
    <hyperlink r:id="rId3253" ref="BT80"/>
    <hyperlink r:id="rId3254" ref="BV80"/>
    <hyperlink r:id="rId3255" ref="CL80"/>
    <hyperlink r:id="rId3256" ref="CM80"/>
    <hyperlink r:id="rId3257" ref="CZ80"/>
    <hyperlink r:id="rId3258" ref="H81"/>
    <hyperlink r:id="rId3259" ref="Q81"/>
    <hyperlink r:id="rId3260" ref="AC81"/>
    <hyperlink r:id="rId3261" ref="AE81"/>
    <hyperlink r:id="rId3262" ref="BC81"/>
    <hyperlink r:id="rId3263" ref="BQ81"/>
    <hyperlink r:id="rId3264" ref="BT81"/>
    <hyperlink r:id="rId3265" ref="CL81"/>
    <hyperlink r:id="rId3266" ref="CR81"/>
    <hyperlink r:id="rId3267" ref="DE81"/>
    <hyperlink r:id="rId3268" ref="DK81"/>
    <hyperlink r:id="rId3269" ref="DZ81"/>
    <hyperlink r:id="rId3270" ref="EA81"/>
    <hyperlink r:id="rId3271" ref="EB81"/>
    <hyperlink r:id="rId3272" ref="H82"/>
    <hyperlink r:id="rId3273" ref="I82"/>
    <hyperlink r:id="rId3274" ref="K82"/>
    <hyperlink r:id="rId3275" ref="L82"/>
    <hyperlink r:id="rId3276" ref="M82"/>
    <hyperlink r:id="rId3277" ref="N82"/>
    <hyperlink r:id="rId3278" ref="O82"/>
    <hyperlink r:id="rId3279" ref="P82"/>
    <hyperlink r:id="rId3280" ref="Q82"/>
    <hyperlink r:id="rId3281" ref="X82"/>
    <hyperlink r:id="rId3282" ref="Y82"/>
    <hyperlink r:id="rId3283" ref="Z82"/>
    <hyperlink r:id="rId3284" ref="AC82"/>
    <hyperlink r:id="rId3285" ref="AD82"/>
    <hyperlink r:id="rId3286" ref="AE82"/>
    <hyperlink r:id="rId3287" ref="AF82"/>
    <hyperlink r:id="rId3288" ref="AT82"/>
    <hyperlink r:id="rId3289" ref="AU82"/>
    <hyperlink r:id="rId3290" ref="AV82"/>
    <hyperlink r:id="rId3291" ref="BA82"/>
    <hyperlink r:id="rId3292" ref="BB82"/>
    <hyperlink r:id="rId3293" ref="BC82"/>
    <hyperlink r:id="rId3294" ref="BD82"/>
    <hyperlink r:id="rId3295" ref="BH82"/>
    <hyperlink r:id="rId3296" ref="BK82"/>
    <hyperlink r:id="rId3297" ref="BN82"/>
    <hyperlink r:id="rId3298" ref="BS82"/>
    <hyperlink r:id="rId3299" ref="BT82"/>
    <hyperlink r:id="rId3300" ref="BU82"/>
    <hyperlink r:id="rId3301" ref="BV82"/>
    <hyperlink r:id="rId3302" ref="BZ82"/>
    <hyperlink r:id="rId3303" ref="CA82"/>
    <hyperlink r:id="rId3304" ref="CB82"/>
    <hyperlink r:id="rId3305" ref="CG82"/>
    <hyperlink r:id="rId3306" ref="CH82"/>
    <hyperlink r:id="rId3307" ref="CJ82"/>
    <hyperlink r:id="rId3308" ref="CK82"/>
    <hyperlink r:id="rId3309" ref="CL82"/>
    <hyperlink r:id="rId3310" ref="CM82"/>
    <hyperlink r:id="rId3311" ref="CU82"/>
    <hyperlink r:id="rId3312" ref="CZ82"/>
    <hyperlink r:id="rId3313" ref="DJ82"/>
    <hyperlink r:id="rId3314" ref="DK82"/>
    <hyperlink r:id="rId3315" ref="DP82"/>
    <hyperlink r:id="rId3316" ref="DQ82"/>
    <hyperlink r:id="rId3317" ref="DR82"/>
    <hyperlink r:id="rId3318" ref="DU82"/>
    <hyperlink r:id="rId3319" ref="EB82"/>
    <hyperlink r:id="rId3320" ref="M83"/>
    <hyperlink r:id="rId3321" ref="BW83"/>
    <hyperlink r:id="rId3322" ref="CH84"/>
    <hyperlink r:id="rId3323" ref="CW84"/>
    <hyperlink r:id="rId3324" ref="P88"/>
    <hyperlink r:id="rId3325" ref="Q88"/>
    <hyperlink r:id="rId3326" ref="R88"/>
    <hyperlink r:id="rId3327" ref="S88"/>
    <hyperlink r:id="rId3328" ref="T88"/>
    <hyperlink r:id="rId3329" ref="U88"/>
    <hyperlink r:id="rId3330" ref="AF88"/>
    <hyperlink r:id="rId3331" ref="AH88"/>
    <hyperlink r:id="rId3332" ref="AI88"/>
    <hyperlink r:id="rId3333" ref="AJ88"/>
    <hyperlink r:id="rId3334" ref="AO88"/>
    <hyperlink r:id="rId3335" ref="AP88"/>
    <hyperlink r:id="rId3336" ref="AQ88"/>
    <hyperlink r:id="rId3337" ref="AS88"/>
    <hyperlink r:id="rId3338" ref="AT88"/>
    <hyperlink r:id="rId3339" ref="AU88"/>
    <hyperlink r:id="rId3340" ref="AW88"/>
    <hyperlink r:id="rId3341" ref="AX88"/>
    <hyperlink r:id="rId3342" ref="AY88"/>
    <hyperlink r:id="rId3343" ref="BB88"/>
    <hyperlink r:id="rId3344" ref="BR88"/>
    <hyperlink r:id="rId3345" ref="BT88"/>
    <hyperlink r:id="rId3346" ref="BZ88"/>
    <hyperlink r:id="rId3347" ref="CH88"/>
    <hyperlink r:id="rId3348" ref="CM88"/>
    <hyperlink r:id="rId3349" ref="CO88"/>
    <hyperlink r:id="rId3350" ref="CP88"/>
    <hyperlink r:id="rId3351" ref="CV88"/>
    <hyperlink r:id="rId3352" ref="CX88"/>
    <hyperlink r:id="rId3353" ref="DA88"/>
    <hyperlink r:id="rId3354" ref="DQ88"/>
    <hyperlink r:id="rId3355" ref="EB88"/>
    <hyperlink r:id="rId3356" ref="AI89"/>
    <hyperlink r:id="rId3357" ref="AU89"/>
    <hyperlink r:id="rId3358" ref="CD89"/>
    <hyperlink r:id="rId3359" ref="CR89"/>
    <hyperlink r:id="rId3360" ref="CU89"/>
    <hyperlink r:id="rId3361" ref="DB89"/>
    <hyperlink r:id="rId3362" ref="DM89"/>
    <hyperlink r:id="rId3363" ref="P90"/>
    <hyperlink r:id="rId3364" ref="Z90"/>
    <hyperlink r:id="rId3365" ref="AA90"/>
    <hyperlink r:id="rId3366" ref="AB90"/>
    <hyperlink r:id="rId3367" ref="AF90"/>
    <hyperlink r:id="rId3368" ref="AX90"/>
    <hyperlink r:id="rId3369" ref="BD90"/>
    <hyperlink r:id="rId3370" ref="BS90"/>
    <hyperlink r:id="rId3371" ref="BZ90"/>
    <hyperlink r:id="rId3372" ref="CA90"/>
    <hyperlink r:id="rId3373" ref="CC90"/>
    <hyperlink r:id="rId3374" ref="CG90"/>
    <hyperlink r:id="rId3375" ref="CM90"/>
    <hyperlink r:id="rId3376" ref="DE90"/>
    <hyperlink r:id="rId3377" ref="I91"/>
    <hyperlink r:id="rId3378" ref="J91"/>
    <hyperlink r:id="rId3379" ref="K91"/>
    <hyperlink r:id="rId3380" ref="L91"/>
    <hyperlink r:id="rId3381" ref="M91"/>
    <hyperlink r:id="rId3382" ref="N91"/>
    <hyperlink r:id="rId3383" ref="O91"/>
    <hyperlink r:id="rId3384" ref="P91"/>
    <hyperlink r:id="rId3385" ref="Q91"/>
    <hyperlink r:id="rId3386" ref="S91"/>
    <hyperlink r:id="rId3387" ref="T91"/>
    <hyperlink r:id="rId3388" ref="X91"/>
    <hyperlink r:id="rId3389" ref="Z91"/>
    <hyperlink r:id="rId3390" ref="AB91"/>
    <hyperlink r:id="rId3391" ref="AE91"/>
    <hyperlink r:id="rId3392" ref="AF91"/>
    <hyperlink r:id="rId3393" ref="AT91"/>
    <hyperlink r:id="rId3394" ref="AU91"/>
    <hyperlink r:id="rId3395" ref="AV91"/>
    <hyperlink r:id="rId3396" ref="AX91"/>
    <hyperlink r:id="rId3397" ref="BD91"/>
    <hyperlink r:id="rId3398" ref="BE91"/>
    <hyperlink r:id="rId3399" ref="BH91"/>
    <hyperlink r:id="rId3400" ref="BJ91"/>
    <hyperlink r:id="rId3401" ref="BK91"/>
    <hyperlink r:id="rId3402" ref="BM91"/>
    <hyperlink r:id="rId3403" ref="BQ91"/>
    <hyperlink r:id="rId3404" ref="BT91"/>
    <hyperlink r:id="rId3405" ref="BZ91"/>
    <hyperlink r:id="rId3406" ref="CA91"/>
    <hyperlink r:id="rId3407" ref="CC91"/>
    <hyperlink r:id="rId3408" ref="CF91"/>
    <hyperlink r:id="rId3409" ref="CG91"/>
    <hyperlink r:id="rId3410" ref="CI91"/>
    <hyperlink r:id="rId3411" ref="CJ91"/>
    <hyperlink r:id="rId3412" ref="CK91"/>
    <hyperlink r:id="rId3413" ref="CM91"/>
    <hyperlink r:id="rId3414" ref="CQ91"/>
    <hyperlink r:id="rId3415" ref="CW91"/>
    <hyperlink r:id="rId3416" ref="DA91"/>
    <hyperlink r:id="rId3417" ref="DD91"/>
    <hyperlink r:id="rId3418" ref="DM91"/>
    <hyperlink r:id="rId3419" ref="DY91"/>
    <hyperlink r:id="rId3420" ref="I92"/>
    <hyperlink r:id="rId3421" ref="J92"/>
    <hyperlink r:id="rId3422" ref="L92"/>
    <hyperlink r:id="rId3423" ref="O92"/>
    <hyperlink r:id="rId3424" ref="S92"/>
    <hyperlink r:id="rId3425" ref="T92"/>
    <hyperlink r:id="rId3426" ref="X92"/>
    <hyperlink r:id="rId3427" ref="Y92"/>
    <hyperlink r:id="rId3428" ref="Z92"/>
    <hyperlink r:id="rId3429" ref="AA92"/>
    <hyperlink r:id="rId3430" ref="AC92"/>
    <hyperlink r:id="rId3431" ref="AD92"/>
    <hyperlink r:id="rId3432" ref="AI92"/>
    <hyperlink r:id="rId3433" ref="AR92"/>
    <hyperlink r:id="rId3434" ref="AU92"/>
    <hyperlink r:id="rId3435" ref="AW92"/>
    <hyperlink r:id="rId3436" ref="BD92"/>
    <hyperlink r:id="rId3437" ref="BI92"/>
    <hyperlink r:id="rId3438" ref="BM92"/>
    <hyperlink r:id="rId3439" ref="BN92"/>
    <hyperlink r:id="rId3440" ref="BR92"/>
    <hyperlink r:id="rId3441" ref="BS92"/>
    <hyperlink r:id="rId3442" ref="BT92"/>
    <hyperlink r:id="rId3443" ref="BV92"/>
    <hyperlink r:id="rId3444" ref="BX92"/>
    <hyperlink r:id="rId3445" ref="BY92"/>
    <hyperlink r:id="rId3446" ref="CA92"/>
    <hyperlink r:id="rId3447" ref="CB92"/>
    <hyperlink r:id="rId3448" ref="CC92"/>
    <hyperlink r:id="rId3449" ref="CF92"/>
    <hyperlink r:id="rId3450" ref="CG92"/>
    <hyperlink r:id="rId3451" ref="CK92"/>
    <hyperlink r:id="rId3452" ref="CL92"/>
    <hyperlink r:id="rId3453" ref="CQ92"/>
    <hyperlink r:id="rId3454" ref="CT92"/>
    <hyperlink r:id="rId3455" ref="CV92"/>
    <hyperlink r:id="rId3456" ref="CX92"/>
    <hyperlink r:id="rId3457" ref="CY92"/>
    <hyperlink r:id="rId3458" ref="CZ92"/>
    <hyperlink r:id="rId3459" ref="DC92"/>
    <hyperlink r:id="rId3460" ref="DH92"/>
    <hyperlink r:id="rId3461" ref="DM92"/>
    <hyperlink r:id="rId3462" ref="DN92"/>
    <hyperlink r:id="rId3463" ref="DO92"/>
    <hyperlink r:id="rId3464" ref="DP92"/>
    <hyperlink r:id="rId3465" ref="DU92"/>
    <hyperlink r:id="rId3466" ref="DY92"/>
    <hyperlink r:id="rId3467" ref="EA92"/>
    <hyperlink r:id="rId3468" ref="L93"/>
    <hyperlink r:id="rId3469" ref="P93"/>
    <hyperlink r:id="rId3470" ref="S93"/>
    <hyperlink r:id="rId3471" ref="V93"/>
    <hyperlink r:id="rId3472" ref="X93"/>
    <hyperlink r:id="rId3473" ref="Y93"/>
    <hyperlink r:id="rId3474" ref="Z93"/>
    <hyperlink r:id="rId3475" ref="AA93"/>
    <hyperlink r:id="rId3476" ref="AB93"/>
    <hyperlink r:id="rId3477" ref="AF93"/>
    <hyperlink r:id="rId3478" ref="AO93"/>
    <hyperlink r:id="rId3479" ref="AQ93"/>
    <hyperlink r:id="rId3480" ref="AV93"/>
    <hyperlink r:id="rId3481" ref="BC93"/>
    <hyperlink r:id="rId3482" ref="BD93"/>
    <hyperlink r:id="rId3483" ref="BH93"/>
    <hyperlink r:id="rId3484" ref="BM93"/>
    <hyperlink r:id="rId3485" ref="BO93"/>
    <hyperlink r:id="rId3486" ref="BQ93"/>
    <hyperlink r:id="rId3487" ref="BT93"/>
    <hyperlink r:id="rId3488" ref="BX93"/>
    <hyperlink r:id="rId3489" ref="CA93"/>
    <hyperlink r:id="rId3490" ref="CD93"/>
    <hyperlink r:id="rId3491" ref="CG93"/>
    <hyperlink r:id="rId3492" ref="CM93"/>
    <hyperlink r:id="rId3493" ref="CR93"/>
    <hyperlink r:id="rId3494" ref="CZ93"/>
    <hyperlink r:id="rId3495" ref="DJ93"/>
    <hyperlink r:id="rId3496" ref="DK93"/>
    <hyperlink r:id="rId3497" ref="DM93"/>
    <hyperlink r:id="rId3498" ref="DN93"/>
    <hyperlink r:id="rId3499" ref="DO93"/>
    <hyperlink r:id="rId3500" ref="M94"/>
    <hyperlink r:id="rId3501" ref="AF94"/>
    <hyperlink r:id="rId3502" ref="BQ94"/>
    <hyperlink r:id="rId3503" ref="CF94"/>
    <hyperlink r:id="rId3504" ref="CI94"/>
    <hyperlink r:id="rId3505" ref="H96"/>
    <hyperlink r:id="rId3506" ref="K96"/>
    <hyperlink r:id="rId3507" ref="L96"/>
    <hyperlink r:id="rId3508" ref="M96"/>
    <hyperlink r:id="rId3509" ref="R96"/>
    <hyperlink r:id="rId3510" ref="S96"/>
    <hyperlink r:id="rId3511" ref="U96"/>
    <hyperlink r:id="rId3512" ref="V96"/>
    <hyperlink r:id="rId3513" ref="AE96"/>
    <hyperlink r:id="rId3514" ref="AF96"/>
    <hyperlink r:id="rId3515" ref="AG96"/>
    <hyperlink r:id="rId3516" ref="AI96"/>
    <hyperlink r:id="rId3517" ref="AJ96"/>
    <hyperlink r:id="rId3518" ref="AL96"/>
    <hyperlink r:id="rId3519" ref="AM96"/>
    <hyperlink r:id="rId3520" ref="AU96"/>
    <hyperlink r:id="rId3521" ref="AV96"/>
    <hyperlink r:id="rId3522" ref="AW96"/>
    <hyperlink r:id="rId3523" ref="AX96"/>
    <hyperlink r:id="rId3524" ref="BB96"/>
    <hyperlink r:id="rId3525" ref="BE96"/>
    <hyperlink r:id="rId3526" ref="BF96"/>
    <hyperlink r:id="rId3527" ref="BG96"/>
    <hyperlink r:id="rId3528" ref="BM96"/>
    <hyperlink r:id="rId3529" ref="BQ96"/>
    <hyperlink r:id="rId3530" ref="BT96"/>
    <hyperlink r:id="rId3531" ref="BW96"/>
    <hyperlink r:id="rId3532" ref="CA96"/>
    <hyperlink r:id="rId3533" ref="CF96"/>
    <hyperlink r:id="rId3534" ref="CG96"/>
    <hyperlink r:id="rId3535" ref="CH96"/>
    <hyperlink r:id="rId3536" ref="CJ96"/>
    <hyperlink r:id="rId3537" ref="CL96"/>
    <hyperlink r:id="rId3538" ref="CM96"/>
    <hyperlink r:id="rId3539" ref="CR96"/>
    <hyperlink r:id="rId3540" ref="CT96"/>
    <hyperlink r:id="rId3541" ref="CX96"/>
    <hyperlink r:id="rId3542" ref="DE96"/>
    <hyperlink r:id="rId3543" ref="DK96"/>
    <hyperlink r:id="rId3544" ref="DL96"/>
    <hyperlink r:id="rId3545" ref="DS96"/>
    <hyperlink r:id="rId3546" ref="DW96"/>
    <hyperlink r:id="rId3547" ref="EB96"/>
    <hyperlink r:id="rId3548" ref="AB97"/>
    <hyperlink r:id="rId3549" ref="BF97"/>
    <hyperlink r:id="rId3550" ref="BH97"/>
    <hyperlink r:id="rId3551" ref="CG97"/>
    <hyperlink r:id="rId3552" ref="CZ97"/>
    <hyperlink r:id="rId3553" ref="I98"/>
    <hyperlink r:id="rId3554" ref="J98"/>
    <hyperlink r:id="rId3555" ref="K98"/>
    <hyperlink r:id="rId3556" ref="L98"/>
    <hyperlink r:id="rId3557" ref="N98"/>
    <hyperlink r:id="rId3558" ref="O98"/>
    <hyperlink r:id="rId3559" ref="P98"/>
    <hyperlink r:id="rId3560" ref="X98"/>
    <hyperlink r:id="rId3561" ref="Z98"/>
    <hyperlink r:id="rId3562" ref="AA98"/>
    <hyperlink r:id="rId3563" ref="AB98"/>
    <hyperlink r:id="rId3564" ref="AC98"/>
    <hyperlink r:id="rId3565" ref="AF98"/>
    <hyperlink r:id="rId3566" ref="AT98"/>
    <hyperlink r:id="rId3567" ref="AU98"/>
    <hyperlink r:id="rId3568" ref="BB98"/>
    <hyperlink r:id="rId3569" ref="BC98"/>
    <hyperlink r:id="rId3570" ref="BH98"/>
    <hyperlink r:id="rId3571" ref="BJ98"/>
    <hyperlink r:id="rId3572" ref="BK98"/>
    <hyperlink r:id="rId3573" ref="BQ98"/>
    <hyperlink r:id="rId3574" ref="BS98"/>
    <hyperlink r:id="rId3575" ref="BT98"/>
    <hyperlink r:id="rId3576" ref="BV98"/>
    <hyperlink r:id="rId3577" ref="BY98"/>
    <hyperlink r:id="rId3578" ref="BZ98"/>
    <hyperlink r:id="rId3579" ref="CL98"/>
    <hyperlink r:id="rId3580" ref="CM98"/>
    <hyperlink r:id="rId3581" ref="CT98"/>
    <hyperlink r:id="rId3582" ref="CV98"/>
    <hyperlink r:id="rId3583" ref="CW98"/>
    <hyperlink r:id="rId3584" ref="CX98"/>
    <hyperlink r:id="rId3585" ref="CZ98"/>
    <hyperlink r:id="rId3586" ref="DA98"/>
    <hyperlink r:id="rId3587" ref="DG98"/>
    <hyperlink r:id="rId3588" ref="DK98"/>
    <hyperlink r:id="rId3589" ref="DP98"/>
    <hyperlink r:id="rId3590" ref="DQ98"/>
    <hyperlink r:id="rId3591" ref="DZ98"/>
    <hyperlink r:id="rId3592" ref="EB98"/>
    <hyperlink r:id="rId3593" ref="AB99"/>
    <hyperlink r:id="rId3594" ref="H103"/>
    <hyperlink r:id="rId3595" ref="I103"/>
    <hyperlink r:id="rId3596" ref="J103"/>
    <hyperlink r:id="rId3597" ref="P103"/>
    <hyperlink r:id="rId3598" ref="AT103"/>
    <hyperlink r:id="rId3599" ref="BK103"/>
    <hyperlink r:id="rId3600" ref="CA103"/>
    <hyperlink r:id="rId3601" ref="CV103"/>
    <hyperlink r:id="rId3602" ref="BE104"/>
    <hyperlink r:id="rId3603" ref="CL104"/>
    <hyperlink r:id="rId3604" ref="CY104"/>
    <hyperlink r:id="rId3605" ref="BT106"/>
    <hyperlink r:id="rId3606" ref="BV106"/>
    <hyperlink r:id="rId3607" ref="J107"/>
    <hyperlink r:id="rId3608" ref="K108"/>
    <hyperlink r:id="rId3609" ref="X108"/>
    <hyperlink r:id="rId3610" ref="BV108"/>
    <hyperlink r:id="rId3611" ref="P111"/>
    <hyperlink r:id="rId3612" ref="S111"/>
    <hyperlink r:id="rId3613" ref="V111"/>
    <hyperlink r:id="rId3614" ref="AF111"/>
    <hyperlink r:id="rId3615" ref="AI111"/>
    <hyperlink r:id="rId3616" ref="AO111"/>
    <hyperlink r:id="rId3617" ref="AT111"/>
    <hyperlink r:id="rId3618" ref="AX111"/>
    <hyperlink r:id="rId3619" ref="BX111"/>
    <hyperlink r:id="rId3620" ref="BZ111"/>
    <hyperlink r:id="rId3621" ref="CA111"/>
    <hyperlink r:id="rId3622" ref="CB111"/>
    <hyperlink r:id="rId3623" ref="CM111"/>
    <hyperlink r:id="rId3624" ref="CZ111"/>
    <hyperlink r:id="rId3625" ref="DA111"/>
    <hyperlink r:id="rId3626" ref="H114"/>
    <hyperlink r:id="rId3627" ref="L114"/>
    <hyperlink r:id="rId3628" ref="P114"/>
    <hyperlink r:id="rId3629" ref="Z114"/>
    <hyperlink r:id="rId3630" ref="AB114"/>
    <hyperlink r:id="rId3631" ref="AR114"/>
    <hyperlink r:id="rId3632" ref="AV114"/>
    <hyperlink r:id="rId3633" ref="BC114"/>
    <hyperlink r:id="rId3634" ref="CU114"/>
    <hyperlink r:id="rId3635" ref="DN114"/>
    <hyperlink r:id="rId3636" ref="DU114"/>
    <hyperlink r:id="rId3637" ref="O116"/>
    <hyperlink r:id="rId3638" ref="AB116"/>
    <hyperlink r:id="rId3639" ref="BD116"/>
    <hyperlink r:id="rId3640" ref="I117"/>
    <hyperlink r:id="rId3641" ref="L117"/>
    <hyperlink r:id="rId3642" ref="Y117"/>
    <hyperlink r:id="rId3643" ref="BV117"/>
    <hyperlink r:id="rId3644" ref="CV117"/>
    <hyperlink r:id="rId3645" ref="DK117"/>
    <hyperlink r:id="rId3646" ref="DX117"/>
    <hyperlink r:id="rId3647" ref="P118"/>
    <hyperlink r:id="rId3648" ref="Q118"/>
    <hyperlink r:id="rId3649" ref="AF118"/>
    <hyperlink r:id="rId3650" ref="J119"/>
    <hyperlink r:id="rId3651" ref="K119"/>
    <hyperlink r:id="rId3652" ref="P119"/>
    <hyperlink r:id="rId3653" ref="L121"/>
    <hyperlink r:id="rId3654" ref="CG121"/>
    <hyperlink r:id="rId3655" ref="DS121"/>
    <hyperlink r:id="rId3656" ref="DY121"/>
    <hyperlink r:id="rId3657" ref="I123"/>
    <hyperlink r:id="rId3658" ref="J123"/>
    <hyperlink r:id="rId3659" ref="K123"/>
    <hyperlink r:id="rId3660" ref="L123"/>
    <hyperlink r:id="rId3661" ref="M123"/>
    <hyperlink r:id="rId3662" ref="N123"/>
    <hyperlink r:id="rId3663" ref="O123"/>
    <hyperlink r:id="rId3664" ref="X123"/>
    <hyperlink r:id="rId3665" ref="Y123"/>
    <hyperlink r:id="rId3666" ref="AB123"/>
    <hyperlink r:id="rId3667" ref="AF123"/>
    <hyperlink r:id="rId3668" ref="AT123"/>
    <hyperlink r:id="rId3669" ref="AU123"/>
    <hyperlink r:id="rId3670" ref="BA123"/>
    <hyperlink r:id="rId3671" ref="BD123"/>
    <hyperlink r:id="rId3672" ref="BE123"/>
    <hyperlink r:id="rId3673" ref="BH123"/>
    <hyperlink r:id="rId3674" ref="BQ123"/>
    <hyperlink r:id="rId3675" ref="BY123"/>
    <hyperlink r:id="rId3676" ref="CG123"/>
    <hyperlink r:id="rId3677" ref="CH123"/>
    <hyperlink r:id="rId3678" ref="CI123"/>
    <hyperlink r:id="rId3679" ref="CJ123"/>
    <hyperlink r:id="rId3680" ref="CL123"/>
    <hyperlink r:id="rId3681" ref="CT123"/>
    <hyperlink r:id="rId3682" ref="CU123"/>
    <hyperlink r:id="rId3683" ref="CV123"/>
    <hyperlink r:id="rId3684" ref="CW123"/>
    <hyperlink r:id="rId3685" ref="CX123"/>
    <hyperlink r:id="rId3686" ref="CY123"/>
    <hyperlink r:id="rId3687" ref="CZ123"/>
    <hyperlink r:id="rId3688" ref="DA123"/>
    <hyperlink r:id="rId3689" ref="DG123"/>
    <hyperlink r:id="rId3690" ref="DK123"/>
    <hyperlink r:id="rId3691" ref="CM124"/>
    <hyperlink r:id="rId3692" ref="K125"/>
    <hyperlink r:id="rId3693" ref="O125"/>
    <hyperlink r:id="rId3694" ref="P125"/>
    <hyperlink r:id="rId3695" ref="Y125"/>
    <hyperlink r:id="rId3696" ref="Z125"/>
    <hyperlink r:id="rId3697" ref="AB125"/>
    <hyperlink r:id="rId3698" ref="BV125"/>
    <hyperlink r:id="rId3699" ref="CM125"/>
    <hyperlink r:id="rId3700" ref="CZ125"/>
    <hyperlink r:id="rId3701" ref="H127"/>
    <hyperlink r:id="rId3702" ref="I127"/>
    <hyperlink r:id="rId3703" ref="J127"/>
    <hyperlink r:id="rId3704" ref="L127"/>
    <hyperlink r:id="rId3705" ref="M127"/>
    <hyperlink r:id="rId3706" ref="P127"/>
    <hyperlink r:id="rId3707" ref="X127"/>
    <hyperlink r:id="rId3708" ref="Y127"/>
    <hyperlink r:id="rId3709" ref="Z127"/>
    <hyperlink r:id="rId3710" ref="AE127"/>
    <hyperlink r:id="rId3711" ref="BE127"/>
    <hyperlink r:id="rId3712" ref="BQ127"/>
    <hyperlink r:id="rId3713" ref="BS127"/>
    <hyperlink r:id="rId3714" ref="BZ127"/>
    <hyperlink r:id="rId3715" ref="CF127"/>
    <hyperlink r:id="rId3716" ref="CG127"/>
    <hyperlink r:id="rId3717" ref="CI127"/>
    <hyperlink r:id="rId3718" ref="CK127"/>
    <hyperlink r:id="rId3719" ref="CL127"/>
    <hyperlink r:id="rId3720" ref="CZ127"/>
    <hyperlink r:id="rId3721" ref="DG127"/>
    <hyperlink r:id="rId3722" ref="DK127"/>
    <hyperlink r:id="rId3723" ref="L132"/>
    <hyperlink r:id="rId3724" ref="P132"/>
    <hyperlink r:id="rId3725" ref="BH132"/>
    <hyperlink r:id="rId3726" ref="BJ132"/>
    <hyperlink r:id="rId3727" ref="BU132"/>
    <hyperlink r:id="rId3728" ref="BV132"/>
    <hyperlink r:id="rId3729" ref="BZ132"/>
    <hyperlink r:id="rId3730" ref="CY132"/>
    <hyperlink r:id="rId3731" ref="CZ132"/>
    <hyperlink r:id="rId3732" ref="Z134"/>
    <hyperlink r:id="rId3733" ref="CW134"/>
    <hyperlink r:id="rId3734" ref="DA134"/>
    <hyperlink r:id="rId3735" ref="Y136"/>
    <hyperlink r:id="rId3736" ref="CZ136"/>
    <hyperlink r:id="rId3737" ref="L137"/>
    <hyperlink r:id="rId3738" ref="Q137"/>
    <hyperlink r:id="rId3739" ref="S137"/>
    <hyperlink r:id="rId3740" ref="AI137"/>
    <hyperlink r:id="rId3741" ref="AJ137"/>
    <hyperlink r:id="rId3742" ref="BM137"/>
    <hyperlink r:id="rId3743" ref="CB137"/>
    <hyperlink r:id="rId3744" ref="CC137"/>
    <hyperlink r:id="rId3745" ref="CG137"/>
    <hyperlink r:id="rId3746" ref="CR137"/>
    <hyperlink r:id="rId3747" ref="CZ137"/>
    <hyperlink r:id="rId3748" ref="DE137"/>
    <hyperlink r:id="rId3749" ref="O139"/>
    <hyperlink r:id="rId3750" ref="P139"/>
    <hyperlink r:id="rId3751" ref="Z139"/>
    <hyperlink r:id="rId3752" ref="AB139"/>
    <hyperlink r:id="rId3753" ref="AF139"/>
    <hyperlink r:id="rId3754" ref="AT139"/>
    <hyperlink r:id="rId3755" ref="BC139"/>
    <hyperlink r:id="rId3756" ref="BH139"/>
    <hyperlink r:id="rId3757" ref="BK139"/>
    <hyperlink r:id="rId3758" ref="BT139"/>
    <hyperlink r:id="rId3759" ref="BV139"/>
    <hyperlink r:id="rId3760" ref="BZ139"/>
    <hyperlink r:id="rId3761" ref="CI139"/>
    <hyperlink r:id="rId3762" ref="CJ139"/>
    <hyperlink r:id="rId3763" ref="CM139"/>
    <hyperlink r:id="rId3764" ref="CT139"/>
    <hyperlink r:id="rId3765" ref="CU139"/>
    <hyperlink r:id="rId3766" ref="DA139"/>
    <hyperlink r:id="rId3767" ref="DK139"/>
    <hyperlink r:id="rId3768" ref="K140"/>
    <hyperlink r:id="rId3769" ref="L140"/>
    <hyperlink r:id="rId3770" ref="O140"/>
    <hyperlink r:id="rId3771" ref="P140"/>
    <hyperlink r:id="rId3772" ref="Z140"/>
    <hyperlink r:id="rId3773" ref="AB140"/>
    <hyperlink r:id="rId3774" ref="AF140"/>
    <hyperlink r:id="rId3775" ref="AM140"/>
    <hyperlink r:id="rId3776" ref="AT140"/>
    <hyperlink r:id="rId3777" ref="AV140"/>
    <hyperlink r:id="rId3778" ref="BC140"/>
    <hyperlink r:id="rId3779" ref="BH140"/>
    <hyperlink r:id="rId3780" ref="BV140"/>
    <hyperlink r:id="rId3781" ref="CG140"/>
    <hyperlink r:id="rId3782" ref="CV140"/>
    <hyperlink r:id="rId3783" ref="DK140"/>
    <hyperlink r:id="rId3784" ref="I142"/>
    <hyperlink r:id="rId3785" ref="J142"/>
    <hyperlink r:id="rId3786" ref="K142"/>
    <hyperlink r:id="rId3787" ref="L142"/>
    <hyperlink r:id="rId3788" ref="N142"/>
    <hyperlink r:id="rId3789" ref="P142"/>
    <hyperlink r:id="rId3790" ref="X142"/>
    <hyperlink r:id="rId3791" ref="AT142"/>
    <hyperlink r:id="rId3792" ref="AU142"/>
    <hyperlink r:id="rId3793" ref="BA142"/>
    <hyperlink r:id="rId3794" ref="BD142"/>
    <hyperlink r:id="rId3795" ref="BE142"/>
    <hyperlink r:id="rId3796" ref="BH142"/>
    <hyperlink r:id="rId3797" ref="CL142"/>
    <hyperlink r:id="rId3798" ref="CT142"/>
    <hyperlink r:id="rId3799" ref="CX142"/>
    <hyperlink r:id="rId3800" ref="CZ142"/>
    <hyperlink r:id="rId3801" ref="I145"/>
    <hyperlink r:id="rId3802" ref="J145"/>
    <hyperlink r:id="rId3803" ref="K145"/>
    <hyperlink r:id="rId3804" ref="L145"/>
    <hyperlink r:id="rId3805" ref="AB145"/>
    <hyperlink r:id="rId3806" ref="BH145"/>
    <hyperlink r:id="rId3807" ref="K147"/>
    <hyperlink r:id="rId3808" ref="L147"/>
    <hyperlink r:id="rId3809" ref="Z147"/>
    <hyperlink r:id="rId3810" ref="BS147"/>
    <hyperlink r:id="rId3811" ref="BT147"/>
    <hyperlink r:id="rId3812" ref="CG147"/>
    <hyperlink r:id="rId3813" ref="DA147"/>
    <hyperlink r:id="rId3814" ref="BT148"/>
    <hyperlink r:id="rId3815" ref="Z149"/>
    <hyperlink r:id="rId3816" ref="AU149"/>
    <hyperlink r:id="rId3817" ref="CM149"/>
    <hyperlink r:id="rId3818" ref="CY149"/>
    <hyperlink r:id="rId3819" ref="CZ149"/>
    <hyperlink r:id="rId3820" ref="AC150"/>
    <hyperlink r:id="rId3821" ref="BH150"/>
    <hyperlink r:id="rId3822" ref="BC153"/>
    <hyperlink r:id="rId3823" ref="P155"/>
    <hyperlink r:id="rId3824" ref="AU155"/>
    <hyperlink r:id="rId3825" ref="CF156"/>
    <hyperlink r:id="rId3826" ref="K157"/>
    <hyperlink r:id="rId3827" ref="BK157"/>
    <hyperlink r:id="rId3828" ref="CV157"/>
    <hyperlink r:id="rId3829" ref="DA157"/>
    <hyperlink r:id="rId3830" ref="AG158"/>
    <hyperlink r:id="rId3831" ref="DC158"/>
    <hyperlink r:id="rId3832" ref="AB159"/>
    <hyperlink r:id="rId3833" ref="BH159"/>
    <hyperlink r:id="rId3834" ref="CF159"/>
    <hyperlink r:id="rId3835" ref="CM159"/>
    <hyperlink r:id="rId3836" ref="CZ159"/>
    <hyperlink r:id="rId3837" ref="T163"/>
    <hyperlink r:id="rId3838" ref="BE163"/>
    <hyperlink r:id="rId3839" ref="BS163"/>
    <hyperlink r:id="rId3840" ref="CR163"/>
    <hyperlink r:id="rId3841" ref="P165"/>
    <hyperlink r:id="rId3842" ref="X165"/>
    <hyperlink r:id="rId3843" ref="Z165"/>
    <hyperlink r:id="rId3844" ref="AF165"/>
    <hyperlink r:id="rId3845" ref="AT165"/>
    <hyperlink r:id="rId3846" ref="BT165"/>
    <hyperlink r:id="rId3847" ref="DK167"/>
    <hyperlink r:id="rId3848" ref="K169"/>
    <hyperlink r:id="rId3849" ref="X169"/>
    <hyperlink r:id="rId3850" ref="Z169"/>
    <hyperlink r:id="rId3851" ref="BV169"/>
    <hyperlink r:id="rId3852" ref="BZ169"/>
    <hyperlink r:id="rId3853" ref="CF169"/>
    <hyperlink r:id="rId3854" ref="CL169"/>
    <hyperlink r:id="rId3855" ref="CM169"/>
    <hyperlink r:id="rId3856" ref="CZ169"/>
    <hyperlink r:id="rId3857" ref="Y171"/>
    <hyperlink r:id="rId3858" ref="BW171"/>
    <hyperlink r:id="rId3859" ref="CI171"/>
    <hyperlink r:id="rId3860" ref="AR177"/>
    <hyperlink r:id="rId3861" ref="BV177"/>
    <hyperlink r:id="rId3862" ref="CC177"/>
    <hyperlink r:id="rId3863" ref="I178"/>
    <hyperlink r:id="rId3864" ref="K178"/>
    <hyperlink r:id="rId3865" ref="CZ180"/>
    <hyperlink r:id="rId3866" ref="X181"/>
    <hyperlink r:id="rId3867" ref="AD181"/>
    <hyperlink r:id="rId3868" ref="DK181"/>
    <hyperlink r:id="rId3869" ref="P183"/>
    <hyperlink r:id="rId3870" ref="AF183"/>
    <hyperlink r:id="rId3871" ref="AB184"/>
    <hyperlink r:id="rId3872" ref="H185"/>
    <hyperlink r:id="rId3873" ref="K185"/>
    <hyperlink r:id="rId3874" ref="BC185"/>
    <hyperlink r:id="rId3875" ref="AA188"/>
    <hyperlink r:id="rId3876" ref="AH193"/>
    <hyperlink r:id="rId3877" ref="DY194"/>
    <hyperlink r:id="rId3878" ref="BC195"/>
    <hyperlink r:id="rId3879" ref="DK195"/>
    <hyperlink r:id="rId3880" ref="H196"/>
    <hyperlink r:id="rId3881" ref="K196"/>
    <hyperlink r:id="rId3882" ref="Y196"/>
    <hyperlink r:id="rId3883" ref="AM196"/>
    <hyperlink r:id="rId3884" ref="AO196"/>
    <hyperlink r:id="rId3885" ref="AX196"/>
    <hyperlink r:id="rId3886" ref="BA196"/>
    <hyperlink r:id="rId3887" ref="BC196"/>
    <hyperlink r:id="rId3888" ref="BM196"/>
    <hyperlink r:id="rId3889" ref="CF196"/>
    <hyperlink r:id="rId3890" ref="DM196"/>
    <hyperlink r:id="rId3891" ref="DN196"/>
    <hyperlink r:id="rId3892" ref="DO196"/>
    <hyperlink r:id="rId3893" ref="EB196"/>
    <hyperlink r:id="rId3894" ref="H206"/>
    <hyperlink r:id="rId3895" ref="AV206"/>
  </hyperlinks>
  <drawing r:id="rId3896"/>
  <legacyDrawing r:id="rId3897"/>
  <tableParts count="3">
    <tablePart r:id="rId3901"/>
    <tablePart r:id="rId3902"/>
    <tablePart r:id="rId39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6323</v>
      </c>
      <c r="D1" s="768" t="s">
        <v>1551</v>
      </c>
      <c r="E1" s="769" t="s">
        <v>6324</v>
      </c>
      <c r="F1" s="768" t="s">
        <v>6325</v>
      </c>
      <c r="G1" s="768" t="s">
        <v>1060</v>
      </c>
      <c r="H1" s="770" t="s">
        <v>3096</v>
      </c>
      <c r="I1" s="768" t="s">
        <v>6326</v>
      </c>
      <c r="J1" s="768" t="s">
        <v>6327</v>
      </c>
      <c r="K1" s="768" t="s">
        <v>6328</v>
      </c>
      <c r="L1" s="769" t="s">
        <v>6329</v>
      </c>
      <c r="M1" s="768" t="s">
        <v>736</v>
      </c>
      <c r="N1" s="768" t="s">
        <v>6330</v>
      </c>
      <c r="O1" s="768" t="s">
        <v>985</v>
      </c>
      <c r="P1" s="771" t="s">
        <v>6331</v>
      </c>
      <c r="Q1" s="768" t="s">
        <v>1879</v>
      </c>
      <c r="R1" s="768" t="s">
        <v>6332</v>
      </c>
      <c r="S1" s="768" t="s">
        <v>6333</v>
      </c>
      <c r="T1" s="769" t="s">
        <v>6334</v>
      </c>
      <c r="U1" s="768" t="s">
        <v>6335</v>
      </c>
      <c r="V1" s="768" t="s">
        <v>6336</v>
      </c>
      <c r="W1" s="768" t="s">
        <v>3986</v>
      </c>
      <c r="X1" s="768" t="s">
        <v>6337</v>
      </c>
      <c r="Y1" s="768" t="s">
        <v>6338</v>
      </c>
      <c r="Z1" s="768" t="s">
        <v>4063</v>
      </c>
      <c r="AA1" s="768" t="s">
        <v>3598</v>
      </c>
      <c r="AB1" s="768" t="s">
        <v>6339</v>
      </c>
      <c r="AC1" s="768" t="s">
        <v>6340</v>
      </c>
      <c r="AD1" s="768" t="s">
        <v>6341</v>
      </c>
      <c r="AE1" s="768" t="s">
        <v>1198</v>
      </c>
      <c r="AF1" s="768" t="s">
        <v>216</v>
      </c>
      <c r="AG1" s="768" t="s">
        <v>1722</v>
      </c>
      <c r="AH1" s="768" t="s">
        <v>2008</v>
      </c>
      <c r="AI1" s="768" t="s">
        <v>6342</v>
      </c>
      <c r="AJ1" s="768" t="s">
        <v>6343</v>
      </c>
      <c r="AK1" s="768" t="s">
        <v>1945</v>
      </c>
      <c r="AL1" s="768" t="s">
        <v>6344</v>
      </c>
      <c r="AM1" s="768" t="s">
        <v>6345</v>
      </c>
      <c r="AN1" s="768" t="s">
        <v>5982</v>
      </c>
      <c r="AO1" s="768" t="s">
        <v>6346</v>
      </c>
      <c r="AP1" s="768" t="s">
        <v>6347</v>
      </c>
      <c r="AQ1" s="768" t="s">
        <v>5697</v>
      </c>
      <c r="AR1" s="768" t="s">
        <v>3234</v>
      </c>
      <c r="AS1" s="768" t="s">
        <v>6348</v>
      </c>
      <c r="AT1" s="768" t="s">
        <v>3918</v>
      </c>
      <c r="AU1" s="768" t="s">
        <v>5383</v>
      </c>
      <c r="AV1" s="768" t="s">
        <v>6349</v>
      </c>
      <c r="AW1" s="768" t="s">
        <v>6350</v>
      </c>
      <c r="AX1" s="769" t="s">
        <v>6351</v>
      </c>
      <c r="AY1" s="768" t="s">
        <v>6352</v>
      </c>
      <c r="AZ1" s="768" t="s">
        <v>6353</v>
      </c>
      <c r="BA1" s="768" t="s">
        <v>1630</v>
      </c>
      <c r="BB1" s="768" t="s">
        <v>6354</v>
      </c>
      <c r="BC1" s="772" t="s">
        <v>6320</v>
      </c>
      <c r="BD1" s="772" t="s">
        <v>6355</v>
      </c>
      <c r="BE1" s="768" t="s">
        <v>912</v>
      </c>
      <c r="BF1" s="768"/>
      <c r="BG1" s="768"/>
      <c r="BH1" s="773"/>
      <c r="BI1" s="773"/>
      <c r="BJ1" s="773"/>
    </row>
    <row r="2" ht="15.75" customHeight="1">
      <c r="A2" s="774" t="s">
        <v>6356</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6357</v>
      </c>
      <c r="B4" s="784" t="s">
        <v>6358</v>
      </c>
      <c r="C4" s="785" t="s">
        <v>335</v>
      </c>
      <c r="D4" s="786" t="s">
        <v>837</v>
      </c>
      <c r="E4" s="787" t="s">
        <v>335</v>
      </c>
      <c r="F4" s="788" t="s">
        <v>1325</v>
      </c>
      <c r="G4" s="789" t="s">
        <v>6359</v>
      </c>
      <c r="H4" s="790"/>
      <c r="I4" s="789" t="str">
        <f>HYPERLINK("https://youtu.be/BAG8a3WI9KM","52.27")</f>
        <v>52.27</v>
      </c>
      <c r="J4" s="789" t="s">
        <v>2609</v>
      </c>
      <c r="K4" s="791" t="s">
        <v>1985</v>
      </c>
      <c r="L4" s="789" t="s">
        <v>441</v>
      </c>
      <c r="M4" s="791" t="s">
        <v>741</v>
      </c>
      <c r="N4" s="789" t="str">
        <f>HYPERLINK("https://youtu.be/qv_H1NgDIQ8","53.73")</f>
        <v>53.73</v>
      </c>
      <c r="O4" s="789" t="s">
        <v>2814</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6360</v>
      </c>
      <c r="B5" s="784" t="s">
        <v>6361</v>
      </c>
      <c r="C5" s="785" t="s">
        <v>6362</v>
      </c>
      <c r="D5" s="794" t="s">
        <v>6363</v>
      </c>
      <c r="E5" s="794" t="s">
        <v>6364</v>
      </c>
      <c r="F5" s="788" t="s">
        <v>6365</v>
      </c>
      <c r="G5" s="794"/>
      <c r="H5" s="795"/>
      <c r="I5" s="794" t="s">
        <v>6366</v>
      </c>
      <c r="J5" s="794"/>
      <c r="K5" s="794" t="s">
        <v>4873</v>
      </c>
      <c r="L5" s="794"/>
      <c r="M5" s="794"/>
      <c r="N5" s="794" t="s">
        <v>6367</v>
      </c>
      <c r="O5" s="794" t="str">
        <f>HYPERLINK("https://youtu.be/y9FQ4EcrohI", "1:21.52")</f>
        <v>1:21.52</v>
      </c>
      <c r="P5" s="792" t="s">
        <v>6368</v>
      </c>
      <c r="Q5" s="794"/>
      <c r="R5" s="794" t="s">
        <v>6362</v>
      </c>
      <c r="S5" s="794" t="s">
        <v>2575</v>
      </c>
      <c r="T5" s="794"/>
      <c r="U5" s="794"/>
      <c r="V5" s="794"/>
      <c r="W5" s="794"/>
      <c r="X5" s="794"/>
      <c r="Y5" s="794"/>
      <c r="Z5" s="794" t="s">
        <v>6369</v>
      </c>
      <c r="AA5" s="794"/>
      <c r="AB5" s="794"/>
      <c r="AC5" s="794"/>
      <c r="AD5" s="794" t="s">
        <v>6370</v>
      </c>
      <c r="AE5" s="794"/>
      <c r="AF5" s="794"/>
      <c r="AG5" s="794"/>
      <c r="AH5" s="794"/>
      <c r="AI5" s="794"/>
      <c r="AJ5" s="794"/>
      <c r="AK5" s="794"/>
      <c r="AL5" s="794"/>
      <c r="AM5" s="794"/>
      <c r="AN5" s="794" t="s">
        <v>5984</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6371</v>
      </c>
      <c r="C6" s="785" t="s">
        <v>336</v>
      </c>
      <c r="D6" s="799" t="s">
        <v>1556</v>
      </c>
      <c r="E6" s="789" t="s">
        <v>336</v>
      </c>
      <c r="F6" s="788" t="s">
        <v>1326</v>
      </c>
      <c r="G6" s="789" t="s">
        <v>3084</v>
      </c>
      <c r="H6" s="800" t="s">
        <v>3098</v>
      </c>
      <c r="I6" s="789" t="str">
        <f>HYPERLINK("https://youtu.be/ZP_d48CVxG0","1:19.30")</f>
        <v>1:19.30</v>
      </c>
      <c r="J6" s="791"/>
      <c r="K6" s="791"/>
      <c r="L6" s="791" t="s">
        <v>100</v>
      </c>
      <c r="M6" s="791" t="s">
        <v>742</v>
      </c>
      <c r="N6" s="791" t="s">
        <v>4596</v>
      </c>
      <c r="O6" s="789" t="s">
        <v>989</v>
      </c>
      <c r="P6" s="792" t="s">
        <v>6372</v>
      </c>
      <c r="Q6" s="791" t="s">
        <v>100</v>
      </c>
      <c r="R6" s="791"/>
      <c r="S6" s="791"/>
      <c r="T6" s="791"/>
      <c r="U6" s="791"/>
      <c r="V6" s="791"/>
      <c r="W6" s="791"/>
      <c r="X6" s="791"/>
      <c r="Y6" s="791"/>
      <c r="Z6" s="791"/>
      <c r="AA6" s="789" t="s">
        <v>6373</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6374</v>
      </c>
      <c r="B7" s="802" t="s">
        <v>6358</v>
      </c>
      <c r="C7" s="785" t="s">
        <v>6375</v>
      </c>
      <c r="D7" s="794" t="s">
        <v>3080</v>
      </c>
      <c r="E7" s="794" t="s">
        <v>6375</v>
      </c>
      <c r="F7" s="803"/>
      <c r="G7" s="794"/>
      <c r="H7" s="804" t="s">
        <v>1155</v>
      </c>
      <c r="I7" s="794" t="s">
        <v>1283</v>
      </c>
      <c r="J7" s="794"/>
      <c r="K7" s="794"/>
      <c r="L7" s="794" t="s">
        <v>1141</v>
      </c>
      <c r="M7" s="794" t="s">
        <v>1141</v>
      </c>
      <c r="N7" s="794" t="s">
        <v>6376</v>
      </c>
      <c r="O7" s="794"/>
      <c r="P7" s="792"/>
      <c r="Q7" s="794" t="s">
        <v>925</v>
      </c>
      <c r="R7" s="794" t="s">
        <v>3792</v>
      </c>
      <c r="S7" s="794" t="s">
        <v>6377</v>
      </c>
      <c r="T7" s="794" t="s">
        <v>6378</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6379</v>
      </c>
      <c r="B8" s="802" t="s">
        <v>6361</v>
      </c>
      <c r="C8" s="785" t="s">
        <v>2314</v>
      </c>
      <c r="D8" s="805"/>
      <c r="E8" s="805"/>
      <c r="F8" s="788" t="s">
        <v>1317</v>
      </c>
      <c r="G8" s="805"/>
      <c r="H8" s="790"/>
      <c r="I8" s="805"/>
      <c r="J8" s="805"/>
      <c r="K8" s="805"/>
      <c r="L8" s="805"/>
      <c r="M8" s="805"/>
      <c r="N8" s="805"/>
      <c r="O8" s="805" t="s">
        <v>631</v>
      </c>
      <c r="P8" s="805"/>
      <c r="Q8" s="805"/>
      <c r="R8" s="805" t="s">
        <v>2314</v>
      </c>
      <c r="S8" s="805"/>
      <c r="T8" s="805"/>
      <c r="U8" s="805"/>
      <c r="V8" s="805"/>
      <c r="W8" s="805"/>
      <c r="X8" s="805"/>
      <c r="Y8" s="805"/>
      <c r="Z8" s="805"/>
      <c r="AA8" s="805"/>
      <c r="AB8" s="805"/>
      <c r="AC8" s="805" t="s">
        <v>2618</v>
      </c>
      <c r="AD8" s="805"/>
      <c r="AE8" s="805"/>
      <c r="AF8" s="805"/>
      <c r="AG8" s="805"/>
      <c r="AH8" s="805"/>
      <c r="AI8" s="805"/>
      <c r="AJ8" s="805"/>
      <c r="AK8" s="805"/>
      <c r="AL8" s="805"/>
      <c r="AM8" s="805"/>
      <c r="AN8" s="805" t="s">
        <v>6380</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6371</v>
      </c>
      <c r="C9" s="785" t="s">
        <v>6381</v>
      </c>
      <c r="D9" s="791"/>
      <c r="E9" s="789" t="s">
        <v>1241</v>
      </c>
      <c r="F9" s="788" t="s">
        <v>2072</v>
      </c>
      <c r="G9" s="791"/>
      <c r="H9" s="806" t="s">
        <v>964</v>
      </c>
      <c r="I9" s="791"/>
      <c r="J9" s="791"/>
      <c r="K9" s="791"/>
      <c r="L9" s="791"/>
      <c r="M9" s="791"/>
      <c r="N9" s="791"/>
      <c r="O9" s="789" t="s">
        <v>6381</v>
      </c>
      <c r="P9" s="792"/>
      <c r="Q9" s="791"/>
      <c r="R9" s="791"/>
      <c r="S9" s="791"/>
      <c r="T9" s="791"/>
      <c r="U9" s="791"/>
      <c r="V9" s="791"/>
      <c r="W9" s="791"/>
      <c r="X9" s="789" t="s">
        <v>6382</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6383</v>
      </c>
      <c r="B10" s="784" t="s">
        <v>6384</v>
      </c>
      <c r="C10" s="785" t="s">
        <v>2823</v>
      </c>
      <c r="D10" s="794" t="s">
        <v>1704</v>
      </c>
      <c r="E10" s="794" t="s">
        <v>2823</v>
      </c>
      <c r="F10" s="788" t="s">
        <v>6385</v>
      </c>
      <c r="G10" s="794"/>
      <c r="H10" s="790"/>
      <c r="I10" s="794" t="s">
        <v>6386</v>
      </c>
      <c r="J10" s="794"/>
      <c r="K10" s="794" t="s">
        <v>4080</v>
      </c>
      <c r="L10" s="794"/>
      <c r="M10" s="794" t="s">
        <v>3099</v>
      </c>
      <c r="N10" s="794" t="s">
        <v>6387</v>
      </c>
      <c r="O10" s="794"/>
      <c r="P10" s="792" t="s">
        <v>3306</v>
      </c>
      <c r="Q10" s="794" t="s">
        <v>3099</v>
      </c>
      <c r="R10" s="794"/>
      <c r="S10" s="794" t="s">
        <v>4292</v>
      </c>
      <c r="T10" s="794"/>
      <c r="U10" s="794" t="s">
        <v>2717</v>
      </c>
      <c r="V10" s="794"/>
      <c r="W10" s="794"/>
      <c r="X10" s="794"/>
      <c r="Y10" s="794"/>
      <c r="Z10" s="794" t="s">
        <v>6388</v>
      </c>
      <c r="AA10" s="794" t="s">
        <v>648</v>
      </c>
      <c r="AB10" s="794"/>
      <c r="AC10" s="794"/>
      <c r="AD10" s="794"/>
      <c r="AE10" s="794"/>
      <c r="AF10" s="794"/>
      <c r="AG10" s="794"/>
      <c r="AH10" s="794"/>
      <c r="AI10" s="794"/>
      <c r="AJ10" s="794"/>
      <c r="AK10" s="794"/>
      <c r="AL10" s="794" t="s">
        <v>1954</v>
      </c>
      <c r="AM10" s="794"/>
      <c r="AN10" s="794" t="s">
        <v>5927</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6389</v>
      </c>
      <c r="C11" s="785" t="s">
        <v>4241</v>
      </c>
      <c r="D11" s="799" t="s">
        <v>1557</v>
      </c>
      <c r="E11" s="789" t="s">
        <v>337</v>
      </c>
      <c r="F11" s="788" t="s">
        <v>1327</v>
      </c>
      <c r="G11" s="789" t="s">
        <v>4241</v>
      </c>
      <c r="H11" s="804" t="s">
        <v>3099</v>
      </c>
      <c r="I11" s="791" t="s">
        <v>6390</v>
      </c>
      <c r="J11" s="789" t="s">
        <v>722</v>
      </c>
      <c r="K11" s="791"/>
      <c r="L11" s="791" t="s">
        <v>2336</v>
      </c>
      <c r="M11" s="789" t="s">
        <v>2098</v>
      </c>
      <c r="N11" s="791" t="s">
        <v>6391</v>
      </c>
      <c r="O11" s="789" t="s">
        <v>6392</v>
      </c>
      <c r="P11" s="792" t="s">
        <v>2823</v>
      </c>
      <c r="Q11" s="791" t="s">
        <v>101</v>
      </c>
      <c r="R11" s="791"/>
      <c r="S11" s="789" t="s">
        <v>2576</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6374</v>
      </c>
      <c r="B12" s="808" t="s">
        <v>6384</v>
      </c>
      <c r="C12" s="785" t="s">
        <v>5992</v>
      </c>
      <c r="D12" s="794" t="s">
        <v>1268</v>
      </c>
      <c r="E12" s="794" t="s">
        <v>5992</v>
      </c>
      <c r="F12" s="788" t="str">
        <f>HYPERLINK("https://www.twitch.tv/videos/569558488","14.31")</f>
        <v>14.31</v>
      </c>
      <c r="G12" s="794" t="s">
        <v>4437</v>
      </c>
      <c r="H12" s="790"/>
      <c r="I12" s="794" t="str">
        <f>HYPERLINK("https://youtu.be/F4XtupQ5d4o","14.33")</f>
        <v>14.33</v>
      </c>
      <c r="J12" s="794" t="s">
        <v>4437</v>
      </c>
      <c r="K12" s="794" t="s">
        <v>3077</v>
      </c>
      <c r="L12" s="794"/>
      <c r="M12" s="794" t="str">
        <f>HYPERLINK("https://www.youtube.com/watch?v=h3GaauXfeR4","14.16")</f>
        <v>14.16</v>
      </c>
      <c r="N12" s="794" t="str">
        <f>HYPERLINK("https://youtu.be/rZW3Nzg9CsM","14.20")</f>
        <v>14.20</v>
      </c>
      <c r="O12" s="794"/>
      <c r="P12" s="792" t="s">
        <v>4314</v>
      </c>
      <c r="Q12" s="794" t="s">
        <v>2266</v>
      </c>
      <c r="R12" s="794" t="s">
        <v>3921</v>
      </c>
      <c r="S12" s="794"/>
      <c r="T12" s="794"/>
      <c r="U12" s="794" t="s">
        <v>5510</v>
      </c>
      <c r="V12" s="794"/>
      <c r="W12" s="794" t="s">
        <v>4552</v>
      </c>
      <c r="X12" s="794"/>
      <c r="Y12" s="794"/>
      <c r="Z12" s="794" t="s">
        <v>6180</v>
      </c>
      <c r="AA12" s="794"/>
      <c r="AB12" s="794"/>
      <c r="AC12" s="794"/>
      <c r="AD12" s="794" t="s">
        <v>657</v>
      </c>
      <c r="AE12" s="794" t="s">
        <v>6393</v>
      </c>
      <c r="AF12" s="794"/>
      <c r="AG12" s="794" t="s">
        <v>5262</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6389</v>
      </c>
      <c r="C13" s="785" t="s">
        <v>991</v>
      </c>
      <c r="D13" s="799" t="s">
        <v>1558</v>
      </c>
      <c r="E13" s="794" t="s">
        <v>443</v>
      </c>
      <c r="F13" s="788" t="s">
        <v>1328</v>
      </c>
      <c r="G13" s="791" t="s">
        <v>991</v>
      </c>
      <c r="H13" s="804" t="s">
        <v>1558</v>
      </c>
      <c r="I13" s="794" t="str">
        <f>HYPERLINK("https://clips.twitch.tv/BusyTriangularAlmondRuleFive","13.97")</f>
        <v>13.97</v>
      </c>
      <c r="J13" s="794" t="s">
        <v>1328</v>
      </c>
      <c r="K13" s="794" t="s">
        <v>1806</v>
      </c>
      <c r="L13" s="794" t="s">
        <v>443</v>
      </c>
      <c r="M13" s="794" t="str">
        <f>HYPERLINK("https://youtu.be/v-0tSrJ8Kf0","13.80")</f>
        <v>13.80</v>
      </c>
      <c r="N13" s="794" t="str">
        <f>HYPERLINK("https://youtu.be/Kv9otnDdZKc","13.93")</f>
        <v>13.93</v>
      </c>
      <c r="O13" s="794" t="s">
        <v>991</v>
      </c>
      <c r="P13" s="792" t="s">
        <v>2404</v>
      </c>
      <c r="Q13" s="794" t="s">
        <v>1806</v>
      </c>
      <c r="R13" s="794"/>
      <c r="S13" s="794" t="s">
        <v>1558</v>
      </c>
      <c r="T13" s="794"/>
      <c r="U13" s="794" t="s">
        <v>2617</v>
      </c>
      <c r="V13" s="794"/>
      <c r="W13" s="794"/>
      <c r="X13" s="794"/>
      <c r="Y13" s="794"/>
      <c r="Z13" s="794" t="s">
        <v>1420</v>
      </c>
      <c r="AA13" s="794"/>
      <c r="AB13" s="794"/>
      <c r="AC13" s="794"/>
      <c r="AD13" s="794" t="s">
        <v>102</v>
      </c>
      <c r="AE13" s="794"/>
      <c r="AF13" s="794"/>
      <c r="AG13" s="794" t="s">
        <v>102</v>
      </c>
      <c r="AH13" s="794" t="s">
        <v>991</v>
      </c>
      <c r="AI13" s="794"/>
      <c r="AJ13" s="794" t="s">
        <v>2644</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6379</v>
      </c>
      <c r="B14" s="810" t="s">
        <v>6394</v>
      </c>
      <c r="C14" s="785" t="s">
        <v>6395</v>
      </c>
      <c r="D14" s="794" t="s">
        <v>5423</v>
      </c>
      <c r="E14" s="794"/>
      <c r="F14" s="803"/>
      <c r="G14" s="794"/>
      <c r="H14" s="811" t="s">
        <v>4850</v>
      </c>
      <c r="I14" s="794"/>
      <c r="J14" s="794"/>
      <c r="K14" s="794"/>
      <c r="L14" s="794"/>
      <c r="M14" s="794" t="s">
        <v>6395</v>
      </c>
      <c r="N14" s="794"/>
      <c r="O14" s="794"/>
      <c r="P14" s="792"/>
      <c r="Q14" s="794"/>
      <c r="R14" s="794"/>
      <c r="S14" s="794" t="s">
        <v>6396</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6397</v>
      </c>
      <c r="C15" s="785" t="s">
        <v>6398</v>
      </c>
      <c r="D15" s="791" t="s">
        <v>6399</v>
      </c>
      <c r="E15" s="789" t="s">
        <v>1098</v>
      </c>
      <c r="F15" s="788" t="s">
        <v>2209</v>
      </c>
      <c r="G15" s="791" t="s">
        <v>6400</v>
      </c>
      <c r="H15" s="795"/>
      <c r="I15" s="791"/>
      <c r="J15" s="789" t="s">
        <v>6401</v>
      </c>
      <c r="K15" s="791"/>
      <c r="L15" s="791" t="s">
        <v>6401</v>
      </c>
      <c r="M15" s="791"/>
      <c r="N15" s="791"/>
      <c r="O15" s="789" t="s">
        <v>1842</v>
      </c>
      <c r="P15" s="792" t="s">
        <v>6402</v>
      </c>
      <c r="Q15" s="791" t="s">
        <v>6403</v>
      </c>
      <c r="R15" s="791"/>
      <c r="S15" s="791"/>
      <c r="T15" s="791" t="s">
        <v>6395</v>
      </c>
      <c r="U15" s="791"/>
      <c r="V15" s="791" t="s">
        <v>6401</v>
      </c>
      <c r="W15" s="791"/>
      <c r="X15" s="789" t="s">
        <v>1842</v>
      </c>
      <c r="Y15" s="791"/>
      <c r="Z15" s="791"/>
      <c r="AA15" s="791"/>
      <c r="AB15" s="791"/>
      <c r="AC15" s="791"/>
      <c r="AD15" s="791"/>
      <c r="AE15" s="791"/>
      <c r="AF15" s="789" t="s">
        <v>6398</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6404</v>
      </c>
      <c r="B16" s="802" t="s">
        <v>6405</v>
      </c>
      <c r="C16" s="785" t="s">
        <v>2428</v>
      </c>
      <c r="D16" s="812" t="s">
        <v>1265</v>
      </c>
      <c r="E16" s="794" t="s">
        <v>2428</v>
      </c>
      <c r="F16" s="803"/>
      <c r="G16" s="794"/>
      <c r="H16" s="790"/>
      <c r="I16" s="794" t="str">
        <f>HYPERLINK("https://youtu.be/t-1yqXLdZMA","38.05")</f>
        <v>38.05</v>
      </c>
      <c r="J16" s="794" t="s">
        <v>6406</v>
      </c>
      <c r="K16" s="794" t="s">
        <v>2261</v>
      </c>
      <c r="L16" s="794" t="s">
        <v>923</v>
      </c>
      <c r="M16" s="794" t="s">
        <v>3016</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6407</v>
      </c>
      <c r="B17" s="802" t="s">
        <v>6405</v>
      </c>
      <c r="C17" s="813"/>
      <c r="D17" s="814" t="s">
        <v>6408</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6409</v>
      </c>
      <c r="B18" s="784" t="s">
        <v>6410</v>
      </c>
      <c r="C18" s="785" t="s">
        <v>1779</v>
      </c>
      <c r="D18" s="794" t="s">
        <v>4639</v>
      </c>
      <c r="E18" s="794" t="s">
        <v>1174</v>
      </c>
      <c r="F18" s="788" t="s">
        <v>4438</v>
      </c>
      <c r="G18" s="794"/>
      <c r="H18" s="795"/>
      <c r="I18" s="794" t="s">
        <v>4194</v>
      </c>
      <c r="J18" s="794"/>
      <c r="K18" s="794" t="s">
        <v>6411</v>
      </c>
      <c r="L18" s="794"/>
      <c r="M18" s="794" t="s">
        <v>6412</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6413</v>
      </c>
      <c r="C19" s="785" t="s">
        <v>2859</v>
      </c>
      <c r="D19" s="794"/>
      <c r="E19" s="794" t="s">
        <v>968</v>
      </c>
      <c r="F19" s="803"/>
      <c r="G19" s="794"/>
      <c r="H19" s="790"/>
      <c r="I19" s="794"/>
      <c r="J19" s="794"/>
      <c r="K19" s="794" t="s">
        <v>6414</v>
      </c>
      <c r="L19" s="794"/>
      <c r="M19" s="794"/>
      <c r="N19" s="794"/>
      <c r="O19" s="794"/>
      <c r="P19" s="792"/>
      <c r="Q19" s="794" t="s">
        <v>6415</v>
      </c>
      <c r="R19" s="794" t="s">
        <v>6416</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6417</v>
      </c>
      <c r="C20" s="785" t="s">
        <v>6418</v>
      </c>
      <c r="D20" s="794" t="s">
        <v>1559</v>
      </c>
      <c r="E20" s="794" t="s">
        <v>6418</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3163</v>
      </c>
      <c r="Q20" s="794" t="s">
        <v>1559</v>
      </c>
      <c r="R20" s="794"/>
      <c r="S20" s="794" t="s">
        <v>2577</v>
      </c>
      <c r="T20" s="794"/>
      <c r="U20" s="794" t="s">
        <v>2225</v>
      </c>
      <c r="V20" s="794" t="s">
        <v>548</v>
      </c>
      <c r="W20" s="794"/>
      <c r="X20" s="794"/>
      <c r="Y20" s="794"/>
      <c r="Z20" s="794" t="s">
        <v>5103</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6419</v>
      </c>
      <c r="B21" s="784" t="s">
        <v>6420</v>
      </c>
      <c r="C21" s="785" t="s">
        <v>6395</v>
      </c>
      <c r="D21" s="815"/>
      <c r="E21" s="815" t="s">
        <v>159</v>
      </c>
      <c r="F21" s="803" t="s">
        <v>4146</v>
      </c>
      <c r="G21" s="815"/>
      <c r="H21" s="790"/>
      <c r="I21" s="815"/>
      <c r="J21" s="815"/>
      <c r="K21" s="815"/>
      <c r="L21" s="815"/>
      <c r="M21" s="815"/>
      <c r="N21" s="815"/>
      <c r="O21" s="815"/>
      <c r="P21" s="816"/>
      <c r="Q21" s="815" t="s">
        <v>6421</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6422</v>
      </c>
      <c r="C22" s="785" t="s">
        <v>6423</v>
      </c>
      <c r="D22" s="794"/>
      <c r="E22" s="794" t="s">
        <v>3823</v>
      </c>
      <c r="F22" s="803"/>
      <c r="G22" s="794" t="s">
        <v>6424</v>
      </c>
      <c r="H22" s="806" t="s">
        <v>534</v>
      </c>
      <c r="I22" s="794"/>
      <c r="J22" s="794"/>
      <c r="K22" s="794"/>
      <c r="L22" s="794" t="s">
        <v>784</v>
      </c>
      <c r="M22" s="794"/>
      <c r="N22" s="794"/>
      <c r="O22" s="794"/>
      <c r="P22" s="792"/>
      <c r="Q22" s="794" t="s">
        <v>3111</v>
      </c>
      <c r="R22" s="794"/>
      <c r="S22" s="794"/>
      <c r="T22" s="794"/>
      <c r="U22" s="794"/>
      <c r="V22" s="794"/>
      <c r="W22" s="794"/>
      <c r="X22" s="794" t="s">
        <v>6425</v>
      </c>
      <c r="Y22" s="794"/>
      <c r="Z22" s="794"/>
      <c r="AA22" s="794"/>
      <c r="AB22" s="794"/>
      <c r="AC22" s="794"/>
      <c r="AD22" s="794"/>
      <c r="AE22" s="794"/>
      <c r="AF22" s="794" t="s">
        <v>6423</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6426</v>
      </c>
      <c r="B23" s="784" t="s">
        <v>6427</v>
      </c>
      <c r="C23" s="785" t="s">
        <v>251</v>
      </c>
      <c r="D23" s="794"/>
      <c r="E23" s="794" t="s">
        <v>251</v>
      </c>
      <c r="F23" s="803"/>
      <c r="G23" s="794"/>
      <c r="H23" s="790"/>
      <c r="I23" s="794"/>
      <c r="J23" s="794"/>
      <c r="K23" s="794"/>
      <c r="L23" s="794"/>
      <c r="M23" s="794"/>
      <c r="N23" s="794" t="s">
        <v>6428</v>
      </c>
      <c r="O23" s="794"/>
      <c r="P23" s="792"/>
      <c r="Q23" s="794" t="s">
        <v>6429</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6430</v>
      </c>
      <c r="C24" s="785" t="s">
        <v>6431</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6432</v>
      </c>
      <c r="C25" s="785" t="s">
        <v>2826</v>
      </c>
      <c r="D25" s="789" t="s">
        <v>1561</v>
      </c>
      <c r="E25" s="794" t="s">
        <v>6433</v>
      </c>
      <c r="F25" s="803"/>
      <c r="G25" s="794"/>
      <c r="H25" s="811" t="s">
        <v>3101</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6434</v>
      </c>
      <c r="C26" s="785" t="s">
        <v>6435</v>
      </c>
      <c r="D26" s="794"/>
      <c r="E26" s="794" t="s">
        <v>6435</v>
      </c>
      <c r="F26" s="788" t="s">
        <v>1331</v>
      </c>
      <c r="G26" s="794"/>
      <c r="H26" s="795"/>
      <c r="I26" s="794"/>
      <c r="J26" s="794" t="s">
        <v>6436</v>
      </c>
      <c r="K26" s="794" t="s">
        <v>6437</v>
      </c>
      <c r="L26" s="794"/>
      <c r="M26" s="794"/>
      <c r="N26" s="794"/>
      <c r="O26" s="794" t="s">
        <v>6438</v>
      </c>
      <c r="P26" s="792" t="s">
        <v>6439</v>
      </c>
      <c r="Q26" s="794" t="s">
        <v>6440</v>
      </c>
      <c r="R26" s="794"/>
      <c r="S26" s="794" t="s">
        <v>105</v>
      </c>
      <c r="T26" s="794" t="s">
        <v>3180</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6374</v>
      </c>
      <c r="B27" s="802" t="s">
        <v>6441</v>
      </c>
      <c r="C27" s="785" t="s">
        <v>5292</v>
      </c>
      <c r="D27" s="794" t="s">
        <v>478</v>
      </c>
      <c r="E27" s="794" t="s">
        <v>5292</v>
      </c>
      <c r="F27" s="788" t="s">
        <v>5463</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6442</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6443</v>
      </c>
      <c r="C28" s="785" t="s">
        <v>2784</v>
      </c>
      <c r="D28" s="794"/>
      <c r="E28" s="794" t="s">
        <v>2784</v>
      </c>
      <c r="F28" s="803"/>
      <c r="G28" s="794"/>
      <c r="H28" s="795"/>
      <c r="I28" s="794"/>
      <c r="J28" s="794"/>
      <c r="K28" s="794" t="s">
        <v>6444</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6445</v>
      </c>
      <c r="C29" s="785" t="s">
        <v>4232</v>
      </c>
      <c r="D29" s="794"/>
      <c r="E29" s="794" t="s">
        <v>1820</v>
      </c>
      <c r="F29" s="803"/>
      <c r="G29" s="794"/>
      <c r="H29" s="811" t="s">
        <v>6444</v>
      </c>
      <c r="I29" s="794" t="s">
        <v>4807</v>
      </c>
      <c r="J29" s="794" t="s">
        <v>770</v>
      </c>
      <c r="K29" s="794" t="s">
        <v>3394</v>
      </c>
      <c r="L29" s="794"/>
      <c r="M29" s="794" t="s">
        <v>1444</v>
      </c>
      <c r="N29" s="794" t="s">
        <v>6444</v>
      </c>
      <c r="O29" s="794"/>
      <c r="P29" s="792"/>
      <c r="Q29" s="794"/>
      <c r="R29" s="794"/>
      <c r="S29" s="794"/>
      <c r="T29" s="794"/>
      <c r="U29" s="794"/>
      <c r="V29" s="794"/>
      <c r="W29" s="794" t="s">
        <v>450</v>
      </c>
      <c r="X29" s="794"/>
      <c r="Y29" s="794"/>
      <c r="Z29" s="794" t="s">
        <v>6446</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6447</v>
      </c>
      <c r="C30" s="785" t="s">
        <v>1964</v>
      </c>
      <c r="D30" s="794"/>
      <c r="E30" s="794" t="s">
        <v>1424</v>
      </c>
      <c r="F30" s="788" t="s">
        <v>110</v>
      </c>
      <c r="G30" s="794"/>
      <c r="H30" s="795"/>
      <c r="I30" s="794" t="s">
        <v>1820</v>
      </c>
      <c r="J30" s="794" t="s">
        <v>1964</v>
      </c>
      <c r="K30" s="794" t="s">
        <v>965</v>
      </c>
      <c r="L30" s="794"/>
      <c r="M30" s="794" t="s">
        <v>2701</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2417</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6448</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6449</v>
      </c>
      <c r="C32" s="785" t="s">
        <v>2701</v>
      </c>
      <c r="D32" s="794"/>
      <c r="E32" s="794" t="s">
        <v>3049</v>
      </c>
      <c r="F32" s="803"/>
      <c r="G32" s="794"/>
      <c r="H32" s="795"/>
      <c r="I32" s="794"/>
      <c r="J32" s="794"/>
      <c r="K32" s="794" t="s">
        <v>4232</v>
      </c>
      <c r="L32" s="794"/>
      <c r="M32" s="794" t="s">
        <v>2701</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6450</v>
      </c>
      <c r="C33" s="785" t="s">
        <v>2827</v>
      </c>
      <c r="D33" s="794"/>
      <c r="E33" s="794" t="s">
        <v>3394</v>
      </c>
      <c r="F33" s="803"/>
      <c r="G33" s="794"/>
      <c r="H33" s="790"/>
      <c r="I33" s="794"/>
      <c r="J33" s="794" t="s">
        <v>2827</v>
      </c>
      <c r="K33" s="794" t="s">
        <v>3811</v>
      </c>
      <c r="L33" s="794"/>
      <c r="M33" s="794" t="s">
        <v>4819</v>
      </c>
      <c r="N33" s="794"/>
      <c r="O33" s="794"/>
      <c r="P33" s="792"/>
      <c r="Q33" s="794" t="s">
        <v>6451</v>
      </c>
      <c r="R33" s="789" t="s">
        <v>2827</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6452</v>
      </c>
      <c r="C34" s="785" t="s">
        <v>4126</v>
      </c>
      <c r="D34" s="794"/>
      <c r="E34" s="794" t="s">
        <v>3787</v>
      </c>
      <c r="F34" s="803"/>
      <c r="G34" s="794"/>
      <c r="H34" s="795"/>
      <c r="I34" s="794"/>
      <c r="J34" s="794" t="s">
        <v>4126</v>
      </c>
      <c r="K34" s="794" t="s">
        <v>6453</v>
      </c>
      <c r="L34" s="794" t="s">
        <v>2259</v>
      </c>
      <c r="M34" s="794" t="s">
        <v>2701</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6454</v>
      </c>
      <c r="C35" s="785" t="s">
        <v>2304</v>
      </c>
      <c r="D35" s="794" t="s">
        <v>1562</v>
      </c>
      <c r="E35" s="794" t="s">
        <v>2827</v>
      </c>
      <c r="F35" s="803"/>
      <c r="G35" s="794"/>
      <c r="H35" s="811" t="s">
        <v>2766</v>
      </c>
      <c r="I35" s="794" t="s">
        <v>6455</v>
      </c>
      <c r="J35" s="794" t="s">
        <v>2304</v>
      </c>
      <c r="K35" s="794" t="s">
        <v>2259</v>
      </c>
      <c r="L35" s="794"/>
      <c r="M35" s="794" t="s">
        <v>6453</v>
      </c>
      <c r="N35" s="794"/>
      <c r="O35" s="794"/>
      <c r="P35" s="792"/>
      <c r="Q35" s="794" t="s">
        <v>1742</v>
      </c>
      <c r="R35" s="794"/>
      <c r="S35" s="794"/>
      <c r="T35" s="794"/>
      <c r="U35" s="794" t="s">
        <v>5771</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6456</v>
      </c>
      <c r="C36" s="785" t="s">
        <v>760</v>
      </c>
      <c r="D36" s="794"/>
      <c r="E36" s="794" t="s">
        <v>3893</v>
      </c>
      <c r="F36" s="788" t="s">
        <v>3659</v>
      </c>
      <c r="G36" s="794" t="s">
        <v>760</v>
      </c>
      <c r="H36" s="804" t="s">
        <v>2701</v>
      </c>
      <c r="I36" s="794" t="s">
        <v>1954</v>
      </c>
      <c r="J36" s="794" t="s">
        <v>1138</v>
      </c>
      <c r="K36" s="794" t="s">
        <v>4775</v>
      </c>
      <c r="L36" s="794"/>
      <c r="M36" s="794"/>
      <c r="N36" s="794"/>
      <c r="O36" s="794" t="s">
        <v>1954</v>
      </c>
      <c r="P36" s="792" t="s">
        <v>2484</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6379</v>
      </c>
      <c r="B37" s="802" t="s">
        <v>6457</v>
      </c>
      <c r="C37" s="785" t="s">
        <v>4285</v>
      </c>
      <c r="D37" s="794" t="s">
        <v>6458</v>
      </c>
      <c r="E37" s="794" t="s">
        <v>4285</v>
      </c>
      <c r="F37" s="788" t="s">
        <v>2895</v>
      </c>
      <c r="G37" s="794"/>
      <c r="H37" s="811" t="s">
        <v>2516</v>
      </c>
      <c r="I37" s="794"/>
      <c r="J37" s="794"/>
      <c r="K37" s="794" t="s">
        <v>354</v>
      </c>
      <c r="L37" s="794"/>
      <c r="M37" s="794"/>
      <c r="N37" s="794"/>
      <c r="O37" s="794"/>
      <c r="P37" s="792"/>
      <c r="Q37" s="794" t="s">
        <v>3057</v>
      </c>
      <c r="R37" s="794"/>
      <c r="S37" s="794"/>
      <c r="T37" s="794"/>
      <c r="U37" s="794"/>
      <c r="V37" s="794"/>
      <c r="W37" s="794" t="s">
        <v>6459</v>
      </c>
      <c r="X37" s="794" t="s">
        <v>1797</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6460</v>
      </c>
      <c r="C38" s="785" t="s">
        <v>2532</v>
      </c>
      <c r="D38" s="794" t="s">
        <v>3259</v>
      </c>
      <c r="E38" s="794" t="s">
        <v>3518</v>
      </c>
      <c r="F38" s="788" t="s">
        <v>708</v>
      </c>
      <c r="G38" s="794" t="s">
        <v>6461</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2532</v>
      </c>
      <c r="AW38" s="794"/>
      <c r="AX38" s="794"/>
      <c r="AY38" s="794"/>
      <c r="AZ38" s="794"/>
      <c r="BA38" s="794"/>
      <c r="BB38" s="794"/>
      <c r="BC38" s="796"/>
      <c r="BD38" s="796"/>
      <c r="BE38" s="794"/>
      <c r="BF38" s="792"/>
      <c r="BG38" s="792"/>
      <c r="BH38" s="796"/>
      <c r="BI38" s="796"/>
      <c r="BJ38" s="796"/>
    </row>
    <row r="39" ht="15.75" customHeight="1">
      <c r="A39" s="801" t="s">
        <v>6404</v>
      </c>
      <c r="B39" s="802" t="s">
        <v>6405</v>
      </c>
      <c r="C39" s="785" t="s">
        <v>4815</v>
      </c>
      <c r="D39" s="799" t="s">
        <v>644</v>
      </c>
      <c r="E39" s="794" t="s">
        <v>2839</v>
      </c>
      <c r="F39" s="803"/>
      <c r="G39" s="794"/>
      <c r="H39" s="790"/>
      <c r="I39" s="794" t="s">
        <v>1725</v>
      </c>
      <c r="J39" s="794"/>
      <c r="K39" s="794" t="s">
        <v>6462</v>
      </c>
      <c r="L39" s="794" t="s">
        <v>275</v>
      </c>
      <c r="M39" s="794" t="s">
        <v>783</v>
      </c>
      <c r="N39" s="794" t="str">
        <f>HYPERLINK("https://youtu.be/Z3lDpXDeu-A","48.50")</f>
        <v>48.50</v>
      </c>
      <c r="O39" s="794"/>
      <c r="P39" s="792"/>
      <c r="Q39" s="794"/>
      <c r="R39" s="794"/>
      <c r="S39" s="794" t="s">
        <v>4815</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6463</v>
      </c>
      <c r="C40" s="785" t="s">
        <v>2627</v>
      </c>
      <c r="D40" s="792"/>
      <c r="E40" s="792"/>
      <c r="F40" s="803"/>
      <c r="G40" s="792"/>
      <c r="H40" s="795"/>
      <c r="I40" s="821" t="s">
        <v>2627</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6464</v>
      </c>
      <c r="C41" s="785" t="s">
        <v>3274</v>
      </c>
      <c r="D41" s="792"/>
      <c r="E41" s="792"/>
      <c r="F41" s="803"/>
      <c r="G41" s="792"/>
      <c r="H41" s="790"/>
      <c r="I41" s="821" t="s">
        <v>3274</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6465</v>
      </c>
      <c r="C42" s="785" t="s">
        <v>5290</v>
      </c>
      <c r="D42" s="814" t="s">
        <v>1565</v>
      </c>
      <c r="E42" s="792"/>
      <c r="F42" s="803"/>
      <c r="G42" s="792"/>
      <c r="H42" s="795"/>
      <c r="I42" s="821" t="s">
        <v>5290</v>
      </c>
      <c r="J42" s="821" t="s">
        <v>2262</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6407</v>
      </c>
      <c r="B43" s="802" t="s">
        <v>6405</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6466</v>
      </c>
      <c r="C44" s="813"/>
      <c r="D44" s="814" t="s">
        <v>6467</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6468</v>
      </c>
      <c r="B45" s="784" t="s">
        <v>6469</v>
      </c>
      <c r="C45" s="785" t="s">
        <v>999</v>
      </c>
      <c r="D45" s="794" t="s">
        <v>5172</v>
      </c>
      <c r="E45" s="794" t="s">
        <v>6470</v>
      </c>
      <c r="F45" s="803"/>
      <c r="G45" s="794" t="s">
        <v>5186</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5336</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6471</v>
      </c>
      <c r="C46" s="785">
        <v>15.96</v>
      </c>
      <c r="D46" s="791" t="s">
        <v>1563</v>
      </c>
      <c r="E46" s="789" t="s">
        <v>343</v>
      </c>
      <c r="F46" s="788" t="s">
        <v>552</v>
      </c>
      <c r="G46" s="789" t="s">
        <v>231</v>
      </c>
      <c r="H46" s="795"/>
      <c r="I46" s="789" t="s">
        <v>107</v>
      </c>
      <c r="J46" s="789" t="s">
        <v>552</v>
      </c>
      <c r="K46" s="789" t="s">
        <v>2648</v>
      </c>
      <c r="L46" s="791" t="s">
        <v>552</v>
      </c>
      <c r="M46" s="789" t="s">
        <v>107</v>
      </c>
      <c r="N46" s="791" t="s">
        <v>455</v>
      </c>
      <c r="O46" s="789" t="s">
        <v>552</v>
      </c>
      <c r="P46" s="792" t="s">
        <v>343</v>
      </c>
      <c r="Q46" s="791"/>
      <c r="R46" s="791"/>
      <c r="S46" s="791"/>
      <c r="T46" s="791"/>
      <c r="U46" s="791" t="s">
        <v>3370</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6472</v>
      </c>
      <c r="B47" s="784" t="s">
        <v>6473</v>
      </c>
      <c r="C47" s="785" t="s">
        <v>4881</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6358</v>
      </c>
      <c r="C48" s="785" t="s">
        <v>349</v>
      </c>
      <c r="D48" s="799" t="s">
        <v>1566</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6474</v>
      </c>
      <c r="B50" s="833" t="s">
        <v>6475</v>
      </c>
      <c r="C50" s="834" t="s">
        <v>1913</v>
      </c>
      <c r="D50" s="794"/>
      <c r="E50" s="794" t="s">
        <v>1478</v>
      </c>
      <c r="F50" s="788" t="s">
        <v>1872</v>
      </c>
      <c r="G50" s="794"/>
      <c r="H50" s="790"/>
      <c r="I50" s="794" t="s">
        <v>6019</v>
      </c>
      <c r="J50" s="794" t="s">
        <v>1913</v>
      </c>
      <c r="K50" s="794" t="s">
        <v>4587</v>
      </c>
      <c r="L50" s="794" t="s">
        <v>837</v>
      </c>
      <c r="M50" s="794" t="s">
        <v>751</v>
      </c>
      <c r="N50" s="794" t="s">
        <v>2906</v>
      </c>
      <c r="O50" s="794"/>
      <c r="P50" s="792" t="s">
        <v>3326</v>
      </c>
      <c r="Q50" s="794" t="s">
        <v>119</v>
      </c>
      <c r="R50" s="794" t="s">
        <v>6476</v>
      </c>
      <c r="S50" s="794"/>
      <c r="T50" s="794"/>
      <c r="U50" s="794" t="s">
        <v>2651</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6477</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5749</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6478</v>
      </c>
      <c r="C52" s="834">
        <v>52.89</v>
      </c>
      <c r="D52" s="840" t="s">
        <v>4601</v>
      </c>
      <c r="E52" s="841"/>
      <c r="F52" s="803"/>
      <c r="G52" s="841"/>
      <c r="H52" s="790"/>
      <c r="I52" s="841"/>
      <c r="J52" s="841"/>
      <c r="K52" s="841"/>
      <c r="L52" s="841"/>
      <c r="M52" s="841"/>
      <c r="N52" s="842" t="s">
        <v>6479</v>
      </c>
      <c r="O52" s="841"/>
      <c r="P52" s="792"/>
      <c r="Q52" s="841"/>
      <c r="R52" s="841"/>
      <c r="S52" s="841"/>
      <c r="T52" s="841"/>
      <c r="U52" s="841"/>
      <c r="V52" s="841"/>
      <c r="W52" s="841"/>
      <c r="X52" s="841"/>
      <c r="Y52" s="841"/>
      <c r="Z52" s="841"/>
      <c r="AA52" s="841" t="s">
        <v>1854</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6480</v>
      </c>
      <c r="C53" s="834" t="s">
        <v>238</v>
      </c>
      <c r="D53" s="794" t="s">
        <v>491</v>
      </c>
      <c r="E53" s="840" t="s">
        <v>350</v>
      </c>
      <c r="F53" s="788" t="s">
        <v>1337</v>
      </c>
      <c r="G53" s="788" t="s">
        <v>366</v>
      </c>
      <c r="H53" s="843" t="s">
        <v>3102</v>
      </c>
      <c r="I53" s="840"/>
      <c r="J53" s="840"/>
      <c r="K53" s="840"/>
      <c r="L53" s="840"/>
      <c r="M53" s="840"/>
      <c r="N53" s="840"/>
      <c r="O53" s="840" t="s">
        <v>6481</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6379</v>
      </c>
      <c r="B54" s="845" t="s">
        <v>6475</v>
      </c>
      <c r="C54" s="834" t="s">
        <v>3671</v>
      </c>
      <c r="D54" s="840"/>
      <c r="E54" s="840" t="s">
        <v>5011</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6477</v>
      </c>
      <c r="C55" s="834" t="s">
        <v>128</v>
      </c>
      <c r="D55" s="840"/>
      <c r="E55" s="840" t="s">
        <v>6482</v>
      </c>
      <c r="F55" s="803"/>
      <c r="G55" s="840" t="s">
        <v>128</v>
      </c>
      <c r="H55" s="839"/>
      <c r="I55" s="840"/>
      <c r="J55" s="840"/>
      <c r="K55" s="840"/>
      <c r="L55" s="840"/>
      <c r="M55" s="840"/>
      <c r="N55" s="840"/>
      <c r="O55" s="840"/>
      <c r="P55" s="792" t="s">
        <v>6483</v>
      </c>
      <c r="Q55" s="840" t="s">
        <v>2136</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6478</v>
      </c>
      <c r="C56" s="834" t="s">
        <v>1276</v>
      </c>
      <c r="D56" s="840" t="s">
        <v>4954</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6480</v>
      </c>
      <c r="C57" s="834" t="s">
        <v>415</v>
      </c>
      <c r="D57" s="840"/>
      <c r="E57" s="840" t="s">
        <v>135</v>
      </c>
      <c r="F57" s="788" t="s">
        <v>6484</v>
      </c>
      <c r="G57" s="788" t="s">
        <v>618</v>
      </c>
      <c r="H57" s="843" t="s">
        <v>3257</v>
      </c>
      <c r="I57" s="840"/>
      <c r="J57" s="840"/>
      <c r="K57" s="840"/>
      <c r="L57" s="840"/>
      <c r="M57" s="840"/>
      <c r="N57" s="840"/>
      <c r="O57" s="788" t="s">
        <v>3868</v>
      </c>
      <c r="P57" s="792" t="s">
        <v>6485</v>
      </c>
      <c r="Q57" s="840" t="s">
        <v>6415</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6374</v>
      </c>
      <c r="B58" s="847" t="s">
        <v>6358</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6360</v>
      </c>
      <c r="B59" s="833" t="s">
        <v>6358</v>
      </c>
      <c r="C59" s="834" t="s">
        <v>2016</v>
      </c>
      <c r="D59" s="824" t="s">
        <v>6486</v>
      </c>
      <c r="E59" s="824"/>
      <c r="F59" s="803"/>
      <c r="G59" s="824" t="s">
        <v>2212</v>
      </c>
      <c r="H59" s="843" t="s">
        <v>3224</v>
      </c>
      <c r="I59" s="824"/>
      <c r="J59" s="824"/>
      <c r="K59" s="824"/>
      <c r="L59" s="824"/>
      <c r="M59" s="824"/>
      <c r="N59" s="824"/>
      <c r="O59" s="824"/>
      <c r="P59" s="825"/>
      <c r="Q59" s="824"/>
      <c r="R59" s="824"/>
      <c r="S59" s="824"/>
      <c r="T59" s="824"/>
      <c r="U59" s="824"/>
      <c r="V59" s="824"/>
      <c r="W59" s="824"/>
      <c r="X59" s="824" t="s">
        <v>2016</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6374</v>
      </c>
      <c r="B60" s="845" t="s">
        <v>6487</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6488</v>
      </c>
      <c r="AB60" s="824"/>
      <c r="AC60" s="824"/>
      <c r="AD60" s="824"/>
      <c r="AE60" s="824"/>
      <c r="AF60" s="824"/>
      <c r="AG60" s="824"/>
      <c r="AH60" s="824"/>
      <c r="AI60" s="824"/>
      <c r="AJ60" s="824"/>
      <c r="AK60" s="824"/>
      <c r="AL60" s="824"/>
      <c r="AM60" s="824"/>
      <c r="AN60" s="824"/>
      <c r="AO60" s="824"/>
      <c r="AP60" s="787" t="s">
        <v>6489</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6490</v>
      </c>
      <c r="C61" s="834" t="s">
        <v>204</v>
      </c>
      <c r="D61" s="792" t="s">
        <v>6415</v>
      </c>
      <c r="E61" s="792"/>
      <c r="F61" s="803"/>
      <c r="G61" s="821" t="s">
        <v>204</v>
      </c>
      <c r="H61" s="843" t="s">
        <v>2362</v>
      </c>
      <c r="I61" s="792"/>
      <c r="J61" s="792"/>
      <c r="K61" s="792"/>
      <c r="L61" s="792"/>
      <c r="M61" s="792"/>
      <c r="N61" s="792"/>
      <c r="O61" s="792"/>
      <c r="P61" s="792"/>
      <c r="Q61" s="792"/>
      <c r="R61" s="789" t="s">
        <v>6491</v>
      </c>
      <c r="S61" s="792"/>
      <c r="T61" s="792"/>
      <c r="U61" s="792"/>
      <c r="V61" s="792"/>
      <c r="W61" s="792"/>
      <c r="X61" s="792"/>
      <c r="Y61" s="792"/>
      <c r="Z61" s="792"/>
      <c r="AA61" s="821" t="s">
        <v>2661</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6379</v>
      </c>
      <c r="B62" s="845" t="s">
        <v>6487</v>
      </c>
      <c r="C62" s="834" t="s">
        <v>6103</v>
      </c>
      <c r="D62" s="792" t="s">
        <v>4202</v>
      </c>
      <c r="E62" s="792"/>
      <c r="F62" s="803"/>
      <c r="G62" s="792"/>
      <c r="H62" s="790"/>
      <c r="I62" s="792"/>
      <c r="J62" s="821" t="s">
        <v>6103</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4988</v>
      </c>
      <c r="AV62" s="792"/>
      <c r="AW62" s="792"/>
      <c r="AX62" s="792"/>
      <c r="AY62" s="792"/>
      <c r="AZ62" s="792"/>
      <c r="BA62" s="792"/>
      <c r="BB62" s="792"/>
      <c r="BC62" s="796"/>
      <c r="BD62" s="796"/>
      <c r="BE62" s="792"/>
      <c r="BF62" s="851"/>
      <c r="BG62" s="851"/>
      <c r="BH62" s="796"/>
      <c r="BI62" s="796"/>
      <c r="BJ62" s="796"/>
    </row>
    <row r="63" ht="15.75" customHeight="1">
      <c r="A63" s="850"/>
      <c r="B63" s="838" t="s">
        <v>6490</v>
      </c>
      <c r="C63" s="834" t="s">
        <v>2316</v>
      </c>
      <c r="D63" s="794" t="s">
        <v>2343</v>
      </c>
      <c r="E63" s="794" t="s">
        <v>3428</v>
      </c>
      <c r="F63" s="803"/>
      <c r="G63" s="794" t="s">
        <v>569</v>
      </c>
      <c r="H63" s="843" t="s">
        <v>2045</v>
      </c>
      <c r="I63" s="794"/>
      <c r="J63" s="794" t="s">
        <v>6492</v>
      </c>
      <c r="K63" s="794"/>
      <c r="L63" s="794"/>
      <c r="M63" s="794" t="s">
        <v>3428</v>
      </c>
      <c r="N63" s="794"/>
      <c r="O63" s="794"/>
      <c r="P63" s="792"/>
      <c r="Q63" s="794"/>
      <c r="R63" s="794"/>
      <c r="S63" s="794"/>
      <c r="T63" s="794" t="s">
        <v>2837</v>
      </c>
      <c r="U63" s="794"/>
      <c r="V63" s="794" t="s">
        <v>3155</v>
      </c>
      <c r="W63" s="794" t="s">
        <v>5047</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6493</v>
      </c>
      <c r="B64" s="833" t="s">
        <v>6494</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3076</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6495</v>
      </c>
      <c r="C65" s="834" t="s">
        <v>4070</v>
      </c>
      <c r="D65" s="794" t="s">
        <v>526</v>
      </c>
      <c r="E65" s="794"/>
      <c r="F65" s="788" t="s">
        <v>2166</v>
      </c>
      <c r="G65" s="794" t="s">
        <v>3961</v>
      </c>
      <c r="H65" s="839"/>
      <c r="I65" s="794" t="s">
        <v>405</v>
      </c>
      <c r="J65" s="794" t="s">
        <v>3690</v>
      </c>
      <c r="K65" s="794"/>
      <c r="L65" s="794"/>
      <c r="M65" s="794"/>
      <c r="N65" s="794" t="str">
        <f>HYPERLINK("https://youtu.be/1clufi5ICPo","15.10")</f>
        <v>15.10</v>
      </c>
      <c r="O65" s="794"/>
      <c r="P65" s="792"/>
      <c r="Q65" s="794" t="s">
        <v>2711</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6496</v>
      </c>
      <c r="C66" s="834" t="s">
        <v>657</v>
      </c>
      <c r="D66" s="794" t="s">
        <v>1339</v>
      </c>
      <c r="E66" s="824" t="s">
        <v>838</v>
      </c>
      <c r="F66" s="788" t="s">
        <v>1339</v>
      </c>
      <c r="G66" s="824" t="s">
        <v>1208</v>
      </c>
      <c r="H66" s="790"/>
      <c r="I66" s="824" t="s">
        <v>1427</v>
      </c>
      <c r="J66" s="824" t="s">
        <v>4297</v>
      </c>
      <c r="K66" s="824" t="s">
        <v>2876</v>
      </c>
      <c r="L66" s="824" t="s">
        <v>6497</v>
      </c>
      <c r="M66" s="824" t="s">
        <v>5748</v>
      </c>
      <c r="N66" s="824" t="s">
        <v>358</v>
      </c>
      <c r="O66" s="824" t="s">
        <v>6498</v>
      </c>
      <c r="P66" s="825"/>
      <c r="Q66" s="824" t="s">
        <v>1812</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6499</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6500</v>
      </c>
      <c r="B67" s="833" t="s">
        <v>6501</v>
      </c>
      <c r="C67" s="834" t="s">
        <v>2151</v>
      </c>
      <c r="D67" s="794"/>
      <c r="E67" s="794" t="s">
        <v>2151</v>
      </c>
      <c r="F67" s="788" t="s">
        <v>6282</v>
      </c>
      <c r="G67" s="794"/>
      <c r="H67" s="839"/>
      <c r="I67" s="794" t="s">
        <v>6502</v>
      </c>
      <c r="J67" s="794"/>
      <c r="K67" s="794" t="s">
        <v>6503</v>
      </c>
      <c r="L67" s="794"/>
      <c r="M67" s="794"/>
      <c r="N67" s="794" t="s">
        <v>6504</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6505</v>
      </c>
      <c r="C68" s="834" t="s">
        <v>353</v>
      </c>
      <c r="D68" s="794" t="s">
        <v>1477</v>
      </c>
      <c r="E68" s="794" t="s">
        <v>353</v>
      </c>
      <c r="F68" s="788" t="s">
        <v>1340</v>
      </c>
      <c r="G68" s="794" t="s">
        <v>1537</v>
      </c>
      <c r="H68" s="811" t="s">
        <v>1340</v>
      </c>
      <c r="I68" s="794" t="s">
        <v>1428</v>
      </c>
      <c r="J68" s="794" t="s">
        <v>4868</v>
      </c>
      <c r="K68" s="794" t="s">
        <v>6506</v>
      </c>
      <c r="L68" s="794" t="s">
        <v>839</v>
      </c>
      <c r="M68" s="794" t="s">
        <v>753</v>
      </c>
      <c r="N68" s="794" t="s">
        <v>1269</v>
      </c>
      <c r="O68" s="794" t="s">
        <v>2313</v>
      </c>
      <c r="P68" s="792" t="s">
        <v>3815</v>
      </c>
      <c r="Q68" s="794" t="s">
        <v>6507</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6374</v>
      </c>
      <c r="B69" s="845" t="s">
        <v>6508</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6509</v>
      </c>
      <c r="C70" s="834" t="s">
        <v>5922</v>
      </c>
      <c r="D70" s="794" t="s">
        <v>1568</v>
      </c>
      <c r="E70" s="794" t="s">
        <v>754</v>
      </c>
      <c r="F70" s="788" t="s">
        <v>1341</v>
      </c>
      <c r="G70" s="794" t="s">
        <v>5922</v>
      </c>
      <c r="H70" s="811" t="s">
        <v>2314</v>
      </c>
      <c r="I70" s="794" t="str">
        <f>HYPERLINK("https://www.youtube.com/watch?v=Imyo7x5mfG4&amp;feature=youtu.be","30.15")</f>
        <v>30.15</v>
      </c>
      <c r="J70" s="794" t="s">
        <v>1646</v>
      </c>
      <c r="K70" s="794" t="s">
        <v>1817</v>
      </c>
      <c r="L70" s="794" t="s">
        <v>118</v>
      </c>
      <c r="M70" s="794" t="s">
        <v>754</v>
      </c>
      <c r="N70" s="794" t="s">
        <v>118</v>
      </c>
      <c r="O70" s="794" t="s">
        <v>1002</v>
      </c>
      <c r="P70" s="792" t="s">
        <v>3204</v>
      </c>
      <c r="Q70" s="794" t="s">
        <v>6510</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6511</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6379</v>
      </c>
      <c r="B71" s="845" t="s">
        <v>6501</v>
      </c>
      <c r="C71" s="834" t="s">
        <v>3990</v>
      </c>
      <c r="D71" s="794"/>
      <c r="E71" s="794" t="s">
        <v>3990</v>
      </c>
      <c r="F71" s="788" t="s">
        <v>2470</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1812</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6512</v>
      </c>
      <c r="C72" s="834" t="s">
        <v>2723</v>
      </c>
      <c r="D72" s="794" t="s">
        <v>2528</v>
      </c>
      <c r="E72" s="794" t="s">
        <v>2426</v>
      </c>
      <c r="F72" s="788" t="s">
        <v>6513</v>
      </c>
      <c r="G72" s="794"/>
      <c r="H72" s="811" t="s">
        <v>4083</v>
      </c>
      <c r="I72" s="794"/>
      <c r="J72" s="794"/>
      <c r="K72" s="794"/>
      <c r="L72" s="794"/>
      <c r="M72" s="794" t="s">
        <v>6514</v>
      </c>
      <c r="N72" s="794"/>
      <c r="O72" s="794"/>
      <c r="P72" s="792" t="s">
        <v>6515</v>
      </c>
      <c r="Q72" s="794"/>
      <c r="R72" s="794"/>
      <c r="S72" s="794" t="s">
        <v>3853</v>
      </c>
      <c r="T72" s="794"/>
      <c r="U72" s="794"/>
      <c r="V72" s="794" t="s">
        <v>6515</v>
      </c>
      <c r="W72" s="794" t="s">
        <v>2087</v>
      </c>
      <c r="X72" s="794" t="s">
        <v>2723</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6516</v>
      </c>
      <c r="C73" s="834" t="s">
        <v>2929</v>
      </c>
      <c r="D73" s="840"/>
      <c r="E73" s="840"/>
      <c r="F73" s="803"/>
      <c r="G73" s="852" t="s">
        <v>2929</v>
      </c>
      <c r="H73" s="839"/>
      <c r="I73" s="840"/>
      <c r="J73" s="840"/>
      <c r="K73" s="840"/>
      <c r="L73" s="840"/>
      <c r="M73" s="840"/>
      <c r="N73" s="840"/>
      <c r="O73" s="840" t="s">
        <v>2929</v>
      </c>
      <c r="P73" s="792" t="s">
        <v>4894</v>
      </c>
      <c r="Q73" s="840"/>
      <c r="R73" s="840"/>
      <c r="S73" s="840"/>
      <c r="T73" s="840"/>
      <c r="U73" s="840"/>
      <c r="V73" s="840"/>
      <c r="W73" s="840"/>
      <c r="X73" s="840"/>
      <c r="Y73" s="840" t="s">
        <v>1975</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6404</v>
      </c>
      <c r="B74" s="845" t="s">
        <v>6405</v>
      </c>
      <c r="C74" s="834" t="s">
        <v>6517</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6407</v>
      </c>
      <c r="B75" s="845" t="s">
        <v>6405</v>
      </c>
      <c r="C75" s="855"/>
      <c r="D75" s="814" t="s">
        <v>6518</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6419</v>
      </c>
      <c r="B76" s="833" t="s">
        <v>6519</v>
      </c>
      <c r="C76" s="834" t="s">
        <v>2208</v>
      </c>
      <c r="D76" s="794"/>
      <c r="E76" s="794" t="s">
        <v>2208</v>
      </c>
      <c r="F76" s="788" t="s">
        <v>6520</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6521</v>
      </c>
      <c r="C77" s="834" t="s">
        <v>2547</v>
      </c>
      <c r="D77" s="794" t="s">
        <v>3504</v>
      </c>
      <c r="E77" s="794" t="s">
        <v>2547</v>
      </c>
      <c r="F77" s="803"/>
      <c r="G77" s="794"/>
      <c r="H77" s="790"/>
      <c r="I77" s="794"/>
      <c r="J77" s="794"/>
      <c r="K77" s="794" t="s">
        <v>6522</v>
      </c>
      <c r="L77" s="794" t="s">
        <v>5111</v>
      </c>
      <c r="M77" s="794"/>
      <c r="N77" s="794" t="str">
        <f>HYPERLINK("https://youtu.be/HUwmtKe7cOY","56.54")</f>
        <v>56.54</v>
      </c>
      <c r="O77" s="794"/>
      <c r="P77" s="792" t="s">
        <v>3658</v>
      </c>
      <c r="Q77" s="794"/>
      <c r="R77" s="794"/>
      <c r="S77" s="794"/>
      <c r="T77" s="794"/>
      <c r="U77" s="794" t="s">
        <v>2267</v>
      </c>
      <c r="V77" s="794"/>
      <c r="W77" s="794"/>
      <c r="X77" s="794"/>
      <c r="Y77" s="794"/>
      <c r="Z77" s="794"/>
      <c r="AA77" s="794" t="s">
        <v>6523</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6524</v>
      </c>
      <c r="C78" s="834" t="s">
        <v>879</v>
      </c>
      <c r="D78" s="794" t="s">
        <v>1569</v>
      </c>
      <c r="E78" s="794" t="s">
        <v>5461</v>
      </c>
      <c r="F78" s="788" t="s">
        <v>1342</v>
      </c>
      <c r="G78" s="794" t="s">
        <v>879</v>
      </c>
      <c r="H78" s="839"/>
      <c r="I78" s="794" t="s">
        <v>2774</v>
      </c>
      <c r="J78" s="794" t="s">
        <v>4406</v>
      </c>
      <c r="K78" s="794"/>
      <c r="L78" s="794"/>
      <c r="M78" s="794"/>
      <c r="N78" s="794" t="str">
        <f>HYPERLINK("https://youtu.be/vycxuqUj3Q4","56.44")</f>
        <v>56.44</v>
      </c>
      <c r="O78" s="794" t="s">
        <v>3038</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6525</v>
      </c>
      <c r="B79" s="833" t="s">
        <v>6526</v>
      </c>
      <c r="C79" s="834" t="s">
        <v>3358</v>
      </c>
      <c r="D79" s="794"/>
      <c r="E79" s="794" t="s">
        <v>6527</v>
      </c>
      <c r="F79" s="788" t="s">
        <v>5189</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6528</v>
      </c>
      <c r="C80" s="834" t="s">
        <v>1570</v>
      </c>
      <c r="D80" s="794" t="s">
        <v>1570</v>
      </c>
      <c r="E80" s="841"/>
      <c r="F80" s="803"/>
      <c r="G80" s="841"/>
      <c r="H80" s="843" t="s">
        <v>3103</v>
      </c>
      <c r="I80" s="841"/>
      <c r="J80" s="841"/>
      <c r="K80" s="841"/>
      <c r="L80" s="841"/>
      <c r="M80" s="841"/>
      <c r="N80" s="841"/>
      <c r="O80" s="841"/>
      <c r="P80" s="792"/>
      <c r="Q80" s="841"/>
      <c r="R80" s="841" t="s">
        <v>896</v>
      </c>
      <c r="S80" s="841"/>
      <c r="T80" s="841"/>
      <c r="U80" s="841"/>
      <c r="V80" s="841" t="s">
        <v>2710</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6529</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6530</v>
      </c>
      <c r="C81" s="834" t="s">
        <v>6259</v>
      </c>
      <c r="D81" s="840"/>
      <c r="E81" s="840" t="s">
        <v>6531</v>
      </c>
      <c r="F81" s="788" t="s">
        <v>1344</v>
      </c>
      <c r="G81" s="840" t="s">
        <v>1078</v>
      </c>
      <c r="H81" s="790"/>
      <c r="I81" s="840" t="s">
        <v>2879</v>
      </c>
      <c r="J81" s="840"/>
      <c r="K81" s="840" t="s">
        <v>6532</v>
      </c>
      <c r="L81" s="840" t="s">
        <v>757</v>
      </c>
      <c r="M81" s="840" t="s">
        <v>757</v>
      </c>
      <c r="N81" s="840" t="s">
        <v>6259</v>
      </c>
      <c r="O81" s="840" t="s">
        <v>661</v>
      </c>
      <c r="P81" s="792" t="s">
        <v>6533</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6534</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6535</v>
      </c>
      <c r="B82" s="847" t="s">
        <v>6358</v>
      </c>
      <c r="C82" s="857" t="s">
        <v>6536</v>
      </c>
      <c r="D82" s="789" t="s">
        <v>6536</v>
      </c>
      <c r="E82" s="840"/>
      <c r="F82" s="803"/>
      <c r="G82" s="840" t="s">
        <v>4816</v>
      </c>
      <c r="H82" s="843" t="s">
        <v>6537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6538</v>
      </c>
      <c r="B83" s="847" t="s">
        <v>6358</v>
      </c>
      <c r="C83" s="857" t="s">
        <v>6539</v>
      </c>
      <c r="D83" s="789" t="s">
        <v>6539</v>
      </c>
      <c r="E83" s="840"/>
      <c r="F83" s="803"/>
      <c r="G83" s="840"/>
      <c r="H83" s="811" t="s">
        <v>6540</v>
      </c>
      <c r="I83" s="840"/>
      <c r="J83" s="840"/>
      <c r="K83" s="840"/>
      <c r="L83" s="840"/>
      <c r="M83" s="840"/>
      <c r="N83" s="840"/>
      <c r="O83" s="840"/>
      <c r="P83" s="792"/>
      <c r="Q83" s="840"/>
      <c r="R83" s="840"/>
      <c r="S83" s="840"/>
      <c r="T83" s="840"/>
      <c r="U83" s="840"/>
      <c r="V83" s="840"/>
      <c r="W83" s="840"/>
      <c r="X83" s="840"/>
      <c r="Y83" s="840"/>
      <c r="Z83" s="840"/>
      <c r="AA83" s="789" t="s">
        <v>6541</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6468</v>
      </c>
      <c r="B84" s="833" t="s">
        <v>6469</v>
      </c>
      <c r="C84" s="834" t="s">
        <v>5245</v>
      </c>
      <c r="D84" s="794" t="s">
        <v>6542</v>
      </c>
      <c r="E84" s="794" t="s">
        <v>5245</v>
      </c>
      <c r="F84" s="803"/>
      <c r="G84" s="794" t="s">
        <v>5245</v>
      </c>
      <c r="H84" s="839"/>
      <c r="I84" s="794" t="s">
        <v>5022</v>
      </c>
      <c r="J84" s="794"/>
      <c r="K84" s="794" t="s">
        <v>4669</v>
      </c>
      <c r="L84" s="794"/>
      <c r="M84" s="794" t="s">
        <v>3296</v>
      </c>
      <c r="N84" s="794" t="str">
        <f>HYPERLINK("https://youtu.be/HjDDp_Mj_yI","16.74")</f>
        <v>16.74</v>
      </c>
      <c r="O84" s="794"/>
      <c r="P84" s="792" t="s">
        <v>5131</v>
      </c>
      <c r="Q84" s="794"/>
      <c r="R84" s="794" t="s">
        <v>5245</v>
      </c>
      <c r="S84" s="794"/>
      <c r="T84" s="794"/>
      <c r="U84" s="794" t="s">
        <v>5022</v>
      </c>
      <c r="V84" s="794"/>
      <c r="W84" s="794"/>
      <c r="X84" s="794"/>
      <c r="Y84" s="794"/>
      <c r="Z84" s="794"/>
      <c r="AA84" s="794"/>
      <c r="AB84" s="794"/>
      <c r="AC84" s="794"/>
      <c r="AD84" s="794" t="s">
        <v>5245</v>
      </c>
      <c r="AE84" s="794"/>
      <c r="AF84" s="794"/>
      <c r="AG84" s="794"/>
      <c r="AH84" s="794"/>
      <c r="AI84" s="794"/>
      <c r="AJ84" s="794"/>
      <c r="AK84" s="794"/>
      <c r="AL84" s="794" t="s">
        <v>5486</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6543</v>
      </c>
      <c r="C85" s="834" t="s">
        <v>1691</v>
      </c>
      <c r="D85" s="794"/>
      <c r="E85" s="794" t="s">
        <v>1691</v>
      </c>
      <c r="F85" s="803"/>
      <c r="G85" s="794" t="s">
        <v>1691</v>
      </c>
      <c r="H85" s="790"/>
      <c r="I85" s="794"/>
      <c r="J85" s="794"/>
      <c r="K85" s="794"/>
      <c r="L85" s="794"/>
      <c r="M85" s="794" t="s">
        <v>1691</v>
      </c>
      <c r="N85" s="794"/>
      <c r="O85" s="794"/>
      <c r="P85" s="792"/>
      <c r="Q85" s="794" t="s">
        <v>2751</v>
      </c>
      <c r="R85" s="794" t="s">
        <v>1691</v>
      </c>
      <c r="S85" s="794"/>
      <c r="T85" s="794"/>
      <c r="U85" s="794"/>
      <c r="V85" s="794"/>
      <c r="W85" s="794"/>
      <c r="X85" s="794"/>
      <c r="Y85" s="794"/>
      <c r="Z85" s="794"/>
      <c r="AA85" s="794"/>
      <c r="AB85" s="794"/>
      <c r="AC85" s="794"/>
      <c r="AD85" s="794" t="s">
        <v>6544</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6545</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6546</v>
      </c>
      <c r="C87" s="834" t="s">
        <v>1079</v>
      </c>
      <c r="D87" s="794" t="s">
        <v>1571</v>
      </c>
      <c r="E87" s="789" t="s">
        <v>358</v>
      </c>
      <c r="F87" s="788" t="s">
        <v>1345</v>
      </c>
      <c r="G87" s="789" t="s">
        <v>1079</v>
      </c>
      <c r="H87" s="790"/>
      <c r="I87" s="791"/>
      <c r="J87" s="789" t="s">
        <v>6547</v>
      </c>
      <c r="K87" s="791"/>
      <c r="L87" s="791" t="s">
        <v>122</v>
      </c>
      <c r="M87" s="789" t="s">
        <v>5860</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6548</v>
      </c>
      <c r="C88" s="834" t="s">
        <v>2470</v>
      </c>
      <c r="D88" s="794" t="s">
        <v>2470</v>
      </c>
      <c r="E88" s="794"/>
      <c r="F88" s="803"/>
      <c r="G88" s="791" t="s">
        <v>6549</v>
      </c>
      <c r="H88" s="843" t="s">
        <v>2470</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6472</v>
      </c>
      <c r="B89" s="833" t="s">
        <v>6550</v>
      </c>
      <c r="C89" s="834" t="s">
        <v>359</v>
      </c>
      <c r="D89" s="799" t="s">
        <v>1572</v>
      </c>
      <c r="E89" s="794" t="s">
        <v>1667</v>
      </c>
      <c r="F89" s="788" t="s">
        <v>4926</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6358</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8" t="s">
        <v>6551</v>
      </c>
      <c r="D91" s="859"/>
      <c r="E91" s="859"/>
      <c r="F91" s="860"/>
      <c r="G91" s="859"/>
      <c r="H91" s="861"/>
      <c r="I91" s="859"/>
      <c r="J91" s="859"/>
      <c r="K91" s="859"/>
      <c r="L91" s="859"/>
      <c r="M91" s="859"/>
      <c r="N91" s="859"/>
      <c r="O91" s="859"/>
      <c r="P91" s="862"/>
      <c r="Q91" s="859"/>
      <c r="R91" s="859"/>
      <c r="S91" s="859"/>
      <c r="T91" s="859"/>
      <c r="U91" s="859"/>
      <c r="V91" s="859"/>
      <c r="W91" s="859"/>
      <c r="X91" s="859"/>
      <c r="Y91" s="859"/>
      <c r="Z91" s="859"/>
      <c r="AA91" s="859"/>
      <c r="AB91" s="859"/>
      <c r="AC91" s="859"/>
      <c r="AD91" s="859"/>
      <c r="AE91" s="859"/>
      <c r="AF91" s="859"/>
      <c r="AG91" s="859"/>
      <c r="AH91" s="859"/>
      <c r="AI91" s="859"/>
      <c r="AJ91" s="859"/>
      <c r="AK91" s="859"/>
      <c r="AL91" s="859"/>
      <c r="AM91" s="859"/>
      <c r="AN91" s="859"/>
      <c r="AO91" s="859"/>
      <c r="AP91" s="859"/>
      <c r="AQ91" s="859"/>
      <c r="AR91" s="859"/>
      <c r="AS91" s="859"/>
      <c r="AT91" s="859"/>
      <c r="AU91" s="859"/>
      <c r="AV91" s="859"/>
      <c r="AW91" s="859"/>
      <c r="AX91" s="859"/>
      <c r="AY91" s="859"/>
      <c r="AZ91" s="859"/>
      <c r="BA91" s="859"/>
      <c r="BB91" s="859"/>
      <c r="BC91" s="863"/>
      <c r="BD91" s="863"/>
      <c r="BE91" s="859"/>
      <c r="BF91" s="859"/>
      <c r="BG91" s="859"/>
      <c r="BH91" s="863"/>
      <c r="BI91" s="863"/>
      <c r="BJ91" s="863"/>
    </row>
    <row r="92" ht="15.75" customHeight="1">
      <c r="A92" s="864" t="s">
        <v>6357</v>
      </c>
      <c r="B92" s="865"/>
      <c r="C92" s="866" t="s">
        <v>4190</v>
      </c>
      <c r="D92" s="799" t="s">
        <v>1575</v>
      </c>
      <c r="E92" s="867" t="s">
        <v>2378</v>
      </c>
      <c r="F92" s="788" t="s">
        <v>5830</v>
      </c>
      <c r="G92" s="867"/>
      <c r="H92" s="790"/>
      <c r="I92" s="867" t="str">
        <f>HYPERLINK("https://youtu.be/ycBfir2aflI","41.70")</f>
        <v>41.70</v>
      </c>
      <c r="J92" s="867" t="s">
        <v>6390</v>
      </c>
      <c r="K92" s="867"/>
      <c r="L92" s="867" t="s">
        <v>845</v>
      </c>
      <c r="M92" s="867"/>
      <c r="N92" s="867" t="str">
        <f>HYPERLINK("https://youtu.be/OxlK2SgEm_U","42.73")</f>
        <v>42.73</v>
      </c>
      <c r="O92" s="867"/>
      <c r="P92" s="868" t="s">
        <v>2035</v>
      </c>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9"/>
      <c r="AQ92" s="867"/>
      <c r="AR92" s="867"/>
      <c r="AS92" s="867"/>
      <c r="AT92" s="867"/>
      <c r="AU92" s="867"/>
      <c r="AV92" s="867"/>
      <c r="AW92" s="867"/>
      <c r="AX92" s="867"/>
      <c r="AY92" s="867"/>
      <c r="AZ92" s="867"/>
      <c r="BA92" s="867"/>
      <c r="BB92" s="867"/>
      <c r="BC92" s="870"/>
      <c r="BD92" s="870"/>
      <c r="BE92" s="867"/>
      <c r="BF92" s="869"/>
      <c r="BG92" s="869"/>
      <c r="BH92" s="870"/>
      <c r="BI92" s="870"/>
      <c r="BJ92" s="870"/>
    </row>
    <row r="93" ht="15.75" customHeight="1">
      <c r="A93" s="871" t="s">
        <v>6374</v>
      </c>
      <c r="B93" s="872"/>
      <c r="C93" s="866" t="s">
        <v>1614</v>
      </c>
      <c r="D93" s="799" t="s">
        <v>1576</v>
      </c>
      <c r="E93" s="873"/>
      <c r="F93" s="788" t="s">
        <v>6482</v>
      </c>
      <c r="G93" s="873"/>
      <c r="H93" s="874"/>
      <c r="I93" s="873" t="s">
        <v>3210</v>
      </c>
      <c r="J93" s="873" t="s">
        <v>4140</v>
      </c>
      <c r="K93" s="873" t="s">
        <v>1234</v>
      </c>
      <c r="L93" s="873" t="s">
        <v>846</v>
      </c>
      <c r="M93" s="873" t="s">
        <v>761</v>
      </c>
      <c r="N93" s="873" t="s">
        <v>3575</v>
      </c>
      <c r="O93" s="873" t="s">
        <v>1614</v>
      </c>
      <c r="P93" s="875" t="s">
        <v>2739</v>
      </c>
      <c r="Q93" s="873"/>
      <c r="R93" s="873" t="s">
        <v>5637</v>
      </c>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69"/>
      <c r="AQ93" s="873"/>
      <c r="AR93" s="873"/>
      <c r="AS93" s="873"/>
      <c r="AT93" s="873"/>
      <c r="AU93" s="873"/>
      <c r="AV93" s="873"/>
      <c r="AW93" s="873"/>
      <c r="AX93" s="873"/>
      <c r="AY93" s="873"/>
      <c r="AZ93" s="873"/>
      <c r="BA93" s="873"/>
      <c r="BB93" s="873"/>
      <c r="BC93" s="796"/>
      <c r="BD93" s="796"/>
      <c r="BE93" s="873"/>
      <c r="BF93" s="869"/>
      <c r="BG93" s="869"/>
      <c r="BH93" s="796"/>
      <c r="BI93" s="796"/>
      <c r="BJ93" s="796"/>
    </row>
    <row r="94" ht="15.75" customHeight="1">
      <c r="A94" s="871" t="s">
        <v>6379</v>
      </c>
      <c r="B94" s="876"/>
      <c r="C94" s="866" t="s">
        <v>3232</v>
      </c>
      <c r="D94" s="877" t="s">
        <v>4555</v>
      </c>
      <c r="E94" s="873"/>
      <c r="F94" s="788" t="s">
        <v>5872</v>
      </c>
      <c r="G94" s="873"/>
      <c r="H94" s="790"/>
      <c r="I94" s="873"/>
      <c r="J94" s="873" t="s">
        <v>3232</v>
      </c>
      <c r="K94" s="873"/>
      <c r="L94" s="873" t="s">
        <v>3428</v>
      </c>
      <c r="M94" s="873"/>
      <c r="N94" s="873"/>
      <c r="O94" s="873"/>
      <c r="P94" s="875"/>
      <c r="Q94" s="873"/>
      <c r="R94" s="873"/>
      <c r="S94" s="873"/>
      <c r="T94" s="873" t="s">
        <v>1965</v>
      </c>
      <c r="U94" s="873"/>
      <c r="V94" s="873"/>
      <c r="W94" s="873"/>
      <c r="X94" s="873"/>
      <c r="Y94" s="873"/>
      <c r="Z94" s="873"/>
      <c r="AA94" s="873"/>
      <c r="AB94" s="873"/>
      <c r="AC94" s="873"/>
      <c r="AD94" s="873"/>
      <c r="AE94" s="873"/>
      <c r="AF94" s="873"/>
      <c r="AG94" s="873"/>
      <c r="AH94" s="873"/>
      <c r="AI94" s="873"/>
      <c r="AJ94" s="873"/>
      <c r="AK94" s="873" t="s">
        <v>2739</v>
      </c>
      <c r="AL94" s="873"/>
      <c r="AM94" s="873"/>
      <c r="AN94" s="873"/>
      <c r="AO94" s="873"/>
      <c r="AP94" s="869"/>
      <c r="AQ94" s="873"/>
      <c r="AR94" s="873"/>
      <c r="AS94" s="873"/>
      <c r="AT94" s="873"/>
      <c r="AU94" s="873"/>
      <c r="AV94" s="873"/>
      <c r="AW94" s="873"/>
      <c r="AX94" s="873"/>
      <c r="AY94" s="873"/>
      <c r="AZ94" s="873"/>
      <c r="BA94" s="873"/>
      <c r="BB94" s="873"/>
      <c r="BC94" s="870"/>
      <c r="BD94" s="870"/>
      <c r="BE94" s="873"/>
      <c r="BF94" s="869"/>
      <c r="BG94" s="869"/>
      <c r="BH94" s="870"/>
      <c r="BI94" s="870"/>
      <c r="BJ94" s="870"/>
    </row>
    <row r="95" ht="15.75" customHeight="1">
      <c r="A95" s="871" t="s">
        <v>6404</v>
      </c>
      <c r="B95" s="872" t="s">
        <v>6405</v>
      </c>
      <c r="C95" s="866" t="s">
        <v>851</v>
      </c>
      <c r="D95" s="799" t="s">
        <v>1583</v>
      </c>
      <c r="E95" s="873"/>
      <c r="F95" s="803"/>
      <c r="G95" s="873" t="s">
        <v>5086</v>
      </c>
      <c r="H95" s="874"/>
      <c r="I95" s="873" t="s">
        <v>3516</v>
      </c>
      <c r="J95" s="873"/>
      <c r="K95" s="873" t="s">
        <v>2985</v>
      </c>
      <c r="L95" s="873" t="s">
        <v>851</v>
      </c>
      <c r="M95" s="873"/>
      <c r="N95" s="873"/>
      <c r="O95" s="873"/>
      <c r="P95" s="875"/>
      <c r="Q95" s="873"/>
      <c r="R95" s="873"/>
      <c r="S95" s="873"/>
      <c r="T95" s="873"/>
      <c r="U95" s="873"/>
      <c r="V95" s="873"/>
      <c r="W95" s="873"/>
      <c r="X95" s="873"/>
      <c r="Y95" s="873"/>
      <c r="Z95" s="873"/>
      <c r="AA95" s="873"/>
      <c r="AB95" s="873"/>
      <c r="AC95" s="873"/>
      <c r="AD95" s="873"/>
      <c r="AE95" s="873"/>
      <c r="AF95" s="873"/>
      <c r="AG95" s="873"/>
      <c r="AH95" s="873" t="s">
        <v>935</v>
      </c>
      <c r="AI95" s="873"/>
      <c r="AJ95" s="873"/>
      <c r="AK95" s="873" t="s">
        <v>5794</v>
      </c>
      <c r="AL95" s="873"/>
      <c r="AM95" s="873"/>
      <c r="AN95" s="873"/>
      <c r="AO95" s="873"/>
      <c r="AP95" s="869"/>
      <c r="AQ95" s="873"/>
      <c r="AR95" s="873"/>
      <c r="AS95" s="873"/>
      <c r="AT95" s="873"/>
      <c r="AU95" s="873"/>
      <c r="AV95" s="873"/>
      <c r="AW95" s="873"/>
      <c r="AX95" s="873"/>
      <c r="AY95" s="873"/>
      <c r="AZ95" s="873"/>
      <c r="BA95" s="873"/>
      <c r="BB95" s="873"/>
      <c r="BC95" s="796"/>
      <c r="BD95" s="796"/>
      <c r="BE95" s="873"/>
      <c r="BF95" s="869"/>
      <c r="BG95" s="869"/>
      <c r="BH95" s="796"/>
      <c r="BI95" s="796"/>
      <c r="BJ95" s="796"/>
    </row>
    <row r="96" ht="15.75" customHeight="1">
      <c r="A96" s="871" t="s">
        <v>6407</v>
      </c>
      <c r="B96" s="872" t="s">
        <v>6405</v>
      </c>
      <c r="C96" s="866"/>
      <c r="D96" s="812" t="s">
        <v>6552</v>
      </c>
      <c r="E96" s="873"/>
      <c r="F96" s="803"/>
      <c r="G96" s="873"/>
      <c r="H96" s="874"/>
      <c r="I96" s="873"/>
      <c r="J96" s="873"/>
      <c r="K96" s="873"/>
      <c r="L96" s="873"/>
      <c r="M96" s="873"/>
      <c r="N96" s="873"/>
      <c r="O96" s="873"/>
      <c r="P96" s="875"/>
      <c r="Q96" s="873"/>
      <c r="R96" s="873"/>
      <c r="S96" s="873"/>
      <c r="T96" s="873"/>
      <c r="U96" s="873"/>
      <c r="V96" s="873"/>
      <c r="W96" s="873"/>
      <c r="X96" s="873"/>
      <c r="Y96" s="873"/>
      <c r="Z96" s="873"/>
      <c r="AA96" s="873"/>
      <c r="AB96" s="873"/>
      <c r="AC96" s="873"/>
      <c r="AD96" s="873"/>
      <c r="AE96" s="873"/>
      <c r="AF96" s="873"/>
      <c r="AG96" s="873"/>
      <c r="AH96" s="873"/>
      <c r="AI96" s="873"/>
      <c r="AJ96" s="873"/>
      <c r="AK96" s="873"/>
      <c r="AL96" s="873"/>
      <c r="AM96" s="873"/>
      <c r="AN96" s="873"/>
      <c r="AO96" s="873"/>
      <c r="AP96" s="869"/>
      <c r="AQ96" s="873"/>
      <c r="AR96" s="873"/>
      <c r="AS96" s="873"/>
      <c r="AT96" s="873"/>
      <c r="AU96" s="873"/>
      <c r="AV96" s="873"/>
      <c r="AW96" s="873"/>
      <c r="AX96" s="873"/>
      <c r="AY96" s="873"/>
      <c r="AZ96" s="873"/>
      <c r="BA96" s="873"/>
      <c r="BB96" s="873"/>
      <c r="BC96" s="796"/>
      <c r="BD96" s="796"/>
      <c r="BE96" s="873"/>
      <c r="BF96" s="869"/>
      <c r="BG96" s="869"/>
      <c r="BH96" s="796"/>
      <c r="BI96" s="796"/>
      <c r="BJ96" s="796"/>
    </row>
    <row r="97" ht="15.75" customHeight="1">
      <c r="A97" s="864" t="s">
        <v>6553</v>
      </c>
      <c r="B97" s="878" t="s">
        <v>6554</v>
      </c>
      <c r="C97" s="866" t="s">
        <v>1512</v>
      </c>
      <c r="D97" s="812" t="s">
        <v>6555</v>
      </c>
      <c r="E97" s="873"/>
      <c r="F97" s="788" t="s">
        <v>1350</v>
      </c>
      <c r="G97" s="873"/>
      <c r="H97" s="790"/>
      <c r="I97" s="873" t="s">
        <v>6556</v>
      </c>
      <c r="J97" s="873" t="s">
        <v>6557</v>
      </c>
      <c r="K97" s="873"/>
      <c r="L97" s="873" t="s">
        <v>129</v>
      </c>
      <c r="M97" s="873"/>
      <c r="N97" s="873" t="str">
        <f>HYPERLINK("https://youtu.be/amAFpVoAKyY","1:57.90")</f>
        <v>1:57.90</v>
      </c>
      <c r="O97" s="873"/>
      <c r="P97" s="875"/>
      <c r="Q97" s="873"/>
      <c r="R97" s="873"/>
      <c r="S97" s="873"/>
      <c r="T97" s="873"/>
      <c r="U97" s="873"/>
      <c r="V97" s="873"/>
      <c r="W97" s="873"/>
      <c r="X97" s="873"/>
      <c r="Y97" s="873" t="s">
        <v>1512</v>
      </c>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870"/>
      <c r="BD97" s="870"/>
      <c r="BE97" s="873"/>
      <c r="BF97" s="869"/>
      <c r="BG97" s="869"/>
      <c r="BH97" s="870"/>
      <c r="BI97" s="870"/>
      <c r="BJ97" s="870"/>
    </row>
    <row r="98" ht="15.75" customHeight="1">
      <c r="A98" s="879"/>
      <c r="B98" s="880" t="s">
        <v>6558</v>
      </c>
      <c r="C98" s="866" t="s">
        <v>6559</v>
      </c>
      <c r="D98" s="799" t="s">
        <v>1577</v>
      </c>
      <c r="E98" s="873"/>
      <c r="F98" s="803"/>
      <c r="G98" s="873"/>
      <c r="H98" s="874"/>
      <c r="I98" s="873"/>
      <c r="J98" s="873" t="s">
        <v>6559</v>
      </c>
      <c r="K98" s="873"/>
      <c r="L98" s="873"/>
      <c r="M98" s="873"/>
      <c r="N98" s="873"/>
      <c r="O98" s="873"/>
      <c r="P98" s="875"/>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796"/>
      <c r="BD98" s="796"/>
      <c r="BE98" s="873"/>
      <c r="BF98" s="869"/>
      <c r="BG98" s="869"/>
      <c r="BH98" s="796"/>
      <c r="BI98" s="796"/>
      <c r="BJ98" s="796"/>
    </row>
    <row r="99" ht="15.75" customHeight="1">
      <c r="A99" s="864" t="s">
        <v>6493</v>
      </c>
      <c r="B99" s="878" t="s">
        <v>6560</v>
      </c>
      <c r="C99" s="866" t="s">
        <v>5576</v>
      </c>
      <c r="D99" s="812" t="s">
        <v>6561</v>
      </c>
      <c r="E99" s="873"/>
      <c r="F99" s="788" t="s">
        <v>608</v>
      </c>
      <c r="G99" s="873"/>
      <c r="H99" s="790"/>
      <c r="I99" s="873"/>
      <c r="J99" s="873" t="s">
        <v>6562</v>
      </c>
      <c r="K99" s="873" t="s">
        <v>3496</v>
      </c>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t="s">
        <v>6563</v>
      </c>
      <c r="AZ99" s="873"/>
      <c r="BA99" s="873"/>
      <c r="BB99" s="873"/>
      <c r="BC99" s="870"/>
      <c r="BD99" s="870"/>
      <c r="BE99" s="873"/>
      <c r="BF99" s="869"/>
      <c r="BG99" s="869"/>
      <c r="BH99" s="870"/>
      <c r="BI99" s="870"/>
      <c r="BJ99" s="870"/>
    </row>
    <row r="100" ht="15.75" customHeight="1">
      <c r="A100" s="864" t="s">
        <v>6500</v>
      </c>
      <c r="B100" s="878" t="s">
        <v>6564</v>
      </c>
      <c r="C100" s="866" t="s">
        <v>6565</v>
      </c>
      <c r="D100" s="812" t="s">
        <v>3572</v>
      </c>
      <c r="E100" s="873"/>
      <c r="F100" s="788" t="s">
        <v>131</v>
      </c>
      <c r="G100" s="873"/>
      <c r="H100" s="874"/>
      <c r="I100" s="873" t="s">
        <v>6566</v>
      </c>
      <c r="J100" s="873" t="s">
        <v>6567</v>
      </c>
      <c r="K100" s="873" t="s">
        <v>3497</v>
      </c>
      <c r="L100" s="873" t="s">
        <v>848</v>
      </c>
      <c r="M100" s="873"/>
      <c r="N100" s="873" t="s">
        <v>2503</v>
      </c>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c r="BA100" s="873"/>
      <c r="BB100" s="873"/>
      <c r="BC100" s="796"/>
      <c r="BD100" s="796"/>
      <c r="BE100" s="873"/>
      <c r="BF100" s="869"/>
      <c r="BG100" s="869"/>
      <c r="BH100" s="796"/>
      <c r="BI100" s="796"/>
      <c r="BJ100" s="796"/>
    </row>
    <row r="101" ht="15.75" customHeight="1">
      <c r="A101" s="871" t="s">
        <v>6374</v>
      </c>
      <c r="B101" s="872" t="s">
        <v>6564</v>
      </c>
      <c r="C101" s="785" t="s">
        <v>2116</v>
      </c>
      <c r="D101" s="799" t="s">
        <v>6491</v>
      </c>
      <c r="E101" s="867" t="s">
        <v>367</v>
      </c>
      <c r="F101" s="788" t="s">
        <v>6568</v>
      </c>
      <c r="G101" s="867"/>
      <c r="H101" s="790"/>
      <c r="I101" s="867"/>
      <c r="J101" s="867"/>
      <c r="K101" s="867"/>
      <c r="L101" s="867"/>
      <c r="M101" s="867"/>
      <c r="N101" s="867" t="str">
        <f>HYPERLINK("https://youtu.be/fN_8rgua0Xs","36.26")</f>
        <v>36.26</v>
      </c>
      <c r="O101" s="867"/>
      <c r="P101" s="868"/>
      <c r="Q101" s="867"/>
      <c r="R101" s="867"/>
      <c r="S101" s="867"/>
      <c r="T101" s="867" t="s">
        <v>132</v>
      </c>
      <c r="U101" s="867"/>
      <c r="V101" s="867"/>
      <c r="W101" s="867"/>
      <c r="X101" s="867"/>
      <c r="Y101" s="867"/>
      <c r="Z101" s="867"/>
      <c r="AA101" s="867"/>
      <c r="AB101" s="867"/>
      <c r="AC101" s="867"/>
      <c r="AD101" s="867"/>
      <c r="AE101" s="867"/>
      <c r="AF101" s="867"/>
      <c r="AG101" s="867"/>
      <c r="AH101" s="867"/>
      <c r="AI101" s="867"/>
      <c r="AJ101" s="867"/>
      <c r="AK101" s="867"/>
      <c r="AL101" s="867"/>
      <c r="AM101" s="867"/>
      <c r="AN101" s="867"/>
      <c r="AO101" s="867"/>
      <c r="AP101" s="881" t="s">
        <v>6569</v>
      </c>
      <c r="AQ101" s="867"/>
      <c r="AR101" s="867"/>
      <c r="AS101" s="867"/>
      <c r="AT101" s="867"/>
      <c r="AU101" s="867"/>
      <c r="AV101" s="867"/>
      <c r="AW101" s="867"/>
      <c r="AX101" s="867"/>
      <c r="AY101" s="867"/>
      <c r="AZ101" s="867"/>
      <c r="BA101" s="867"/>
      <c r="BB101" s="867"/>
      <c r="BC101" s="870"/>
      <c r="BD101" s="870"/>
      <c r="BE101" s="867"/>
      <c r="BF101" s="869"/>
      <c r="BG101" s="869"/>
      <c r="BH101" s="870"/>
      <c r="BI101" s="870"/>
      <c r="BJ101" s="870"/>
    </row>
    <row r="102" ht="15.75" customHeight="1">
      <c r="A102" s="871" t="s">
        <v>6379</v>
      </c>
      <c r="B102" s="882" t="s">
        <v>6554</v>
      </c>
      <c r="C102" s="866" t="s">
        <v>1701</v>
      </c>
      <c r="D102" s="873"/>
      <c r="E102" s="873"/>
      <c r="F102" s="788" t="s">
        <v>4238</v>
      </c>
      <c r="G102" s="873"/>
      <c r="H102" s="874"/>
      <c r="I102" s="873"/>
      <c r="J102" s="873"/>
      <c r="K102" s="873"/>
      <c r="L102" s="873"/>
      <c r="M102" s="873"/>
      <c r="N102" s="873"/>
      <c r="O102" s="873"/>
      <c r="P102" s="875"/>
      <c r="Q102" s="873"/>
      <c r="R102" s="873"/>
      <c r="S102" s="873"/>
      <c r="T102" s="873"/>
      <c r="U102" s="873"/>
      <c r="V102" s="873"/>
      <c r="W102" s="873"/>
      <c r="X102" s="873"/>
      <c r="Y102" s="873"/>
      <c r="Z102" s="873"/>
      <c r="AA102" s="873"/>
      <c r="AB102" s="873"/>
      <c r="AC102" s="873"/>
      <c r="AD102" s="873"/>
      <c r="AE102" s="873"/>
      <c r="AF102" s="877" t="s">
        <v>3257</v>
      </c>
      <c r="AG102" s="873"/>
      <c r="AH102" s="873"/>
      <c r="AI102" s="873"/>
      <c r="AJ102" s="873"/>
      <c r="AK102" s="873"/>
      <c r="AL102" s="873"/>
      <c r="AM102" s="873"/>
      <c r="AN102" s="873"/>
      <c r="AO102" s="873"/>
      <c r="AP102" s="869"/>
      <c r="AQ102" s="873"/>
      <c r="AR102" s="873"/>
      <c r="AS102" s="873"/>
      <c r="AT102" s="873"/>
      <c r="AU102" s="873"/>
      <c r="AV102" s="873"/>
      <c r="AW102" s="873"/>
      <c r="AX102" s="873"/>
      <c r="AY102" s="873"/>
      <c r="AZ102" s="873"/>
      <c r="BA102" s="873"/>
      <c r="BB102" s="873"/>
      <c r="BC102" s="796"/>
      <c r="BD102" s="796"/>
      <c r="BE102" s="873"/>
      <c r="BF102" s="869"/>
      <c r="BG102" s="869"/>
      <c r="BH102" s="796"/>
      <c r="BI102" s="796"/>
      <c r="BJ102" s="796"/>
    </row>
    <row r="103" ht="15.75" customHeight="1">
      <c r="A103" s="864" t="s">
        <v>6570</v>
      </c>
      <c r="B103" s="883" t="s">
        <v>6358</v>
      </c>
      <c r="C103" s="866"/>
      <c r="D103" s="873"/>
      <c r="E103" s="873"/>
      <c r="F103" s="803"/>
      <c r="G103" s="873"/>
      <c r="H103" s="790"/>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870"/>
      <c r="BD103" s="870"/>
      <c r="BE103" s="873"/>
      <c r="BF103" s="869"/>
      <c r="BG103" s="869"/>
      <c r="BH103" s="870"/>
      <c r="BI103" s="870"/>
      <c r="BJ103" s="870"/>
    </row>
    <row r="104" ht="15.75" customHeight="1">
      <c r="A104" s="864" t="s">
        <v>6525</v>
      </c>
      <c r="B104" s="878" t="s">
        <v>6405</v>
      </c>
      <c r="C104" s="866" t="str">
        <f>HYPERLINK("https://youtu.be/v1WXz9d1jVU","1:11.53")</f>
        <v>1:11.53</v>
      </c>
      <c r="D104" s="873"/>
      <c r="E104" s="873"/>
      <c r="F104" s="803"/>
      <c r="G104" s="873"/>
      <c r="H104" s="874"/>
      <c r="I104" s="873"/>
      <c r="J104" s="873"/>
      <c r="K104" s="873"/>
      <c r="L104" s="873"/>
      <c r="M104" s="873"/>
      <c r="N104" s="873" t="str">
        <f>HYPERLINK("https://youtu.be/v1WXz9d1jVU","1:11.53")</f>
        <v>1:11.53</v>
      </c>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84"/>
      <c r="B105" s="880" t="s">
        <v>6571</v>
      </c>
      <c r="C105" s="866" t="s">
        <v>1325</v>
      </c>
      <c r="D105" s="799" t="s">
        <v>1580</v>
      </c>
      <c r="E105" s="873"/>
      <c r="F105" s="788" t="s">
        <v>1353</v>
      </c>
      <c r="G105" s="873"/>
      <c r="H105" s="790"/>
      <c r="I105" s="873" t="s">
        <v>6572</v>
      </c>
      <c r="J105" s="873" t="s">
        <v>1325</v>
      </c>
      <c r="K105" s="873" t="s">
        <v>3499</v>
      </c>
      <c r="L105" s="873" t="s">
        <v>849</v>
      </c>
      <c r="M105" s="873"/>
      <c r="N105" s="873"/>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796"/>
      <c r="BD105" s="796"/>
      <c r="BE105" s="873"/>
      <c r="BF105" s="869"/>
      <c r="BG105" s="869"/>
      <c r="BH105" s="796"/>
      <c r="BI105" s="796"/>
      <c r="BJ105" s="796"/>
    </row>
    <row r="106" ht="15.75" customHeight="1">
      <c r="A106" s="864" t="s">
        <v>6468</v>
      </c>
      <c r="B106" s="878" t="s">
        <v>6469</v>
      </c>
      <c r="C106" s="866" t="s">
        <v>1059</v>
      </c>
      <c r="D106" s="867" t="s">
        <v>1549</v>
      </c>
      <c r="E106" s="867" t="s">
        <v>5872</v>
      </c>
      <c r="F106" s="803"/>
      <c r="G106" s="867" t="s">
        <v>5872</v>
      </c>
      <c r="H106" s="885" t="s">
        <v>5417</v>
      </c>
      <c r="I106" s="867" t="str">
        <f>HYPERLINK("https://youtu.be/NIfI1hsvvFQ","19.73")</f>
        <v>19.73</v>
      </c>
      <c r="J106" s="867" t="s">
        <v>1059</v>
      </c>
      <c r="K106" s="867" t="s">
        <v>2592</v>
      </c>
      <c r="L106" s="867"/>
      <c r="M106" s="867" t="s">
        <v>1660</v>
      </c>
      <c r="N106" s="867" t="str">
        <f>HYPERLINK("https://youtu.be/vlD8b3WQME8","20.08")</f>
        <v>20.08</v>
      </c>
      <c r="O106" s="867"/>
      <c r="P106" s="868" t="s">
        <v>3031</v>
      </c>
      <c r="Q106" s="867"/>
      <c r="R106" s="867" t="s">
        <v>5872</v>
      </c>
      <c r="S106" s="867"/>
      <c r="T106" s="867"/>
      <c r="U106" s="867"/>
      <c r="V106" s="867"/>
      <c r="W106" s="867"/>
      <c r="X106" s="867"/>
      <c r="Y106" s="867"/>
      <c r="Z106" s="867"/>
      <c r="AA106" s="867"/>
      <c r="AB106" s="867"/>
      <c r="AC106" s="867"/>
      <c r="AD106" s="867"/>
      <c r="AE106" s="867"/>
      <c r="AF106" s="867"/>
      <c r="AG106" s="867"/>
      <c r="AH106" s="867"/>
      <c r="AI106" s="867"/>
      <c r="AJ106" s="867"/>
      <c r="AK106" s="867"/>
      <c r="AL106" s="867"/>
      <c r="AM106" s="867"/>
      <c r="AN106" s="867"/>
      <c r="AO106" s="867"/>
      <c r="AP106" s="869"/>
      <c r="AQ106" s="867"/>
      <c r="AR106" s="867"/>
      <c r="AS106" s="867"/>
      <c r="AT106" s="867"/>
      <c r="AU106" s="867"/>
      <c r="AV106" s="867"/>
      <c r="AW106" s="867"/>
      <c r="AX106" s="867"/>
      <c r="AY106" s="867"/>
      <c r="AZ106" s="867"/>
      <c r="BA106" s="867"/>
      <c r="BB106" s="867"/>
      <c r="BC106" s="870"/>
      <c r="BD106" s="870"/>
      <c r="BE106" s="867"/>
      <c r="BF106" s="869"/>
      <c r="BG106" s="869"/>
      <c r="BH106" s="870"/>
      <c r="BI106" s="870"/>
      <c r="BJ106" s="870"/>
    </row>
    <row r="107" ht="15.75" customHeight="1">
      <c r="A107" s="884"/>
      <c r="B107" s="880" t="s">
        <v>6471</v>
      </c>
      <c r="C107" s="866" t="s">
        <v>471</v>
      </c>
      <c r="D107" s="794" t="s">
        <v>932</v>
      </c>
      <c r="E107" s="867" t="s">
        <v>671</v>
      </c>
      <c r="F107" s="788" t="s">
        <v>1748</v>
      </c>
      <c r="G107" s="867" t="s">
        <v>471</v>
      </c>
      <c r="H107" s="886" t="s">
        <v>2049</v>
      </c>
      <c r="I107" s="867"/>
      <c r="J107" s="867" t="s">
        <v>2049</v>
      </c>
      <c r="K107" s="867" t="s">
        <v>2049</v>
      </c>
      <c r="L107" s="867" t="s">
        <v>671</v>
      </c>
      <c r="M107" s="867" t="s">
        <v>767</v>
      </c>
      <c r="N107" s="867"/>
      <c r="O107" s="867" t="s">
        <v>2166</v>
      </c>
      <c r="P107" s="868"/>
      <c r="Q107" s="867"/>
      <c r="R107" s="867"/>
      <c r="S107" s="867"/>
      <c r="T107" s="867"/>
      <c r="U107" s="867"/>
      <c r="V107" s="867"/>
      <c r="W107" s="867"/>
      <c r="X107" s="867"/>
      <c r="Y107" s="867"/>
      <c r="Z107" s="867"/>
      <c r="AA107" s="867"/>
      <c r="AB107" s="867"/>
      <c r="AC107" s="867"/>
      <c r="AD107" s="867"/>
      <c r="AE107" s="867"/>
      <c r="AF107" s="867"/>
      <c r="AG107" s="867"/>
      <c r="AH107" s="867" t="s">
        <v>471</v>
      </c>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796"/>
      <c r="BD107" s="796"/>
      <c r="BE107" s="867"/>
      <c r="BF107" s="869"/>
      <c r="BG107" s="869"/>
      <c r="BH107" s="796"/>
      <c r="BI107" s="796"/>
      <c r="BJ107" s="796"/>
    </row>
    <row r="108" ht="15.75" customHeight="1">
      <c r="A108" s="864" t="s">
        <v>6472</v>
      </c>
      <c r="B108" s="878" t="s">
        <v>6573</v>
      </c>
      <c r="C108" s="866" t="s">
        <v>2195</v>
      </c>
      <c r="D108" s="873"/>
      <c r="E108" s="873"/>
      <c r="F108" s="788" t="s">
        <v>4225</v>
      </c>
      <c r="G108" s="873"/>
      <c r="H108" s="874"/>
      <c r="I108" s="873"/>
      <c r="J108" s="873"/>
      <c r="K108" s="873" t="s">
        <v>3901</v>
      </c>
      <c r="L108" s="873"/>
      <c r="M108" s="873"/>
      <c r="N108" s="873" t="s">
        <v>5295</v>
      </c>
      <c r="O108" s="873"/>
      <c r="P108" s="875"/>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t="s">
        <v>5987</v>
      </c>
      <c r="AO108" s="873"/>
      <c r="AP108" s="869"/>
      <c r="AQ108" s="873"/>
      <c r="AR108" s="873"/>
      <c r="AS108" s="873"/>
      <c r="AT108" s="873"/>
      <c r="AU108" s="873"/>
      <c r="AV108" s="873"/>
      <c r="AW108" s="873"/>
      <c r="AX108" s="873"/>
      <c r="AY108" s="873"/>
      <c r="AZ108" s="873"/>
      <c r="BA108" s="873"/>
      <c r="BB108" s="873"/>
      <c r="BC108" s="887" t="s">
        <v>3763</v>
      </c>
      <c r="BD108" s="870"/>
      <c r="BE108" s="873"/>
      <c r="BF108" s="869"/>
      <c r="BG108" s="869"/>
      <c r="BH108" s="870"/>
      <c r="BI108" s="870"/>
      <c r="BJ108" s="870"/>
    </row>
    <row r="109" ht="15.75" customHeight="1">
      <c r="A109" s="884"/>
      <c r="B109" s="880" t="s">
        <v>6574</v>
      </c>
      <c r="C109" s="866" t="s">
        <v>963</v>
      </c>
      <c r="D109" s="873" t="s">
        <v>3877</v>
      </c>
      <c r="E109" s="873"/>
      <c r="F109" s="788" t="s">
        <v>822</v>
      </c>
      <c r="G109" s="873"/>
      <c r="H109" s="790"/>
      <c r="I109" s="873"/>
      <c r="J109" s="873" t="s">
        <v>179</v>
      </c>
      <c r="K109" s="873" t="s">
        <v>118</v>
      </c>
      <c r="L109" s="873" t="s">
        <v>295</v>
      </c>
      <c r="M109" s="873"/>
      <c r="N109" s="873"/>
      <c r="O109" s="873"/>
      <c r="P109" s="875" t="s">
        <v>2519</v>
      </c>
      <c r="Q109" s="873" t="s">
        <v>2744</v>
      </c>
      <c r="R109" s="873" t="s">
        <v>934</v>
      </c>
      <c r="S109" s="873"/>
      <c r="T109" s="873"/>
      <c r="U109" s="873" t="s">
        <v>3113</v>
      </c>
      <c r="V109" s="873"/>
      <c r="W109" s="873"/>
      <c r="X109" s="873"/>
      <c r="Y109" s="873"/>
      <c r="Z109" s="877" t="s">
        <v>729</v>
      </c>
      <c r="AA109" s="873" t="s">
        <v>2076</v>
      </c>
      <c r="AB109" s="873"/>
      <c r="AC109" s="873"/>
      <c r="AD109" s="873"/>
      <c r="AE109" s="873"/>
      <c r="AF109" s="873"/>
      <c r="AG109" s="873"/>
      <c r="AH109" s="873"/>
      <c r="AI109" s="873"/>
      <c r="AJ109" s="873"/>
      <c r="AK109" s="873"/>
      <c r="AL109" s="873"/>
      <c r="AM109" s="873"/>
      <c r="AN109" s="873"/>
      <c r="AO109" s="873"/>
      <c r="AP109" s="869"/>
      <c r="AQ109" s="873"/>
      <c r="AR109" s="873"/>
      <c r="AS109" s="873"/>
      <c r="AT109" s="873"/>
      <c r="AU109" s="873"/>
      <c r="AV109" s="873"/>
      <c r="AW109" s="873"/>
      <c r="AX109" s="873"/>
      <c r="AY109" s="873"/>
      <c r="AZ109" s="873"/>
      <c r="BA109" s="873"/>
      <c r="BB109" s="873"/>
      <c r="BC109" s="796"/>
      <c r="BD109" s="796"/>
      <c r="BE109" s="873"/>
      <c r="BF109" s="869"/>
      <c r="BG109" s="869"/>
      <c r="BH109" s="796"/>
      <c r="BI109" s="796"/>
      <c r="BJ109" s="796"/>
    </row>
    <row r="110" ht="15.75" customHeight="1">
      <c r="A110" s="884"/>
      <c r="B110" s="880" t="s">
        <v>6575</v>
      </c>
      <c r="C110" s="866" t="s">
        <v>6576</v>
      </c>
      <c r="D110" s="794" t="s">
        <v>1581</v>
      </c>
      <c r="E110" s="867" t="s">
        <v>6576</v>
      </c>
      <c r="F110" s="803"/>
      <c r="G110" s="867"/>
      <c r="H110" s="800" t="s">
        <v>1974</v>
      </c>
      <c r="I110" s="867" t="s">
        <v>257</v>
      </c>
      <c r="J110" s="867" t="s">
        <v>4947</v>
      </c>
      <c r="K110" s="867" t="s">
        <v>934</v>
      </c>
      <c r="L110" s="867"/>
      <c r="M110" s="867" t="s">
        <v>768</v>
      </c>
      <c r="N110" s="867"/>
      <c r="O110" s="867" t="s">
        <v>2245</v>
      </c>
      <c r="P110" s="868" t="s">
        <v>5906</v>
      </c>
      <c r="Q110" s="867" t="s">
        <v>6577</v>
      </c>
      <c r="R110" s="867" t="s">
        <v>3151</v>
      </c>
      <c r="S110" s="867"/>
      <c r="T110" s="867" t="s">
        <v>6578</v>
      </c>
      <c r="U110" s="867"/>
      <c r="V110" s="867"/>
      <c r="W110" s="867"/>
      <c r="X110" s="867"/>
      <c r="Y110" s="867"/>
      <c r="Z110" s="867"/>
      <c r="AA110" s="867"/>
      <c r="AB110" s="867"/>
      <c r="AC110" s="867"/>
      <c r="AD110" s="867"/>
      <c r="AE110" s="867"/>
      <c r="AF110" s="867"/>
      <c r="AG110" s="867"/>
      <c r="AH110" s="867"/>
      <c r="AI110" s="867"/>
      <c r="AJ110" s="867"/>
      <c r="AK110" s="867"/>
      <c r="AL110" s="867"/>
      <c r="AM110" s="867"/>
      <c r="AN110" s="867"/>
      <c r="AO110" s="867"/>
      <c r="AP110" s="869"/>
      <c r="AQ110" s="867"/>
      <c r="AR110" s="867"/>
      <c r="AS110" s="867"/>
      <c r="AT110" s="867"/>
      <c r="AU110" s="867"/>
      <c r="AV110" s="867"/>
      <c r="AW110" s="867"/>
      <c r="AX110" s="867"/>
      <c r="AY110" s="867"/>
      <c r="AZ110" s="867"/>
      <c r="BA110" s="867"/>
      <c r="BB110" s="867"/>
      <c r="BC110" s="870"/>
      <c r="BD110" s="870"/>
      <c r="BE110" s="867"/>
      <c r="BF110" s="869"/>
      <c r="BG110" s="869"/>
      <c r="BH110" s="870"/>
      <c r="BI110" s="870"/>
      <c r="BJ110" s="870"/>
    </row>
    <row r="111" ht="15.75" customHeight="1">
      <c r="A111" s="884"/>
      <c r="B111" s="880" t="s">
        <v>6579</v>
      </c>
      <c r="C111" s="866" t="s">
        <v>6580</v>
      </c>
      <c r="D111" s="873"/>
      <c r="E111" s="873"/>
      <c r="F111" s="803"/>
      <c r="G111" s="873"/>
      <c r="H111" s="790"/>
      <c r="I111" s="873"/>
      <c r="J111" s="873"/>
      <c r="K111" s="873"/>
      <c r="L111" s="873"/>
      <c r="M111" s="873"/>
      <c r="N111" s="873"/>
      <c r="O111" s="873"/>
      <c r="P111" s="875"/>
      <c r="Q111" s="873"/>
      <c r="R111" s="873"/>
      <c r="S111" s="873" t="s">
        <v>6581</v>
      </c>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69"/>
      <c r="AQ111" s="873"/>
      <c r="AR111" s="873"/>
      <c r="AS111" s="873"/>
      <c r="AT111" s="873"/>
      <c r="AU111" s="873"/>
      <c r="AV111" s="873"/>
      <c r="AW111" s="873"/>
      <c r="AX111" s="873"/>
      <c r="AY111" s="873"/>
      <c r="AZ111" s="873"/>
      <c r="BA111" s="873"/>
      <c r="BB111" s="873"/>
      <c r="BC111" s="796"/>
      <c r="BD111" s="796"/>
      <c r="BE111" s="873"/>
      <c r="BF111" s="869"/>
      <c r="BG111" s="869"/>
      <c r="BH111" s="796"/>
      <c r="BI111" s="796"/>
      <c r="BJ111" s="796"/>
    </row>
    <row r="112" ht="15.75" customHeight="1">
      <c r="A112" s="864" t="s">
        <v>6582</v>
      </c>
      <c r="B112" s="883" t="s">
        <v>6358</v>
      </c>
      <c r="C112" s="866" t="s">
        <v>938</v>
      </c>
      <c r="D112" s="799" t="s">
        <v>1582</v>
      </c>
      <c r="E112" s="873"/>
      <c r="F112" s="788" t="s">
        <v>1355</v>
      </c>
      <c r="G112" s="873"/>
      <c r="H112" s="874"/>
      <c r="I112" s="873" t="str">
        <f>HYPERLINK("https://youtu.be/JiJPMQx9xwU","31.85")</f>
        <v>31.85</v>
      </c>
      <c r="J112" s="873"/>
      <c r="K112" s="873"/>
      <c r="L112" s="873" t="s">
        <v>1482</v>
      </c>
      <c r="M112" s="873" t="s">
        <v>769</v>
      </c>
      <c r="N112" s="873"/>
      <c r="O112" s="873" t="s">
        <v>2531</v>
      </c>
      <c r="P112" s="875"/>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870"/>
      <c r="BD112" s="870"/>
      <c r="BE112" s="873"/>
      <c r="BF112" s="869"/>
      <c r="BG112" s="869"/>
      <c r="BH112" s="870"/>
      <c r="BI112" s="870"/>
      <c r="BJ112" s="870"/>
    </row>
    <row r="113" ht="15.75" customHeight="1">
      <c r="A113" s="864" t="s">
        <v>57</v>
      </c>
      <c r="B113" s="883" t="s">
        <v>6554</v>
      </c>
      <c r="C113" s="866" t="s">
        <v>2785</v>
      </c>
      <c r="D113" s="799" t="s">
        <v>6583</v>
      </c>
      <c r="E113" s="873"/>
      <c r="F113" s="803"/>
      <c r="G113" s="873"/>
      <c r="H113" s="790"/>
      <c r="I113" s="873" t="s">
        <v>6584</v>
      </c>
      <c r="J113" s="873"/>
      <c r="K113" s="873"/>
      <c r="L113" s="873" t="s">
        <v>852</v>
      </c>
      <c r="M113" s="873"/>
      <c r="N113" s="873"/>
      <c r="O113" s="873"/>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796"/>
      <c r="BD113" s="796"/>
      <c r="BE113" s="873"/>
      <c r="BF113" s="869"/>
      <c r="BG113" s="869"/>
      <c r="BH113" s="796"/>
      <c r="BI113" s="796"/>
      <c r="BJ113" s="796"/>
    </row>
    <row r="114">
      <c r="A114" s="888" t="s">
        <v>38</v>
      </c>
      <c r="D114" s="889"/>
      <c r="E114" s="889"/>
      <c r="F114" s="890"/>
      <c r="G114" s="889"/>
      <c r="H114" s="891"/>
      <c r="I114" s="889"/>
      <c r="J114" s="889"/>
      <c r="K114" s="889"/>
      <c r="L114" s="889"/>
      <c r="M114" s="889"/>
      <c r="N114" s="889"/>
      <c r="O114" s="889"/>
      <c r="P114" s="892"/>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9"/>
      <c r="AQ114" s="889"/>
      <c r="AR114" s="889"/>
      <c r="AS114" s="889"/>
      <c r="AT114" s="889"/>
      <c r="AU114" s="889"/>
      <c r="AV114" s="889"/>
      <c r="AW114" s="889"/>
      <c r="AX114" s="889"/>
      <c r="AY114" s="889"/>
      <c r="AZ114" s="889"/>
      <c r="BA114" s="889"/>
      <c r="BB114" s="889"/>
      <c r="BC114" s="893"/>
      <c r="BD114" s="893"/>
      <c r="BE114" s="889"/>
      <c r="BF114" s="889"/>
      <c r="BG114" s="889"/>
      <c r="BH114" s="893"/>
      <c r="BI114" s="893"/>
      <c r="BJ114" s="893"/>
    </row>
    <row r="115" ht="15.75" customHeight="1">
      <c r="A115" s="894" t="s">
        <v>6585</v>
      </c>
      <c r="B115" s="895"/>
      <c r="C115" s="866" t="s">
        <v>4044</v>
      </c>
      <c r="D115" s="867" t="s">
        <v>6586</v>
      </c>
      <c r="E115" s="867" t="s">
        <v>6587</v>
      </c>
      <c r="F115" s="803"/>
      <c r="G115" s="867" t="s">
        <v>4044</v>
      </c>
      <c r="H115" s="790"/>
      <c r="I115" s="867"/>
      <c r="J115" s="867"/>
      <c r="K115" s="867"/>
      <c r="L115" s="867" t="s">
        <v>6587</v>
      </c>
      <c r="M115" s="867"/>
      <c r="N115" s="867"/>
      <c r="O115" s="867"/>
      <c r="P115" s="868" t="s">
        <v>6588</v>
      </c>
      <c r="Q115" s="867"/>
      <c r="R115" s="867"/>
      <c r="S115" s="867" t="s">
        <v>6589</v>
      </c>
      <c r="T115" s="867"/>
      <c r="U115" s="867"/>
      <c r="V115" s="867" t="s">
        <v>6588</v>
      </c>
      <c r="W115" s="867"/>
      <c r="X115" s="867"/>
      <c r="Y115" s="867" t="s">
        <v>6590</v>
      </c>
      <c r="Z115" s="867"/>
      <c r="AA115" s="867"/>
      <c r="AB115" s="867"/>
      <c r="AC115" s="867"/>
      <c r="AD115" s="867"/>
      <c r="AE115" s="867"/>
      <c r="AF115" s="867"/>
      <c r="AG115" s="867"/>
      <c r="AH115" s="867"/>
      <c r="AI115" s="867"/>
      <c r="AJ115" s="867"/>
      <c r="AK115" s="867"/>
      <c r="AL115" s="867"/>
      <c r="AM115" s="867"/>
      <c r="AN115" s="867"/>
      <c r="AO115" s="867"/>
      <c r="AP115" s="869"/>
      <c r="AQ115" s="867"/>
      <c r="AR115" s="867"/>
      <c r="AS115" s="867"/>
      <c r="AT115" s="867"/>
      <c r="AU115" s="867"/>
      <c r="AV115" s="867"/>
      <c r="AW115" s="867"/>
      <c r="AX115" s="867"/>
      <c r="AY115" s="867"/>
      <c r="AZ115" s="867"/>
      <c r="BA115" s="867"/>
      <c r="BB115" s="867"/>
      <c r="BC115" s="896"/>
      <c r="BD115" s="896"/>
      <c r="BE115" s="867"/>
      <c r="BF115" s="869"/>
      <c r="BG115" s="869"/>
      <c r="BH115" s="896"/>
      <c r="BI115" s="896"/>
      <c r="BJ115" s="896"/>
    </row>
    <row r="116" ht="15.75" customHeight="1">
      <c r="A116" s="894" t="s">
        <v>6357</v>
      </c>
      <c r="B116" s="897" t="s">
        <v>6591</v>
      </c>
      <c r="C116" s="866"/>
      <c r="D116" s="873"/>
      <c r="E116" s="873"/>
      <c r="F116" s="803"/>
      <c r="G116" s="873"/>
      <c r="H116" s="898"/>
      <c r="I116" s="873"/>
      <c r="J116" s="873"/>
      <c r="K116" s="873"/>
      <c r="L116" s="873"/>
      <c r="M116" s="873"/>
      <c r="N116" s="873"/>
      <c r="O116" s="873"/>
      <c r="P116" s="875"/>
      <c r="Q116" s="873"/>
      <c r="R116" s="873"/>
      <c r="S116" s="873"/>
      <c r="T116" s="873"/>
      <c r="U116" s="873"/>
      <c r="V116" s="873"/>
      <c r="W116" s="873"/>
      <c r="X116" s="873"/>
      <c r="Y116" s="873"/>
      <c r="Z116" s="873"/>
      <c r="AA116" s="873"/>
      <c r="AB116" s="873"/>
      <c r="AC116" s="873"/>
      <c r="AD116" s="873"/>
      <c r="AE116" s="873"/>
      <c r="AF116" s="873"/>
      <c r="AG116" s="873"/>
      <c r="AH116" s="873"/>
      <c r="AI116" s="873"/>
      <c r="AJ116" s="873"/>
      <c r="AK116" s="873"/>
      <c r="AL116" s="873"/>
      <c r="AM116" s="873"/>
      <c r="AN116" s="873"/>
      <c r="AO116" s="873"/>
      <c r="AP116" s="869"/>
      <c r="AQ116" s="873"/>
      <c r="AR116" s="873"/>
      <c r="AS116" s="873"/>
      <c r="AT116" s="873"/>
      <c r="AU116" s="873"/>
      <c r="AV116" s="873"/>
      <c r="AW116" s="873"/>
      <c r="AX116" s="873"/>
      <c r="AY116" s="873"/>
      <c r="AZ116" s="873"/>
      <c r="BA116" s="873"/>
      <c r="BB116" s="873"/>
      <c r="BC116" s="796"/>
      <c r="BD116" s="796"/>
      <c r="BE116" s="873"/>
      <c r="BF116" s="869"/>
      <c r="BG116" s="869"/>
      <c r="BH116" s="796"/>
      <c r="BI116" s="796"/>
      <c r="BJ116" s="796"/>
    </row>
    <row r="117" ht="15.75" customHeight="1">
      <c r="A117" s="899"/>
      <c r="B117" s="900" t="s">
        <v>6592</v>
      </c>
      <c r="C117" s="866" t="s">
        <v>2743</v>
      </c>
      <c r="D117" s="873"/>
      <c r="E117" s="873"/>
      <c r="F117" s="788" t="s">
        <v>2743</v>
      </c>
      <c r="G117" s="873"/>
      <c r="H117" s="790"/>
      <c r="I117" s="873"/>
      <c r="J117" s="873"/>
      <c r="K117" s="873"/>
      <c r="L117" s="873"/>
      <c r="M117" s="873"/>
      <c r="N117" s="873"/>
      <c r="O117" s="873"/>
      <c r="P117" s="875"/>
      <c r="Q117" s="873"/>
      <c r="R117" s="873"/>
      <c r="S117" s="873"/>
      <c r="T117" s="873"/>
      <c r="U117" s="873"/>
      <c r="V117" s="873"/>
      <c r="W117" s="873"/>
      <c r="X117" s="873"/>
      <c r="Y117" s="873"/>
      <c r="Z117" s="788" t="s">
        <v>4077</v>
      </c>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896"/>
      <c r="BD117" s="896"/>
      <c r="BE117" s="873"/>
      <c r="BF117" s="869"/>
      <c r="BG117" s="869"/>
      <c r="BH117" s="896"/>
      <c r="BI117" s="896"/>
      <c r="BJ117" s="896"/>
    </row>
    <row r="118" ht="15.75" customHeight="1">
      <c r="A118" s="899"/>
      <c r="B118" s="900" t="s">
        <v>6593</v>
      </c>
      <c r="C118" s="866" t="s">
        <v>2172</v>
      </c>
      <c r="D118" s="794" t="s">
        <v>655</v>
      </c>
      <c r="E118" s="873"/>
      <c r="F118" s="788" t="s">
        <v>1259</v>
      </c>
      <c r="G118" s="873"/>
      <c r="H118" s="901" t="s">
        <v>2172</v>
      </c>
      <c r="I118" s="873"/>
      <c r="J118" s="873" t="s">
        <v>2652</v>
      </c>
      <c r="K118" s="873" t="s">
        <v>6594</v>
      </c>
      <c r="L118" s="873"/>
      <c r="M118" s="873"/>
      <c r="N118" s="873"/>
      <c r="O118" s="873"/>
      <c r="P118" s="875" t="s">
        <v>6595</v>
      </c>
      <c r="Q118" s="873"/>
      <c r="R118" s="873"/>
      <c r="S118" s="873"/>
      <c r="T118" s="873"/>
      <c r="U118" s="873"/>
      <c r="V118" s="873"/>
      <c r="W118" s="873"/>
      <c r="X118" s="873"/>
      <c r="Y118" s="873"/>
      <c r="Z118" s="873"/>
      <c r="AA118" s="873"/>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796"/>
      <c r="BD118" s="796"/>
      <c r="BE118" s="873"/>
      <c r="BF118" s="869"/>
      <c r="BG118" s="869"/>
      <c r="BH118" s="796"/>
      <c r="BI118" s="796"/>
      <c r="BJ118" s="796"/>
    </row>
    <row r="119" ht="15.75" customHeight="1">
      <c r="A119" s="899"/>
      <c r="B119" s="900" t="s">
        <v>6596</v>
      </c>
      <c r="C119" s="785" t="s">
        <v>1087</v>
      </c>
      <c r="D119" s="873"/>
      <c r="E119" s="873"/>
      <c r="F119" s="788" t="s">
        <v>1358</v>
      </c>
      <c r="G119" s="881" t="s">
        <v>1087</v>
      </c>
      <c r="H119" s="790"/>
      <c r="I119" s="873"/>
      <c r="J119" s="873"/>
      <c r="K119" s="873"/>
      <c r="L119" s="873"/>
      <c r="M119" s="873"/>
      <c r="N119" s="873"/>
      <c r="O119" s="881" t="s">
        <v>1017</v>
      </c>
      <c r="P119" s="875"/>
      <c r="Q119" s="873"/>
      <c r="R119" s="873"/>
      <c r="S119" s="873" t="s">
        <v>2595</v>
      </c>
      <c r="T119" s="873"/>
      <c r="U119" s="873"/>
      <c r="V119" s="873"/>
      <c r="W119" s="873"/>
      <c r="X119" s="873"/>
      <c r="Y119" s="873"/>
      <c r="Z119" s="873"/>
      <c r="AA119" s="873"/>
      <c r="AB119" s="873"/>
      <c r="AC119" s="873"/>
      <c r="AD119" s="873"/>
      <c r="AE119" s="873" t="s">
        <v>634</v>
      </c>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896"/>
      <c r="BD119" s="896"/>
      <c r="BE119" s="873"/>
      <c r="BF119" s="869"/>
      <c r="BG119" s="869"/>
      <c r="BH119" s="896"/>
      <c r="BI119" s="896"/>
      <c r="BJ119" s="896"/>
    </row>
    <row r="120" ht="15.75" customHeight="1">
      <c r="A120" s="902" t="s">
        <v>6374</v>
      </c>
      <c r="B120" s="903" t="s">
        <v>6358</v>
      </c>
      <c r="C120" s="866" t="s">
        <v>3312</v>
      </c>
      <c r="D120" s="869"/>
      <c r="E120" s="869"/>
      <c r="F120" s="803"/>
      <c r="G120" s="881" t="s">
        <v>3312</v>
      </c>
      <c r="H120" s="898"/>
      <c r="I120" s="869"/>
      <c r="J120" s="869"/>
      <c r="K120" s="869"/>
      <c r="L120" s="869"/>
      <c r="M120" s="869"/>
      <c r="N120" s="869"/>
      <c r="O120" s="869"/>
      <c r="P120" s="904"/>
      <c r="Q120" s="869"/>
      <c r="R120" s="869"/>
      <c r="S120" s="869"/>
      <c r="T120" s="869"/>
      <c r="U120" s="869"/>
      <c r="V120" s="869"/>
      <c r="W120" s="869"/>
      <c r="X120" s="869"/>
      <c r="Y120" s="869"/>
      <c r="Z120" s="869"/>
      <c r="AA120" s="869"/>
      <c r="AB120" s="869"/>
      <c r="AC120" s="869"/>
      <c r="AD120" s="869"/>
      <c r="AE120" s="869"/>
      <c r="AF120" s="869"/>
      <c r="AG120" s="869"/>
      <c r="AH120" s="869"/>
      <c r="AI120" s="869"/>
      <c r="AJ120" s="869"/>
      <c r="AK120" s="869"/>
      <c r="AL120" s="869"/>
      <c r="AM120" s="869"/>
      <c r="AN120" s="869"/>
      <c r="AO120" s="869"/>
      <c r="AP120" s="869"/>
      <c r="AQ120" s="869"/>
      <c r="AR120" s="869"/>
      <c r="AS120" s="869"/>
      <c r="AT120" s="869"/>
      <c r="AU120" s="869"/>
      <c r="AV120" s="869"/>
      <c r="AW120" s="869"/>
      <c r="AX120" s="869"/>
      <c r="AY120" s="869"/>
      <c r="AZ120" s="869"/>
      <c r="BA120" s="869"/>
      <c r="BB120" s="869"/>
      <c r="BC120" s="796"/>
      <c r="BD120" s="796"/>
      <c r="BE120" s="869"/>
      <c r="BF120" s="869"/>
      <c r="BG120" s="869"/>
      <c r="BH120" s="796"/>
      <c r="BI120" s="796"/>
      <c r="BJ120" s="796"/>
    </row>
    <row r="121" ht="15.75" customHeight="1">
      <c r="A121" s="905" t="s">
        <v>6379</v>
      </c>
      <c r="B121" s="906" t="s">
        <v>6358</v>
      </c>
      <c r="C121" s="866" t="s">
        <v>6597</v>
      </c>
      <c r="D121" s="873"/>
      <c r="E121" s="873"/>
      <c r="F121" s="788" t="s">
        <v>6598</v>
      </c>
      <c r="G121" s="788" t="s">
        <v>6597</v>
      </c>
      <c r="H121" s="811" t="s">
        <v>6599</v>
      </c>
      <c r="I121" s="873"/>
      <c r="J121" s="873"/>
      <c r="K121" s="873"/>
      <c r="L121" s="873"/>
      <c r="M121" s="873"/>
      <c r="N121" s="873"/>
      <c r="O121" s="873"/>
      <c r="P121" s="875"/>
      <c r="Q121" s="873"/>
      <c r="R121" s="873"/>
      <c r="S121" s="873" t="s">
        <v>6597</v>
      </c>
      <c r="T121" s="873"/>
      <c r="U121" s="873"/>
      <c r="V121" s="873"/>
      <c r="W121" s="873"/>
      <c r="X121" s="873"/>
      <c r="Y121" s="873"/>
      <c r="Z121" s="873"/>
      <c r="AA121" s="873"/>
      <c r="AB121" s="873"/>
      <c r="AC121" s="873"/>
      <c r="AD121" s="873"/>
      <c r="AE121" s="873"/>
      <c r="AF121" s="873"/>
      <c r="AG121" s="873"/>
      <c r="AH121" s="873"/>
      <c r="AI121" s="873"/>
      <c r="AJ121" s="873"/>
      <c r="AK121" s="873"/>
      <c r="AL121" s="873"/>
      <c r="AM121" s="873"/>
      <c r="AN121" s="873"/>
      <c r="AO121" s="873"/>
      <c r="AP121" s="869"/>
      <c r="AQ121" s="873"/>
      <c r="AR121" s="873"/>
      <c r="AS121" s="873"/>
      <c r="AT121" s="873"/>
      <c r="AU121" s="873"/>
      <c r="AV121" s="873"/>
      <c r="AW121" s="873"/>
      <c r="AX121" s="873"/>
      <c r="AY121" s="873"/>
      <c r="AZ121" s="873"/>
      <c r="BA121" s="873"/>
      <c r="BB121" s="873"/>
      <c r="BC121" s="896"/>
      <c r="BD121" s="896"/>
      <c r="BE121" s="873"/>
      <c r="BF121" s="869"/>
      <c r="BG121" s="869"/>
      <c r="BH121" s="896"/>
      <c r="BI121" s="896"/>
      <c r="BJ121" s="896"/>
    </row>
    <row r="122" ht="15.75" customHeight="1">
      <c r="A122" s="894" t="s">
        <v>6360</v>
      </c>
      <c r="B122" s="895"/>
      <c r="C122" s="866" t="s">
        <v>773</v>
      </c>
      <c r="D122" s="794" t="s">
        <v>863</v>
      </c>
      <c r="E122" s="873"/>
      <c r="F122" s="788" t="s">
        <v>1359</v>
      </c>
      <c r="G122" s="873"/>
      <c r="H122" s="901" t="s">
        <v>2984</v>
      </c>
      <c r="I122" s="881" t="str">
        <f>HYPERLINK("https://youtu.be/6f5dBhAmU1g","42.10")</f>
        <v>42.10</v>
      </c>
      <c r="J122" s="873" t="s">
        <v>6600</v>
      </c>
      <c r="K122" s="873" t="s">
        <v>2132</v>
      </c>
      <c r="L122" s="881" t="s">
        <v>854</v>
      </c>
      <c r="M122" s="881" t="s">
        <v>773</v>
      </c>
      <c r="N122" s="873" t="s">
        <v>4686</v>
      </c>
      <c r="O122" s="873"/>
      <c r="P122" s="875" t="s">
        <v>1218</v>
      </c>
      <c r="Q122" s="873"/>
      <c r="R122" s="873"/>
      <c r="S122" s="873"/>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t="s">
        <v>2115</v>
      </c>
      <c r="AV122" s="873"/>
      <c r="AW122" s="873"/>
      <c r="AX122" s="873"/>
      <c r="AY122" s="873"/>
      <c r="AZ122" s="873"/>
      <c r="BA122" s="873"/>
      <c r="BB122" s="873"/>
      <c r="BC122" s="796"/>
      <c r="BD122" s="796"/>
      <c r="BE122" s="873"/>
      <c r="BF122" s="869"/>
      <c r="BG122" s="869"/>
      <c r="BH122" s="796"/>
      <c r="BI122" s="796"/>
      <c r="BJ122" s="796"/>
    </row>
    <row r="123" ht="15.75" customHeight="1">
      <c r="A123" s="905" t="s">
        <v>6374</v>
      </c>
      <c r="B123" s="906" t="s">
        <v>6358</v>
      </c>
      <c r="C123" s="866" t="str">
        <f>HYPERLINK("https://youtu.be/sDPkawvhuRo","28.54")</f>
        <v>28.54</v>
      </c>
      <c r="D123" s="794" t="s">
        <v>1585</v>
      </c>
      <c r="E123" s="873"/>
      <c r="F123" s="788" t="s">
        <v>376</v>
      </c>
      <c r="G123" s="881" t="s">
        <v>1114</v>
      </c>
      <c r="H123" s="811" t="s">
        <v>1015</v>
      </c>
      <c r="I123" s="873" t="s">
        <v>1447</v>
      </c>
      <c r="J123" s="873" t="s">
        <v>2315</v>
      </c>
      <c r="K123" s="873" t="s">
        <v>407</v>
      </c>
      <c r="L123" s="881" t="s">
        <v>143</v>
      </c>
      <c r="M123" s="881" t="s">
        <v>376</v>
      </c>
      <c r="N123" s="873" t="s">
        <v>3502</v>
      </c>
      <c r="O123" s="881" t="s">
        <v>257</v>
      </c>
      <c r="P123" s="875" t="s">
        <v>300</v>
      </c>
      <c r="Q123" s="873"/>
      <c r="R123" s="873"/>
      <c r="S123" s="873" t="s">
        <v>1085</v>
      </c>
      <c r="T123" s="873"/>
      <c r="U123" s="873" t="s">
        <v>510</v>
      </c>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c r="AV123" s="873"/>
      <c r="AW123" s="873"/>
      <c r="AX123" s="873"/>
      <c r="AY123" s="873"/>
      <c r="AZ123" s="873"/>
      <c r="BA123" s="873"/>
      <c r="BB123" s="873"/>
      <c r="BC123" s="896"/>
      <c r="BD123" s="896"/>
      <c r="BE123" s="873"/>
      <c r="BF123" s="869"/>
      <c r="BG123" s="869"/>
      <c r="BH123" s="896"/>
      <c r="BI123" s="896"/>
      <c r="BJ123" s="896"/>
    </row>
    <row r="124" ht="15.75" customHeight="1">
      <c r="A124" s="905" t="s">
        <v>6379</v>
      </c>
      <c r="B124" s="906" t="s">
        <v>6358</v>
      </c>
      <c r="C124" s="866" t="s">
        <v>6601</v>
      </c>
      <c r="D124" s="867"/>
      <c r="E124" s="867" t="s">
        <v>6601</v>
      </c>
      <c r="F124" s="788" t="s">
        <v>6602</v>
      </c>
      <c r="G124" s="867"/>
      <c r="H124" s="901" t="s">
        <v>6603</v>
      </c>
      <c r="I124" s="867"/>
      <c r="J124" s="867"/>
      <c r="K124" s="867"/>
      <c r="L124" s="867" t="s">
        <v>2929</v>
      </c>
      <c r="M124" s="867" t="s">
        <v>6602</v>
      </c>
      <c r="N124" s="867"/>
      <c r="O124" s="867"/>
      <c r="P124" s="868" t="s">
        <v>6601</v>
      </c>
      <c r="Q124" s="867" t="s">
        <v>485</v>
      </c>
      <c r="R124" s="867"/>
      <c r="S124" s="867"/>
      <c r="T124" s="867"/>
      <c r="U124" s="867"/>
      <c r="V124" s="867"/>
      <c r="W124" s="867"/>
      <c r="X124" s="867" t="s">
        <v>6604</v>
      </c>
      <c r="Y124" s="867"/>
      <c r="Z124" s="867"/>
      <c r="AA124" s="867"/>
      <c r="AB124" s="867"/>
      <c r="AC124" s="867"/>
      <c r="AD124" s="867"/>
      <c r="AE124" s="867"/>
      <c r="AF124" s="867"/>
      <c r="AG124" s="867"/>
      <c r="AH124" s="867"/>
      <c r="AI124" s="867"/>
      <c r="AJ124" s="867"/>
      <c r="AK124" s="867"/>
      <c r="AL124" s="867"/>
      <c r="AM124" s="867"/>
      <c r="AN124" s="867"/>
      <c r="AO124" s="867"/>
      <c r="AP124" s="869"/>
      <c r="AQ124" s="867"/>
      <c r="AR124" s="867"/>
      <c r="AS124" s="867"/>
      <c r="AT124" s="867"/>
      <c r="AU124" s="867"/>
      <c r="AV124" s="867"/>
      <c r="AW124" s="867"/>
      <c r="AX124" s="867"/>
      <c r="AY124" s="867"/>
      <c r="AZ124" s="867"/>
      <c r="BA124" s="867"/>
      <c r="BB124" s="867"/>
      <c r="BC124" s="796"/>
      <c r="BD124" s="796"/>
      <c r="BE124" s="867"/>
      <c r="BF124" s="869"/>
      <c r="BG124" s="869"/>
      <c r="BH124" s="796"/>
      <c r="BI124" s="796"/>
      <c r="BJ124" s="796"/>
    </row>
    <row r="125" ht="15.75" customHeight="1">
      <c r="A125" s="905" t="s">
        <v>6404</v>
      </c>
      <c r="B125" s="903" t="s">
        <v>6605</v>
      </c>
      <c r="C125" s="866" t="s">
        <v>6606</v>
      </c>
      <c r="D125" s="873" t="s">
        <v>5807</v>
      </c>
      <c r="E125" s="873"/>
      <c r="F125" s="803"/>
      <c r="G125" s="873"/>
      <c r="H125" s="790"/>
      <c r="I125" s="873"/>
      <c r="J125" s="873"/>
      <c r="K125" s="873" t="s">
        <v>6070</v>
      </c>
      <c r="L125" s="873"/>
      <c r="M125" s="873"/>
      <c r="N125" s="873" t="str">
        <f>HYPERLINK("https://youtu.be/tXG5xCfHZ2E","35.72")</f>
        <v>35.72</v>
      </c>
      <c r="O125" s="873"/>
      <c r="P125" s="875"/>
      <c r="Q125" s="873"/>
      <c r="R125" s="873"/>
      <c r="S125" s="873"/>
      <c r="T125" s="873"/>
      <c r="U125" s="873"/>
      <c r="V125" s="873"/>
      <c r="W125" s="873"/>
      <c r="X125" s="873"/>
      <c r="Y125" s="873"/>
      <c r="Z125" s="873"/>
      <c r="AA125" s="873"/>
      <c r="AB125" s="873"/>
      <c r="AC125" s="873"/>
      <c r="AD125" s="873"/>
      <c r="AE125" s="873"/>
      <c r="AF125" s="873"/>
      <c r="AG125" s="873"/>
      <c r="AH125" s="873"/>
      <c r="AI125" s="873"/>
      <c r="AJ125" s="873"/>
      <c r="AK125" s="873"/>
      <c r="AL125" s="873"/>
      <c r="AM125" s="873"/>
      <c r="AN125" s="873"/>
      <c r="AO125" s="873"/>
      <c r="AP125" s="869"/>
      <c r="AQ125" s="873"/>
      <c r="AR125" s="873"/>
      <c r="AS125" s="873"/>
      <c r="AT125" s="873"/>
      <c r="AU125" s="873"/>
      <c r="AV125" s="873"/>
      <c r="AW125" s="873"/>
      <c r="AX125" s="873"/>
      <c r="AY125" s="873"/>
      <c r="AZ125" s="873"/>
      <c r="BA125" s="873"/>
      <c r="BB125" s="873"/>
      <c r="BC125" s="896"/>
      <c r="BD125" s="896"/>
      <c r="BE125" s="873"/>
      <c r="BF125" s="869"/>
      <c r="BG125" s="869"/>
      <c r="BH125" s="896"/>
      <c r="BI125" s="896"/>
      <c r="BJ125" s="896"/>
    </row>
    <row r="126" ht="15.75" customHeight="1">
      <c r="A126" s="899"/>
      <c r="B126" s="900" t="s">
        <v>6607</v>
      </c>
      <c r="C126" s="866" t="s">
        <v>863</v>
      </c>
      <c r="D126" s="799" t="s">
        <v>863</v>
      </c>
      <c r="E126" s="873"/>
      <c r="F126" s="803"/>
      <c r="G126" s="873"/>
      <c r="H126" s="898"/>
      <c r="I126" s="873"/>
      <c r="J126" s="873"/>
      <c r="K126" s="873"/>
      <c r="L126" s="788" t="s">
        <v>863</v>
      </c>
      <c r="M126" s="873"/>
      <c r="N126" s="873"/>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796"/>
      <c r="BD126" s="796"/>
      <c r="BE126" s="873"/>
      <c r="BF126" s="869"/>
      <c r="BG126" s="869"/>
      <c r="BH126" s="796"/>
      <c r="BI126" s="796"/>
      <c r="BJ126" s="796"/>
    </row>
    <row r="127" ht="15.75" customHeight="1">
      <c r="A127" s="905" t="s">
        <v>6407</v>
      </c>
      <c r="B127" s="906" t="s">
        <v>6605</v>
      </c>
      <c r="C127" s="866"/>
      <c r="D127" s="873"/>
      <c r="E127" s="873"/>
      <c r="F127" s="803"/>
      <c r="G127" s="873"/>
      <c r="H127" s="790"/>
      <c r="I127" s="873"/>
      <c r="J127" s="873"/>
      <c r="K127" s="873"/>
      <c r="L127" s="873"/>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896"/>
      <c r="BD127" s="896"/>
      <c r="BE127" s="873"/>
      <c r="BF127" s="869"/>
      <c r="BG127" s="869"/>
      <c r="BH127" s="896"/>
      <c r="BI127" s="896"/>
      <c r="BJ127" s="896"/>
    </row>
    <row r="128" ht="15.75" customHeight="1">
      <c r="A128" s="899"/>
      <c r="B128" s="900" t="s">
        <v>6607</v>
      </c>
      <c r="C128" s="866"/>
      <c r="D128" s="907" t="s">
        <v>6608</v>
      </c>
      <c r="E128" s="873"/>
      <c r="F128" s="803"/>
      <c r="G128" s="873"/>
      <c r="H128" s="898"/>
      <c r="I128" s="873"/>
      <c r="J128" s="873"/>
      <c r="K128" s="873"/>
      <c r="L128" s="803"/>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796"/>
      <c r="BD128" s="796"/>
      <c r="BE128" s="873"/>
      <c r="BF128" s="869"/>
      <c r="BG128" s="869"/>
      <c r="BH128" s="796"/>
      <c r="BI128" s="796"/>
      <c r="BJ128" s="796"/>
    </row>
    <row r="129" ht="15.75" customHeight="1">
      <c r="A129" s="894" t="s">
        <v>6493</v>
      </c>
      <c r="B129" s="897" t="s">
        <v>6609</v>
      </c>
      <c r="C129" s="866" t="s">
        <v>6610</v>
      </c>
      <c r="D129" s="873"/>
      <c r="E129" s="873"/>
      <c r="F129" s="788" t="s">
        <v>4720</v>
      </c>
      <c r="G129" s="873"/>
      <c r="H129" s="790"/>
      <c r="I129" s="873"/>
      <c r="J129" s="873"/>
      <c r="K129" s="873" t="s">
        <v>4438</v>
      </c>
      <c r="L129" s="873"/>
      <c r="M129" s="873"/>
      <c r="N129" s="873"/>
      <c r="O129" s="873"/>
      <c r="P129" s="875"/>
      <c r="Q129" s="873"/>
      <c r="R129" s="873"/>
      <c r="S129" s="873"/>
      <c r="T129" s="873"/>
      <c r="U129" s="873"/>
      <c r="V129" s="873"/>
      <c r="W129" s="873" t="s">
        <v>2809</v>
      </c>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896"/>
      <c r="BD129" s="896"/>
      <c r="BE129" s="873"/>
      <c r="BF129" s="869"/>
      <c r="BG129" s="869"/>
      <c r="BH129" s="896"/>
      <c r="BI129" s="896"/>
      <c r="BJ129" s="896"/>
    </row>
    <row r="130" ht="15.75" customHeight="1">
      <c r="A130" s="899"/>
      <c r="B130" s="900" t="s">
        <v>6611</v>
      </c>
      <c r="C130" s="866" t="s">
        <v>1884</v>
      </c>
      <c r="D130" s="873" t="s">
        <v>2594</v>
      </c>
      <c r="E130" s="873"/>
      <c r="F130" s="803"/>
      <c r="G130" s="873"/>
      <c r="H130" s="898"/>
      <c r="I130" s="873"/>
      <c r="J130" s="873"/>
      <c r="K130" s="873" t="s">
        <v>3503</v>
      </c>
      <c r="L130" s="873"/>
      <c r="M130" s="873"/>
      <c r="N130" s="873"/>
      <c r="O130" s="873"/>
      <c r="P130" s="875"/>
      <c r="Q130" s="873"/>
      <c r="R130" s="873" t="s">
        <v>2975</v>
      </c>
      <c r="S130" s="873"/>
      <c r="T130" s="873"/>
      <c r="U130" s="873"/>
      <c r="V130" s="873"/>
      <c r="W130" s="873" t="s">
        <v>1640</v>
      </c>
      <c r="X130" s="873"/>
      <c r="Y130" s="873" t="s">
        <v>5137</v>
      </c>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796"/>
      <c r="BD130" s="796"/>
      <c r="BE130" s="873"/>
      <c r="BF130" s="869"/>
      <c r="BG130" s="869"/>
      <c r="BH130" s="796"/>
      <c r="BI130" s="796"/>
      <c r="BJ130" s="796"/>
    </row>
    <row r="131" ht="15.75" customHeight="1">
      <c r="A131" s="899"/>
      <c r="B131" s="900" t="s">
        <v>6612</v>
      </c>
      <c r="C131" s="866" t="s">
        <v>3455</v>
      </c>
      <c r="D131" s="873"/>
      <c r="E131" s="873"/>
      <c r="F131" s="803"/>
      <c r="G131" s="873"/>
      <c r="H131" s="790"/>
      <c r="I131" s="873"/>
      <c r="J131" s="873"/>
      <c r="K131" s="873"/>
      <c r="L131" s="873"/>
      <c r="M131" s="873"/>
      <c r="N131" s="873"/>
      <c r="O131" s="873"/>
      <c r="P131" s="875"/>
      <c r="Q131" s="873"/>
      <c r="R131" s="873"/>
      <c r="S131" s="873"/>
      <c r="T131" s="873"/>
      <c r="U131" s="873"/>
      <c r="V131" s="873"/>
      <c r="W131" s="873"/>
      <c r="X131" s="873"/>
      <c r="Y131" s="873"/>
      <c r="Z131" s="873"/>
      <c r="AA131" s="873"/>
      <c r="AB131" s="873"/>
      <c r="AC131" s="873"/>
      <c r="AD131" s="873"/>
      <c r="AE131" s="873"/>
      <c r="AF131" s="873" t="s">
        <v>3455</v>
      </c>
      <c r="AG131" s="873"/>
      <c r="AH131" s="873"/>
      <c r="AI131" s="873"/>
      <c r="AJ131" s="873"/>
      <c r="AK131" s="873"/>
      <c r="AL131" s="873"/>
      <c r="AM131" s="873"/>
      <c r="AN131" s="873"/>
      <c r="AO131" s="873"/>
      <c r="AP131" s="869"/>
      <c r="AQ131" s="873"/>
      <c r="AR131" s="873"/>
      <c r="AS131" s="873"/>
      <c r="AT131" s="873" t="s">
        <v>6206</v>
      </c>
      <c r="AU131" s="873"/>
      <c r="AV131" s="873"/>
      <c r="AW131" s="873"/>
      <c r="AX131" s="873"/>
      <c r="AY131" s="873"/>
      <c r="AZ131" s="873"/>
      <c r="BA131" s="873"/>
      <c r="BB131" s="873"/>
      <c r="BC131" s="896"/>
      <c r="BD131" s="896"/>
      <c r="BE131" s="873"/>
      <c r="BF131" s="869"/>
      <c r="BG131" s="869"/>
      <c r="BH131" s="896"/>
      <c r="BI131" s="896"/>
      <c r="BJ131" s="896"/>
    </row>
    <row r="132" ht="15.75" customHeight="1">
      <c r="A132" s="899"/>
      <c r="B132" s="900" t="s">
        <v>6613</v>
      </c>
      <c r="C132" s="866" t="s">
        <v>377</v>
      </c>
      <c r="D132" s="794" t="s">
        <v>774</v>
      </c>
      <c r="E132" s="788" t="s">
        <v>377</v>
      </c>
      <c r="F132" s="788" t="s">
        <v>1360</v>
      </c>
      <c r="G132" s="908" t="s">
        <v>3121</v>
      </c>
      <c r="H132" s="886" t="s">
        <v>3104</v>
      </c>
      <c r="I132" s="788" t="s">
        <v>5366</v>
      </c>
      <c r="J132" s="803"/>
      <c r="K132" s="803"/>
      <c r="L132" s="788" t="s">
        <v>855</v>
      </c>
      <c r="M132" s="788" t="s">
        <v>4826</v>
      </c>
      <c r="N132" s="803"/>
      <c r="O132" s="788" t="s">
        <v>6614</v>
      </c>
      <c r="P132" s="868" t="s">
        <v>5078</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9"/>
      <c r="AQ132" s="803"/>
      <c r="AR132" s="803"/>
      <c r="AS132" s="803"/>
      <c r="AT132" s="803" t="s">
        <v>6615</v>
      </c>
      <c r="AU132" s="803"/>
      <c r="AV132" s="803"/>
      <c r="AW132" s="803"/>
      <c r="AX132" s="803"/>
      <c r="AY132" s="803"/>
      <c r="AZ132" s="803"/>
      <c r="BA132" s="803"/>
      <c r="BB132" s="803"/>
      <c r="BC132" s="796"/>
      <c r="BD132" s="796"/>
      <c r="BE132" s="803"/>
      <c r="BF132" s="869"/>
      <c r="BG132" s="869"/>
      <c r="BH132" s="796"/>
      <c r="BI132" s="796"/>
      <c r="BJ132" s="796"/>
    </row>
    <row r="133" ht="15.75" customHeight="1">
      <c r="A133" s="894" t="s">
        <v>6409</v>
      </c>
      <c r="B133" s="897" t="s">
        <v>6616</v>
      </c>
      <c r="C133" s="866" t="s">
        <v>562</v>
      </c>
      <c r="D133" s="873" t="s">
        <v>4332</v>
      </c>
      <c r="E133" s="873"/>
      <c r="F133" s="803"/>
      <c r="G133" s="873"/>
      <c r="H133" s="790"/>
      <c r="I133" s="873"/>
      <c r="J133" s="788" t="s">
        <v>5560</v>
      </c>
      <c r="K133" s="873" t="s">
        <v>1739</v>
      </c>
      <c r="L133" s="873"/>
      <c r="M133" s="873"/>
      <c r="N133" s="873" t="str">
        <f>HYPERLINK("https://youtu.be/wzsts4r5VHY","56.24")</f>
        <v>56.24</v>
      </c>
      <c r="O133" s="788" t="s">
        <v>6617</v>
      </c>
      <c r="P133" s="875"/>
      <c r="Q133" s="873"/>
      <c r="R133" s="873"/>
      <c r="S133" s="873" t="s">
        <v>562</v>
      </c>
      <c r="T133" s="873"/>
      <c r="U133" s="873"/>
      <c r="V133" s="873"/>
      <c r="W133" s="873"/>
      <c r="X133" s="873"/>
      <c r="Y133" s="873"/>
      <c r="Z133" s="873"/>
      <c r="AA133" s="873"/>
      <c r="AB133" s="873"/>
      <c r="AC133" s="873"/>
      <c r="AD133" s="873" t="s">
        <v>6618</v>
      </c>
      <c r="AE133" s="873"/>
      <c r="AF133" s="873"/>
      <c r="AG133" s="873"/>
      <c r="AH133" s="873"/>
      <c r="AI133" s="873"/>
      <c r="AJ133" s="873"/>
      <c r="AK133" s="873"/>
      <c r="AL133" s="873"/>
      <c r="AM133" s="873"/>
      <c r="AN133" s="873"/>
      <c r="AO133" s="873"/>
      <c r="AP133" s="869"/>
      <c r="AQ133" s="873"/>
      <c r="AR133" s="873"/>
      <c r="AS133" s="873"/>
      <c r="AT133" s="873"/>
      <c r="AU133" s="873"/>
      <c r="AV133" s="873"/>
      <c r="AW133" s="873"/>
      <c r="AX133" s="873"/>
      <c r="AY133" s="873"/>
      <c r="AZ133" s="873"/>
      <c r="BA133" s="873"/>
      <c r="BB133" s="873"/>
      <c r="BC133" s="896"/>
      <c r="BD133" s="896"/>
      <c r="BE133" s="873"/>
      <c r="BF133" s="869"/>
      <c r="BG133" s="869"/>
      <c r="BH133" s="896"/>
      <c r="BI133" s="896"/>
      <c r="BJ133" s="896"/>
    </row>
    <row r="134" ht="15.75" customHeight="1">
      <c r="A134" s="899"/>
      <c r="B134" s="900" t="s">
        <v>6619</v>
      </c>
      <c r="C134" s="866" t="s">
        <v>4507</v>
      </c>
      <c r="D134" s="909"/>
      <c r="E134" s="909"/>
      <c r="F134" s="803"/>
      <c r="G134" s="909"/>
      <c r="H134" s="898"/>
      <c r="I134" s="909"/>
      <c r="J134" s="788" t="s">
        <v>6620</v>
      </c>
      <c r="K134" s="909"/>
      <c r="L134" s="909"/>
      <c r="M134" s="909"/>
      <c r="N134" s="909"/>
      <c r="O134" s="909"/>
      <c r="P134" s="868"/>
      <c r="Q134" s="909"/>
      <c r="R134" s="909" t="s">
        <v>4507</v>
      </c>
      <c r="S134" s="909"/>
      <c r="T134" s="909"/>
      <c r="U134" s="909"/>
      <c r="V134" s="909"/>
      <c r="W134" s="909"/>
      <c r="X134" s="909"/>
      <c r="Y134" s="909"/>
      <c r="Z134" s="909"/>
      <c r="AA134" s="909"/>
      <c r="AB134" s="909"/>
      <c r="AC134" s="909"/>
      <c r="AD134" s="909"/>
      <c r="AE134" s="909"/>
      <c r="AF134" s="909"/>
      <c r="AG134" s="909"/>
      <c r="AH134" s="909"/>
      <c r="AI134" s="909"/>
      <c r="AJ134" s="909"/>
      <c r="AK134" s="909"/>
      <c r="AL134" s="909"/>
      <c r="AM134" s="909"/>
      <c r="AN134" s="909"/>
      <c r="AO134" s="909"/>
      <c r="AP134" s="869"/>
      <c r="AQ134" s="909"/>
      <c r="AR134" s="909"/>
      <c r="AS134" s="909"/>
      <c r="AT134" s="909"/>
      <c r="AU134" s="909"/>
      <c r="AV134" s="909"/>
      <c r="AW134" s="909"/>
      <c r="AX134" s="909"/>
      <c r="AY134" s="909"/>
      <c r="AZ134" s="909"/>
      <c r="BA134" s="909"/>
      <c r="BB134" s="909"/>
      <c r="BC134" s="796"/>
      <c r="BD134" s="796"/>
      <c r="BE134" s="909"/>
      <c r="BF134" s="869"/>
      <c r="BG134" s="869"/>
      <c r="BH134" s="796"/>
      <c r="BI134" s="796"/>
      <c r="BJ134" s="796"/>
    </row>
    <row r="135" ht="15.75" customHeight="1">
      <c r="A135" s="899"/>
      <c r="B135" s="900" t="s">
        <v>6621</v>
      </c>
      <c r="C135" s="866" t="s">
        <v>6622</v>
      </c>
      <c r="D135" s="794" t="s">
        <v>791</v>
      </c>
      <c r="E135" s="867" t="s">
        <v>775</v>
      </c>
      <c r="F135" s="788" t="s">
        <v>848</v>
      </c>
      <c r="G135" s="867" t="s">
        <v>775</v>
      </c>
      <c r="H135" s="811" t="s">
        <v>145</v>
      </c>
      <c r="I135" s="867" t="s">
        <v>502</v>
      </c>
      <c r="J135" s="867"/>
      <c r="K135" s="867"/>
      <c r="L135" s="867" t="s">
        <v>856</v>
      </c>
      <c r="M135" s="867" t="s">
        <v>1905</v>
      </c>
      <c r="N135" s="867"/>
      <c r="O135" s="867" t="s">
        <v>1279</v>
      </c>
      <c r="P135" s="868"/>
      <c r="Q135" s="867"/>
      <c r="R135" s="867"/>
      <c r="S135" s="867"/>
      <c r="T135" s="867"/>
      <c r="U135" s="867"/>
      <c r="V135" s="867"/>
      <c r="W135" s="867"/>
      <c r="X135" s="867"/>
      <c r="Y135" s="867"/>
      <c r="Z135" s="867"/>
      <c r="AA135" s="867"/>
      <c r="AB135" s="867"/>
      <c r="AC135" s="867"/>
      <c r="AD135" s="867"/>
      <c r="AE135" s="867"/>
      <c r="AF135" s="867"/>
      <c r="AG135" s="867"/>
      <c r="AH135" s="867"/>
      <c r="AI135" s="867"/>
      <c r="AJ135" s="867"/>
      <c r="AK135" s="867"/>
      <c r="AL135" s="867"/>
      <c r="AM135" s="867"/>
      <c r="AN135" s="867"/>
      <c r="AO135" s="867"/>
      <c r="AP135" s="869"/>
      <c r="AQ135" s="867"/>
      <c r="AR135" s="867" t="s">
        <v>198</v>
      </c>
      <c r="AS135" s="867"/>
      <c r="AT135" s="867"/>
      <c r="AU135" s="867"/>
      <c r="AV135" s="867"/>
      <c r="AW135" s="867"/>
      <c r="AX135" s="867"/>
      <c r="AY135" s="867"/>
      <c r="AZ135" s="867"/>
      <c r="BA135" s="867"/>
      <c r="BB135" s="867"/>
      <c r="BC135" s="896"/>
      <c r="BD135" s="896"/>
      <c r="BE135" s="867"/>
      <c r="BF135" s="869"/>
      <c r="BG135" s="869"/>
      <c r="BH135" s="896"/>
      <c r="BI135" s="896"/>
      <c r="BJ135" s="896"/>
    </row>
    <row r="136" ht="15.75" customHeight="1">
      <c r="A136" s="894" t="s">
        <v>6419</v>
      </c>
      <c r="B136" s="897" t="s">
        <v>6623</v>
      </c>
      <c r="C136" s="866" t="s">
        <v>4115</v>
      </c>
      <c r="D136" s="873"/>
      <c r="E136" s="873"/>
      <c r="F136" s="803"/>
      <c r="G136" s="873"/>
      <c r="H136" s="898"/>
      <c r="I136" s="873"/>
      <c r="J136" s="873"/>
      <c r="K136" s="873" t="s">
        <v>3973</v>
      </c>
      <c r="L136" s="873"/>
      <c r="M136" s="873"/>
      <c r="N136" s="873"/>
      <c r="O136" s="873"/>
      <c r="P136" s="875"/>
      <c r="Q136" s="873"/>
      <c r="R136" s="873"/>
      <c r="S136" s="873"/>
      <c r="T136" s="873"/>
      <c r="U136" s="873"/>
      <c r="V136" s="873"/>
      <c r="W136" s="873"/>
      <c r="X136" s="873"/>
      <c r="Y136" s="873"/>
      <c r="Z136" s="873"/>
      <c r="AA136" s="873"/>
      <c r="AB136" s="873"/>
      <c r="AC136" s="873"/>
      <c r="AD136" s="873"/>
      <c r="AE136" s="873"/>
      <c r="AF136" s="873"/>
      <c r="AG136" s="873"/>
      <c r="AH136" s="873"/>
      <c r="AI136" s="873"/>
      <c r="AJ136" s="873"/>
      <c r="AK136" s="873"/>
      <c r="AL136" s="873"/>
      <c r="AM136" s="873"/>
      <c r="AN136" s="873"/>
      <c r="AO136" s="873"/>
      <c r="AP136" s="869"/>
      <c r="AQ136" s="873"/>
      <c r="AR136" s="873"/>
      <c r="AS136" s="873"/>
      <c r="AT136" s="873"/>
      <c r="AU136" s="873"/>
      <c r="AV136" s="873"/>
      <c r="AW136" s="873"/>
      <c r="AX136" s="873"/>
      <c r="AY136" s="873"/>
      <c r="AZ136" s="873"/>
      <c r="BA136" s="873"/>
      <c r="BB136" s="873"/>
      <c r="BC136" s="796"/>
      <c r="BD136" s="796"/>
      <c r="BE136" s="873"/>
      <c r="BF136" s="869"/>
      <c r="BG136" s="869"/>
      <c r="BH136" s="796"/>
      <c r="BI136" s="796"/>
      <c r="BJ136" s="796"/>
    </row>
    <row r="137" ht="15.75" customHeight="1">
      <c r="A137" s="899"/>
      <c r="B137" s="900" t="s">
        <v>6624</v>
      </c>
      <c r="C137" s="866" t="s">
        <v>6625</v>
      </c>
      <c r="D137" s="794" t="s">
        <v>576</v>
      </c>
      <c r="E137" s="873"/>
      <c r="F137" s="788" t="s">
        <v>1362</v>
      </c>
      <c r="G137" s="873"/>
      <c r="H137" s="790"/>
      <c r="I137" s="873"/>
      <c r="J137" s="788" t="s">
        <v>1431</v>
      </c>
      <c r="K137" s="873"/>
      <c r="L137" s="873" t="s">
        <v>857</v>
      </c>
      <c r="M137" s="873"/>
      <c r="N137" s="873"/>
      <c r="O137" s="788" t="s">
        <v>3601</v>
      </c>
      <c r="P137" s="875" t="s">
        <v>926</v>
      </c>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896"/>
      <c r="BD137" s="896"/>
      <c r="BE137" s="873"/>
      <c r="BF137" s="869"/>
      <c r="BG137" s="869"/>
      <c r="BH137" s="896"/>
      <c r="BI137" s="896"/>
      <c r="BJ137" s="896"/>
    </row>
    <row r="138" ht="15.75" customHeight="1">
      <c r="A138" s="894" t="s">
        <v>6426</v>
      </c>
      <c r="B138" s="897" t="s">
        <v>6626</v>
      </c>
      <c r="C138" s="866" t="str">
        <f>HYPERLINK("https://youtu.be/KomZysL4CgE","1:10.59")</f>
        <v>1:10.59</v>
      </c>
      <c r="D138" s="873"/>
      <c r="E138" s="873"/>
      <c r="F138" s="803"/>
      <c r="G138" s="873"/>
      <c r="H138" s="898"/>
      <c r="I138" s="873"/>
      <c r="J138" s="873"/>
      <c r="K138" s="873"/>
      <c r="L138" s="873"/>
      <c r="M138" s="873"/>
      <c r="N138" s="873" t="str">
        <f>HYPERLINK("https://youtu.be/KomZysL4CgE","1:10.59")</f>
        <v>1:10.59</v>
      </c>
      <c r="O138" s="873"/>
      <c r="P138" s="875"/>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796"/>
      <c r="BD138" s="796"/>
      <c r="BE138" s="873"/>
      <c r="BF138" s="869"/>
      <c r="BG138" s="869"/>
      <c r="BH138" s="796"/>
      <c r="BI138" s="796"/>
      <c r="BJ138" s="796"/>
    </row>
    <row r="139" ht="15.75" customHeight="1">
      <c r="A139" s="899"/>
      <c r="B139" s="900" t="s">
        <v>6627</v>
      </c>
      <c r="C139" s="866" t="s">
        <v>1586</v>
      </c>
      <c r="D139" s="794" t="s">
        <v>1586</v>
      </c>
      <c r="E139" s="873"/>
      <c r="F139" s="788" t="s">
        <v>1363</v>
      </c>
      <c r="G139" s="873"/>
      <c r="H139" s="790"/>
      <c r="I139" s="873"/>
      <c r="J139" s="873"/>
      <c r="K139" s="873"/>
      <c r="L139" s="873"/>
      <c r="M139" s="873"/>
      <c r="N139" s="873"/>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896"/>
      <c r="BD139" s="896"/>
      <c r="BE139" s="873"/>
      <c r="BF139" s="869"/>
      <c r="BG139" s="869"/>
      <c r="BH139" s="896"/>
      <c r="BI139" s="896"/>
      <c r="BJ139" s="896"/>
    </row>
    <row r="140" ht="15.75" customHeight="1">
      <c r="A140" s="905" t="s">
        <v>6374</v>
      </c>
      <c r="B140" s="903" t="s">
        <v>6626</v>
      </c>
      <c r="C140" s="866" t="s">
        <v>4079</v>
      </c>
      <c r="D140" s="867" t="s">
        <v>5282</v>
      </c>
      <c r="E140" s="867" t="s">
        <v>4079</v>
      </c>
      <c r="F140" s="788" t="s">
        <v>2773</v>
      </c>
      <c r="G140" s="867"/>
      <c r="H140" s="898"/>
      <c r="I140" s="867"/>
      <c r="J140" s="867"/>
      <c r="K140" s="867" t="s">
        <v>473</v>
      </c>
      <c r="L140" s="867"/>
      <c r="M140" s="867" t="s">
        <v>2306</v>
      </c>
      <c r="N140" s="867" t="s">
        <v>1386</v>
      </c>
      <c r="O140" s="867"/>
      <c r="P140" s="868"/>
      <c r="Q140" s="867"/>
      <c r="R140" s="867"/>
      <c r="S140" s="867"/>
      <c r="T140" s="867"/>
      <c r="U140" s="867"/>
      <c r="V140" s="867"/>
      <c r="W140" s="867" t="s">
        <v>6628</v>
      </c>
      <c r="X140" s="867"/>
      <c r="Y140" s="867"/>
      <c r="Z140" s="867"/>
      <c r="AA140" s="867"/>
      <c r="AB140" s="867"/>
      <c r="AC140" s="867"/>
      <c r="AD140" s="867"/>
      <c r="AE140" s="867" t="s">
        <v>295</v>
      </c>
      <c r="AF140" s="867"/>
      <c r="AG140" s="867"/>
      <c r="AH140" s="867"/>
      <c r="AI140" s="867"/>
      <c r="AJ140" s="867"/>
      <c r="AK140" s="867"/>
      <c r="AL140" s="867"/>
      <c r="AM140" s="867"/>
      <c r="AN140" s="867"/>
      <c r="AO140" s="867"/>
      <c r="AP140" s="869"/>
      <c r="AQ140" s="867"/>
      <c r="AR140" s="867" t="s">
        <v>1855</v>
      </c>
      <c r="AS140" s="867"/>
      <c r="AT140" s="867"/>
      <c r="AU140" s="867"/>
      <c r="AV140" s="867"/>
      <c r="AW140" s="867"/>
      <c r="AX140" s="867"/>
      <c r="AY140" s="867"/>
      <c r="AZ140" s="867"/>
      <c r="BA140" s="867"/>
      <c r="BB140" s="867"/>
      <c r="BC140" s="796"/>
      <c r="BD140" s="796"/>
      <c r="BE140" s="867"/>
      <c r="BF140" s="869"/>
      <c r="BG140" s="869"/>
      <c r="BH140" s="796"/>
      <c r="BI140" s="796"/>
      <c r="BJ140" s="796"/>
    </row>
    <row r="141" ht="15.75" customHeight="1">
      <c r="A141" s="899"/>
      <c r="B141" s="900" t="s">
        <v>6627</v>
      </c>
      <c r="C141" s="866" t="s">
        <v>1441</v>
      </c>
      <c r="D141" s="799" t="s">
        <v>1587</v>
      </c>
      <c r="E141" s="867" t="s">
        <v>5370</v>
      </c>
      <c r="F141" s="788" t="s">
        <v>3151</v>
      </c>
      <c r="G141" s="867"/>
      <c r="H141" s="886" t="s">
        <v>148</v>
      </c>
      <c r="I141" s="867" t="str">
        <f>HYPERLINK("https://youtu.be/NPrbRwZDn1I","27.54")</f>
        <v>27.54</v>
      </c>
      <c r="J141" s="867" t="s">
        <v>503</v>
      </c>
      <c r="K141" s="867" t="s">
        <v>6577</v>
      </c>
      <c r="L141" s="867"/>
      <c r="M141" s="867" t="s">
        <v>5370</v>
      </c>
      <c r="N141" s="867" t="str">
        <f>HYPERLINK("https://youtu.be/gwRV1gD1ndo","27.79")</f>
        <v>27.79</v>
      </c>
      <c r="O141" s="867" t="s">
        <v>1253</v>
      </c>
      <c r="P141" s="868" t="s">
        <v>432</v>
      </c>
      <c r="Q141" s="867" t="s">
        <v>410</v>
      </c>
      <c r="R141" s="867"/>
      <c r="S141" s="788" t="s">
        <v>399</v>
      </c>
      <c r="T141" s="867"/>
      <c r="U141" s="867" t="s">
        <v>1901</v>
      </c>
      <c r="V141" s="867"/>
      <c r="W141" s="867" t="s">
        <v>1085</v>
      </c>
      <c r="X141" s="867"/>
      <c r="Y141" s="867"/>
      <c r="Z141" s="867"/>
      <c r="AA141" s="867"/>
      <c r="AB141" s="867"/>
      <c r="AC141" s="867"/>
      <c r="AD141" s="867"/>
      <c r="AE141" s="867"/>
      <c r="AF141" s="867"/>
      <c r="AG141" s="867"/>
      <c r="AH141" s="867" t="s">
        <v>2359</v>
      </c>
      <c r="AI141" s="867"/>
      <c r="AJ141" s="867"/>
      <c r="AK141" s="867"/>
      <c r="AL141" s="867"/>
      <c r="AM141" s="867"/>
      <c r="AN141" s="867"/>
      <c r="AO141" s="867"/>
      <c r="AP141" s="869"/>
      <c r="AQ141" s="867"/>
      <c r="AR141" s="867"/>
      <c r="AS141" s="867"/>
      <c r="AT141" s="867"/>
      <c r="AU141" s="867"/>
      <c r="AV141" s="867"/>
      <c r="AW141" s="867"/>
      <c r="AX141" s="867"/>
      <c r="AY141" s="867"/>
      <c r="AZ141" s="867"/>
      <c r="BA141" s="867"/>
      <c r="BB141" s="867"/>
      <c r="BC141" s="896"/>
      <c r="BD141" s="896"/>
      <c r="BE141" s="867"/>
      <c r="BF141" s="869"/>
      <c r="BG141" s="869"/>
      <c r="BH141" s="896"/>
      <c r="BI141" s="896"/>
      <c r="BJ141" s="896"/>
    </row>
    <row r="142" ht="15.75" customHeight="1">
      <c r="A142" s="905" t="s">
        <v>6379</v>
      </c>
      <c r="B142" s="903" t="s">
        <v>6358</v>
      </c>
      <c r="C142" s="866" t="s">
        <v>6629</v>
      </c>
      <c r="D142" s="909"/>
      <c r="E142" s="909"/>
      <c r="F142" s="788" t="s">
        <v>2685</v>
      </c>
      <c r="G142" s="909"/>
      <c r="H142" s="898"/>
      <c r="I142" s="909"/>
      <c r="J142" s="909"/>
      <c r="K142" s="909"/>
      <c r="L142" s="909"/>
      <c r="M142" s="909"/>
      <c r="N142" s="909"/>
      <c r="O142" s="881" t="s">
        <v>6629</v>
      </c>
      <c r="P142" s="868"/>
      <c r="Q142" s="909"/>
      <c r="R142" s="909"/>
      <c r="S142" s="909"/>
      <c r="T142" s="909"/>
      <c r="U142" s="909"/>
      <c r="V142" s="909"/>
      <c r="W142" s="909"/>
      <c r="X142" s="909"/>
      <c r="Y142" s="909"/>
      <c r="Z142" s="909"/>
      <c r="AA142" s="909"/>
      <c r="AB142" s="909"/>
      <c r="AC142" s="909"/>
      <c r="AD142" s="909"/>
      <c r="AE142" s="909"/>
      <c r="AF142" s="909"/>
      <c r="AG142" s="909" t="s">
        <v>1901</v>
      </c>
      <c r="AH142" s="909"/>
      <c r="AI142" s="909"/>
      <c r="AJ142" s="909"/>
      <c r="AK142" s="909"/>
      <c r="AL142" s="909"/>
      <c r="AM142" s="909"/>
      <c r="AN142" s="909"/>
      <c r="AO142" s="909"/>
      <c r="AP142" s="869"/>
      <c r="AQ142" s="909"/>
      <c r="AR142" s="909"/>
      <c r="AS142" s="909"/>
      <c r="AT142" s="909"/>
      <c r="AU142" s="909"/>
      <c r="AV142" s="909"/>
      <c r="AW142" s="909"/>
      <c r="AX142" s="909"/>
      <c r="AY142" s="909"/>
      <c r="AZ142" s="909"/>
      <c r="BA142" s="909"/>
      <c r="BB142" s="909"/>
      <c r="BC142" s="796"/>
      <c r="BD142" s="796"/>
      <c r="BE142" s="909"/>
      <c r="BF142" s="869"/>
      <c r="BG142" s="869"/>
      <c r="BH142" s="796"/>
      <c r="BI142" s="796"/>
      <c r="BJ142" s="796"/>
    </row>
    <row r="143" ht="15.75" customHeight="1">
      <c r="A143" s="905" t="s">
        <v>6630</v>
      </c>
      <c r="B143" s="906" t="s">
        <v>6631</v>
      </c>
      <c r="C143" s="866" t="s">
        <v>6632</v>
      </c>
      <c r="D143" s="867" t="s">
        <v>6633</v>
      </c>
      <c r="E143" s="867" t="s">
        <v>6632</v>
      </c>
      <c r="F143" s="803"/>
      <c r="G143" s="867"/>
      <c r="H143" s="790"/>
      <c r="I143" s="867" t="s">
        <v>6634</v>
      </c>
      <c r="J143" s="867" t="s">
        <v>6635</v>
      </c>
      <c r="K143" s="867"/>
      <c r="L143" s="867" t="s">
        <v>860</v>
      </c>
      <c r="M143" s="867"/>
      <c r="N143" s="867" t="s">
        <v>6636</v>
      </c>
      <c r="O143" s="867"/>
      <c r="P143" s="868"/>
      <c r="Q143" s="867"/>
      <c r="R143" s="867"/>
      <c r="S143" s="867"/>
      <c r="T143" s="867" t="s">
        <v>6637</v>
      </c>
      <c r="U143" s="867" t="s">
        <v>4985</v>
      </c>
      <c r="V143" s="867"/>
      <c r="W143" s="867"/>
      <c r="X143" s="867"/>
      <c r="Y143" s="867"/>
      <c r="Z143" s="867"/>
      <c r="AA143" s="867"/>
      <c r="AB143" s="867"/>
      <c r="AC143" s="867"/>
      <c r="AD143" s="867"/>
      <c r="AE143" s="867"/>
      <c r="AF143" s="867"/>
      <c r="AG143" s="867"/>
      <c r="AH143" s="867"/>
      <c r="AI143" s="867" t="s">
        <v>6638</v>
      </c>
      <c r="AJ143" s="867"/>
      <c r="AK143" s="867"/>
      <c r="AL143" s="867"/>
      <c r="AM143" s="867"/>
      <c r="AN143" s="867"/>
      <c r="AO143" s="867"/>
      <c r="AP143" s="869"/>
      <c r="AQ143" s="867"/>
      <c r="AR143" s="867"/>
      <c r="AS143" s="867"/>
      <c r="AT143" s="867"/>
      <c r="AU143" s="867"/>
      <c r="AV143" s="867"/>
      <c r="AW143" s="867"/>
      <c r="AX143" s="867" t="s">
        <v>6639</v>
      </c>
      <c r="AY143" s="867"/>
      <c r="AZ143" s="867"/>
      <c r="BA143" s="867"/>
      <c r="BB143" s="867"/>
      <c r="BC143" s="896"/>
      <c r="BD143" s="896"/>
      <c r="BE143" s="867"/>
      <c r="BF143" s="869"/>
      <c r="BG143" s="869"/>
      <c r="BH143" s="896"/>
      <c r="BI143" s="896"/>
      <c r="BJ143" s="896"/>
    </row>
    <row r="144" ht="15.75" customHeight="1">
      <c r="A144" s="899"/>
      <c r="B144" s="900" t="s">
        <v>6640</v>
      </c>
      <c r="C144" s="866" t="s">
        <v>6641</v>
      </c>
      <c r="D144" s="873"/>
      <c r="E144" s="873"/>
      <c r="F144" s="803"/>
      <c r="G144" s="873"/>
      <c r="H144" s="898"/>
      <c r="I144" s="873"/>
      <c r="J144" s="873"/>
      <c r="K144" s="873" t="s">
        <v>6642</v>
      </c>
      <c r="L144" s="873"/>
      <c r="M144" s="873"/>
      <c r="N144" s="873"/>
      <c r="O144" s="873" t="s">
        <v>6641</v>
      </c>
      <c r="P144" s="875"/>
      <c r="Q144" s="873"/>
      <c r="R144" s="873"/>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69"/>
      <c r="AQ144" s="873"/>
      <c r="AR144" s="873"/>
      <c r="AS144" s="873"/>
      <c r="AT144" s="873"/>
      <c r="AU144" s="873"/>
      <c r="AV144" s="873"/>
      <c r="AW144" s="873"/>
      <c r="AX144" s="873"/>
      <c r="AY144" s="873"/>
      <c r="AZ144" s="873"/>
      <c r="BA144" s="873"/>
      <c r="BB144" s="873"/>
      <c r="BC144" s="796"/>
      <c r="BD144" s="796"/>
      <c r="BE144" s="873"/>
      <c r="BF144" s="869"/>
      <c r="BG144" s="869"/>
      <c r="BH144" s="796"/>
      <c r="BI144" s="796"/>
      <c r="BJ144" s="796"/>
    </row>
    <row r="145" ht="15.75" customHeight="1">
      <c r="A145" s="899"/>
      <c r="B145" s="900" t="s">
        <v>6643</v>
      </c>
      <c r="C145" s="866" t="s">
        <v>6644</v>
      </c>
      <c r="D145" s="840" t="s">
        <v>1589</v>
      </c>
      <c r="E145" s="788" t="s">
        <v>382</v>
      </c>
      <c r="F145" s="803"/>
      <c r="G145" s="803" t="s">
        <v>6645</v>
      </c>
      <c r="H145" s="811" t="s">
        <v>3105</v>
      </c>
      <c r="I145" s="788" t="s">
        <v>583</v>
      </c>
      <c r="J145" s="788" t="s">
        <v>3681</v>
      </c>
      <c r="K145" s="803"/>
      <c r="L145" s="803"/>
      <c r="M145" s="803"/>
      <c r="N145" s="803"/>
      <c r="O145" s="803"/>
      <c r="P145" s="868"/>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9"/>
      <c r="AQ145" s="803"/>
      <c r="AR145" s="803"/>
      <c r="AS145" s="803"/>
      <c r="AT145" s="803"/>
      <c r="AU145" s="803"/>
      <c r="AV145" s="803"/>
      <c r="AW145" s="803"/>
      <c r="AX145" s="803"/>
      <c r="AY145" s="803"/>
      <c r="AZ145" s="803"/>
      <c r="BA145" s="803"/>
      <c r="BB145" s="803"/>
      <c r="BC145" s="896"/>
      <c r="BD145" s="896"/>
      <c r="BE145" s="803"/>
      <c r="BF145" s="869"/>
      <c r="BG145" s="869"/>
      <c r="BH145" s="896"/>
      <c r="BI145" s="896"/>
      <c r="BJ145" s="896"/>
    </row>
    <row r="146" ht="15.75" customHeight="1">
      <c r="A146" s="899"/>
      <c r="B146" s="900" t="s">
        <v>6646</v>
      </c>
      <c r="C146" s="785" t="s">
        <v>3445</v>
      </c>
      <c r="D146" s="799" t="s">
        <v>1588</v>
      </c>
      <c r="E146" s="873"/>
      <c r="F146" s="788" t="s">
        <v>1364</v>
      </c>
      <c r="G146" s="873"/>
      <c r="H146" s="898"/>
      <c r="I146" s="873"/>
      <c r="J146" s="873"/>
      <c r="K146" s="873"/>
      <c r="L146" s="873"/>
      <c r="M146" s="873" t="s">
        <v>6647</v>
      </c>
      <c r="N146" s="873"/>
      <c r="O146" s="873" t="s">
        <v>1022</v>
      </c>
      <c r="P146" s="875"/>
      <c r="Q146" s="873"/>
      <c r="R146" s="873"/>
      <c r="S146" s="788" t="s">
        <v>3445</v>
      </c>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69"/>
      <c r="AQ146" s="873"/>
      <c r="AR146" s="873"/>
      <c r="AS146" s="873"/>
      <c r="AT146" s="873"/>
      <c r="AU146" s="873"/>
      <c r="AV146" s="873"/>
      <c r="AW146" s="873"/>
      <c r="AX146" s="873"/>
      <c r="AY146" s="873"/>
      <c r="AZ146" s="873"/>
      <c r="BA146" s="873"/>
      <c r="BB146" s="873"/>
      <c r="BC146" s="796"/>
      <c r="BD146" s="796"/>
      <c r="BE146" s="873"/>
      <c r="BF146" s="869"/>
      <c r="BG146" s="869"/>
      <c r="BH146" s="796"/>
      <c r="BI146" s="796"/>
      <c r="BJ146" s="796"/>
    </row>
    <row r="147" ht="15.75" customHeight="1">
      <c r="A147" s="905" t="s">
        <v>6648</v>
      </c>
      <c r="B147" s="906" t="s">
        <v>6631</v>
      </c>
      <c r="C147" s="866" t="s">
        <v>775</v>
      </c>
      <c r="D147" s="910" t="s">
        <v>4982</v>
      </c>
      <c r="E147" s="910" t="s">
        <v>3511</v>
      </c>
      <c r="F147" s="803"/>
      <c r="G147" s="910"/>
      <c r="H147" s="790"/>
      <c r="I147" s="910" t="s">
        <v>775</v>
      </c>
      <c r="J147" s="910"/>
      <c r="K147" s="910"/>
      <c r="L147" s="910"/>
      <c r="M147" s="910"/>
      <c r="N147" s="910"/>
      <c r="O147" s="910"/>
      <c r="P147" s="868"/>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869"/>
      <c r="AQ147" s="910"/>
      <c r="AR147" s="910"/>
      <c r="AS147" s="910"/>
      <c r="AT147" s="910"/>
      <c r="AU147" s="910"/>
      <c r="AV147" s="910"/>
      <c r="AW147" s="910"/>
      <c r="AX147" s="910"/>
      <c r="AY147" s="910"/>
      <c r="AZ147" s="910"/>
      <c r="BA147" s="910"/>
      <c r="BB147" s="910"/>
      <c r="BC147" s="896"/>
      <c r="BD147" s="896"/>
      <c r="BE147" s="910"/>
      <c r="BF147" s="869"/>
      <c r="BG147" s="869"/>
      <c r="BH147" s="896"/>
      <c r="BI147" s="896"/>
      <c r="BJ147" s="896"/>
    </row>
    <row r="148" ht="15.75" customHeight="1">
      <c r="A148" s="899"/>
      <c r="B148" s="900" t="s">
        <v>6640</v>
      </c>
      <c r="C148" s="866"/>
      <c r="D148" s="910"/>
      <c r="E148" s="910"/>
      <c r="F148" s="803"/>
      <c r="G148" s="910"/>
      <c r="H148" s="898"/>
      <c r="I148" s="910"/>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796"/>
      <c r="BD148" s="796"/>
      <c r="BE148" s="910"/>
      <c r="BF148" s="869"/>
      <c r="BG148" s="869"/>
      <c r="BH148" s="796"/>
      <c r="BI148" s="796"/>
      <c r="BJ148" s="796"/>
    </row>
    <row r="149" ht="15.75" customHeight="1">
      <c r="A149" s="899"/>
      <c r="B149" s="900" t="s">
        <v>6643</v>
      </c>
      <c r="C149" s="785" t="s">
        <v>2622</v>
      </c>
      <c r="D149" s="910" t="s">
        <v>6649</v>
      </c>
      <c r="E149" s="910"/>
      <c r="F149" s="803"/>
      <c r="G149" s="788" t="s">
        <v>2622</v>
      </c>
      <c r="H149" s="811" t="s">
        <v>3792</v>
      </c>
      <c r="I149" s="910"/>
      <c r="J149" s="910"/>
      <c r="K149" s="910"/>
      <c r="L149" s="910"/>
      <c r="M149" s="910"/>
      <c r="N149" s="910"/>
      <c r="O149" s="910"/>
      <c r="P149" s="868"/>
      <c r="Q149" s="910"/>
      <c r="R149" s="910"/>
      <c r="S149" s="910"/>
      <c r="T149" s="910"/>
      <c r="U149" s="910"/>
      <c r="V149" s="910" t="s">
        <v>888</v>
      </c>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896"/>
      <c r="BD149" s="896"/>
      <c r="BE149" s="910"/>
      <c r="BF149" s="869"/>
      <c r="BG149" s="869"/>
      <c r="BH149" s="896"/>
      <c r="BI149" s="896"/>
      <c r="BJ149" s="896"/>
    </row>
    <row r="150" ht="15.75" customHeight="1">
      <c r="A150" s="899"/>
      <c r="B150" s="900" t="s">
        <v>6646</v>
      </c>
      <c r="C150" s="785" t="s">
        <v>1428</v>
      </c>
      <c r="D150" s="910"/>
      <c r="E150" s="910"/>
      <c r="F150" s="788" t="s">
        <v>6650</v>
      </c>
      <c r="G150" s="910" t="s">
        <v>6651</v>
      </c>
      <c r="H150" s="898"/>
      <c r="I150" s="910" t="s">
        <v>284</v>
      </c>
      <c r="J150" s="910"/>
      <c r="K150" s="910"/>
      <c r="L150" s="910"/>
      <c r="M150" s="867" t="s">
        <v>4944</v>
      </c>
      <c r="N150" s="910"/>
      <c r="O150" s="910"/>
      <c r="P150" s="868"/>
      <c r="Q150" s="910"/>
      <c r="R150" s="910"/>
      <c r="S150" s="788" t="s">
        <v>1428</v>
      </c>
      <c r="T150" s="910"/>
      <c r="U150" s="910"/>
      <c r="V150" s="910"/>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796"/>
      <c r="BD150" s="796"/>
      <c r="BE150" s="910"/>
      <c r="BF150" s="869"/>
      <c r="BG150" s="869"/>
      <c r="BH150" s="796"/>
      <c r="BI150" s="796"/>
      <c r="BJ150" s="796"/>
    </row>
    <row r="151" ht="15.75" customHeight="1">
      <c r="A151" s="905" t="s">
        <v>6652</v>
      </c>
      <c r="B151" s="906" t="s">
        <v>6653</v>
      </c>
      <c r="C151" s="866" t="s">
        <v>6654</v>
      </c>
      <c r="D151" s="910" t="s">
        <v>2277</v>
      </c>
      <c r="E151" s="910"/>
      <c r="F151" s="803"/>
      <c r="G151" s="910"/>
      <c r="H151" s="790"/>
      <c r="I151" s="910"/>
      <c r="J151" s="910"/>
      <c r="K151" s="910"/>
      <c r="L151" s="910"/>
      <c r="M151" s="910"/>
      <c r="N151" s="910"/>
      <c r="O151" s="910"/>
      <c r="P151" s="868"/>
      <c r="Q151" s="910"/>
      <c r="R151" s="910"/>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896"/>
      <c r="BD151" s="896"/>
      <c r="BE151" s="910"/>
      <c r="BF151" s="869"/>
      <c r="BG151" s="869"/>
      <c r="BH151" s="896"/>
      <c r="BI151" s="896"/>
      <c r="BJ151" s="896"/>
    </row>
    <row r="152" ht="15.75" customHeight="1">
      <c r="A152" s="899"/>
      <c r="B152" s="900" t="s">
        <v>6655</v>
      </c>
      <c r="C152" s="866"/>
      <c r="D152" s="910"/>
      <c r="E152" s="910"/>
      <c r="F152" s="803"/>
      <c r="G152" s="910"/>
      <c r="H152" s="898"/>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796"/>
      <c r="BD152" s="796"/>
      <c r="BE152" s="910"/>
      <c r="BF152" s="869"/>
      <c r="BG152" s="869"/>
      <c r="BH152" s="796"/>
      <c r="BI152" s="796"/>
      <c r="BJ152" s="796"/>
    </row>
    <row r="153" ht="15.75" customHeight="1">
      <c r="A153" s="905" t="s">
        <v>6656</v>
      </c>
      <c r="B153" s="906" t="s">
        <v>6657</v>
      </c>
      <c r="C153" s="785" t="s">
        <v>6658</v>
      </c>
      <c r="D153" s="910"/>
      <c r="E153" s="910"/>
      <c r="F153" s="788" t="s">
        <v>6659</v>
      </c>
      <c r="G153" s="867" t="s">
        <v>6660</v>
      </c>
      <c r="H153" s="811" t="s">
        <v>684</v>
      </c>
      <c r="I153" s="910" t="s">
        <v>6661</v>
      </c>
      <c r="J153" s="910"/>
      <c r="K153" s="910"/>
      <c r="L153" s="910"/>
      <c r="M153" s="867" t="s">
        <v>1390</v>
      </c>
      <c r="N153" s="910"/>
      <c r="O153" s="910"/>
      <c r="P153" s="868"/>
      <c r="Q153" s="910"/>
      <c r="R153" s="910"/>
      <c r="S153" s="788" t="s">
        <v>6658</v>
      </c>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896"/>
      <c r="BD153" s="896"/>
      <c r="BE153" s="910"/>
      <c r="BF153" s="869"/>
      <c r="BG153" s="869"/>
      <c r="BH153" s="896"/>
      <c r="BI153" s="896"/>
      <c r="BJ153" s="896"/>
    </row>
    <row r="154" ht="15.75" customHeight="1">
      <c r="A154" s="899"/>
      <c r="B154" s="900" t="s">
        <v>6662</v>
      </c>
      <c r="C154" s="866" t="s">
        <v>6663</v>
      </c>
      <c r="D154" s="910"/>
      <c r="E154" s="910"/>
      <c r="F154" s="803"/>
      <c r="G154" s="867" t="s">
        <v>6664</v>
      </c>
      <c r="H154" s="898"/>
      <c r="I154" s="910"/>
      <c r="J154" s="910"/>
      <c r="K154" s="910"/>
      <c r="L154" s="910"/>
      <c r="M154" s="910"/>
      <c r="N154" s="910"/>
      <c r="O154" s="910"/>
      <c r="P154" s="868"/>
      <c r="Q154" s="910"/>
      <c r="R154" s="910"/>
      <c r="S154" s="910"/>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796"/>
      <c r="BD154" s="796"/>
      <c r="BE154" s="910"/>
      <c r="BF154" s="869"/>
      <c r="BG154" s="869"/>
      <c r="BH154" s="796"/>
      <c r="BI154" s="796"/>
      <c r="BJ154" s="796"/>
    </row>
    <row r="155" ht="15.75" customHeight="1">
      <c r="A155" s="899"/>
      <c r="B155" s="900" t="s">
        <v>6665</v>
      </c>
      <c r="C155" s="866" t="s">
        <v>6666</v>
      </c>
      <c r="D155" s="910"/>
      <c r="E155" s="910"/>
      <c r="F155" s="803"/>
      <c r="G155" s="867" t="s">
        <v>6666</v>
      </c>
      <c r="H155" s="790"/>
      <c r="I155" s="910" t="s">
        <v>6667</v>
      </c>
      <c r="J155" s="910"/>
      <c r="K155" s="910"/>
      <c r="L155" s="910"/>
      <c r="M155" s="910"/>
      <c r="N155" s="910"/>
      <c r="O155" s="910"/>
      <c r="P155" s="868"/>
      <c r="Q155" s="910"/>
      <c r="R155" s="910"/>
      <c r="S155" s="910"/>
      <c r="T155" s="910"/>
      <c r="U155" s="910"/>
      <c r="V155" s="910"/>
      <c r="W155" s="910"/>
      <c r="X155" s="910" t="s">
        <v>901</v>
      </c>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896"/>
      <c r="BD155" s="896"/>
      <c r="BE155" s="910"/>
      <c r="BF155" s="869"/>
      <c r="BG155" s="869"/>
      <c r="BH155" s="896"/>
      <c r="BI155" s="896"/>
      <c r="BJ155" s="896"/>
    </row>
    <row r="156" ht="15.75" customHeight="1">
      <c r="A156" s="899"/>
      <c r="B156" s="900" t="s">
        <v>6668</v>
      </c>
      <c r="C156" s="866" t="s">
        <v>743</v>
      </c>
      <c r="D156" s="910"/>
      <c r="E156" s="910"/>
      <c r="F156" s="803"/>
      <c r="G156" s="867" t="s">
        <v>743</v>
      </c>
      <c r="H156" s="898"/>
      <c r="I156" s="910"/>
      <c r="J156" s="910"/>
      <c r="K156" s="910"/>
      <c r="L156" s="910"/>
      <c r="M156" s="867" t="s">
        <v>3635</v>
      </c>
      <c r="N156" s="910"/>
      <c r="O156" s="910"/>
      <c r="P156" s="868"/>
      <c r="Q156" s="910"/>
      <c r="R156" s="910"/>
      <c r="S156" s="910"/>
      <c r="T156" s="910"/>
      <c r="U156" s="910"/>
      <c r="V156" s="910" t="s">
        <v>2341</v>
      </c>
      <c r="W156" s="910"/>
      <c r="X156" s="910"/>
      <c r="Y156" s="910"/>
      <c r="Z156" s="910"/>
      <c r="AA156" s="910"/>
      <c r="AB156" s="910"/>
      <c r="AC156" s="910"/>
      <c r="AD156" s="910"/>
      <c r="AE156" s="910"/>
      <c r="AF156" s="910"/>
      <c r="AG156" s="910"/>
      <c r="AH156" s="910"/>
      <c r="AI156" s="910"/>
      <c r="AJ156" s="910"/>
      <c r="AK156" s="910"/>
      <c r="AL156" s="910"/>
      <c r="AM156" s="910"/>
      <c r="AN156" s="910"/>
      <c r="AO156" s="910"/>
      <c r="AP156" s="867"/>
      <c r="AQ156" s="910"/>
      <c r="AR156" s="910"/>
      <c r="AS156" s="910"/>
      <c r="AT156" s="910"/>
      <c r="AU156" s="910"/>
      <c r="AV156" s="910"/>
      <c r="AW156" s="910"/>
      <c r="AX156" s="910"/>
      <c r="AY156" s="910"/>
      <c r="AZ156" s="910"/>
      <c r="BA156" s="910"/>
      <c r="BB156" s="910"/>
      <c r="BC156" s="796"/>
      <c r="BD156" s="796"/>
      <c r="BE156" s="910"/>
      <c r="BF156" s="867"/>
      <c r="BG156" s="867"/>
      <c r="BH156" s="796"/>
      <c r="BI156" s="796"/>
      <c r="BJ156" s="796"/>
    </row>
    <row r="157" ht="15.75" customHeight="1">
      <c r="A157" s="905" t="s">
        <v>6404</v>
      </c>
      <c r="B157" s="903" t="s">
        <v>6358</v>
      </c>
      <c r="C157" s="866" t="s">
        <v>1520</v>
      </c>
      <c r="D157" s="812" t="s">
        <v>1591</v>
      </c>
      <c r="E157" s="867" t="s">
        <v>6669</v>
      </c>
      <c r="F157" s="803"/>
      <c r="G157" s="867"/>
      <c r="H157" s="790"/>
      <c r="I157" s="867"/>
      <c r="J157" s="867"/>
      <c r="K157" s="867" t="s">
        <v>1454</v>
      </c>
      <c r="L157" s="867"/>
      <c r="M157" s="867"/>
      <c r="N157" s="867"/>
      <c r="O157" s="867"/>
      <c r="P157" s="868"/>
      <c r="Q157" s="867"/>
      <c r="R157" s="867"/>
      <c r="S157" s="867"/>
      <c r="T157" s="867"/>
      <c r="U157" s="867"/>
      <c r="V157" s="867"/>
      <c r="W157" s="867"/>
      <c r="X157" s="867"/>
      <c r="Y157" s="867" t="s">
        <v>1520</v>
      </c>
      <c r="Z157" s="867"/>
      <c r="AA157" s="867"/>
      <c r="AB157" s="867"/>
      <c r="AC157" s="867"/>
      <c r="AD157" s="867"/>
      <c r="AE157" s="867"/>
      <c r="AF157" s="867"/>
      <c r="AG157" s="867"/>
      <c r="AH157" s="867"/>
      <c r="AI157" s="867"/>
      <c r="AJ157" s="867"/>
      <c r="AK157" s="867"/>
      <c r="AL157" s="867"/>
      <c r="AM157" s="867"/>
      <c r="AN157" s="867"/>
      <c r="AO157" s="867"/>
      <c r="AP157" s="869"/>
      <c r="AQ157" s="867"/>
      <c r="AR157" s="867"/>
      <c r="AS157" s="867"/>
      <c r="AT157" s="867"/>
      <c r="AU157" s="867"/>
      <c r="AV157" s="867"/>
      <c r="AW157" s="867"/>
      <c r="AX157" s="867"/>
      <c r="AY157" s="867"/>
      <c r="AZ157" s="867"/>
      <c r="BA157" s="867"/>
      <c r="BB157" s="867"/>
      <c r="BC157" s="896"/>
      <c r="BD157" s="896"/>
      <c r="BE157" s="867"/>
      <c r="BF157" s="869"/>
      <c r="BG157" s="869"/>
      <c r="BH157" s="896"/>
      <c r="BI157" s="896"/>
      <c r="BJ157" s="896"/>
    </row>
    <row r="158" ht="15.75" customHeight="1">
      <c r="A158" s="905" t="s">
        <v>6407</v>
      </c>
      <c r="B158" s="903" t="s">
        <v>6358</v>
      </c>
      <c r="C158" s="866"/>
      <c r="D158" s="814" t="s">
        <v>6670</v>
      </c>
      <c r="E158" s="867"/>
      <c r="F158" s="803"/>
      <c r="G158" s="867"/>
      <c r="H158" s="790"/>
      <c r="I158" s="867"/>
      <c r="J158" s="867"/>
      <c r="K158" s="867"/>
      <c r="L158" s="867"/>
      <c r="M158" s="867"/>
      <c r="N158" s="867"/>
      <c r="O158" s="867"/>
      <c r="P158" s="868"/>
      <c r="Q158" s="867"/>
      <c r="R158" s="867"/>
      <c r="S158" s="867"/>
      <c r="T158" s="867"/>
      <c r="U158" s="867"/>
      <c r="V158" s="867"/>
      <c r="W158" s="867"/>
      <c r="X158" s="867"/>
      <c r="Y158" s="867"/>
      <c r="Z158" s="867"/>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6"/>
      <c r="BD158" s="896"/>
      <c r="BE158" s="867"/>
      <c r="BF158" s="869"/>
      <c r="BG158" s="869"/>
      <c r="BH158" s="896"/>
      <c r="BI158" s="896"/>
      <c r="BJ158" s="896"/>
    </row>
    <row r="159" ht="15.75" customHeight="1">
      <c r="A159" s="894" t="s">
        <v>6468</v>
      </c>
      <c r="B159" s="911" t="s">
        <v>6671</v>
      </c>
      <c r="C159" s="866" t="s">
        <v>2601</v>
      </c>
      <c r="D159" s="873" t="s">
        <v>2601</v>
      </c>
      <c r="E159" s="873"/>
      <c r="F159" s="788" t="s">
        <v>2855</v>
      </c>
      <c r="G159" s="867" t="s">
        <v>2601</v>
      </c>
      <c r="H159" s="901" t="s">
        <v>2804</v>
      </c>
      <c r="I159" s="873"/>
      <c r="J159" s="873"/>
      <c r="K159" s="873" t="s">
        <v>3746</v>
      </c>
      <c r="L159" s="873"/>
      <c r="M159" s="873"/>
      <c r="N159" s="873"/>
      <c r="O159" s="873" t="s">
        <v>2601</v>
      </c>
      <c r="P159" s="875" t="s">
        <v>2804</v>
      </c>
      <c r="Q159" s="873"/>
      <c r="R159" s="873" t="s">
        <v>2601</v>
      </c>
      <c r="S159" s="873" t="s">
        <v>2601</v>
      </c>
      <c r="T159" s="873"/>
      <c r="U159" s="873"/>
      <c r="V159" s="873"/>
      <c r="W159" s="873"/>
      <c r="X159" s="873"/>
      <c r="Y159" s="873"/>
      <c r="Z159" s="788" t="s">
        <v>4083</v>
      </c>
      <c r="AA159" s="873"/>
      <c r="AB159" s="873"/>
      <c r="AC159" s="873"/>
      <c r="AD159" s="873"/>
      <c r="AE159" s="873" t="s">
        <v>2601</v>
      </c>
      <c r="AF159" s="873"/>
      <c r="AG159" s="873"/>
      <c r="AH159" s="873"/>
      <c r="AI159" s="873"/>
      <c r="AJ159" s="873"/>
      <c r="AK159" s="873"/>
      <c r="AL159" s="873" t="s">
        <v>5493</v>
      </c>
      <c r="AM159" s="873"/>
      <c r="AN159" s="873"/>
      <c r="AO159" s="873"/>
      <c r="AP159" s="869"/>
      <c r="AQ159" s="873"/>
      <c r="AR159" s="873"/>
      <c r="AS159" s="873"/>
      <c r="AT159" s="873"/>
      <c r="AU159" s="873"/>
      <c r="AV159" s="873"/>
      <c r="AW159" s="873"/>
      <c r="AX159" s="873"/>
      <c r="AY159" s="873"/>
      <c r="AZ159" s="873"/>
      <c r="BA159" s="873"/>
      <c r="BB159" s="873"/>
      <c r="BC159" s="796"/>
      <c r="BD159" s="796"/>
      <c r="BE159" s="873"/>
      <c r="BF159" s="869"/>
      <c r="BG159" s="869"/>
      <c r="BH159" s="796"/>
      <c r="BI159" s="796"/>
      <c r="BJ159" s="796"/>
    </row>
    <row r="160" ht="15.75" customHeight="1">
      <c r="A160" s="899"/>
      <c r="B160" s="900" t="s">
        <v>6672</v>
      </c>
      <c r="C160" s="866" t="s">
        <v>2382</v>
      </c>
      <c r="D160" s="794" t="s">
        <v>1590</v>
      </c>
      <c r="E160" s="867" t="s">
        <v>6673</v>
      </c>
      <c r="F160" s="803"/>
      <c r="G160" s="867" t="s">
        <v>6674</v>
      </c>
      <c r="H160" s="790"/>
      <c r="I160" s="867"/>
      <c r="J160" s="867" t="s">
        <v>514</v>
      </c>
      <c r="K160" s="867" t="s">
        <v>3507</v>
      </c>
      <c r="L160" s="867"/>
      <c r="M160" s="867"/>
      <c r="N160" s="867"/>
      <c r="O160" s="867" t="s">
        <v>966</v>
      </c>
      <c r="P160" s="868" t="s">
        <v>799</v>
      </c>
      <c r="Q160" s="867"/>
      <c r="R160" s="867"/>
      <c r="S160" s="867"/>
      <c r="T160" s="867"/>
      <c r="U160" s="867"/>
      <c r="V160" s="867"/>
      <c r="W160" s="867"/>
      <c r="X160" s="867"/>
      <c r="Y160" s="867"/>
      <c r="Z160" s="867"/>
      <c r="AA160" s="867"/>
      <c r="AB160" s="867"/>
      <c r="AC160" s="867"/>
      <c r="AD160" s="867"/>
      <c r="AE160" s="867"/>
      <c r="AF160" s="867"/>
      <c r="AG160" s="867"/>
      <c r="AH160" s="867"/>
      <c r="AI160" s="867"/>
      <c r="AJ160" s="867"/>
      <c r="AK160" s="867"/>
      <c r="AL160" s="867"/>
      <c r="AM160" s="867"/>
      <c r="AN160" s="867"/>
      <c r="AO160" s="867"/>
      <c r="AP160" s="869"/>
      <c r="AQ160" s="867"/>
      <c r="AR160" s="867"/>
      <c r="AS160" s="867"/>
      <c r="AT160" s="867"/>
      <c r="AU160" s="867"/>
      <c r="AV160" s="867"/>
      <c r="AW160" s="867"/>
      <c r="AX160" s="867"/>
      <c r="AY160" s="867"/>
      <c r="AZ160" s="867"/>
      <c r="BA160" s="867"/>
      <c r="BB160" s="867"/>
      <c r="BC160" s="896"/>
      <c r="BD160" s="896"/>
      <c r="BE160" s="867"/>
      <c r="BF160" s="869"/>
      <c r="BG160" s="869"/>
      <c r="BH160" s="896"/>
      <c r="BI160" s="896"/>
      <c r="BJ160" s="896"/>
    </row>
    <row r="161" ht="15.75" customHeight="1">
      <c r="A161" s="894" t="s">
        <v>6472</v>
      </c>
      <c r="B161" s="911" t="s">
        <v>6675</v>
      </c>
      <c r="C161" s="866" t="s">
        <v>653</v>
      </c>
      <c r="D161" s="799" t="s">
        <v>1139</v>
      </c>
      <c r="E161" s="873"/>
      <c r="F161" s="788" t="s">
        <v>1365</v>
      </c>
      <c r="G161" s="873"/>
      <c r="H161" s="898"/>
      <c r="I161" s="873"/>
      <c r="J161" s="873" t="s">
        <v>653</v>
      </c>
      <c r="K161" s="873"/>
      <c r="L161" s="873" t="s">
        <v>862</v>
      </c>
      <c r="M161" s="873"/>
      <c r="N161" s="873"/>
      <c r="O161" s="873"/>
      <c r="P161" s="875"/>
      <c r="Q161" s="873"/>
      <c r="R161" s="873"/>
      <c r="S161" s="873"/>
      <c r="T161" s="873"/>
      <c r="U161" s="873"/>
      <c r="V161" s="873"/>
      <c r="W161" s="873"/>
      <c r="X161" s="873"/>
      <c r="Y161" s="873"/>
      <c r="Z161" s="873"/>
      <c r="AA161" s="873"/>
      <c r="AB161" s="873"/>
      <c r="AC161" s="873"/>
      <c r="AD161" s="873"/>
      <c r="AE161" s="873"/>
      <c r="AF161" s="873"/>
      <c r="AG161" s="873"/>
      <c r="AH161" s="873"/>
      <c r="AI161" s="873"/>
      <c r="AJ161" s="873"/>
      <c r="AK161" s="873"/>
      <c r="AL161" s="873"/>
      <c r="AM161" s="873"/>
      <c r="AN161" s="873"/>
      <c r="AO161" s="873"/>
      <c r="AP161" s="869"/>
      <c r="AQ161" s="873"/>
      <c r="AR161" s="873"/>
      <c r="AS161" s="873"/>
      <c r="AT161" s="873"/>
      <c r="AU161" s="873"/>
      <c r="AV161" s="873"/>
      <c r="AW161" s="873"/>
      <c r="AX161" s="873"/>
      <c r="AY161" s="873"/>
      <c r="AZ161" s="873"/>
      <c r="BA161" s="873"/>
      <c r="BB161" s="873"/>
      <c r="BC161" s="796"/>
      <c r="BD161" s="796"/>
      <c r="BE161" s="873"/>
      <c r="BF161" s="869"/>
      <c r="BG161" s="869"/>
      <c r="BH161" s="796"/>
      <c r="BI161" s="796"/>
      <c r="BJ161" s="796"/>
    </row>
    <row r="162" ht="15.75" customHeight="1">
      <c r="A162" s="905" t="s">
        <v>6379</v>
      </c>
      <c r="B162" s="906" t="s">
        <v>6358</v>
      </c>
      <c r="C162" s="866" t="s">
        <v>6676</v>
      </c>
      <c r="D162" s="873"/>
      <c r="E162" s="873"/>
      <c r="F162" s="788" t="s">
        <v>684</v>
      </c>
      <c r="G162" s="873"/>
      <c r="H162" s="790"/>
      <c r="I162" s="873"/>
      <c r="J162" s="873"/>
      <c r="K162" s="873"/>
      <c r="L162" s="873"/>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896"/>
      <c r="BD162" s="896"/>
      <c r="BE162" s="873"/>
      <c r="BF162" s="869"/>
      <c r="BG162" s="869"/>
      <c r="BH162" s="896"/>
      <c r="BI162" s="896"/>
      <c r="BJ162" s="896"/>
    </row>
    <row r="163" ht="15.75" customHeight="1">
      <c r="A163" s="894" t="s">
        <v>57</v>
      </c>
      <c r="B163" s="897" t="s">
        <v>6358</v>
      </c>
      <c r="C163" s="866" t="s">
        <v>1455</v>
      </c>
      <c r="D163" s="799" t="s">
        <v>781</v>
      </c>
      <c r="E163" s="873"/>
      <c r="F163" s="788" t="s">
        <v>1368</v>
      </c>
      <c r="G163" s="873"/>
      <c r="H163" s="898"/>
      <c r="I163" s="873" t="s">
        <v>1455</v>
      </c>
      <c r="J163" s="873"/>
      <c r="K163" s="873"/>
      <c r="L163" s="873" t="s">
        <v>865</v>
      </c>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796"/>
      <c r="BD163" s="796"/>
      <c r="BE163" s="873"/>
      <c r="BF163" s="869"/>
      <c r="BG163" s="869"/>
      <c r="BH163" s="796"/>
      <c r="BI163" s="796"/>
      <c r="BJ163" s="796"/>
    </row>
    <row r="164">
      <c r="A164" s="912" t="s">
        <v>39</v>
      </c>
      <c r="D164" s="913"/>
      <c r="E164" s="913"/>
      <c r="F164" s="914"/>
      <c r="G164" s="913"/>
      <c r="H164" s="915"/>
      <c r="I164" s="913"/>
      <c r="J164" s="913"/>
      <c r="K164" s="913"/>
      <c r="L164" s="913"/>
      <c r="M164" s="913"/>
      <c r="N164" s="913"/>
      <c r="O164" s="913"/>
      <c r="P164" s="916"/>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3"/>
      <c r="AQ164" s="913"/>
      <c r="AR164" s="913"/>
      <c r="AS164" s="913"/>
      <c r="AT164" s="913"/>
      <c r="AU164" s="913"/>
      <c r="AV164" s="913"/>
      <c r="AW164" s="913"/>
      <c r="AX164" s="913"/>
      <c r="AY164" s="913"/>
      <c r="AZ164" s="913"/>
      <c r="BA164" s="913"/>
      <c r="BB164" s="913"/>
      <c r="BC164" s="917"/>
      <c r="BD164" s="917"/>
      <c r="BE164" s="913"/>
      <c r="BF164" s="913"/>
      <c r="BG164" s="913"/>
      <c r="BH164" s="917"/>
      <c r="BI164" s="917"/>
      <c r="BJ164" s="917"/>
    </row>
    <row r="165" ht="15.75" customHeight="1">
      <c r="A165" s="918" t="s">
        <v>6677</v>
      </c>
      <c r="B165" s="919" t="s">
        <v>6678</v>
      </c>
      <c r="C165" s="866" t="s">
        <v>6679</v>
      </c>
      <c r="D165" s="794" t="s">
        <v>6680</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2230</v>
      </c>
      <c r="S165" s="794" t="s">
        <v>6686</v>
      </c>
      <c r="T165" s="794"/>
      <c r="U165" s="794"/>
      <c r="V165" s="794"/>
      <c r="W165" s="794"/>
      <c r="X165" s="794"/>
      <c r="Y165" s="794"/>
      <c r="Z165" s="794"/>
      <c r="AA165" s="794"/>
      <c r="AB165" s="794" t="s">
        <v>6660</v>
      </c>
      <c r="AC165" s="794" t="s">
        <v>6682</v>
      </c>
      <c r="AD165" s="794"/>
      <c r="AE165" s="794"/>
      <c r="AF165" s="794" t="s">
        <v>6679</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20"/>
      <c r="BD165" s="920"/>
      <c r="BE165" s="794"/>
      <c r="BF165" s="835"/>
      <c r="BG165" s="835"/>
      <c r="BH165" s="920"/>
      <c r="BI165" s="920"/>
      <c r="BJ165" s="920"/>
    </row>
    <row r="166" ht="15.75" customHeight="1">
      <c r="A166" s="921"/>
      <c r="B166" s="922" t="s">
        <v>6687</v>
      </c>
      <c r="C166" s="866" t="s">
        <v>6688</v>
      </c>
      <c r="D166" s="794"/>
      <c r="E166" s="794" t="s">
        <v>6684</v>
      </c>
      <c r="F166" s="803"/>
      <c r="G166" s="794" t="s">
        <v>6688</v>
      </c>
      <c r="H166" s="923"/>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8" t="s">
        <v>6690</v>
      </c>
      <c r="B167" s="919" t="s">
        <v>6358</v>
      </c>
      <c r="C167" s="866" t="s">
        <v>1924</v>
      </c>
      <c r="D167" s="794" t="s">
        <v>5341</v>
      </c>
      <c r="E167" s="794" t="s">
        <v>6691</v>
      </c>
      <c r="F167" s="788" t="s">
        <v>6692</v>
      </c>
      <c r="G167" s="794" t="s">
        <v>2912</v>
      </c>
      <c r="H167" s="811" t="s">
        <v>6692</v>
      </c>
      <c r="I167" s="794"/>
      <c r="J167" s="794"/>
      <c r="K167" s="794"/>
      <c r="L167" s="794" t="s">
        <v>4486</v>
      </c>
      <c r="M167" s="794"/>
      <c r="N167" s="794"/>
      <c r="O167" s="794"/>
      <c r="P167" s="792"/>
      <c r="Q167" s="794"/>
      <c r="R167" s="794"/>
      <c r="S167" s="794" t="s">
        <v>4167</v>
      </c>
      <c r="T167" s="794" t="s">
        <v>2767</v>
      </c>
      <c r="U167" s="794"/>
      <c r="V167" s="794"/>
      <c r="W167" s="794"/>
      <c r="X167" s="794"/>
      <c r="Y167" s="794"/>
      <c r="Z167" s="794"/>
      <c r="AA167" s="794"/>
      <c r="AB167" s="794" t="s">
        <v>1924</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20"/>
      <c r="BD167" s="920"/>
      <c r="BE167" s="794"/>
      <c r="BF167" s="835"/>
      <c r="BG167" s="835"/>
      <c r="BH167" s="920"/>
      <c r="BI167" s="920"/>
      <c r="BJ167" s="920"/>
    </row>
    <row r="168" ht="15.75" customHeight="1">
      <c r="A168" s="924" t="s">
        <v>6374</v>
      </c>
      <c r="B168" s="925" t="s">
        <v>6358</v>
      </c>
      <c r="C168" s="866" t="s">
        <v>6693</v>
      </c>
      <c r="D168" s="852"/>
      <c r="E168" s="852" t="s">
        <v>6694</v>
      </c>
      <c r="F168" s="803"/>
      <c r="G168" s="852" t="s">
        <v>6693</v>
      </c>
      <c r="H168" s="926"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8" t="s">
        <v>6360</v>
      </c>
      <c r="B169" s="927" t="s">
        <v>6696</v>
      </c>
      <c r="C169" s="866" t="s">
        <v>5042</v>
      </c>
      <c r="D169" s="928"/>
      <c r="E169" s="928"/>
      <c r="F169" s="803"/>
      <c r="G169" s="928"/>
      <c r="H169" s="790"/>
      <c r="I169" s="928"/>
      <c r="J169" s="928" t="s">
        <v>5042</v>
      </c>
      <c r="K169" s="928"/>
      <c r="L169" s="928"/>
      <c r="M169" s="928"/>
      <c r="N169" s="928"/>
      <c r="O169" s="928"/>
      <c r="P169" s="809"/>
      <c r="Q169" s="928"/>
      <c r="R169" s="928"/>
      <c r="S169" s="928"/>
      <c r="T169" s="928"/>
      <c r="U169" s="928"/>
      <c r="V169" s="928"/>
      <c r="W169" s="928"/>
      <c r="X169" s="928"/>
      <c r="Y169" s="928"/>
      <c r="Z169" s="928"/>
      <c r="AA169" s="928"/>
      <c r="AB169" s="928"/>
      <c r="AC169" s="928"/>
      <c r="AD169" s="928"/>
      <c r="AE169" s="928"/>
      <c r="AF169" s="928"/>
      <c r="AG169" s="928"/>
      <c r="AH169" s="928"/>
      <c r="AI169" s="928"/>
      <c r="AJ169" s="928"/>
      <c r="AK169" s="928"/>
      <c r="AL169" s="928"/>
      <c r="AM169" s="928"/>
      <c r="AN169" s="928"/>
      <c r="AO169" s="928"/>
      <c r="AP169" s="835"/>
      <c r="AQ169" s="928"/>
      <c r="AR169" s="928"/>
      <c r="AS169" s="928"/>
      <c r="AT169" s="928"/>
      <c r="AU169" s="928"/>
      <c r="AV169" s="928"/>
      <c r="AW169" s="928"/>
      <c r="AX169" s="928"/>
      <c r="AY169" s="928"/>
      <c r="AZ169" s="928"/>
      <c r="BA169" s="928"/>
      <c r="BB169" s="928"/>
      <c r="BC169" s="920"/>
      <c r="BD169" s="920"/>
      <c r="BE169" s="928"/>
      <c r="BF169" s="835"/>
      <c r="BG169" s="835"/>
      <c r="BH169" s="920"/>
      <c r="BI169" s="920"/>
      <c r="BJ169" s="920"/>
    </row>
    <row r="170" ht="15.75" customHeight="1">
      <c r="A170" s="921"/>
      <c r="B170" s="922" t="s">
        <v>6697</v>
      </c>
      <c r="C170" s="866" t="s">
        <v>6698</v>
      </c>
      <c r="D170" s="794" t="s">
        <v>6699</v>
      </c>
      <c r="E170" s="794" t="s">
        <v>6698</v>
      </c>
      <c r="F170" s="788" t="s">
        <v>1370</v>
      </c>
      <c r="G170" s="794" t="s">
        <v>6019</v>
      </c>
      <c r="H170" s="800" t="s">
        <v>157</v>
      </c>
      <c r="I170" s="794"/>
      <c r="J170" s="794" t="s">
        <v>606</v>
      </c>
      <c r="K170" s="794" t="s">
        <v>355</v>
      </c>
      <c r="L170" s="794"/>
      <c r="M170" s="794"/>
      <c r="N170" s="794" t="s">
        <v>2497</v>
      </c>
      <c r="O170" s="794" t="s">
        <v>6700</v>
      </c>
      <c r="P170" s="792"/>
      <c r="Q170" s="794"/>
      <c r="R170" s="794"/>
      <c r="S170" s="794" t="s">
        <v>2606</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4" t="s">
        <v>6374</v>
      </c>
      <c r="B171" s="929" t="s">
        <v>6701</v>
      </c>
      <c r="C171" s="866" t="s">
        <v>6702</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20"/>
      <c r="BD171" s="920"/>
      <c r="BE171" s="840"/>
      <c r="BF171" s="835"/>
      <c r="BG171" s="835"/>
      <c r="BH171" s="920"/>
      <c r="BI171" s="920"/>
      <c r="BJ171" s="920"/>
    </row>
    <row r="172" ht="15.75" customHeight="1">
      <c r="A172" s="921"/>
      <c r="B172" s="922" t="s">
        <v>6704</v>
      </c>
      <c r="C172" s="866" t="s">
        <v>6705</v>
      </c>
      <c r="D172" s="794" t="s">
        <v>1593</v>
      </c>
      <c r="E172" s="794" t="s">
        <v>6705</v>
      </c>
      <c r="F172" s="788" t="s">
        <v>1371</v>
      </c>
      <c r="G172" s="794" t="s">
        <v>2996</v>
      </c>
      <c r="H172" s="886" t="s">
        <v>3107</v>
      </c>
      <c r="I172" s="794" t="s">
        <v>1458</v>
      </c>
      <c r="J172" s="794" t="s">
        <v>2059</v>
      </c>
      <c r="K172" s="794" t="s">
        <v>5286</v>
      </c>
      <c r="L172" s="794" t="s">
        <v>868</v>
      </c>
      <c r="M172" s="794" t="s">
        <v>2816</v>
      </c>
      <c r="N172" s="794" t="s">
        <v>1840</v>
      </c>
      <c r="O172" s="794" t="s">
        <v>4731</v>
      </c>
      <c r="P172" s="792" t="s">
        <v>1840</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1"/>
      <c r="B173" s="922" t="s">
        <v>6707</v>
      </c>
      <c r="C173" s="866" t="s">
        <v>3903</v>
      </c>
      <c r="D173" s="794"/>
      <c r="E173" s="794" t="s">
        <v>3903</v>
      </c>
      <c r="F173" s="803"/>
      <c r="G173" s="794"/>
      <c r="H173" s="790"/>
      <c r="I173" s="794" t="s">
        <v>5228</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20"/>
      <c r="BD173" s="920"/>
      <c r="BE173" s="794"/>
      <c r="BF173" s="835"/>
      <c r="BG173" s="835"/>
      <c r="BH173" s="920"/>
      <c r="BI173" s="920"/>
      <c r="BJ173" s="920"/>
    </row>
    <row r="174" ht="15.75" customHeight="1">
      <c r="A174" s="924" t="s">
        <v>6708</v>
      </c>
      <c r="B174" s="929" t="s">
        <v>6494</v>
      </c>
      <c r="C174" s="866" t="s">
        <v>3930</v>
      </c>
      <c r="D174" s="928"/>
      <c r="E174" s="928"/>
      <c r="F174" s="803"/>
      <c r="G174" s="928"/>
      <c r="H174" s="930" t="s">
        <v>2958</v>
      </c>
      <c r="I174" s="928"/>
      <c r="J174" s="928"/>
      <c r="K174" s="928"/>
      <c r="L174" s="928" t="s">
        <v>2857</v>
      </c>
      <c r="M174" s="928"/>
      <c r="N174" s="928"/>
      <c r="O174" s="928"/>
      <c r="P174" s="809"/>
      <c r="Q174" s="928"/>
      <c r="R174" s="928"/>
      <c r="S174" s="928"/>
      <c r="T174" s="928"/>
      <c r="U174" s="928"/>
      <c r="V174" s="928"/>
      <c r="W174" s="928"/>
      <c r="X174" s="928"/>
      <c r="Y174" s="928"/>
      <c r="Z174" s="928" t="s">
        <v>3166</v>
      </c>
      <c r="AA174" s="928"/>
      <c r="AB174" s="928"/>
      <c r="AC174" s="928"/>
      <c r="AD174" s="928"/>
      <c r="AE174" s="928"/>
      <c r="AF174" s="928"/>
      <c r="AG174" s="928"/>
      <c r="AH174" s="928"/>
      <c r="AI174" s="928"/>
      <c r="AJ174" s="928"/>
      <c r="AK174" s="928"/>
      <c r="AL174" s="928"/>
      <c r="AM174" s="928"/>
      <c r="AN174" s="928"/>
      <c r="AO174" s="928"/>
      <c r="AP174" s="835"/>
      <c r="AQ174" s="928"/>
      <c r="AR174" s="928"/>
      <c r="AS174" s="928"/>
      <c r="AT174" s="928"/>
      <c r="AU174" s="928"/>
      <c r="AV174" s="928"/>
      <c r="AW174" s="928"/>
      <c r="AX174" s="928"/>
      <c r="AY174" s="928"/>
      <c r="AZ174" s="928"/>
      <c r="BA174" s="928"/>
      <c r="BB174" s="928"/>
      <c r="BC174" s="796"/>
      <c r="BD174" s="796"/>
      <c r="BE174" s="928"/>
      <c r="BF174" s="835"/>
      <c r="BG174" s="835"/>
      <c r="BH174" s="796"/>
      <c r="BI174" s="796"/>
      <c r="BJ174" s="796"/>
    </row>
    <row r="175" ht="15.75" customHeight="1">
      <c r="A175" s="921"/>
      <c r="B175" s="922" t="s">
        <v>6709</v>
      </c>
      <c r="C175" s="866" t="s">
        <v>5097</v>
      </c>
      <c r="D175" s="931" t="s">
        <v>199</v>
      </c>
      <c r="E175" s="794" t="s">
        <v>5097</v>
      </c>
      <c r="F175" s="788" t="s">
        <v>199</v>
      </c>
      <c r="G175" s="794"/>
      <c r="H175" s="790"/>
      <c r="I175" s="794"/>
      <c r="J175" s="794"/>
      <c r="K175" s="794"/>
      <c r="L175" s="794"/>
      <c r="M175" s="794"/>
      <c r="N175" s="794"/>
      <c r="O175" s="794"/>
      <c r="P175" s="792"/>
      <c r="Q175" s="794"/>
      <c r="R175" s="794"/>
      <c r="S175" s="794" t="s">
        <v>1989</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20"/>
      <c r="BD175" s="920"/>
      <c r="BE175" s="794"/>
      <c r="BF175" s="835"/>
      <c r="BG175" s="835"/>
      <c r="BH175" s="920"/>
      <c r="BI175" s="920"/>
      <c r="BJ175" s="920"/>
    </row>
    <row r="176" ht="15.75" customHeight="1">
      <c r="A176" s="924" t="s">
        <v>6710</v>
      </c>
      <c r="B176" s="929" t="s">
        <v>6494</v>
      </c>
      <c r="C176" s="866" t="s">
        <v>6711</v>
      </c>
      <c r="D176" s="928"/>
      <c r="E176" s="928"/>
      <c r="F176" s="803"/>
      <c r="G176" s="928" t="s">
        <v>6711</v>
      </c>
      <c r="H176" s="926" t="s">
        <v>6712</v>
      </c>
      <c r="I176" s="928"/>
      <c r="J176" s="928" t="s">
        <v>6713</v>
      </c>
      <c r="K176" s="928"/>
      <c r="L176" s="928"/>
      <c r="M176" s="928"/>
      <c r="N176" s="928"/>
      <c r="O176" s="928"/>
      <c r="P176" s="809"/>
      <c r="Q176" s="928"/>
      <c r="R176" s="928"/>
      <c r="S176" s="928"/>
      <c r="T176" s="928"/>
      <c r="U176" s="928"/>
      <c r="V176" s="928"/>
      <c r="W176" s="928" t="s">
        <v>6695</v>
      </c>
      <c r="X176" s="928"/>
      <c r="Y176" s="928"/>
      <c r="Z176" s="928"/>
      <c r="AA176" s="928"/>
      <c r="AB176" s="928"/>
      <c r="AC176" s="928"/>
      <c r="AD176" s="928"/>
      <c r="AE176" s="928"/>
      <c r="AF176" s="928"/>
      <c r="AG176" s="928"/>
      <c r="AH176" s="928"/>
      <c r="AI176" s="928"/>
      <c r="AJ176" s="928"/>
      <c r="AK176" s="928"/>
      <c r="AL176" s="928"/>
      <c r="AM176" s="928"/>
      <c r="AN176" s="928"/>
      <c r="AO176" s="928"/>
      <c r="AP176" s="835"/>
      <c r="AQ176" s="928"/>
      <c r="AR176" s="928"/>
      <c r="AS176" s="928"/>
      <c r="AT176" s="928"/>
      <c r="AU176" s="928"/>
      <c r="AV176" s="928"/>
      <c r="AW176" s="928"/>
      <c r="AX176" s="928"/>
      <c r="AY176" s="928"/>
      <c r="AZ176" s="928"/>
      <c r="BA176" s="928"/>
      <c r="BB176" s="928"/>
      <c r="BC176" s="796"/>
      <c r="BD176" s="796"/>
      <c r="BE176" s="928"/>
      <c r="BF176" s="835"/>
      <c r="BG176" s="835"/>
      <c r="BH176" s="796"/>
      <c r="BI176" s="796"/>
      <c r="BJ176" s="796"/>
    </row>
    <row r="177" ht="15.75" customHeight="1">
      <c r="A177" s="932"/>
      <c r="B177" s="933" t="s">
        <v>6709</v>
      </c>
      <c r="C177" s="866"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20"/>
      <c r="BD177" s="920"/>
      <c r="BE177" s="791"/>
      <c r="BF177" s="851"/>
      <c r="BG177" s="851"/>
      <c r="BH177" s="920"/>
      <c r="BI177" s="920"/>
      <c r="BJ177" s="920"/>
    </row>
    <row r="178" ht="15.75" customHeight="1">
      <c r="A178" s="924" t="s">
        <v>6404</v>
      </c>
      <c r="B178" s="929" t="s">
        <v>6358</v>
      </c>
      <c r="C178" s="866" t="str">
        <f>HYPERLINK("https://www.youtube.com/watch?v=_HQgQjbTLjM","1:11.32")</f>
        <v>1:11.32</v>
      </c>
      <c r="D178" s="799" t="s">
        <v>1598</v>
      </c>
      <c r="E178" s="928"/>
      <c r="F178" s="788" t="s">
        <v>1377</v>
      </c>
      <c r="G178" s="928"/>
      <c r="H178" s="923"/>
      <c r="I178" s="928" t="s">
        <v>1474</v>
      </c>
      <c r="J178" s="928" t="s">
        <v>6717</v>
      </c>
      <c r="K178" s="928" t="s">
        <v>3515</v>
      </c>
      <c r="L178" s="928" t="s">
        <v>877</v>
      </c>
      <c r="M178" s="928" t="s">
        <v>886</v>
      </c>
      <c r="N178" s="928"/>
      <c r="O178" s="928"/>
      <c r="P178" s="809"/>
      <c r="Q178" s="928"/>
      <c r="R178" s="928"/>
      <c r="S178" s="928"/>
      <c r="T178" s="928"/>
      <c r="U178" s="928"/>
      <c r="V178" s="928"/>
      <c r="W178" s="928"/>
      <c r="X178" s="928"/>
      <c r="Y178" s="928"/>
      <c r="Z178" s="928"/>
      <c r="AA178" s="928"/>
      <c r="AB178" s="928"/>
      <c r="AC178" s="928"/>
      <c r="AD178" s="928"/>
      <c r="AE178" s="928"/>
      <c r="AF178" s="928"/>
      <c r="AG178" s="928"/>
      <c r="AH178" s="928"/>
      <c r="AI178" s="928"/>
      <c r="AJ178" s="928"/>
      <c r="AK178" s="928"/>
      <c r="AL178" s="928"/>
      <c r="AM178" s="928"/>
      <c r="AN178" s="928"/>
      <c r="AO178" s="928"/>
      <c r="AP178" s="835"/>
      <c r="AQ178" s="928"/>
      <c r="AR178" s="928"/>
      <c r="AS178" s="928"/>
      <c r="AT178" s="928"/>
      <c r="AU178" s="928"/>
      <c r="AV178" s="928"/>
      <c r="AW178" s="928"/>
      <c r="AX178" s="928"/>
      <c r="AY178" s="928"/>
      <c r="AZ178" s="928"/>
      <c r="BA178" s="928"/>
      <c r="BB178" s="928"/>
      <c r="BC178" s="796"/>
      <c r="BD178" s="796"/>
      <c r="BE178" s="928"/>
      <c r="BF178" s="835"/>
      <c r="BG178" s="835"/>
      <c r="BH178" s="796"/>
      <c r="BI178" s="796"/>
      <c r="BJ178" s="796"/>
    </row>
    <row r="179" ht="15.75" customHeight="1">
      <c r="A179" s="924" t="s">
        <v>6407</v>
      </c>
      <c r="B179" s="929" t="s">
        <v>6358</v>
      </c>
      <c r="C179" s="866" t="s">
        <v>321</v>
      </c>
      <c r="D179" s="824" t="s">
        <v>6718</v>
      </c>
      <c r="E179" s="928"/>
      <c r="F179" s="803"/>
      <c r="G179" s="928"/>
      <c r="H179" s="790"/>
      <c r="I179" s="928"/>
      <c r="J179" s="928" t="s">
        <v>321</v>
      </c>
      <c r="K179" s="928"/>
      <c r="L179" s="928"/>
      <c r="M179" s="928"/>
      <c r="N179" s="928"/>
      <c r="O179" s="928"/>
      <c r="P179" s="809"/>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5"/>
      <c r="AQ179" s="928"/>
      <c r="AR179" s="928"/>
      <c r="AS179" s="928"/>
      <c r="AT179" s="928"/>
      <c r="AU179" s="928"/>
      <c r="AV179" s="928"/>
      <c r="AW179" s="928"/>
      <c r="AX179" s="928"/>
      <c r="AY179" s="928"/>
      <c r="AZ179" s="928"/>
      <c r="BA179" s="928"/>
      <c r="BB179" s="928"/>
      <c r="BC179" s="920"/>
      <c r="BD179" s="920"/>
      <c r="BE179" s="928"/>
      <c r="BF179" s="835"/>
      <c r="BG179" s="835"/>
      <c r="BH179" s="920"/>
      <c r="BI179" s="920"/>
      <c r="BJ179" s="920"/>
    </row>
    <row r="180" ht="15.75" customHeight="1">
      <c r="A180" s="924" t="s">
        <v>6719</v>
      </c>
      <c r="B180" s="929" t="s">
        <v>6720</v>
      </c>
      <c r="C180" s="866" t="s">
        <v>6721</v>
      </c>
      <c r="D180" s="928"/>
      <c r="E180" s="928"/>
      <c r="F180" s="803"/>
      <c r="G180" s="928"/>
      <c r="H180" s="923"/>
      <c r="I180" s="928"/>
      <c r="J180" s="928" t="s">
        <v>6721</v>
      </c>
      <c r="K180" s="928"/>
      <c r="L180" s="928"/>
      <c r="M180" s="928"/>
      <c r="N180" s="928"/>
      <c r="O180" s="928"/>
      <c r="P180" s="809"/>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5"/>
      <c r="AQ180" s="928"/>
      <c r="AR180" s="928"/>
      <c r="AS180" s="928"/>
      <c r="AT180" s="928"/>
      <c r="AU180" s="928"/>
      <c r="AV180" s="928"/>
      <c r="AW180" s="928"/>
      <c r="AX180" s="928"/>
      <c r="AY180" s="928"/>
      <c r="AZ180" s="928"/>
      <c r="BA180" s="928"/>
      <c r="BB180" s="928"/>
      <c r="BC180" s="796"/>
      <c r="BD180" s="796"/>
      <c r="BE180" s="928"/>
      <c r="BF180" s="835"/>
      <c r="BG180" s="835"/>
      <c r="BH180" s="796"/>
      <c r="BI180" s="796"/>
      <c r="BJ180" s="796"/>
    </row>
    <row r="181" ht="15.75" customHeight="1">
      <c r="A181" s="932"/>
      <c r="B181" s="933" t="s">
        <v>6722</v>
      </c>
      <c r="C181" s="866" t="s">
        <v>2448</v>
      </c>
      <c r="D181" s="928"/>
      <c r="E181" s="928"/>
      <c r="F181" s="803"/>
      <c r="G181" s="928"/>
      <c r="H181" s="790"/>
      <c r="I181" s="928"/>
      <c r="J181" s="928" t="s">
        <v>2448</v>
      </c>
      <c r="K181" s="928"/>
      <c r="L181" s="928"/>
      <c r="M181" s="928"/>
      <c r="N181" s="928"/>
      <c r="O181" s="928"/>
      <c r="P181" s="809"/>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5"/>
      <c r="AQ181" s="928"/>
      <c r="AR181" s="928"/>
      <c r="AS181" s="928"/>
      <c r="AT181" s="928"/>
      <c r="AU181" s="928"/>
      <c r="AV181" s="928"/>
      <c r="AW181" s="928"/>
      <c r="AX181" s="928"/>
      <c r="AY181" s="928"/>
      <c r="AZ181" s="928"/>
      <c r="BA181" s="928"/>
      <c r="BB181" s="928"/>
      <c r="BC181" s="920"/>
      <c r="BD181" s="920"/>
      <c r="BE181" s="928"/>
      <c r="BF181" s="835"/>
      <c r="BG181" s="835"/>
      <c r="BH181" s="920"/>
      <c r="BI181" s="920"/>
      <c r="BJ181" s="920"/>
    </row>
    <row r="182" ht="15.75" customHeight="1">
      <c r="A182" s="918" t="s">
        <v>6383</v>
      </c>
      <c r="B182" s="927" t="s">
        <v>6723</v>
      </c>
      <c r="C182" s="866" t="s">
        <v>2608</v>
      </c>
      <c r="D182" s="928"/>
      <c r="E182" s="928"/>
      <c r="F182" s="788" t="s">
        <v>6724</v>
      </c>
      <c r="G182" s="928"/>
      <c r="H182" s="923"/>
      <c r="I182" s="928"/>
      <c r="J182" s="928"/>
      <c r="K182" s="928"/>
      <c r="L182" s="928"/>
      <c r="M182" s="928"/>
      <c r="N182" s="928" t="s">
        <v>4526</v>
      </c>
      <c r="O182" s="928"/>
      <c r="P182" s="809"/>
      <c r="Q182" s="928"/>
      <c r="R182" s="928"/>
      <c r="S182" s="928"/>
      <c r="T182" s="928"/>
      <c r="U182" s="928" t="s">
        <v>257</v>
      </c>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5"/>
      <c r="AQ182" s="928"/>
      <c r="AR182" s="928"/>
      <c r="AS182" s="928"/>
      <c r="AT182" s="928"/>
      <c r="AU182" s="928"/>
      <c r="AV182" s="928"/>
      <c r="AW182" s="928"/>
      <c r="AX182" s="928"/>
      <c r="AY182" s="928"/>
      <c r="AZ182" s="928"/>
      <c r="BA182" s="928"/>
      <c r="BB182" s="928"/>
      <c r="BC182" s="920"/>
      <c r="BD182" s="920"/>
      <c r="BE182" s="928"/>
      <c r="BF182" s="835"/>
      <c r="BG182" s="835"/>
      <c r="BH182" s="920"/>
      <c r="BI182" s="920"/>
      <c r="BJ182" s="920"/>
    </row>
    <row r="183" ht="15.75" customHeight="1">
      <c r="A183" s="921"/>
      <c r="B183" s="922" t="s">
        <v>6725</v>
      </c>
      <c r="C183" s="866" t="s">
        <v>820</v>
      </c>
      <c r="D183" s="928" t="s">
        <v>3416</v>
      </c>
      <c r="E183" s="928"/>
      <c r="F183" s="803"/>
      <c r="G183" s="928"/>
      <c r="H183" s="811" t="s">
        <v>6726</v>
      </c>
      <c r="I183" s="928" t="s">
        <v>6160</v>
      </c>
      <c r="J183" s="928"/>
      <c r="K183" s="928" t="s">
        <v>3144</v>
      </c>
      <c r="L183" s="928"/>
      <c r="M183" s="928"/>
      <c r="N183" s="928" t="s">
        <v>6727</v>
      </c>
      <c r="O183" s="928"/>
      <c r="P183" s="809"/>
      <c r="Q183" s="928"/>
      <c r="R183" s="928"/>
      <c r="S183" s="928"/>
      <c r="T183" s="928"/>
      <c r="U183" s="928"/>
      <c r="V183" s="928"/>
      <c r="W183" s="928"/>
      <c r="X183" s="928"/>
      <c r="Y183" s="928"/>
      <c r="Z183" s="928"/>
      <c r="AA183" s="928"/>
      <c r="AB183" s="928"/>
      <c r="AC183" s="928"/>
      <c r="AD183" s="928"/>
      <c r="AE183" s="928"/>
      <c r="AF183" s="928"/>
      <c r="AG183" s="928" t="s">
        <v>4564</v>
      </c>
      <c r="AH183" s="928"/>
      <c r="AI183" s="928"/>
      <c r="AJ183" s="928"/>
      <c r="AK183" s="928"/>
      <c r="AL183" s="928"/>
      <c r="AM183" s="928"/>
      <c r="AN183" s="928"/>
      <c r="AO183" s="928"/>
      <c r="AP183" s="835"/>
      <c r="AQ183" s="928"/>
      <c r="AR183" s="928"/>
      <c r="AS183" s="928" t="s">
        <v>3194</v>
      </c>
      <c r="AT183" s="928"/>
      <c r="AU183" s="928"/>
      <c r="AV183" s="928"/>
      <c r="AW183" s="928"/>
      <c r="AX183" s="928"/>
      <c r="AY183" s="928"/>
      <c r="AZ183" s="928"/>
      <c r="BA183" s="928"/>
      <c r="BB183" s="928"/>
      <c r="BC183" s="796"/>
      <c r="BD183" s="796"/>
      <c r="BE183" s="928"/>
      <c r="BF183" s="835"/>
      <c r="BG183" s="835"/>
      <c r="BH183" s="796"/>
      <c r="BI183" s="796"/>
      <c r="BJ183" s="796"/>
    </row>
    <row r="184" ht="15.75" customHeight="1">
      <c r="A184" s="921"/>
      <c r="B184" s="922" t="s">
        <v>6728</v>
      </c>
      <c r="C184" s="866" t="s">
        <v>493</v>
      </c>
      <c r="D184" s="794" t="s">
        <v>2752</v>
      </c>
      <c r="E184" s="928"/>
      <c r="F184" s="788" t="s">
        <v>627</v>
      </c>
      <c r="G184" s="928" t="s">
        <v>784</v>
      </c>
      <c r="H184" s="926" t="s">
        <v>1709</v>
      </c>
      <c r="I184" s="928"/>
      <c r="J184" s="928" t="s">
        <v>5517</v>
      </c>
      <c r="K184" s="928"/>
      <c r="L184" s="928" t="s">
        <v>869</v>
      </c>
      <c r="M184" s="928"/>
      <c r="N184" s="928"/>
      <c r="O184" s="928" t="s">
        <v>1029</v>
      </c>
      <c r="P184" s="809"/>
      <c r="Q184" s="928" t="s">
        <v>6286</v>
      </c>
      <c r="R184" s="928"/>
      <c r="S184" s="928"/>
      <c r="T184" s="928" t="s">
        <v>493</v>
      </c>
      <c r="U184" s="928" t="s">
        <v>582</v>
      </c>
      <c r="V184" s="928"/>
      <c r="W184" s="928"/>
      <c r="X184" s="928"/>
      <c r="Y184" s="928" t="s">
        <v>1522</v>
      </c>
      <c r="Z184" s="928"/>
      <c r="AA184" s="928"/>
      <c r="AB184" s="928"/>
      <c r="AC184" s="928"/>
      <c r="AD184" s="928"/>
      <c r="AE184" s="928"/>
      <c r="AF184" s="928"/>
      <c r="AG184" s="928"/>
      <c r="AH184" s="928"/>
      <c r="AI184" s="928"/>
      <c r="AJ184" s="928"/>
      <c r="AK184" s="928"/>
      <c r="AL184" s="928"/>
      <c r="AM184" s="928"/>
      <c r="AN184" s="928"/>
      <c r="AO184" s="928"/>
      <c r="AP184" s="835"/>
      <c r="AQ184" s="928"/>
      <c r="AR184" s="928"/>
      <c r="AS184" s="928"/>
      <c r="AT184" s="928"/>
      <c r="AU184" s="928"/>
      <c r="AV184" s="928"/>
      <c r="AW184" s="928"/>
      <c r="AX184" s="928"/>
      <c r="AY184" s="928"/>
      <c r="AZ184" s="928"/>
      <c r="BA184" s="928"/>
      <c r="BB184" s="928"/>
      <c r="BC184" s="920"/>
      <c r="BD184" s="920"/>
      <c r="BE184" s="928"/>
      <c r="BF184" s="835"/>
      <c r="BG184" s="835"/>
      <c r="BH184" s="920"/>
      <c r="BI184" s="920"/>
      <c r="BJ184" s="920"/>
    </row>
    <row r="185" ht="15.75" customHeight="1">
      <c r="A185" s="924" t="s">
        <v>6374</v>
      </c>
      <c r="B185" s="929" t="s">
        <v>6729</v>
      </c>
      <c r="C185" s="866"/>
      <c r="D185" s="928"/>
      <c r="E185" s="928"/>
      <c r="F185" s="803"/>
      <c r="G185" s="928"/>
      <c r="H185" s="790"/>
      <c r="I185" s="928"/>
      <c r="J185" s="928"/>
      <c r="K185" s="928"/>
      <c r="L185" s="928"/>
      <c r="M185" s="928"/>
      <c r="N185" s="928"/>
      <c r="O185" s="928"/>
      <c r="P185" s="809"/>
      <c r="Q185" s="928"/>
      <c r="R185" s="928"/>
      <c r="S185" s="928"/>
      <c r="T185" s="928"/>
      <c r="U185" s="928"/>
      <c r="V185" s="928"/>
      <c r="W185" s="928"/>
      <c r="X185" s="928"/>
      <c r="Y185" s="928"/>
      <c r="Z185" s="928"/>
      <c r="AA185" s="928"/>
      <c r="AB185" s="928"/>
      <c r="AC185" s="928"/>
      <c r="AD185" s="928"/>
      <c r="AE185" s="928"/>
      <c r="AF185" s="928"/>
      <c r="AG185" s="928"/>
      <c r="AH185" s="928"/>
      <c r="AI185" s="928"/>
      <c r="AJ185" s="928"/>
      <c r="AK185" s="928"/>
      <c r="AL185" s="928"/>
      <c r="AM185" s="928"/>
      <c r="AN185" s="928"/>
      <c r="AO185" s="928"/>
      <c r="AP185" s="835"/>
      <c r="AQ185" s="928"/>
      <c r="AR185" s="928"/>
      <c r="AS185" s="928"/>
      <c r="AT185" s="928"/>
      <c r="AU185" s="928"/>
      <c r="AV185" s="928"/>
      <c r="AW185" s="928"/>
      <c r="AX185" s="928"/>
      <c r="AY185" s="928"/>
      <c r="AZ185" s="928"/>
      <c r="BA185" s="928"/>
      <c r="BB185" s="928"/>
      <c r="BC185" s="796"/>
      <c r="BD185" s="796"/>
      <c r="BE185" s="928"/>
      <c r="BF185" s="835"/>
      <c r="BG185" s="835"/>
      <c r="BH185" s="796"/>
      <c r="BI185" s="796"/>
      <c r="BJ185" s="796"/>
    </row>
    <row r="186" ht="15.75" customHeight="1">
      <c r="A186" s="921"/>
      <c r="B186" s="922" t="s">
        <v>6730</v>
      </c>
      <c r="C186" s="866" t="s">
        <v>6731</v>
      </c>
      <c r="D186" s="928"/>
      <c r="E186" s="928"/>
      <c r="F186" s="803"/>
      <c r="G186" s="928"/>
      <c r="H186" s="923"/>
      <c r="I186" s="928"/>
      <c r="J186" s="928"/>
      <c r="K186" s="928"/>
      <c r="L186" s="928"/>
      <c r="M186" s="928"/>
      <c r="N186" s="928"/>
      <c r="O186" s="928"/>
      <c r="P186" s="809"/>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5"/>
      <c r="AQ186" s="928"/>
      <c r="AR186" s="928"/>
      <c r="AS186" s="928"/>
      <c r="AT186" s="928"/>
      <c r="AU186" s="928"/>
      <c r="AV186" s="928"/>
      <c r="AW186" s="928"/>
      <c r="AX186" s="928"/>
      <c r="AY186" s="928"/>
      <c r="AZ186" s="928"/>
      <c r="BA186" s="928"/>
      <c r="BB186" s="928"/>
      <c r="BC186" s="920"/>
      <c r="BD186" s="920"/>
      <c r="BE186" s="928"/>
      <c r="BF186" s="835"/>
      <c r="BG186" s="835"/>
      <c r="BH186" s="920"/>
      <c r="BI186" s="920"/>
      <c r="BJ186" s="920"/>
    </row>
    <row r="187" ht="15.75" customHeight="1">
      <c r="A187" s="921"/>
      <c r="B187" s="922" t="s">
        <v>6732</v>
      </c>
      <c r="C187" s="866" t="s">
        <v>6733</v>
      </c>
      <c r="D187" s="928" t="s">
        <v>1546</v>
      </c>
      <c r="E187" s="928"/>
      <c r="F187" s="803"/>
      <c r="G187" s="928"/>
      <c r="H187" s="811" t="s">
        <v>6734</v>
      </c>
      <c r="I187" s="928"/>
      <c r="J187" s="928"/>
      <c r="K187" s="928"/>
      <c r="L187" s="928"/>
      <c r="M187" s="928"/>
      <c r="N187" s="928"/>
      <c r="O187" s="928"/>
      <c r="P187" s="809"/>
      <c r="Q187" s="928"/>
      <c r="R187" s="928"/>
      <c r="S187" s="928"/>
      <c r="T187" s="928"/>
      <c r="U187" s="928"/>
      <c r="V187" s="928"/>
      <c r="W187" s="928" t="s">
        <v>1546</v>
      </c>
      <c r="X187" s="928"/>
      <c r="Y187" s="928"/>
      <c r="Z187" s="928"/>
      <c r="AA187" s="928"/>
      <c r="AB187" s="928"/>
      <c r="AC187" s="928" t="s">
        <v>1975</v>
      </c>
      <c r="AD187" s="928"/>
      <c r="AE187" s="928"/>
      <c r="AF187" s="928"/>
      <c r="AG187" s="928"/>
      <c r="AH187" s="928"/>
      <c r="AI187" s="928"/>
      <c r="AJ187" s="928"/>
      <c r="AK187" s="928"/>
      <c r="AL187" s="928"/>
      <c r="AM187" s="928"/>
      <c r="AN187" s="928"/>
      <c r="AO187" s="928"/>
      <c r="AP187" s="835"/>
      <c r="AQ187" s="928"/>
      <c r="AR187" s="928"/>
      <c r="AS187" s="928"/>
      <c r="AT187" s="928"/>
      <c r="AU187" s="928"/>
      <c r="AV187" s="928"/>
      <c r="AW187" s="928"/>
      <c r="AX187" s="928"/>
      <c r="AY187" s="928"/>
      <c r="AZ187" s="928"/>
      <c r="BA187" s="928"/>
      <c r="BB187" s="928"/>
      <c r="BC187" s="796"/>
      <c r="BD187" s="796"/>
      <c r="BE187" s="928"/>
      <c r="BF187" s="835"/>
      <c r="BG187" s="835"/>
      <c r="BH187" s="796"/>
      <c r="BI187" s="796"/>
      <c r="BJ187" s="796"/>
    </row>
    <row r="188" ht="15.75" customHeight="1">
      <c r="A188" s="921"/>
      <c r="B188" s="922" t="s">
        <v>6735</v>
      </c>
      <c r="C188" s="866" t="s">
        <v>2230</v>
      </c>
      <c r="D188" s="824" t="s">
        <v>6736</v>
      </c>
      <c r="E188" s="928"/>
      <c r="F188" s="803"/>
      <c r="G188" s="928" t="s">
        <v>2987</v>
      </c>
      <c r="H188" s="926" t="s">
        <v>584</v>
      </c>
      <c r="I188" s="928"/>
      <c r="J188" s="928"/>
      <c r="K188" s="928"/>
      <c r="L188" s="928"/>
      <c r="M188" s="928"/>
      <c r="N188" s="928"/>
      <c r="O188" s="928"/>
      <c r="P188" s="809"/>
      <c r="Q188" s="928"/>
      <c r="R188" s="928"/>
      <c r="S188" s="928"/>
      <c r="T188" s="928" t="s">
        <v>2230</v>
      </c>
      <c r="U188" s="928"/>
      <c r="V188" s="928"/>
      <c r="W188" s="928"/>
      <c r="X188" s="928"/>
      <c r="Y188" s="928" t="s">
        <v>684</v>
      </c>
      <c r="Z188" s="928"/>
      <c r="AA188" s="928"/>
      <c r="AB188" s="867" t="s">
        <v>2230</v>
      </c>
      <c r="AC188" s="928"/>
      <c r="AD188" s="928" t="s">
        <v>1316</v>
      </c>
      <c r="AE188" s="928"/>
      <c r="AF188" s="928"/>
      <c r="AG188" s="928"/>
      <c r="AH188" s="928"/>
      <c r="AI188" s="928"/>
      <c r="AJ188" s="928"/>
      <c r="AK188" s="928"/>
      <c r="AL188" s="928"/>
      <c r="AM188" s="928"/>
      <c r="AN188" s="928"/>
      <c r="AO188" s="928"/>
      <c r="AP188" s="835"/>
      <c r="AQ188" s="928"/>
      <c r="AR188" s="928"/>
      <c r="AS188" s="928"/>
      <c r="AT188" s="928"/>
      <c r="AU188" s="928"/>
      <c r="AV188" s="928"/>
      <c r="AW188" s="928"/>
      <c r="AX188" s="928"/>
      <c r="AY188" s="928"/>
      <c r="AZ188" s="928"/>
      <c r="BA188" s="928"/>
      <c r="BB188" s="928"/>
      <c r="BC188" s="920"/>
      <c r="BD188" s="920"/>
      <c r="BE188" s="928"/>
      <c r="BF188" s="835"/>
      <c r="BG188" s="835"/>
      <c r="BH188" s="920"/>
      <c r="BI188" s="920"/>
      <c r="BJ188" s="920"/>
    </row>
    <row r="189" ht="15.75" customHeight="1">
      <c r="A189" s="918" t="s">
        <v>6500</v>
      </c>
      <c r="B189" s="934" t="s">
        <v>6737</v>
      </c>
      <c r="C189" s="866" t="s">
        <v>5342</v>
      </c>
      <c r="D189" s="928"/>
      <c r="E189" s="928"/>
      <c r="F189" s="788" t="s">
        <v>2841</v>
      </c>
      <c r="G189" s="928"/>
      <c r="H189" s="790"/>
      <c r="I189" s="928"/>
      <c r="J189" s="928"/>
      <c r="K189" s="928"/>
      <c r="L189" s="928"/>
      <c r="M189" s="928"/>
      <c r="N189" s="928"/>
      <c r="O189" s="928"/>
      <c r="P189" s="809"/>
      <c r="Q189" s="928"/>
      <c r="R189" s="928"/>
      <c r="S189" s="928"/>
      <c r="T189" s="928"/>
      <c r="U189" s="928"/>
      <c r="V189" s="928"/>
      <c r="W189" s="928"/>
      <c r="X189" s="928"/>
      <c r="Y189" s="928"/>
      <c r="Z189" s="928"/>
      <c r="AA189" s="928"/>
      <c r="AB189" s="928"/>
      <c r="AC189" s="928"/>
      <c r="AD189" s="928"/>
      <c r="AE189" s="928"/>
      <c r="AF189" s="928"/>
      <c r="AG189" s="928"/>
      <c r="AH189" s="928"/>
      <c r="AI189" s="928"/>
      <c r="AJ189" s="928"/>
      <c r="AK189" s="928"/>
      <c r="AL189" s="928"/>
      <c r="AM189" s="928"/>
      <c r="AN189" s="928"/>
      <c r="AO189" s="928"/>
      <c r="AP189" s="835"/>
      <c r="AQ189" s="928"/>
      <c r="AR189" s="928"/>
      <c r="AS189" s="928"/>
      <c r="AT189" s="928"/>
      <c r="AU189" s="928"/>
      <c r="AV189" s="928"/>
      <c r="AW189" s="928"/>
      <c r="AX189" s="928"/>
      <c r="AY189" s="928"/>
      <c r="AZ189" s="928"/>
      <c r="BA189" s="928"/>
      <c r="BB189" s="928"/>
      <c r="BC189" s="796"/>
      <c r="BD189" s="796"/>
      <c r="BE189" s="928"/>
      <c r="BF189" s="835"/>
      <c r="BG189" s="835"/>
      <c r="BH189" s="796"/>
      <c r="BI189" s="796"/>
      <c r="BJ189" s="796"/>
    </row>
    <row r="190" ht="15.75" customHeight="1">
      <c r="A190" s="921"/>
      <c r="B190" s="922" t="s">
        <v>6738</v>
      </c>
      <c r="C190" s="866" t="s">
        <v>5304</v>
      </c>
      <c r="D190" s="928" t="s">
        <v>5070</v>
      </c>
      <c r="E190" s="928"/>
      <c r="F190" s="788" t="s">
        <v>6302</v>
      </c>
      <c r="G190" s="928"/>
      <c r="H190" s="926" t="s">
        <v>654</v>
      </c>
      <c r="I190" s="928"/>
      <c r="J190" s="928"/>
      <c r="K190" s="928" t="s">
        <v>5534</v>
      </c>
      <c r="L190" s="928" t="s">
        <v>1675</v>
      </c>
      <c r="M190" s="928"/>
      <c r="N190" s="928" t="s">
        <v>4642</v>
      </c>
      <c r="O190" s="928"/>
      <c r="P190" s="809"/>
      <c r="Q190" s="928"/>
      <c r="R190" s="928"/>
      <c r="S190" s="928"/>
      <c r="T190" s="928" t="s">
        <v>3353</v>
      </c>
      <c r="U190" s="928" t="s">
        <v>6739</v>
      </c>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5"/>
      <c r="AQ190" s="928"/>
      <c r="AR190" s="928"/>
      <c r="AS190" s="928"/>
      <c r="AT190" s="928"/>
      <c r="AU190" s="928"/>
      <c r="AV190" s="928"/>
      <c r="AW190" s="928"/>
      <c r="AX190" s="928"/>
      <c r="AY190" s="928"/>
      <c r="AZ190" s="928"/>
      <c r="BA190" s="928"/>
      <c r="BB190" s="928"/>
      <c r="BC190" s="920"/>
      <c r="BD190" s="920"/>
      <c r="BE190" s="928"/>
      <c r="BF190" s="835"/>
      <c r="BG190" s="835"/>
      <c r="BH190" s="920"/>
      <c r="BI190" s="920"/>
      <c r="BJ190" s="920"/>
    </row>
    <row r="191" ht="15.75" customHeight="1">
      <c r="A191" s="921"/>
      <c r="B191" s="922" t="s">
        <v>6740</v>
      </c>
      <c r="C191" s="866" t="s">
        <v>1164</v>
      </c>
      <c r="D191" s="928"/>
      <c r="E191" s="928"/>
      <c r="F191" s="803"/>
      <c r="G191" s="928"/>
      <c r="H191" s="790"/>
      <c r="I191" s="928" t="s">
        <v>1164</v>
      </c>
      <c r="J191" s="928"/>
      <c r="K191" s="928"/>
      <c r="L191" s="928"/>
      <c r="M191" s="928"/>
      <c r="N191" s="928"/>
      <c r="O191" s="928"/>
      <c r="P191" s="809"/>
      <c r="Q191" s="928"/>
      <c r="R191" s="928"/>
      <c r="S191" s="928"/>
      <c r="T191" s="928"/>
      <c r="U191" s="928"/>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5"/>
      <c r="AQ191" s="928"/>
      <c r="AR191" s="928"/>
      <c r="AS191" s="928"/>
      <c r="AT191" s="928"/>
      <c r="AU191" s="928"/>
      <c r="AV191" s="928"/>
      <c r="AW191" s="928"/>
      <c r="AX191" s="928"/>
      <c r="AY191" s="928"/>
      <c r="AZ191" s="928"/>
      <c r="BA191" s="928"/>
      <c r="BB191" s="928"/>
      <c r="BC191" s="796"/>
      <c r="BD191" s="796"/>
      <c r="BE191" s="928"/>
      <c r="BF191" s="835"/>
      <c r="BG191" s="835"/>
      <c r="BH191" s="796"/>
      <c r="BI191" s="796"/>
      <c r="BJ191" s="796"/>
    </row>
    <row r="192" ht="15.75" customHeight="1">
      <c r="A192" s="921"/>
      <c r="B192" s="922" t="s">
        <v>6741</v>
      </c>
      <c r="C192" s="866" t="s">
        <v>366</v>
      </c>
      <c r="D192" s="791" t="s">
        <v>5670</v>
      </c>
      <c r="E192" s="789" t="s">
        <v>366</v>
      </c>
      <c r="F192" s="803"/>
      <c r="G192" s="791"/>
      <c r="H192" s="926"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20"/>
      <c r="BD192" s="920"/>
      <c r="BE192" s="791"/>
      <c r="BF192" s="835"/>
      <c r="BG192" s="835"/>
      <c r="BH192" s="920"/>
      <c r="BI192" s="920"/>
      <c r="BJ192" s="920"/>
    </row>
    <row r="193" ht="15.75" customHeight="1">
      <c r="A193" s="921"/>
      <c r="B193" s="922" t="s">
        <v>6742</v>
      </c>
      <c r="C193" s="866" t="s">
        <v>870</v>
      </c>
      <c r="D193" s="794" t="s">
        <v>160</v>
      </c>
      <c r="E193" s="824"/>
      <c r="F193" s="788" t="s">
        <v>1372</v>
      </c>
      <c r="G193" s="867" t="s">
        <v>6743</v>
      </c>
      <c r="H193" s="811" t="s">
        <v>3108</v>
      </c>
      <c r="I193" s="824"/>
      <c r="J193" s="824"/>
      <c r="K193" s="824"/>
      <c r="L193" s="867"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4" t="s">
        <v>6374</v>
      </c>
      <c r="B194" s="929" t="s">
        <v>6737</v>
      </c>
      <c r="C194" s="866" t="s">
        <v>1491</v>
      </c>
      <c r="D194" s="824"/>
      <c r="E194" s="824"/>
      <c r="F194" s="803"/>
      <c r="G194" s="824"/>
      <c r="H194" s="923"/>
      <c r="I194" s="824"/>
      <c r="J194" s="824" t="s">
        <v>5391</v>
      </c>
      <c r="K194" s="824"/>
      <c r="L194" s="824"/>
      <c r="M194" s="824"/>
      <c r="N194" s="824"/>
      <c r="O194" s="824"/>
      <c r="P194" s="825"/>
      <c r="Q194" s="824"/>
      <c r="R194" s="824"/>
      <c r="S194" s="824"/>
      <c r="T194" s="824"/>
      <c r="U194" s="824"/>
      <c r="V194" s="824"/>
      <c r="W194" s="867" t="s">
        <v>933</v>
      </c>
      <c r="X194" s="824"/>
      <c r="Y194" s="824"/>
      <c r="Z194" s="824"/>
      <c r="AA194" s="824"/>
      <c r="AB194" s="824"/>
      <c r="AC194" s="867"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20"/>
      <c r="BD194" s="920"/>
      <c r="BE194" s="824"/>
      <c r="BF194" s="835"/>
      <c r="BG194" s="835"/>
      <c r="BH194" s="920"/>
      <c r="BI194" s="920"/>
      <c r="BJ194" s="920"/>
    </row>
    <row r="195" ht="15.75" customHeight="1">
      <c r="A195" s="921"/>
      <c r="B195" s="922" t="s">
        <v>6738</v>
      </c>
      <c r="C195" s="866" t="s">
        <v>6746</v>
      </c>
      <c r="D195" s="824" t="s">
        <v>328</v>
      </c>
      <c r="E195" s="824" t="s">
        <v>3666</v>
      </c>
      <c r="F195" s="788" t="s">
        <v>6747</v>
      </c>
      <c r="G195" s="824"/>
      <c r="H195" s="790"/>
      <c r="I195" s="824" t="s">
        <v>6748</v>
      </c>
      <c r="J195" s="824"/>
      <c r="K195" s="824"/>
      <c r="L195" s="824" t="s">
        <v>3666</v>
      </c>
      <c r="M195" s="824"/>
      <c r="N195" s="824" t="s">
        <v>6749</v>
      </c>
      <c r="O195" s="824"/>
      <c r="P195" s="825" t="s">
        <v>3796</v>
      </c>
      <c r="Q195" s="824"/>
      <c r="R195" s="840" t="s">
        <v>6750</v>
      </c>
      <c r="S195" s="824"/>
      <c r="T195" s="824"/>
      <c r="U195" s="824" t="s">
        <v>3044</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1"/>
      <c r="B196" s="922" t="s">
        <v>6740</v>
      </c>
      <c r="C196" s="866" t="s">
        <v>4808</v>
      </c>
      <c r="D196" s="928"/>
      <c r="E196" s="928"/>
      <c r="F196" s="803"/>
      <c r="G196" s="928"/>
      <c r="H196" s="926" t="s">
        <v>4901</v>
      </c>
      <c r="I196" s="928" t="str">
        <f>HYPERLINK("https://youtu.be/hsc9lXHQpts","23.75")</f>
        <v>23.75</v>
      </c>
      <c r="J196" s="928"/>
      <c r="K196" s="928"/>
      <c r="L196" s="928"/>
      <c r="M196" s="928"/>
      <c r="N196" s="928"/>
      <c r="O196" s="928"/>
      <c r="P196" s="809"/>
      <c r="Q196" s="928"/>
      <c r="R196" s="928"/>
      <c r="S196" s="928"/>
      <c r="T196" s="928"/>
      <c r="U196" s="928"/>
      <c r="V196" s="928"/>
      <c r="W196" s="928" t="s">
        <v>4681</v>
      </c>
      <c r="X196" s="928"/>
      <c r="Y196" s="928"/>
      <c r="Z196" s="928"/>
      <c r="AA196" s="928"/>
      <c r="AB196" s="928"/>
      <c r="AC196" s="928" t="s">
        <v>540</v>
      </c>
      <c r="AD196" s="928"/>
      <c r="AE196" s="928"/>
      <c r="AF196" s="928"/>
      <c r="AG196" s="928"/>
      <c r="AH196" s="928"/>
      <c r="AI196" s="928"/>
      <c r="AJ196" s="928"/>
      <c r="AK196" s="928"/>
      <c r="AL196" s="928"/>
      <c r="AM196" s="928"/>
      <c r="AN196" s="928"/>
      <c r="AO196" s="928"/>
      <c r="AP196" s="835"/>
      <c r="AQ196" s="928"/>
      <c r="AR196" s="928"/>
      <c r="AS196" s="928"/>
      <c r="AT196" s="928"/>
      <c r="AU196" s="928"/>
      <c r="AV196" s="928"/>
      <c r="AW196" s="928"/>
      <c r="AX196" s="928"/>
      <c r="AY196" s="928"/>
      <c r="AZ196" s="928"/>
      <c r="BA196" s="928"/>
      <c r="BB196" s="928"/>
      <c r="BC196" s="920"/>
      <c r="BD196" s="920"/>
      <c r="BE196" s="928"/>
      <c r="BF196" s="835"/>
      <c r="BG196" s="835"/>
      <c r="BH196" s="920"/>
      <c r="BI196" s="920"/>
      <c r="BJ196" s="920"/>
    </row>
    <row r="197" ht="15.75" customHeight="1">
      <c r="A197" s="921"/>
      <c r="B197" s="922" t="s">
        <v>6741</v>
      </c>
      <c r="C197" s="866" t="s">
        <v>2755</v>
      </c>
      <c r="D197" s="794" t="s">
        <v>540</v>
      </c>
      <c r="E197" s="794" t="s">
        <v>2755</v>
      </c>
      <c r="F197" s="803"/>
      <c r="G197" s="794"/>
      <c r="H197" s="811" t="s">
        <v>6750</v>
      </c>
      <c r="I197" s="794" t="s">
        <v>1459</v>
      </c>
      <c r="J197" s="794" t="s">
        <v>6751</v>
      </c>
      <c r="K197" s="794" t="s">
        <v>4222</v>
      </c>
      <c r="L197" s="794"/>
      <c r="M197" s="794" t="s">
        <v>6752</v>
      </c>
      <c r="N197" s="794" t="s">
        <v>4491</v>
      </c>
      <c r="O197" s="794" t="s">
        <v>4740</v>
      </c>
      <c r="P197" s="789" t="s">
        <v>6753</v>
      </c>
      <c r="Q197" s="794"/>
      <c r="R197" s="789" t="s">
        <v>5707</v>
      </c>
      <c r="S197" s="794"/>
      <c r="T197" s="794"/>
      <c r="U197" s="794"/>
      <c r="V197" s="794" t="s">
        <v>2525</v>
      </c>
      <c r="W197" s="794" t="s">
        <v>6754</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5"/>
      <c r="B198" s="936" t="s">
        <v>6742</v>
      </c>
      <c r="C198" s="866" t="s">
        <v>2126</v>
      </c>
      <c r="D198" s="794" t="s">
        <v>1594</v>
      </c>
      <c r="E198" s="791"/>
      <c r="F198" s="803"/>
      <c r="G198" s="789" t="s">
        <v>2126</v>
      </c>
      <c r="H198" s="923"/>
      <c r="I198" s="791"/>
      <c r="J198" s="791"/>
      <c r="K198" s="791"/>
      <c r="L198" s="791"/>
      <c r="M198" s="791"/>
      <c r="N198" s="791"/>
      <c r="O198" s="791"/>
      <c r="P198" s="792"/>
      <c r="Q198" s="791"/>
      <c r="R198" s="791"/>
      <c r="S198" s="791"/>
      <c r="T198" s="789" t="s">
        <v>495</v>
      </c>
      <c r="U198" s="791"/>
      <c r="V198" s="791"/>
      <c r="W198" s="791"/>
      <c r="X198" s="791"/>
      <c r="Y198" s="789" t="s">
        <v>2126</v>
      </c>
      <c r="Z198" s="791"/>
      <c r="AA198" s="791"/>
      <c r="AB198" s="791" t="s">
        <v>2126</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20"/>
      <c r="BD198" s="920"/>
      <c r="BE198" s="791"/>
      <c r="BF198" s="835"/>
      <c r="BG198" s="835"/>
      <c r="BH198" s="920"/>
      <c r="BI198" s="920"/>
      <c r="BJ198" s="920"/>
    </row>
    <row r="199" ht="15.75" customHeight="1">
      <c r="A199" s="924" t="s">
        <v>6379</v>
      </c>
      <c r="B199" s="929" t="s">
        <v>6358</v>
      </c>
      <c r="C199" s="866" t="s">
        <v>980</v>
      </c>
      <c r="D199" s="791" t="s">
        <v>5797</v>
      </c>
      <c r="E199" s="789" t="s">
        <v>380</v>
      </c>
      <c r="F199" s="788" t="s">
        <v>6755</v>
      </c>
      <c r="G199" s="791" t="s">
        <v>2228</v>
      </c>
      <c r="H199" s="811" t="s">
        <v>6755</v>
      </c>
      <c r="I199" s="791"/>
      <c r="J199" s="791"/>
      <c r="K199" s="791"/>
      <c r="L199" s="791" t="s">
        <v>6756</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4" t="s">
        <v>6757</v>
      </c>
      <c r="B200" s="929" t="s">
        <v>6358</v>
      </c>
      <c r="C200" s="866" t="s">
        <v>6758</v>
      </c>
      <c r="D200" s="791"/>
      <c r="E200" s="789" t="s">
        <v>6758</v>
      </c>
      <c r="F200" s="803"/>
      <c r="G200" s="791" t="s">
        <v>6759</v>
      </c>
      <c r="H200" s="926"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20"/>
      <c r="BD200" s="920"/>
      <c r="BE200" s="791"/>
      <c r="BF200" s="851"/>
      <c r="BG200" s="851"/>
      <c r="BH200" s="920"/>
      <c r="BI200" s="920"/>
      <c r="BJ200" s="920"/>
    </row>
    <row r="201" ht="15.75" customHeight="1">
      <c r="A201" s="924" t="s">
        <v>6404</v>
      </c>
      <c r="B201" s="929" t="s">
        <v>6358</v>
      </c>
      <c r="C201" s="866"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4" t="s">
        <v>6407</v>
      </c>
      <c r="B202" s="929" t="s">
        <v>6358</v>
      </c>
      <c r="C202" s="866"/>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8" t="s">
        <v>6570</v>
      </c>
      <c r="B203" s="927" t="s">
        <v>6763</v>
      </c>
      <c r="C203" s="866" t="s">
        <v>6764</v>
      </c>
      <c r="D203" s="794" t="s">
        <v>1595</v>
      </c>
      <c r="E203" s="794" t="s">
        <v>6764</v>
      </c>
      <c r="F203" s="788" t="s">
        <v>1374</v>
      </c>
      <c r="G203" s="794" t="s">
        <v>1100</v>
      </c>
      <c r="H203" s="930" t="s">
        <v>3109</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20"/>
      <c r="BD203" s="920"/>
      <c r="BE203" s="794"/>
      <c r="BF203" s="835"/>
      <c r="BG203" s="835"/>
      <c r="BH203" s="920"/>
      <c r="BI203" s="920"/>
      <c r="BJ203" s="920"/>
    </row>
    <row r="204" ht="15.75" customHeight="1">
      <c r="A204" s="924" t="s">
        <v>6379</v>
      </c>
      <c r="B204" s="929" t="s">
        <v>6358</v>
      </c>
      <c r="C204" s="866" t="s">
        <v>4447</v>
      </c>
      <c r="D204" s="794" t="s">
        <v>3228</v>
      </c>
      <c r="E204" s="794" t="s">
        <v>4447</v>
      </c>
      <c r="F204" s="788" t="s">
        <v>897</v>
      </c>
      <c r="G204" s="794" t="s">
        <v>1053</v>
      </c>
      <c r="H204" s="811" t="s">
        <v>1787</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8" t="s">
        <v>6426</v>
      </c>
      <c r="B205" s="927" t="s">
        <v>6767</v>
      </c>
      <c r="C205" s="866"/>
      <c r="D205" s="928"/>
      <c r="E205" s="928"/>
      <c r="F205" s="803"/>
      <c r="G205" s="928"/>
      <c r="H205" s="926" t="s">
        <v>6486</v>
      </c>
      <c r="I205" s="928"/>
      <c r="J205" s="928"/>
      <c r="K205" s="928"/>
      <c r="L205" s="928"/>
      <c r="M205" s="928"/>
      <c r="N205" s="928"/>
      <c r="O205" s="928"/>
      <c r="P205" s="809"/>
      <c r="Q205" s="928"/>
      <c r="R205" s="928"/>
      <c r="S205" s="928"/>
      <c r="T205" s="928"/>
      <c r="U205" s="928"/>
      <c r="V205" s="928"/>
      <c r="W205" s="928"/>
      <c r="X205" s="928"/>
      <c r="Y205" s="928"/>
      <c r="Z205" s="928"/>
      <c r="AA205" s="928"/>
      <c r="AB205" s="928"/>
      <c r="AC205" s="928"/>
      <c r="AD205" s="928"/>
      <c r="AE205" s="928"/>
      <c r="AF205" s="928"/>
      <c r="AG205" s="928"/>
      <c r="AH205" s="928"/>
      <c r="AI205" s="928"/>
      <c r="AJ205" s="928"/>
      <c r="AK205" s="928"/>
      <c r="AL205" s="928"/>
      <c r="AM205" s="928"/>
      <c r="AN205" s="928"/>
      <c r="AO205" s="928"/>
      <c r="AP205" s="835"/>
      <c r="AQ205" s="928"/>
      <c r="AR205" s="928"/>
      <c r="AS205" s="928"/>
      <c r="AT205" s="928"/>
      <c r="AU205" s="928"/>
      <c r="AV205" s="928"/>
      <c r="AW205" s="928"/>
      <c r="AX205" s="928"/>
      <c r="AY205" s="928"/>
      <c r="AZ205" s="928"/>
      <c r="BA205" s="928"/>
      <c r="BB205" s="928"/>
      <c r="BC205" s="920"/>
      <c r="BD205" s="920"/>
      <c r="BE205" s="928"/>
      <c r="BF205" s="835"/>
      <c r="BG205" s="835"/>
      <c r="BH205" s="920"/>
      <c r="BI205" s="920"/>
      <c r="BJ205" s="920"/>
    </row>
    <row r="206" ht="15.75" customHeight="1">
      <c r="A206" s="921"/>
      <c r="B206" s="937" t="s">
        <v>6768</v>
      </c>
      <c r="C206" s="866"/>
      <c r="D206" s="928"/>
      <c r="E206" s="928"/>
      <c r="F206" s="803"/>
      <c r="G206" s="928" t="s">
        <v>6600</v>
      </c>
      <c r="H206" s="790"/>
      <c r="I206" s="928"/>
      <c r="J206" s="928"/>
      <c r="K206" s="928"/>
      <c r="L206" s="928"/>
      <c r="M206" s="928"/>
      <c r="N206" s="928"/>
      <c r="O206" s="928"/>
      <c r="P206" s="809"/>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5"/>
      <c r="AQ206" s="928"/>
      <c r="AR206" s="928"/>
      <c r="AS206" s="928"/>
      <c r="AT206" s="928"/>
      <c r="AU206" s="928"/>
      <c r="AV206" s="928"/>
      <c r="AW206" s="928"/>
      <c r="AX206" s="928"/>
      <c r="AY206" s="928"/>
      <c r="AZ206" s="928"/>
      <c r="BA206" s="928"/>
      <c r="BB206" s="928"/>
      <c r="BC206" s="920"/>
      <c r="BD206" s="920"/>
      <c r="BE206" s="928"/>
      <c r="BF206" s="835"/>
      <c r="BG206" s="835"/>
      <c r="BH206" s="920"/>
      <c r="BI206" s="920"/>
      <c r="BJ206" s="920"/>
    </row>
    <row r="207" ht="15.75" customHeight="1">
      <c r="A207" s="918" t="s">
        <v>6468</v>
      </c>
      <c r="B207" s="927" t="s">
        <v>6769</v>
      </c>
      <c r="C207" s="866" t="s">
        <v>1940</v>
      </c>
      <c r="D207" s="928" t="s">
        <v>4146</v>
      </c>
      <c r="E207" s="928"/>
      <c r="F207" s="788" t="s">
        <v>2892</v>
      </c>
      <c r="G207" s="928"/>
      <c r="H207" s="926" t="s">
        <v>6770</v>
      </c>
      <c r="I207" s="928"/>
      <c r="J207" s="928"/>
      <c r="K207" s="928" t="s">
        <v>1127</v>
      </c>
      <c r="L207" s="928"/>
      <c r="M207" s="928"/>
      <c r="N207" s="928" t="s">
        <v>6771</v>
      </c>
      <c r="O207" s="867" t="s">
        <v>6772</v>
      </c>
      <c r="P207" s="809" t="s">
        <v>6773</v>
      </c>
      <c r="Q207" s="928"/>
      <c r="R207" s="928" t="s">
        <v>975</v>
      </c>
      <c r="S207" s="928" t="s">
        <v>6773</v>
      </c>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5"/>
      <c r="AQ207" s="928"/>
      <c r="AR207" s="928"/>
      <c r="AS207" s="928"/>
      <c r="AT207" s="928"/>
      <c r="AU207" s="928"/>
      <c r="AV207" s="928"/>
      <c r="AW207" s="928"/>
      <c r="AX207" s="928"/>
      <c r="AY207" s="928"/>
      <c r="AZ207" s="928"/>
      <c r="BA207" s="928"/>
      <c r="BB207" s="928"/>
      <c r="BC207" s="920"/>
      <c r="BD207" s="920"/>
      <c r="BE207" s="928"/>
      <c r="BF207" s="835"/>
      <c r="BG207" s="835"/>
      <c r="BH207" s="920"/>
      <c r="BI207" s="920"/>
      <c r="BJ207" s="920"/>
    </row>
    <row r="208" ht="15.75" customHeight="1">
      <c r="A208" s="921"/>
      <c r="B208" s="922" t="s">
        <v>6774</v>
      </c>
      <c r="C208" s="866" t="s">
        <v>394</v>
      </c>
      <c r="D208" s="794" t="s">
        <v>1522</v>
      </c>
      <c r="E208" s="928"/>
      <c r="F208" s="788" t="s">
        <v>1376</v>
      </c>
      <c r="G208" s="928"/>
      <c r="H208" s="811" t="s">
        <v>3111</v>
      </c>
      <c r="I208" s="928"/>
      <c r="J208" s="928"/>
      <c r="K208" s="928"/>
      <c r="L208" s="867" t="s">
        <v>875</v>
      </c>
      <c r="M208" s="867" t="s">
        <v>165</v>
      </c>
      <c r="N208" s="928"/>
      <c r="O208" s="867" t="s">
        <v>1846</v>
      </c>
      <c r="P208" s="809" t="s">
        <v>1463</v>
      </c>
      <c r="Q208" s="928"/>
      <c r="R208" s="928" t="s">
        <v>3385</v>
      </c>
      <c r="S208" s="928"/>
      <c r="T208" s="928" t="s">
        <v>1098</v>
      </c>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5"/>
      <c r="AQ208" s="928"/>
      <c r="AR208" s="928"/>
      <c r="AS208" s="928"/>
      <c r="AT208" s="928"/>
      <c r="AU208" s="928"/>
      <c r="AV208" s="928"/>
      <c r="AW208" s="928"/>
      <c r="AX208" s="928"/>
      <c r="AY208" s="928"/>
      <c r="AZ208" s="928"/>
      <c r="BA208" s="928"/>
      <c r="BB208" s="928"/>
      <c r="BC208" s="796"/>
      <c r="BD208" s="796"/>
      <c r="BE208" s="928"/>
      <c r="BF208" s="835"/>
      <c r="BG208" s="835"/>
      <c r="BH208" s="796"/>
      <c r="BI208" s="796"/>
      <c r="BJ208" s="796"/>
    </row>
    <row r="209" ht="15.75" customHeight="1">
      <c r="A209" s="918" t="s">
        <v>6472</v>
      </c>
      <c r="B209" s="927" t="s">
        <v>6775</v>
      </c>
      <c r="C209" s="866" t="s">
        <v>1464</v>
      </c>
      <c r="D209" s="799" t="s">
        <v>1597</v>
      </c>
      <c r="E209" s="928"/>
      <c r="F209" s="803"/>
      <c r="G209" s="928"/>
      <c r="H209" s="923"/>
      <c r="I209" s="928" t="s">
        <v>1464</v>
      </c>
      <c r="J209" s="928" t="s">
        <v>6776</v>
      </c>
      <c r="K209" s="928" t="s">
        <v>3514</v>
      </c>
      <c r="L209" s="928"/>
      <c r="M209" s="928"/>
      <c r="N209" s="928"/>
      <c r="O209" s="928"/>
      <c r="P209" s="809"/>
      <c r="Q209" s="928"/>
      <c r="R209" s="928"/>
      <c r="S209" s="928"/>
      <c r="T209" s="928"/>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5"/>
      <c r="AQ209" s="928"/>
      <c r="AR209" s="928"/>
      <c r="AS209" s="928"/>
      <c r="AT209" s="928"/>
      <c r="AU209" s="928"/>
      <c r="AV209" s="928"/>
      <c r="AW209" s="928"/>
      <c r="AX209" s="928"/>
      <c r="AY209" s="928"/>
      <c r="AZ209" s="928"/>
      <c r="BA209" s="824" t="s">
        <v>6777</v>
      </c>
      <c r="BB209" s="928"/>
      <c r="BC209" s="920"/>
      <c r="BD209" s="920"/>
      <c r="BE209" s="928"/>
      <c r="BF209" s="835"/>
      <c r="BG209" s="835"/>
      <c r="BH209" s="920"/>
      <c r="BI209" s="920"/>
      <c r="BJ209" s="920"/>
    </row>
    <row r="210" ht="15.75" customHeight="1">
      <c r="A210" s="918" t="s">
        <v>57</v>
      </c>
      <c r="B210" s="927" t="s">
        <v>6778</v>
      </c>
      <c r="C210" s="866" t="s">
        <v>1466</v>
      </c>
      <c r="D210" s="799" t="s">
        <v>6779</v>
      </c>
      <c r="E210" s="928"/>
      <c r="F210" s="788" t="s">
        <v>1378</v>
      </c>
      <c r="G210" s="928"/>
      <c r="H210" s="790"/>
      <c r="I210" s="928" t="s">
        <v>1466</v>
      </c>
      <c r="J210" s="928"/>
      <c r="K210" s="928"/>
      <c r="L210" s="867" t="s">
        <v>169</v>
      </c>
      <c r="M210" s="928"/>
      <c r="N210" s="928"/>
      <c r="O210" s="928"/>
      <c r="P210" s="809"/>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867" t="str">
        <f>HYPERLINK("https://youtu.be/fYWiIA5i7cs","2:29.99")</f>
        <v>2:29.99</v>
      </c>
      <c r="AN210" s="928"/>
      <c r="AO210" s="928"/>
      <c r="AP210" s="835"/>
      <c r="AQ210" s="928"/>
      <c r="AR210" s="928"/>
      <c r="AS210" s="928"/>
      <c r="AT210" s="928"/>
      <c r="AU210" s="928"/>
      <c r="AV210" s="928"/>
      <c r="AW210" s="928"/>
      <c r="AX210" s="928"/>
      <c r="AY210" s="928"/>
      <c r="AZ210" s="928"/>
      <c r="BA210" s="928"/>
      <c r="BB210" s="928"/>
      <c r="BC210" s="796"/>
      <c r="BD210" s="796"/>
      <c r="BE210" s="928"/>
      <c r="BF210" s="835"/>
      <c r="BG210" s="835"/>
      <c r="BH210" s="796"/>
      <c r="BI210" s="796"/>
      <c r="BJ210" s="796"/>
    </row>
    <row r="211">
      <c r="A211" s="938" t="s">
        <v>6780</v>
      </c>
      <c r="D211" s="939"/>
      <c r="E211" s="939"/>
      <c r="F211" s="940"/>
      <c r="G211" s="939"/>
      <c r="H211" s="941"/>
      <c r="I211" s="939"/>
      <c r="J211" s="939"/>
      <c r="K211" s="939"/>
      <c r="L211" s="939"/>
      <c r="M211" s="939"/>
      <c r="N211" s="939"/>
      <c r="O211" s="939"/>
      <c r="P211" s="942"/>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43"/>
      <c r="BD211" s="943"/>
      <c r="BE211" s="939"/>
      <c r="BF211" s="939"/>
      <c r="BG211" s="939"/>
      <c r="BH211" s="943"/>
      <c r="BI211" s="943"/>
      <c r="BJ211" s="943"/>
    </row>
    <row r="212" ht="15.75" customHeight="1">
      <c r="A212" s="944" t="s">
        <v>6357</v>
      </c>
      <c r="B212" s="945" t="s">
        <v>6358</v>
      </c>
      <c r="C212" s="866" t="s">
        <v>958</v>
      </c>
      <c r="D212" s="794" t="s">
        <v>1600</v>
      </c>
      <c r="E212" s="873"/>
      <c r="F212" s="788" t="s">
        <v>1379</v>
      </c>
      <c r="G212" s="867" t="s">
        <v>1104</v>
      </c>
      <c r="H212" s="811" t="s">
        <v>3112</v>
      </c>
      <c r="I212" s="873" t="s">
        <v>6781</v>
      </c>
      <c r="J212" s="867" t="s">
        <v>4523</v>
      </c>
      <c r="K212" s="867" t="s">
        <v>1730</v>
      </c>
      <c r="L212" s="867" t="s">
        <v>879</v>
      </c>
      <c r="M212" s="867" t="s">
        <v>255</v>
      </c>
      <c r="N212" s="873" t="s">
        <v>4406</v>
      </c>
      <c r="O212" s="867" t="s">
        <v>1176</v>
      </c>
      <c r="P212" s="875" t="s">
        <v>355</v>
      </c>
      <c r="Q212" s="873"/>
      <c r="R212" s="873"/>
      <c r="S212" s="873"/>
      <c r="T212" s="873"/>
      <c r="U212" s="873" t="s">
        <v>3847</v>
      </c>
      <c r="V212" s="873"/>
      <c r="W212" s="873"/>
      <c r="X212" s="873"/>
      <c r="Y212" s="867" t="s">
        <v>502</v>
      </c>
      <c r="Z212" s="873"/>
      <c r="AA212" s="873"/>
      <c r="AB212" s="873"/>
      <c r="AC212" s="873"/>
      <c r="AD212" s="873"/>
      <c r="AE212" s="873"/>
      <c r="AF212" s="873"/>
      <c r="AG212" s="873"/>
      <c r="AH212" s="873"/>
      <c r="AI212" s="873"/>
      <c r="AJ212" s="873"/>
      <c r="AK212" s="873"/>
      <c r="AL212" s="873"/>
      <c r="AM212" s="873"/>
      <c r="AN212" s="873"/>
      <c r="AO212" s="873"/>
      <c r="AP212" s="869"/>
      <c r="AQ212" s="873"/>
      <c r="AR212" s="873"/>
      <c r="AS212" s="873"/>
      <c r="AT212" s="873"/>
      <c r="AU212" s="873"/>
      <c r="AV212" s="873"/>
      <c r="AW212" s="873"/>
      <c r="AX212" s="873"/>
      <c r="AY212" s="873"/>
      <c r="AZ212" s="873"/>
      <c r="BA212" s="873"/>
      <c r="BB212" s="873"/>
      <c r="BC212" s="946"/>
      <c r="BD212" s="946"/>
      <c r="BE212" s="873"/>
      <c r="BF212" s="869"/>
      <c r="BG212" s="869"/>
      <c r="BH212" s="946"/>
      <c r="BI212" s="946"/>
      <c r="BJ212" s="946"/>
    </row>
    <row r="213" ht="15.75" customHeight="1">
      <c r="A213" s="944" t="s">
        <v>6553</v>
      </c>
      <c r="B213" s="945" t="s">
        <v>6782</v>
      </c>
      <c r="C213" s="866" t="s">
        <v>148</v>
      </c>
      <c r="D213" s="794" t="s">
        <v>1601</v>
      </c>
      <c r="E213" s="867" t="s">
        <v>148</v>
      </c>
      <c r="F213" s="788" t="s">
        <v>3647</v>
      </c>
      <c r="G213" s="867" t="s">
        <v>2167</v>
      </c>
      <c r="H213" s="947" t="s">
        <v>3113</v>
      </c>
      <c r="I213" s="867" t="s">
        <v>1601</v>
      </c>
      <c r="J213" s="867" t="s">
        <v>1901</v>
      </c>
      <c r="K213" s="867" t="s">
        <v>2167</v>
      </c>
      <c r="L213" s="867" t="s">
        <v>880</v>
      </c>
      <c r="M213" s="867" t="s">
        <v>1241</v>
      </c>
      <c r="N213" s="867" t="s">
        <v>376</v>
      </c>
      <c r="O213" s="867" t="s">
        <v>2756</v>
      </c>
      <c r="P213" s="868" t="s">
        <v>2345</v>
      </c>
      <c r="Q213" s="867" t="s">
        <v>934</v>
      </c>
      <c r="R213" s="867"/>
      <c r="S213" s="867"/>
      <c r="T213" s="867"/>
      <c r="U213" s="867" t="s">
        <v>2306</v>
      </c>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9"/>
      <c r="AQ213" s="867"/>
      <c r="AR213" s="867"/>
      <c r="AS213" s="867"/>
      <c r="AT213" s="867"/>
      <c r="AU213" s="867"/>
      <c r="AV213" s="867"/>
      <c r="AW213" s="867"/>
      <c r="AX213" s="867"/>
      <c r="AY213" s="867"/>
      <c r="AZ213" s="867"/>
      <c r="BA213" s="867"/>
      <c r="BB213" s="867"/>
      <c r="BC213" s="796"/>
      <c r="BD213" s="796"/>
      <c r="BE213" s="867"/>
      <c r="BF213" s="869"/>
      <c r="BG213" s="869"/>
      <c r="BH213" s="796"/>
      <c r="BI213" s="796"/>
      <c r="BJ213" s="796"/>
    </row>
    <row r="214" ht="15.75" customHeight="1">
      <c r="A214" s="944" t="s">
        <v>6383</v>
      </c>
      <c r="B214" s="945" t="s">
        <v>6358</v>
      </c>
      <c r="C214" s="866" t="str">
        <f>HYPERLINK("https://www.youtube.com/watch?v=aWzlUqH0LaM","41.87")</f>
        <v>41.87</v>
      </c>
      <c r="D214" s="877"/>
      <c r="E214" s="873"/>
      <c r="F214" s="788" t="s">
        <v>6783</v>
      </c>
      <c r="G214" s="867" t="s">
        <v>309</v>
      </c>
      <c r="H214" s="790"/>
      <c r="I214" s="867" t="s">
        <v>1637</v>
      </c>
      <c r="J214" s="873"/>
      <c r="K214" s="867" t="s">
        <v>6272</v>
      </c>
      <c r="L214" s="867" t="s">
        <v>4422</v>
      </c>
      <c r="M214" s="867" t="str">
        <f>HYPERLINK("https://www.youtube.com/watch?v=aWzlUqH0LaM","41.87")</f>
        <v>41.87</v>
      </c>
      <c r="N214" s="873" t="s">
        <v>2148</v>
      </c>
      <c r="O214" s="867" t="s">
        <v>1534</v>
      </c>
      <c r="P214" s="875" t="s">
        <v>3163</v>
      </c>
      <c r="Q214" s="873"/>
      <c r="R214" s="873"/>
      <c r="S214" s="873"/>
      <c r="T214" s="873"/>
      <c r="U214" s="873" t="s">
        <v>6784</v>
      </c>
      <c r="V214" s="873"/>
      <c r="W214" s="873"/>
      <c r="X214" s="873"/>
      <c r="Y214" s="873"/>
      <c r="Z214" s="873"/>
      <c r="AA214" s="873"/>
      <c r="AB214" s="873"/>
      <c r="AC214" s="873"/>
      <c r="AD214" s="873"/>
      <c r="AE214" s="873"/>
      <c r="AF214" s="873"/>
      <c r="AG214" s="873"/>
      <c r="AH214" s="873"/>
      <c r="AI214" s="873"/>
      <c r="AJ214" s="873"/>
      <c r="AK214" s="873"/>
      <c r="AL214" s="873"/>
      <c r="AM214" s="873"/>
      <c r="AN214" s="873"/>
      <c r="AO214" s="873"/>
      <c r="AP214" s="869"/>
      <c r="AQ214" s="873"/>
      <c r="AR214" s="873"/>
      <c r="AS214" s="873"/>
      <c r="AT214" s="873"/>
      <c r="AU214" s="873"/>
      <c r="AV214" s="873"/>
      <c r="AW214" s="873"/>
      <c r="AX214" s="873"/>
      <c r="AY214" s="873"/>
      <c r="AZ214" s="873"/>
      <c r="BA214" s="873"/>
      <c r="BB214" s="873"/>
      <c r="BC214" s="946"/>
      <c r="BD214" s="946"/>
      <c r="BE214" s="873"/>
      <c r="BF214" s="869"/>
      <c r="BG214" s="869"/>
      <c r="BH214" s="946"/>
      <c r="BI214" s="946"/>
      <c r="BJ214" s="946"/>
    </row>
    <row r="215" ht="15.75" customHeight="1">
      <c r="A215" s="944" t="s">
        <v>6500</v>
      </c>
      <c r="B215" s="945" t="s">
        <v>6785</v>
      </c>
      <c r="C215" s="866" t="str">
        <f>HYPERLINK("https://youtu.be/F-20O1FDNbI","1:45.11")</f>
        <v>1:45.11</v>
      </c>
      <c r="D215" s="873" t="s">
        <v>6786</v>
      </c>
      <c r="E215" s="873"/>
      <c r="F215" s="788" t="s">
        <v>6787</v>
      </c>
      <c r="G215" s="873"/>
      <c r="H215" s="948"/>
      <c r="I215" s="873"/>
      <c r="J215" s="873"/>
      <c r="K215" s="873"/>
      <c r="L215" s="873"/>
      <c r="M215" s="873"/>
      <c r="N215" s="873"/>
      <c r="O215" s="873"/>
      <c r="P215" s="875"/>
      <c r="Q215" s="873"/>
      <c r="R215" s="873"/>
      <c r="S215" s="873"/>
      <c r="T215" s="873"/>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796"/>
      <c r="BD215" s="796"/>
      <c r="BE215" s="873"/>
      <c r="BF215" s="869"/>
      <c r="BG215" s="869"/>
      <c r="BH215" s="796"/>
      <c r="BI215" s="796"/>
      <c r="BJ215" s="796"/>
    </row>
    <row r="216" ht="15.75" customHeight="1">
      <c r="A216" s="949"/>
      <c r="B216" s="950" t="s">
        <v>6788</v>
      </c>
      <c r="C216" s="866" t="s">
        <v>505</v>
      </c>
      <c r="D216" s="794" t="s">
        <v>6789</v>
      </c>
      <c r="E216" s="873"/>
      <c r="F216" s="788" t="s">
        <v>1382</v>
      </c>
      <c r="G216" s="873" t="s">
        <v>6790</v>
      </c>
      <c r="H216" s="811" t="s">
        <v>3115</v>
      </c>
      <c r="I216" s="873"/>
      <c r="J216" s="867" t="s">
        <v>6791</v>
      </c>
      <c r="K216" s="873"/>
      <c r="L216" s="873" t="s">
        <v>882</v>
      </c>
      <c r="M216" s="867" t="s">
        <v>792</v>
      </c>
      <c r="N216" s="873"/>
      <c r="O216" s="873"/>
      <c r="P216" s="875" t="s">
        <v>4181</v>
      </c>
      <c r="Q216" s="873"/>
      <c r="R216" s="873"/>
      <c r="S216" s="873"/>
      <c r="T216" s="867" t="s">
        <v>505</v>
      </c>
      <c r="U216" s="873" t="s">
        <v>6059</v>
      </c>
      <c r="V216" s="873"/>
      <c r="W216" s="873"/>
      <c r="X216" s="873"/>
      <c r="Y216" s="873"/>
      <c r="Z216" s="873"/>
      <c r="AA216" s="873"/>
      <c r="AB216" s="873" t="s">
        <v>6792</v>
      </c>
      <c r="AC216" s="873" t="s">
        <v>6793</v>
      </c>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946"/>
      <c r="BD216" s="946"/>
      <c r="BE216" s="873"/>
      <c r="BF216" s="869"/>
      <c r="BG216" s="869"/>
      <c r="BH216" s="946"/>
      <c r="BI216" s="946"/>
      <c r="BJ216" s="946"/>
    </row>
    <row r="217" ht="15.75" customHeight="1">
      <c r="A217" s="949"/>
      <c r="B217" s="950" t="s">
        <v>6794</v>
      </c>
      <c r="C217" s="866" t="s">
        <v>6795</v>
      </c>
      <c r="D217" s="873"/>
      <c r="E217" s="873"/>
      <c r="F217" s="803"/>
      <c r="G217" s="873"/>
      <c r="H217" s="948"/>
      <c r="I217" s="873"/>
      <c r="J217" s="873"/>
      <c r="K217" s="873"/>
      <c r="L217" s="873"/>
      <c r="M217" s="873"/>
      <c r="N217" s="873"/>
      <c r="O217" s="873"/>
      <c r="P217" s="875"/>
      <c r="Q217" s="873"/>
      <c r="R217" s="873"/>
      <c r="S217" s="873"/>
      <c r="T217" s="873"/>
      <c r="U217" s="873"/>
      <c r="V217" s="873"/>
      <c r="W217" s="873"/>
      <c r="X217" s="873"/>
      <c r="Y217" s="873"/>
      <c r="Z217" s="873"/>
      <c r="AA217" s="873"/>
      <c r="AB217" s="867" t="s">
        <v>6795</v>
      </c>
      <c r="AC217" s="873"/>
      <c r="AD217" s="873"/>
      <c r="AE217" s="873"/>
      <c r="AF217" s="873"/>
      <c r="AG217" s="873"/>
      <c r="AH217" s="873"/>
      <c r="AI217" s="873"/>
      <c r="AJ217" s="873"/>
      <c r="AK217" s="873"/>
      <c r="AL217" s="873"/>
      <c r="AM217" s="867" t="s">
        <v>3425</v>
      </c>
      <c r="AN217" s="873"/>
      <c r="AO217" s="873"/>
      <c r="AP217" s="869"/>
      <c r="AQ217" s="873"/>
      <c r="AR217" s="873"/>
      <c r="AS217" s="873"/>
      <c r="AT217" s="873"/>
      <c r="AU217" s="873"/>
      <c r="AV217" s="873"/>
      <c r="AW217" s="873"/>
      <c r="AX217" s="873"/>
      <c r="AY217" s="873"/>
      <c r="AZ217" s="873"/>
      <c r="BA217" s="873"/>
      <c r="BB217" s="873"/>
      <c r="BC217" s="796"/>
      <c r="BD217" s="796"/>
      <c r="BE217" s="873"/>
      <c r="BF217" s="869"/>
      <c r="BG217" s="869"/>
      <c r="BH217" s="796"/>
      <c r="BI217" s="796"/>
      <c r="BJ217" s="796"/>
    </row>
    <row r="218" ht="15.75" customHeight="1">
      <c r="A218" s="949"/>
      <c r="B218" s="951" t="s">
        <v>6796</v>
      </c>
      <c r="C218" s="866" t="s">
        <v>2894</v>
      </c>
      <c r="D218" s="873"/>
      <c r="E218" s="873"/>
      <c r="F218" s="803"/>
      <c r="G218" s="867" t="s">
        <v>6797</v>
      </c>
      <c r="H218" s="790"/>
      <c r="I218" s="873"/>
      <c r="J218" s="873"/>
      <c r="K218" s="873"/>
      <c r="L218" s="873"/>
      <c r="M218" s="873"/>
      <c r="N218" s="873"/>
      <c r="O218" s="873"/>
      <c r="P218" s="875"/>
      <c r="Q218" s="873"/>
      <c r="R218" s="873"/>
      <c r="S218" s="873"/>
      <c r="T218" s="873"/>
      <c r="U218" s="873"/>
      <c r="V218" s="873"/>
      <c r="W218" s="873"/>
      <c r="X218" s="873"/>
      <c r="Y218" s="873"/>
      <c r="Z218" s="873"/>
      <c r="AA218" s="873"/>
      <c r="AB218" s="867" t="s">
        <v>6798</v>
      </c>
      <c r="AC218" s="873"/>
      <c r="AD218" s="873"/>
      <c r="AE218" s="873"/>
      <c r="AF218" s="873"/>
      <c r="AG218" s="873"/>
      <c r="AH218" s="873"/>
      <c r="AI218" s="873"/>
      <c r="AJ218" s="873"/>
      <c r="AK218" s="873"/>
      <c r="AL218" s="873"/>
      <c r="AM218" s="873"/>
      <c r="AN218" s="873"/>
      <c r="AO218" s="873"/>
      <c r="AP218" s="869"/>
      <c r="AQ218" s="873"/>
      <c r="AR218" s="873"/>
      <c r="AS218" s="873"/>
      <c r="AT218" s="873"/>
      <c r="AU218" s="873"/>
      <c r="AV218" s="873"/>
      <c r="AW218" s="873"/>
      <c r="AX218" s="873"/>
      <c r="AY218" s="873"/>
      <c r="AZ218" s="873"/>
      <c r="BA218" s="873"/>
      <c r="BB218" s="873"/>
      <c r="BC218" s="946"/>
      <c r="BD218" s="946"/>
      <c r="BE218" s="873"/>
      <c r="BF218" s="869"/>
      <c r="BG218" s="869"/>
      <c r="BH218" s="946"/>
      <c r="BI218" s="946"/>
      <c r="BJ218" s="946"/>
    </row>
    <row r="219" ht="15.75" customHeight="1">
      <c r="A219" s="952" t="s">
        <v>6374</v>
      </c>
      <c r="B219" s="953" t="s">
        <v>6785</v>
      </c>
      <c r="C219" s="866"/>
      <c r="D219" s="954"/>
      <c r="E219" s="954"/>
      <c r="F219" s="803"/>
      <c r="G219" s="954"/>
      <c r="H219" s="948"/>
      <c r="I219" s="954"/>
      <c r="J219" s="954"/>
      <c r="K219" s="954"/>
      <c r="L219" s="954"/>
      <c r="M219" s="954"/>
      <c r="N219" s="954"/>
      <c r="O219" s="954"/>
      <c r="P219" s="955"/>
      <c r="Q219" s="954"/>
      <c r="R219" s="954"/>
      <c r="S219" s="954"/>
      <c r="T219" s="954"/>
      <c r="U219" s="954"/>
      <c r="V219" s="954"/>
      <c r="W219" s="954"/>
      <c r="X219" s="954"/>
      <c r="Y219" s="954"/>
      <c r="Z219" s="954"/>
      <c r="AA219" s="954"/>
      <c r="AB219" s="954"/>
      <c r="AC219" s="954"/>
      <c r="AD219" s="954"/>
      <c r="AE219" s="954"/>
      <c r="AF219" s="954"/>
      <c r="AG219" s="954"/>
      <c r="AH219" s="954"/>
      <c r="AI219" s="954"/>
      <c r="AJ219" s="954"/>
      <c r="AK219" s="954"/>
      <c r="AL219" s="954"/>
      <c r="AM219" s="954"/>
      <c r="AN219" s="954"/>
      <c r="AO219" s="954"/>
      <c r="AP219" s="869"/>
      <c r="AQ219" s="954"/>
      <c r="AR219" s="954"/>
      <c r="AS219" s="954"/>
      <c r="AT219" s="954"/>
      <c r="AU219" s="954"/>
      <c r="AV219" s="954"/>
      <c r="AW219" s="954"/>
      <c r="AX219" s="954"/>
      <c r="AY219" s="954"/>
      <c r="AZ219" s="954"/>
      <c r="BA219" s="954"/>
      <c r="BB219" s="954"/>
      <c r="BC219" s="796"/>
      <c r="BD219" s="796"/>
      <c r="BE219" s="954"/>
      <c r="BF219" s="869"/>
      <c r="BG219" s="869"/>
      <c r="BH219" s="796"/>
      <c r="BI219" s="796"/>
      <c r="BJ219" s="796"/>
    </row>
    <row r="220" ht="15.75" customHeight="1">
      <c r="A220" s="956"/>
      <c r="B220" s="950" t="s">
        <v>6788</v>
      </c>
      <c r="C220" s="957" t="s">
        <v>6799</v>
      </c>
      <c r="D220" s="958" t="s">
        <v>6799</v>
      </c>
      <c r="E220" s="954"/>
      <c r="F220" s="803"/>
      <c r="G220" s="954"/>
      <c r="H220" s="790"/>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6"/>
      <c r="BD220" s="796"/>
      <c r="BE220" s="954"/>
      <c r="BF220" s="869"/>
      <c r="BG220" s="869"/>
      <c r="BH220" s="796"/>
      <c r="BI220" s="796"/>
      <c r="BJ220" s="796"/>
    </row>
    <row r="221" ht="15.75" customHeight="1">
      <c r="A221" s="956"/>
      <c r="B221" s="950" t="s">
        <v>6794</v>
      </c>
      <c r="C221" s="866"/>
      <c r="D221" s="954"/>
      <c r="E221" s="954"/>
      <c r="F221" s="803"/>
      <c r="G221" s="954"/>
      <c r="H221" s="948"/>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6"/>
      <c r="BD221" s="796"/>
      <c r="BE221" s="954"/>
      <c r="BF221" s="869"/>
      <c r="BG221" s="869"/>
      <c r="BH221" s="796"/>
      <c r="BI221" s="796"/>
      <c r="BJ221" s="796"/>
    </row>
    <row r="222" ht="15.75" customHeight="1">
      <c r="A222" s="956"/>
      <c r="B222" s="951" t="s">
        <v>6796</v>
      </c>
      <c r="C222" s="866" t="s">
        <v>763</v>
      </c>
      <c r="D222" s="954"/>
      <c r="E222" s="954"/>
      <c r="F222" s="803"/>
      <c r="G222" s="954"/>
      <c r="H222" s="790"/>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6"/>
      <c r="BD222" s="796"/>
      <c r="BE222" s="954"/>
      <c r="BF222" s="869"/>
      <c r="BG222" s="869"/>
      <c r="BH222" s="796"/>
      <c r="BI222" s="796"/>
      <c r="BJ222" s="796"/>
    </row>
    <row r="223" ht="15.75" customHeight="1">
      <c r="A223" s="952" t="s">
        <v>6379</v>
      </c>
      <c r="B223" s="953" t="s">
        <v>6800</v>
      </c>
      <c r="C223" s="866" t="s">
        <v>6801</v>
      </c>
      <c r="D223" s="959">
        <v>13.23</v>
      </c>
      <c r="E223" s="954"/>
      <c r="F223" s="788" t="s">
        <v>6802</v>
      </c>
      <c r="G223" s="954"/>
      <c r="H223" s="947" t="s">
        <v>6803</v>
      </c>
      <c r="I223" s="954"/>
      <c r="J223" s="960" t="s">
        <v>4083</v>
      </c>
      <c r="K223" s="954"/>
      <c r="L223" s="954"/>
      <c r="M223" s="954"/>
      <c r="N223" s="954"/>
      <c r="O223" s="954"/>
      <c r="P223" s="955"/>
      <c r="Q223" s="954"/>
      <c r="R223" s="960" t="s">
        <v>6659</v>
      </c>
      <c r="S223" s="954"/>
      <c r="T223" s="954"/>
      <c r="U223" s="954"/>
      <c r="V223" s="960" t="s">
        <v>2601</v>
      </c>
      <c r="W223" s="954"/>
      <c r="X223" s="954"/>
      <c r="Y223" s="954"/>
      <c r="Z223" s="954"/>
      <c r="AA223" s="954"/>
      <c r="AB223" s="960" t="s">
        <v>6801</v>
      </c>
      <c r="AC223" s="954"/>
      <c r="AD223" s="954"/>
      <c r="AE223" s="954"/>
      <c r="AF223" s="954"/>
      <c r="AG223" s="954"/>
      <c r="AH223" s="954"/>
      <c r="AI223" s="954"/>
      <c r="AJ223" s="954"/>
      <c r="AK223" s="954" t="s">
        <v>6803</v>
      </c>
      <c r="AL223" s="954"/>
      <c r="AM223" s="954"/>
      <c r="AN223" s="954"/>
      <c r="AO223" s="954"/>
      <c r="AP223" s="869"/>
      <c r="AQ223" s="954"/>
      <c r="AR223" s="954"/>
      <c r="AS223" s="954"/>
      <c r="AT223" s="954"/>
      <c r="AU223" s="954"/>
      <c r="AV223" s="954"/>
      <c r="AW223" s="954"/>
      <c r="AX223" s="954"/>
      <c r="AY223" s="954"/>
      <c r="AZ223" s="954"/>
      <c r="BA223" s="954"/>
      <c r="BB223" s="954"/>
      <c r="BC223" s="946"/>
      <c r="BD223" s="946"/>
      <c r="BE223" s="954"/>
      <c r="BF223" s="869"/>
      <c r="BG223" s="869"/>
      <c r="BH223" s="946"/>
      <c r="BI223" s="946"/>
      <c r="BJ223" s="946"/>
    </row>
    <row r="224" ht="15.75" customHeight="1">
      <c r="A224" s="956"/>
      <c r="B224" s="951" t="s">
        <v>6804</v>
      </c>
      <c r="C224" s="866" t="s">
        <v>485</v>
      </c>
      <c r="D224" s="867"/>
      <c r="E224" s="867" t="s">
        <v>799</v>
      </c>
      <c r="F224" s="788" t="s">
        <v>6805</v>
      </c>
      <c r="G224" s="867" t="s">
        <v>485</v>
      </c>
      <c r="H224" s="790"/>
      <c r="I224" s="867"/>
      <c r="J224" s="867"/>
      <c r="K224" s="867"/>
      <c r="L224" s="867" t="s">
        <v>6801</v>
      </c>
      <c r="M224" s="867"/>
      <c r="N224" s="867"/>
      <c r="O224" s="867"/>
      <c r="P224" s="868"/>
      <c r="Q224" s="867"/>
      <c r="R224" s="867"/>
      <c r="S224" s="867" t="s">
        <v>6806</v>
      </c>
      <c r="T224" s="867"/>
      <c r="U224" s="867"/>
      <c r="V224" s="867"/>
      <c r="W224" s="867"/>
      <c r="X224" s="867" t="s">
        <v>6659</v>
      </c>
      <c r="Y224" s="867"/>
      <c r="Z224" s="867"/>
      <c r="AA224" s="867"/>
      <c r="AB224" s="867" t="s">
        <v>485</v>
      </c>
      <c r="AC224" s="867"/>
      <c r="AD224" s="867"/>
      <c r="AE224" s="867"/>
      <c r="AF224" s="867"/>
      <c r="AG224" s="867"/>
      <c r="AH224" s="867"/>
      <c r="AI224" s="867"/>
      <c r="AJ224" s="867"/>
      <c r="AK224" s="867"/>
      <c r="AL224" s="867"/>
      <c r="AM224" s="867"/>
      <c r="AN224" s="867"/>
      <c r="AO224" s="867"/>
      <c r="AP224" s="869"/>
      <c r="AQ224" s="867"/>
      <c r="AR224" s="867"/>
      <c r="AS224" s="867"/>
      <c r="AT224" s="867"/>
      <c r="AU224" s="867"/>
      <c r="AV224" s="867"/>
      <c r="AW224" s="867"/>
      <c r="AX224" s="867"/>
      <c r="AY224" s="867"/>
      <c r="AZ224" s="867"/>
      <c r="BA224" s="867"/>
      <c r="BB224" s="867"/>
      <c r="BC224" s="796"/>
      <c r="BD224" s="796"/>
      <c r="BE224" s="867"/>
      <c r="BF224" s="869"/>
      <c r="BG224" s="869"/>
      <c r="BH224" s="796"/>
      <c r="BI224" s="796"/>
      <c r="BJ224" s="796"/>
    </row>
    <row r="225" ht="15.75" customHeight="1">
      <c r="A225" s="944" t="s">
        <v>6570</v>
      </c>
      <c r="B225" s="945" t="s">
        <v>6358</v>
      </c>
      <c r="C225" s="866"/>
      <c r="D225" s="873"/>
      <c r="E225" s="873"/>
      <c r="F225" s="803"/>
      <c r="G225" s="873"/>
      <c r="H225" s="947" t="s">
        <v>6807</v>
      </c>
      <c r="I225" s="873"/>
      <c r="J225" s="873"/>
      <c r="K225" s="873"/>
      <c r="L225" s="873"/>
      <c r="M225" s="873"/>
      <c r="N225" s="873"/>
      <c r="O225" s="873"/>
      <c r="P225" s="875"/>
      <c r="Q225" s="873"/>
      <c r="R225" s="873"/>
      <c r="S225" s="873"/>
      <c r="T225" s="873"/>
      <c r="U225" s="873"/>
      <c r="V225" s="873"/>
      <c r="W225" s="873"/>
      <c r="X225" s="873"/>
      <c r="Y225" s="873"/>
      <c r="Z225" s="873"/>
      <c r="AA225" s="873"/>
      <c r="AB225" s="873"/>
      <c r="AC225" s="873"/>
      <c r="AD225" s="873"/>
      <c r="AE225" s="873"/>
      <c r="AF225" s="873"/>
      <c r="AG225" s="873"/>
      <c r="AH225" s="873"/>
      <c r="AI225" s="873"/>
      <c r="AJ225" s="873"/>
      <c r="AK225" s="873"/>
      <c r="AL225" s="873"/>
      <c r="AM225" s="873"/>
      <c r="AN225" s="873"/>
      <c r="AO225" s="873"/>
      <c r="AP225" s="869"/>
      <c r="AQ225" s="873"/>
      <c r="AR225" s="873"/>
      <c r="AS225" s="873"/>
      <c r="AT225" s="873"/>
      <c r="AU225" s="873"/>
      <c r="AV225" s="873"/>
      <c r="AW225" s="873"/>
      <c r="AX225" s="873"/>
      <c r="AY225" s="873"/>
      <c r="AZ225" s="873"/>
      <c r="BA225" s="873"/>
      <c r="BB225" s="873"/>
      <c r="BC225" s="946"/>
      <c r="BD225" s="946"/>
      <c r="BE225" s="873"/>
      <c r="BF225" s="869"/>
      <c r="BG225" s="869"/>
      <c r="BH225" s="946"/>
      <c r="BI225" s="946"/>
      <c r="BJ225" s="946"/>
    </row>
    <row r="226" ht="15.75" customHeight="1">
      <c r="A226" s="961" t="s">
        <v>6808</v>
      </c>
      <c r="B226" s="962" t="s">
        <v>6358</v>
      </c>
      <c r="C226" s="785" t="s">
        <v>6809</v>
      </c>
      <c r="D226" s="788" t="s">
        <v>6810</v>
      </c>
      <c r="E226" s="873"/>
      <c r="F226" s="803"/>
      <c r="G226" s="877" t="s">
        <v>428</v>
      </c>
      <c r="H226" s="811" t="s">
        <v>6811</v>
      </c>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796"/>
      <c r="BD226" s="796"/>
      <c r="BE226" s="873"/>
      <c r="BF226" s="869"/>
      <c r="BG226" s="869"/>
      <c r="BH226" s="796"/>
      <c r="BI226" s="796"/>
      <c r="BJ226" s="796"/>
    </row>
    <row r="227" ht="15.75" customHeight="1">
      <c r="A227" s="944" t="s">
        <v>6426</v>
      </c>
      <c r="B227" s="945" t="s">
        <v>6812</v>
      </c>
      <c r="C227" s="866" t="s">
        <v>6813</v>
      </c>
      <c r="D227" s="873" t="s">
        <v>4176</v>
      </c>
      <c r="E227" s="873"/>
      <c r="F227" s="803"/>
      <c r="G227" s="873"/>
      <c r="H227" s="948"/>
      <c r="I227" s="873"/>
      <c r="J227" s="873"/>
      <c r="K227" s="867" t="s">
        <v>5355</v>
      </c>
      <c r="L227" s="873"/>
      <c r="M227" s="873"/>
      <c r="N227" s="873"/>
      <c r="O227" s="873"/>
      <c r="P227" s="875"/>
      <c r="Q227" s="873"/>
      <c r="R227" s="873"/>
      <c r="S227" s="867" t="s">
        <v>4583</v>
      </c>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6"/>
      <c r="BD227" s="796"/>
      <c r="BE227" s="873"/>
      <c r="BF227" s="869"/>
      <c r="BG227" s="869"/>
      <c r="BH227" s="796"/>
      <c r="BI227" s="796"/>
      <c r="BJ227" s="796"/>
    </row>
    <row r="228" ht="15.75" customHeight="1">
      <c r="A228" s="963"/>
      <c r="B228" s="950" t="s">
        <v>6814</v>
      </c>
      <c r="C228" s="866" t="s">
        <v>1689</v>
      </c>
      <c r="D228" s="794" t="s">
        <v>1854</v>
      </c>
      <c r="E228" s="873"/>
      <c r="F228" s="788" t="s">
        <v>1383</v>
      </c>
      <c r="G228" s="873"/>
      <c r="H228" s="811" t="s">
        <v>801</v>
      </c>
      <c r="I228" s="873" t="s">
        <v>4302</v>
      </c>
      <c r="J228" s="867" t="s">
        <v>6815</v>
      </c>
      <c r="K228" s="867" t="s">
        <v>3362</v>
      </c>
      <c r="L228" s="873"/>
      <c r="M228" s="873"/>
      <c r="N228" s="873" t="s">
        <v>4284</v>
      </c>
      <c r="O228" s="867" t="s">
        <v>1383</v>
      </c>
      <c r="P228" s="875" t="s">
        <v>2133</v>
      </c>
      <c r="Q228" s="873" t="s">
        <v>1854</v>
      </c>
      <c r="R228" s="788" t="s">
        <v>5608</v>
      </c>
      <c r="S228" s="788" t="s">
        <v>119</v>
      </c>
      <c r="T228" s="867" t="s">
        <v>3854</v>
      </c>
      <c r="U228" s="873" t="s">
        <v>4411</v>
      </c>
      <c r="V228" s="873"/>
      <c r="W228" s="873"/>
      <c r="X228" s="873"/>
      <c r="Y228" s="873"/>
      <c r="Z228" s="873"/>
      <c r="AA228" s="873"/>
      <c r="AB228" s="873"/>
      <c r="AC228" s="873"/>
      <c r="AD228" s="873"/>
      <c r="AE228" s="873"/>
      <c r="AF228" s="873"/>
      <c r="AG228" s="873" t="s">
        <v>2675</v>
      </c>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946"/>
      <c r="BD228" s="946"/>
      <c r="BE228" s="873"/>
      <c r="BF228" s="869"/>
      <c r="BG228" s="869"/>
      <c r="BH228" s="946"/>
      <c r="BI228" s="946"/>
      <c r="BJ228" s="946"/>
    </row>
    <row r="229" ht="15.75" customHeight="1">
      <c r="A229" s="956"/>
      <c r="B229" s="950" t="s">
        <v>6816</v>
      </c>
      <c r="C229" s="866" t="s">
        <v>403</v>
      </c>
      <c r="D229" s="867"/>
      <c r="E229" s="867" t="s">
        <v>403</v>
      </c>
      <c r="F229" s="803"/>
      <c r="G229" s="867" t="s">
        <v>2241</v>
      </c>
      <c r="H229" s="948"/>
      <c r="I229" s="867"/>
      <c r="J229" s="867"/>
      <c r="K229" s="867"/>
      <c r="L229" s="867" t="s">
        <v>883</v>
      </c>
      <c r="M229" s="867" t="str">
        <f>HYPERLINK("https://youtu.be/gxCMrXIu1MU","52.20")</f>
        <v>52.20</v>
      </c>
      <c r="N229" s="867"/>
      <c r="O229" s="867"/>
      <c r="P229" s="868"/>
      <c r="Q229" s="867"/>
      <c r="R229" s="867"/>
      <c r="S229" s="867"/>
      <c r="T229" s="867"/>
      <c r="U229" s="867"/>
      <c r="V229" s="867"/>
      <c r="W229" s="867"/>
      <c r="X229" s="867"/>
      <c r="Y229" s="867"/>
      <c r="Z229" s="867"/>
      <c r="AA229" s="867"/>
      <c r="AB229" s="867"/>
      <c r="AC229" s="867"/>
      <c r="AD229" s="867"/>
      <c r="AE229" s="867"/>
      <c r="AF229" s="867"/>
      <c r="AG229" s="867"/>
      <c r="AH229" s="867"/>
      <c r="AI229" s="867"/>
      <c r="AJ229" s="867"/>
      <c r="AK229" s="867"/>
      <c r="AL229" s="867"/>
      <c r="AM229" s="867"/>
      <c r="AN229" s="867"/>
      <c r="AO229" s="867"/>
      <c r="AP229" s="869"/>
      <c r="AQ229" s="867"/>
      <c r="AR229" s="867"/>
      <c r="AS229" s="867"/>
      <c r="AT229" s="867"/>
      <c r="AU229" s="867"/>
      <c r="AV229" s="867"/>
      <c r="AW229" s="867"/>
      <c r="AX229" s="867"/>
      <c r="AY229" s="867"/>
      <c r="AZ229" s="867"/>
      <c r="BA229" s="867"/>
      <c r="BB229" s="867"/>
      <c r="BC229" s="796"/>
      <c r="BD229" s="796"/>
      <c r="BE229" s="867"/>
      <c r="BF229" s="869"/>
      <c r="BG229" s="869"/>
      <c r="BH229" s="796"/>
      <c r="BI229" s="796"/>
      <c r="BJ229" s="796"/>
    </row>
    <row r="230" ht="15.75" customHeight="1">
      <c r="A230" s="952" t="s">
        <v>6374</v>
      </c>
      <c r="B230" s="964" t="s">
        <v>6817</v>
      </c>
      <c r="C230" s="866" t="s">
        <v>2783</v>
      </c>
      <c r="D230" s="873" t="s">
        <v>389</v>
      </c>
      <c r="E230" s="873"/>
      <c r="F230" s="803"/>
      <c r="G230" s="873"/>
      <c r="H230" s="790"/>
      <c r="I230" s="873"/>
      <c r="J230" s="873"/>
      <c r="K230" s="873" t="s">
        <v>5075</v>
      </c>
      <c r="L230" s="873"/>
      <c r="M230" s="873"/>
      <c r="N230" s="873"/>
      <c r="O230" s="873"/>
      <c r="P230" s="875"/>
      <c r="Q230" s="873"/>
      <c r="R230" s="873"/>
      <c r="S230" s="873"/>
      <c r="T230" s="873"/>
      <c r="U230" s="873"/>
      <c r="V230" s="873"/>
      <c r="W230" s="873"/>
      <c r="X230" s="873"/>
      <c r="Y230" s="873"/>
      <c r="Z230" s="873"/>
      <c r="AA230" s="873"/>
      <c r="AB230" s="873"/>
      <c r="AC230" s="873"/>
      <c r="AD230" s="873"/>
      <c r="AE230" s="873"/>
      <c r="AF230" s="873"/>
      <c r="AG230" s="873"/>
      <c r="AH230" s="873"/>
      <c r="AI230" s="873"/>
      <c r="AJ230" s="873"/>
      <c r="AK230" s="873"/>
      <c r="AL230" s="873"/>
      <c r="AM230" s="873"/>
      <c r="AN230" s="873"/>
      <c r="AO230" s="873"/>
      <c r="AP230" s="869"/>
      <c r="AQ230" s="873"/>
      <c r="AR230" s="873"/>
      <c r="AS230" s="873"/>
      <c r="AT230" s="873"/>
      <c r="AU230" s="873"/>
      <c r="AV230" s="873"/>
      <c r="AW230" s="873"/>
      <c r="AX230" s="873"/>
      <c r="AY230" s="873"/>
      <c r="AZ230" s="873"/>
      <c r="BA230" s="873"/>
      <c r="BB230" s="873"/>
      <c r="BC230" s="946"/>
      <c r="BD230" s="946"/>
      <c r="BE230" s="873"/>
      <c r="BF230" s="869"/>
      <c r="BG230" s="869"/>
      <c r="BH230" s="946"/>
      <c r="BI230" s="946"/>
      <c r="BJ230" s="946"/>
    </row>
    <row r="231" ht="15.75" customHeight="1">
      <c r="A231" s="963"/>
      <c r="B231" s="950" t="s">
        <v>6818</v>
      </c>
      <c r="C231" s="866" t="s">
        <v>4218</v>
      </c>
      <c r="D231" s="867"/>
      <c r="E231" s="867" t="s">
        <v>4218</v>
      </c>
      <c r="F231" s="803"/>
      <c r="G231" s="867"/>
      <c r="H231" s="947" t="s">
        <v>1018</v>
      </c>
      <c r="I231" s="867"/>
      <c r="J231" s="867"/>
      <c r="K231" s="867"/>
      <c r="L231" s="867"/>
      <c r="M231" s="867"/>
      <c r="N231" s="867"/>
      <c r="O231" s="867"/>
      <c r="P231" s="868"/>
      <c r="Q231" s="867"/>
      <c r="R231" s="867" t="s">
        <v>2233</v>
      </c>
      <c r="S231" s="867"/>
      <c r="T231" s="867"/>
      <c r="U231" s="867"/>
      <c r="V231" s="867"/>
      <c r="W231" s="867" t="s">
        <v>3695</v>
      </c>
      <c r="X231" s="867"/>
      <c r="Y231" s="867"/>
      <c r="Z231" s="867"/>
      <c r="AA231" s="867"/>
      <c r="AB231" s="867"/>
      <c r="AC231" s="867"/>
      <c r="AD231" s="867"/>
      <c r="AE231" s="867"/>
      <c r="AF231" s="867"/>
      <c r="AG231" s="867"/>
      <c r="AH231" s="867"/>
      <c r="AI231" s="867"/>
      <c r="AJ231" s="867"/>
      <c r="AK231" s="867"/>
      <c r="AL231" s="867"/>
      <c r="AM231" s="867"/>
      <c r="AN231" s="867"/>
      <c r="AO231" s="867"/>
      <c r="AP231" s="869"/>
      <c r="AQ231" s="867"/>
      <c r="AR231" s="867"/>
      <c r="AS231" s="867"/>
      <c r="AT231" s="867"/>
      <c r="AU231" s="867"/>
      <c r="AV231" s="867"/>
      <c r="AW231" s="867"/>
      <c r="AX231" s="867"/>
      <c r="AY231" s="867"/>
      <c r="AZ231" s="867"/>
      <c r="BA231" s="867"/>
      <c r="BB231" s="867"/>
      <c r="BC231" s="796"/>
      <c r="BD231" s="796"/>
      <c r="BE231" s="867"/>
      <c r="BF231" s="869"/>
      <c r="BG231" s="869"/>
      <c r="BH231" s="796"/>
      <c r="BI231" s="796"/>
      <c r="BJ231" s="796"/>
    </row>
    <row r="232" ht="15.75" customHeight="1">
      <c r="A232" s="963"/>
      <c r="B232" s="950" t="s">
        <v>6819</v>
      </c>
      <c r="C232" s="866" t="s">
        <v>3637</v>
      </c>
      <c r="D232" s="873" t="s">
        <v>1622</v>
      </c>
      <c r="E232" s="873"/>
      <c r="F232" s="788" t="s">
        <v>1693</v>
      </c>
      <c r="G232" s="873"/>
      <c r="H232" s="811" t="s">
        <v>1605</v>
      </c>
      <c r="I232" s="873" t="s">
        <v>2439</v>
      </c>
      <c r="J232" s="873"/>
      <c r="K232" s="867" t="s">
        <v>4025</v>
      </c>
      <c r="L232" s="873"/>
      <c r="M232" s="873"/>
      <c r="N232" s="873" t="s">
        <v>6820</v>
      </c>
      <c r="O232" s="873"/>
      <c r="P232" s="875" t="s">
        <v>6821</v>
      </c>
      <c r="Q232" s="873"/>
      <c r="R232" s="873" t="s">
        <v>3637</v>
      </c>
      <c r="S232" s="873"/>
      <c r="T232" s="873"/>
      <c r="U232" s="873" t="s">
        <v>3735</v>
      </c>
      <c r="V232" s="873"/>
      <c r="W232" s="873"/>
      <c r="X232" s="873"/>
      <c r="Y232" s="873"/>
      <c r="Z232" s="873"/>
      <c r="AA232" s="873"/>
      <c r="AB232" s="873"/>
      <c r="AC232" s="873"/>
      <c r="AD232" s="873"/>
      <c r="AE232" s="867" t="s">
        <v>427</v>
      </c>
      <c r="AF232" s="867" t="s">
        <v>427</v>
      </c>
      <c r="AG232" s="873" t="s">
        <v>2467</v>
      </c>
      <c r="AH232" s="873"/>
      <c r="AI232" s="873"/>
      <c r="AJ232" s="873"/>
      <c r="AK232" s="867" t="s">
        <v>4753</v>
      </c>
      <c r="AL232" s="873"/>
      <c r="AM232" s="788" t="str">
        <f>HYPERLINK("https://youtu.be/7lF7UZKburw","31.51")</f>
        <v>31.51</v>
      </c>
      <c r="AN232" s="873"/>
      <c r="AO232" s="873"/>
      <c r="AP232" s="869"/>
      <c r="AQ232" s="873"/>
      <c r="AR232" s="873"/>
      <c r="AS232" s="873"/>
      <c r="AT232" s="873"/>
      <c r="AU232" s="873"/>
      <c r="AV232" s="873"/>
      <c r="AW232" s="873"/>
      <c r="AX232" s="873"/>
      <c r="AY232" s="873"/>
      <c r="AZ232" s="873"/>
      <c r="BA232" s="873"/>
      <c r="BB232" s="873"/>
      <c r="BC232" s="946"/>
      <c r="BD232" s="946"/>
      <c r="BE232" s="873"/>
      <c r="BF232" s="869"/>
      <c r="BG232" s="869"/>
      <c r="BH232" s="946"/>
      <c r="BI232" s="946"/>
      <c r="BJ232" s="946"/>
    </row>
    <row r="233" ht="15.75" customHeight="1">
      <c r="A233" s="963"/>
      <c r="B233" s="950" t="s">
        <v>6822</v>
      </c>
      <c r="C233" s="866" t="s">
        <v>6823</v>
      </c>
      <c r="D233" s="794" t="s">
        <v>1605</v>
      </c>
      <c r="E233" s="873"/>
      <c r="F233" s="803"/>
      <c r="G233" s="867" t="s">
        <v>2516</v>
      </c>
      <c r="H233" s="948"/>
      <c r="I233" s="873"/>
      <c r="J233" s="867" t="s">
        <v>1080</v>
      </c>
      <c r="K233" s="873"/>
      <c r="L233" s="867" t="s">
        <v>884</v>
      </c>
      <c r="M233" s="867" t="s">
        <v>242</v>
      </c>
      <c r="N233" s="873"/>
      <c r="O233" s="867" t="s">
        <v>2895</v>
      </c>
      <c r="P233" s="875"/>
      <c r="Q233" s="873" t="s">
        <v>6824</v>
      </c>
      <c r="R233" s="788" t="s">
        <v>2134</v>
      </c>
      <c r="S233" s="873"/>
      <c r="T233" s="873"/>
      <c r="U233" s="873"/>
      <c r="V233" s="873"/>
      <c r="W233" s="873"/>
      <c r="X233" s="873"/>
      <c r="Y233" s="873"/>
      <c r="Z233" s="873"/>
      <c r="AA233" s="873"/>
      <c r="AB233" s="873"/>
      <c r="AC233" s="873"/>
      <c r="AD233" s="873"/>
      <c r="AE233" s="873"/>
      <c r="AF233" s="873"/>
      <c r="AG233" s="873"/>
      <c r="AH233" s="788" t="s">
        <v>6823</v>
      </c>
      <c r="AI233" s="873"/>
      <c r="AJ233" s="873"/>
      <c r="AK233" s="873"/>
      <c r="AL233" s="873"/>
      <c r="AM233" s="873"/>
      <c r="AN233" s="873"/>
      <c r="AO233" s="873"/>
      <c r="AP233" s="869"/>
      <c r="AQ233" s="873"/>
      <c r="AR233" s="873"/>
      <c r="AS233" s="873"/>
      <c r="AT233" s="873"/>
      <c r="AU233" s="873"/>
      <c r="AV233" s="873"/>
      <c r="AW233" s="873"/>
      <c r="AX233" s="873"/>
      <c r="AY233" s="873"/>
      <c r="AZ233" s="873"/>
      <c r="BA233" s="873"/>
      <c r="BB233" s="873"/>
      <c r="BC233" s="796"/>
      <c r="BD233" s="796"/>
      <c r="BE233" s="873"/>
      <c r="BF233" s="869"/>
      <c r="BG233" s="869"/>
      <c r="BH233" s="796"/>
      <c r="BI233" s="796"/>
      <c r="BJ233" s="796"/>
    </row>
    <row r="234" ht="15.75" customHeight="1">
      <c r="A234" s="952" t="s">
        <v>6379</v>
      </c>
      <c r="B234" s="964" t="s">
        <v>6825</v>
      </c>
      <c r="C234" s="866" t="s">
        <v>5623</v>
      </c>
      <c r="D234" s="965"/>
      <c r="E234" s="867" t="s">
        <v>5631</v>
      </c>
      <c r="F234" s="803"/>
      <c r="G234" s="965"/>
      <c r="H234" s="790"/>
      <c r="I234" s="965"/>
      <c r="J234" s="965"/>
      <c r="K234" s="965"/>
      <c r="L234" s="965"/>
      <c r="M234" s="965"/>
      <c r="N234" s="965"/>
      <c r="O234" s="965"/>
      <c r="P234" s="868"/>
      <c r="Q234" s="965"/>
      <c r="R234" s="965"/>
      <c r="S234" s="965"/>
      <c r="T234" s="965"/>
      <c r="U234" s="965"/>
      <c r="V234" s="965"/>
      <c r="W234" s="867" t="s">
        <v>825</v>
      </c>
      <c r="X234" s="965"/>
      <c r="Y234" s="965"/>
      <c r="Z234" s="965"/>
      <c r="AA234" s="965"/>
      <c r="AB234" s="965"/>
      <c r="AC234" s="965" t="s">
        <v>6826</v>
      </c>
      <c r="AD234" s="965"/>
      <c r="AE234" s="965"/>
      <c r="AF234" s="965"/>
      <c r="AG234" s="965"/>
      <c r="AH234" s="965"/>
      <c r="AI234" s="965"/>
      <c r="AJ234" s="965"/>
      <c r="AK234" s="965"/>
      <c r="AL234" s="965"/>
      <c r="AM234" s="965"/>
      <c r="AN234" s="965"/>
      <c r="AO234" s="965"/>
      <c r="AP234" s="869"/>
      <c r="AQ234" s="965"/>
      <c r="AR234" s="965"/>
      <c r="AS234" s="965"/>
      <c r="AT234" s="965"/>
      <c r="AU234" s="965"/>
      <c r="AV234" s="965"/>
      <c r="AW234" s="965"/>
      <c r="AX234" s="965"/>
      <c r="AY234" s="965"/>
      <c r="AZ234" s="965"/>
      <c r="BA234" s="965"/>
      <c r="BB234" s="965"/>
      <c r="BC234" s="946"/>
      <c r="BD234" s="946"/>
      <c r="BE234" s="965"/>
      <c r="BF234" s="869"/>
      <c r="BG234" s="869"/>
      <c r="BH234" s="946"/>
      <c r="BI234" s="946"/>
      <c r="BJ234" s="946"/>
    </row>
    <row r="235" ht="15.75" customHeight="1">
      <c r="A235" s="956"/>
      <c r="B235" s="950" t="s">
        <v>6827</v>
      </c>
      <c r="C235" s="866" t="s">
        <v>1410</v>
      </c>
      <c r="D235" s="867" t="s">
        <v>1373</v>
      </c>
      <c r="E235" s="867" t="s">
        <v>1410</v>
      </c>
      <c r="F235" s="788" t="s">
        <v>3292</v>
      </c>
      <c r="G235" s="788" t="s">
        <v>5425</v>
      </c>
      <c r="H235" s="948"/>
      <c r="I235" s="867"/>
      <c r="J235" s="867" t="s">
        <v>1787</v>
      </c>
      <c r="K235" s="867" t="s">
        <v>1034</v>
      </c>
      <c r="L235" s="867" t="s">
        <v>527</v>
      </c>
      <c r="M235" s="867"/>
      <c r="N235" s="867"/>
      <c r="O235" s="867"/>
      <c r="P235" s="868"/>
      <c r="Q235" s="867"/>
      <c r="R235" s="788" t="s">
        <v>811</v>
      </c>
      <c r="S235" s="867" t="s">
        <v>1408</v>
      </c>
      <c r="T235" s="867"/>
      <c r="U235" s="867"/>
      <c r="V235" s="867" t="s">
        <v>4447</v>
      </c>
      <c r="W235" s="867"/>
      <c r="X235" s="867"/>
      <c r="Y235" s="867"/>
      <c r="Z235" s="867"/>
      <c r="AA235" s="867"/>
      <c r="AB235" s="867"/>
      <c r="AC235" s="867"/>
      <c r="AD235" s="867"/>
      <c r="AE235" s="867"/>
      <c r="AF235" s="867" t="s">
        <v>6828</v>
      </c>
      <c r="AG235" s="867"/>
      <c r="AH235" s="867"/>
      <c r="AI235" s="867"/>
      <c r="AJ235" s="867"/>
      <c r="AK235" s="867"/>
      <c r="AL235" s="867"/>
      <c r="AM235" s="867"/>
      <c r="AN235" s="867"/>
      <c r="AO235" s="867"/>
      <c r="AP235" s="869"/>
      <c r="AQ235" s="867"/>
      <c r="AR235" s="867"/>
      <c r="AS235" s="867"/>
      <c r="AT235" s="867"/>
      <c r="AU235" s="867"/>
      <c r="AV235" s="867"/>
      <c r="AW235" s="867"/>
      <c r="AX235" s="867"/>
      <c r="AY235" s="867"/>
      <c r="AZ235" s="867"/>
      <c r="BA235" s="867"/>
      <c r="BB235" s="867"/>
      <c r="BC235" s="796"/>
      <c r="BD235" s="796"/>
      <c r="BE235" s="867"/>
      <c r="BF235" s="869"/>
      <c r="BG235" s="869"/>
      <c r="BH235" s="796"/>
      <c r="BI235" s="796"/>
      <c r="BJ235" s="796"/>
    </row>
    <row r="236" ht="15.75" customHeight="1">
      <c r="A236" s="956"/>
      <c r="B236" s="950" t="s">
        <v>6829</v>
      </c>
      <c r="C236" s="866"/>
      <c r="D236" s="966" t="s">
        <v>4606</v>
      </c>
      <c r="E236" s="867"/>
      <c r="F236" s="803"/>
      <c r="G236" s="867"/>
      <c r="H236" s="967" t="s">
        <v>6828</v>
      </c>
      <c r="I236" s="867"/>
      <c r="J236" s="867"/>
      <c r="K236" s="867"/>
      <c r="L236" s="867"/>
      <c r="M236" s="867"/>
      <c r="N236" s="867"/>
      <c r="O236" s="867"/>
      <c r="P236" s="868"/>
      <c r="Q236" s="867"/>
      <c r="R236" s="867"/>
      <c r="S236" s="867"/>
      <c r="T236" s="867"/>
      <c r="U236" s="867"/>
      <c r="V236" s="867"/>
      <c r="W236" s="867"/>
      <c r="X236" s="867"/>
      <c r="Y236" s="867"/>
      <c r="Z236" s="867"/>
      <c r="AA236" s="867"/>
      <c r="AB236" s="867"/>
      <c r="AC236" s="867"/>
      <c r="AD236" s="867"/>
      <c r="AE236" s="867"/>
      <c r="AF236" s="867"/>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946"/>
      <c r="BD236" s="946"/>
      <c r="BE236" s="867"/>
      <c r="BF236" s="869"/>
      <c r="BG236" s="869"/>
      <c r="BH236" s="946"/>
      <c r="BI236" s="946"/>
      <c r="BJ236" s="946"/>
    </row>
    <row r="237" ht="15.75" customHeight="1">
      <c r="A237" s="952" t="s">
        <v>6404</v>
      </c>
      <c r="B237" s="968" t="s">
        <v>6405</v>
      </c>
      <c r="C237" s="866" t="s">
        <v>6830</v>
      </c>
      <c r="D237" s="799" t="s">
        <v>1609</v>
      </c>
      <c r="E237" s="873"/>
      <c r="F237" s="803"/>
      <c r="G237" s="873"/>
      <c r="H237" s="948"/>
      <c r="I237" s="873" t="s">
        <v>1925</v>
      </c>
      <c r="J237" s="867" t="s">
        <v>1465</v>
      </c>
      <c r="K237" s="873" t="s">
        <v>6831</v>
      </c>
      <c r="L237" s="873" t="s">
        <v>5822</v>
      </c>
      <c r="M237" s="873"/>
      <c r="N237" s="873"/>
      <c r="O237" s="873"/>
      <c r="P237" s="875"/>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69"/>
      <c r="AQ237" s="873"/>
      <c r="AR237" s="873"/>
      <c r="AS237" s="873"/>
      <c r="AT237" s="873"/>
      <c r="AU237" s="873"/>
      <c r="AV237" s="873"/>
      <c r="AW237" s="873"/>
      <c r="AX237" s="873"/>
      <c r="AY237" s="873"/>
      <c r="AZ237" s="873"/>
      <c r="BA237" s="873"/>
      <c r="BB237" s="873"/>
      <c r="BC237" s="796"/>
      <c r="BD237" s="796"/>
      <c r="BE237" s="873"/>
      <c r="BF237" s="869"/>
      <c r="BG237" s="869"/>
      <c r="BH237" s="796"/>
      <c r="BI237" s="796"/>
      <c r="BJ237" s="796"/>
    </row>
    <row r="238" ht="15.75" customHeight="1">
      <c r="A238" s="952" t="s">
        <v>6407</v>
      </c>
      <c r="B238" s="968" t="s">
        <v>6405</v>
      </c>
      <c r="C238" s="866"/>
      <c r="D238" s="969" t="s">
        <v>6832</v>
      </c>
      <c r="E238" s="873"/>
      <c r="F238" s="803"/>
      <c r="G238" s="873"/>
      <c r="H238" s="948"/>
      <c r="I238" s="873"/>
      <c r="J238" s="867"/>
      <c r="K238" s="873"/>
      <c r="L238" s="873"/>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6"/>
      <c r="BD238" s="796"/>
      <c r="BE238" s="873"/>
      <c r="BF238" s="869"/>
      <c r="BG238" s="869"/>
      <c r="BH238" s="796"/>
      <c r="BI238" s="796"/>
      <c r="BJ238" s="796"/>
    </row>
    <row r="239" ht="15.75" customHeight="1">
      <c r="A239" s="944" t="s">
        <v>6468</v>
      </c>
      <c r="B239" s="945" t="s">
        <v>6769</v>
      </c>
      <c r="C239" s="866" t="s">
        <v>5417</v>
      </c>
      <c r="D239" s="867" t="s">
        <v>1321</v>
      </c>
      <c r="E239" s="867" t="s">
        <v>2592</v>
      </c>
      <c r="F239" s="803"/>
      <c r="G239" s="867" t="s">
        <v>5417</v>
      </c>
      <c r="H239" s="811" t="s">
        <v>4100</v>
      </c>
      <c r="I239" s="867"/>
      <c r="J239" s="867"/>
      <c r="K239" s="867" t="s">
        <v>5525</v>
      </c>
      <c r="L239" s="867"/>
      <c r="M239" s="867"/>
      <c r="N239" s="867" t="s">
        <v>5173</v>
      </c>
      <c r="O239" s="867" t="s">
        <v>4100</v>
      </c>
      <c r="P239" s="868" t="s">
        <v>5456</v>
      </c>
      <c r="Q239" s="867"/>
      <c r="R239" s="867" t="s">
        <v>5417</v>
      </c>
      <c r="S239" s="867"/>
      <c r="T239" s="867"/>
      <c r="U239" s="867" t="s">
        <v>4249</v>
      </c>
      <c r="V239" s="867"/>
      <c r="W239" s="867"/>
      <c r="X239" s="867"/>
      <c r="Y239" s="867"/>
      <c r="Z239" s="867"/>
      <c r="AA239" s="867"/>
      <c r="AB239" s="867"/>
      <c r="AC239" s="867"/>
      <c r="AD239" s="867"/>
      <c r="AE239" s="867"/>
      <c r="AF239" s="867"/>
      <c r="AG239" s="867"/>
      <c r="AH239" s="867"/>
      <c r="AI239" s="867"/>
      <c r="AJ239" s="867"/>
      <c r="AK239" s="867"/>
      <c r="AL239" s="867" t="s">
        <v>3031</v>
      </c>
      <c r="AM239" s="867"/>
      <c r="AN239" s="867"/>
      <c r="AO239" s="867"/>
      <c r="AP239" s="869"/>
      <c r="AQ239" s="867"/>
      <c r="AR239" s="867"/>
      <c r="AS239" s="867"/>
      <c r="AT239" s="867"/>
      <c r="AU239" s="867"/>
      <c r="AV239" s="867"/>
      <c r="AW239" s="867"/>
      <c r="AX239" s="867"/>
      <c r="AY239" s="867"/>
      <c r="AZ239" s="867"/>
      <c r="BA239" s="867"/>
      <c r="BB239" s="867"/>
      <c r="BC239" s="946"/>
      <c r="BD239" s="946"/>
      <c r="BE239" s="867"/>
      <c r="BF239" s="869"/>
      <c r="BG239" s="869"/>
      <c r="BH239" s="946"/>
      <c r="BI239" s="946"/>
      <c r="BJ239" s="946"/>
    </row>
    <row r="240" ht="15.75" customHeight="1">
      <c r="A240" s="963"/>
      <c r="B240" s="950" t="s">
        <v>6543</v>
      </c>
      <c r="C240" s="866" t="s">
        <v>2982</v>
      </c>
      <c r="D240" s="867"/>
      <c r="E240" s="867" t="s">
        <v>4238</v>
      </c>
      <c r="F240" s="803"/>
      <c r="G240" s="867" t="s">
        <v>2982</v>
      </c>
      <c r="H240" s="948"/>
      <c r="I240" s="867" t="str">
        <f>HYPERLINK("https://youtu.be/yGR2akJEjQQ","19.18")</f>
        <v>19.18</v>
      </c>
      <c r="J240" s="867"/>
      <c r="K240" s="867"/>
      <c r="L240" s="867"/>
      <c r="M240" s="867"/>
      <c r="N240" s="867"/>
      <c r="O240" s="867"/>
      <c r="P240" s="868"/>
      <c r="Q240" s="867"/>
      <c r="R240" s="788" t="s">
        <v>5369</v>
      </c>
      <c r="S240" s="867"/>
      <c r="T240" s="867" t="s">
        <v>2443</v>
      </c>
      <c r="U240" s="867"/>
      <c r="V240" s="867" t="s">
        <v>2947</v>
      </c>
      <c r="W240" s="867"/>
      <c r="X240" s="867"/>
      <c r="Y240" s="867"/>
      <c r="Z240" s="867"/>
      <c r="AA240" s="867"/>
      <c r="AB240" s="867"/>
      <c r="AC240" s="867"/>
      <c r="AD240" s="867"/>
      <c r="AE240" s="867"/>
      <c r="AF240" s="867"/>
      <c r="AG240" s="867"/>
      <c r="AH240" s="867"/>
      <c r="AI240" s="867"/>
      <c r="AJ240" s="867"/>
      <c r="AK240" s="867"/>
      <c r="AL240" s="867"/>
      <c r="AM240" s="867"/>
      <c r="AN240" s="867"/>
      <c r="AO240" s="867"/>
      <c r="AP240" s="869"/>
      <c r="AQ240" s="867"/>
      <c r="AR240" s="867"/>
      <c r="AS240" s="867"/>
      <c r="AT240" s="867"/>
      <c r="AU240" s="867"/>
      <c r="AV240" s="867"/>
      <c r="AW240" s="867"/>
      <c r="AX240" s="867"/>
      <c r="AY240" s="867"/>
      <c r="AZ240" s="867"/>
      <c r="BA240" s="867"/>
      <c r="BB240" s="867"/>
      <c r="BC240" s="796"/>
      <c r="BD240" s="796"/>
      <c r="BE240" s="867"/>
      <c r="BF240" s="869"/>
      <c r="BG240" s="869"/>
      <c r="BH240" s="796"/>
      <c r="BI240" s="796"/>
      <c r="BJ240" s="796"/>
    </row>
    <row r="241" ht="15.75" customHeight="1">
      <c r="A241" s="963"/>
      <c r="B241" s="950" t="s">
        <v>6833</v>
      </c>
      <c r="C241" s="866" t="s">
        <v>3119</v>
      </c>
      <c r="D241" s="867"/>
      <c r="E241" s="867" t="s">
        <v>846</v>
      </c>
      <c r="F241" s="803"/>
      <c r="G241" s="867" t="s">
        <v>3119</v>
      </c>
      <c r="H241" s="790"/>
      <c r="I241" s="867"/>
      <c r="J241" s="867"/>
      <c r="K241" s="867"/>
      <c r="L241" s="867"/>
      <c r="M241" s="867"/>
      <c r="N241" s="867"/>
      <c r="O241" s="867"/>
      <c r="P241" s="868"/>
      <c r="Q241" s="867"/>
      <c r="R241" s="867"/>
      <c r="S241" s="867"/>
      <c r="T241" s="867" t="s">
        <v>846</v>
      </c>
      <c r="U241" s="867"/>
      <c r="V241" s="867"/>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946"/>
      <c r="BD241" s="946"/>
      <c r="BE241" s="867"/>
      <c r="BF241" s="869"/>
      <c r="BG241" s="869"/>
      <c r="BH241" s="946"/>
      <c r="BI241" s="946"/>
      <c r="BJ241" s="946"/>
    </row>
    <row r="242" ht="15.75" customHeight="1">
      <c r="A242" s="963"/>
      <c r="B242" s="950" t="s">
        <v>6834</v>
      </c>
      <c r="C242" s="866" t="s">
        <v>1043</v>
      </c>
      <c r="D242" s="794" t="s">
        <v>1606</v>
      </c>
      <c r="E242" s="788" t="s">
        <v>405</v>
      </c>
      <c r="F242" s="788" t="s">
        <v>1246</v>
      </c>
      <c r="G242" s="788" t="s">
        <v>1043</v>
      </c>
      <c r="H242" s="947" t="s">
        <v>3116</v>
      </c>
      <c r="I242" s="788" t="s">
        <v>405</v>
      </c>
      <c r="J242" s="803"/>
      <c r="K242" s="788" t="s">
        <v>2193</v>
      </c>
      <c r="L242" s="788" t="s">
        <v>508</v>
      </c>
      <c r="M242" s="803"/>
      <c r="N242" s="803"/>
      <c r="O242" s="788" t="s">
        <v>1924</v>
      </c>
      <c r="P242" s="868"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9"/>
      <c r="AQ242" s="803"/>
      <c r="AR242" s="803"/>
      <c r="AS242" s="803"/>
      <c r="AT242" s="803"/>
      <c r="AU242" s="803"/>
      <c r="AV242" s="803"/>
      <c r="AW242" s="803"/>
      <c r="AX242" s="803"/>
      <c r="AY242" s="803"/>
      <c r="AZ242" s="803"/>
      <c r="BA242" s="803"/>
      <c r="BB242" s="803"/>
      <c r="BC242" s="796"/>
      <c r="BD242" s="796"/>
      <c r="BE242" s="803"/>
      <c r="BF242" s="869"/>
      <c r="BG242" s="869"/>
      <c r="BH242" s="796"/>
      <c r="BI242" s="796"/>
      <c r="BJ242" s="796"/>
    </row>
    <row r="243" ht="15.75" customHeight="1">
      <c r="A243" s="963"/>
      <c r="B243" s="950" t="s">
        <v>6835</v>
      </c>
      <c r="C243" s="785" t="s">
        <v>4956</v>
      </c>
      <c r="D243" s="873"/>
      <c r="E243" s="873"/>
      <c r="F243" s="803"/>
      <c r="G243" s="788" t="s">
        <v>4956</v>
      </c>
      <c r="H243" s="790"/>
      <c r="I243" s="873"/>
      <c r="J243" s="873"/>
      <c r="K243" s="873"/>
      <c r="L243" s="873"/>
      <c r="M243" s="873"/>
      <c r="N243" s="873"/>
      <c r="O243" s="873"/>
      <c r="P243" s="875"/>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69"/>
      <c r="AQ243" s="873"/>
      <c r="AR243" s="873"/>
      <c r="AS243" s="873"/>
      <c r="AT243" s="873"/>
      <c r="AU243" s="873"/>
      <c r="AV243" s="873"/>
      <c r="AW243" s="873"/>
      <c r="AX243" s="873"/>
      <c r="AY243" s="873"/>
      <c r="AZ243" s="873"/>
      <c r="BA243" s="873"/>
      <c r="BB243" s="873"/>
      <c r="BC243" s="946"/>
      <c r="BD243" s="946"/>
      <c r="BE243" s="873"/>
      <c r="BF243" s="869"/>
      <c r="BG243" s="869"/>
      <c r="BH243" s="946"/>
      <c r="BI243" s="946"/>
      <c r="BJ243" s="946"/>
    </row>
    <row r="244" ht="15.75" customHeight="1">
      <c r="A244" s="944" t="s">
        <v>6836</v>
      </c>
      <c r="B244" s="945" t="s">
        <v>6358</v>
      </c>
      <c r="C244" s="866" t="s">
        <v>178</v>
      </c>
      <c r="D244" s="799" t="s">
        <v>1607</v>
      </c>
      <c r="E244" s="873"/>
      <c r="F244" s="788" t="s">
        <v>1385</v>
      </c>
      <c r="G244" s="873"/>
      <c r="H244" s="948"/>
      <c r="I244" s="873"/>
      <c r="J244" s="873"/>
      <c r="K244" s="873"/>
      <c r="L244" s="867" t="s">
        <v>178</v>
      </c>
      <c r="M244" s="867" t="s">
        <v>796</v>
      </c>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75</v>
      </c>
      <c r="B245" s="945" t="s">
        <v>6837</v>
      </c>
      <c r="C245" s="866" t="s">
        <v>3618</v>
      </c>
      <c r="D245" s="867"/>
      <c r="E245" s="867" t="s">
        <v>3618</v>
      </c>
      <c r="F245" s="803"/>
      <c r="G245" s="867"/>
      <c r="H245" s="790"/>
      <c r="I245" s="867"/>
      <c r="J245" s="867"/>
      <c r="K245" s="867"/>
      <c r="L245" s="867"/>
      <c r="M245" s="867"/>
      <c r="N245" s="867"/>
      <c r="O245" s="867"/>
      <c r="P245" s="868"/>
      <c r="Q245" s="867"/>
      <c r="R245" s="867"/>
      <c r="S245" s="867"/>
      <c r="T245" s="867"/>
      <c r="U245" s="867"/>
      <c r="V245" s="867"/>
      <c r="W245" s="867"/>
      <c r="X245" s="867"/>
      <c r="Y245" s="867"/>
      <c r="Z245" s="867"/>
      <c r="AA245" s="867"/>
      <c r="AB245" s="867"/>
      <c r="AC245" s="867"/>
      <c r="AD245" s="867"/>
      <c r="AE245" s="867"/>
      <c r="AF245" s="867"/>
      <c r="AG245" s="867"/>
      <c r="AH245" s="867"/>
      <c r="AI245" s="867"/>
      <c r="AJ245" s="867"/>
      <c r="AK245" s="867"/>
      <c r="AL245" s="867"/>
      <c r="AM245" s="867"/>
      <c r="AN245" s="867"/>
      <c r="AO245" s="867"/>
      <c r="AP245" s="869"/>
      <c r="AQ245" s="867"/>
      <c r="AR245" s="867"/>
      <c r="AS245" s="867"/>
      <c r="AT245" s="867"/>
      <c r="AU245" s="867"/>
      <c r="AV245" s="867"/>
      <c r="AW245" s="867"/>
      <c r="AX245" s="867"/>
      <c r="AY245" s="867"/>
      <c r="AZ245" s="867"/>
      <c r="BA245" s="867"/>
      <c r="BB245" s="867"/>
      <c r="BC245" s="796"/>
      <c r="BD245" s="796"/>
      <c r="BE245" s="867"/>
      <c r="BF245" s="869"/>
      <c r="BG245" s="869"/>
      <c r="BH245" s="796"/>
      <c r="BI245" s="796"/>
      <c r="BJ245" s="796"/>
    </row>
    <row r="246" ht="15.75" customHeight="1">
      <c r="A246" s="963"/>
      <c r="B246" s="950" t="s">
        <v>6838</v>
      </c>
      <c r="C246" s="866" t="s">
        <v>295</v>
      </c>
      <c r="D246" s="799" t="s">
        <v>1608</v>
      </c>
      <c r="E246" s="788" t="s">
        <v>407</v>
      </c>
      <c r="F246" s="788" t="s">
        <v>1386</v>
      </c>
      <c r="G246" s="788" t="s">
        <v>797</v>
      </c>
      <c r="H246" s="948"/>
      <c r="I246" s="803"/>
      <c r="J246" s="788" t="s">
        <v>354</v>
      </c>
      <c r="K246" s="803"/>
      <c r="L246" s="803" t="s">
        <v>3334</v>
      </c>
      <c r="M246" s="788" t="s">
        <v>797</v>
      </c>
      <c r="N246" s="803"/>
      <c r="O246" s="788" t="s">
        <v>1044</v>
      </c>
      <c r="P246" s="868"/>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9"/>
      <c r="AQ246" s="803"/>
      <c r="AR246" s="803"/>
      <c r="AS246" s="803"/>
      <c r="AT246" s="803"/>
      <c r="AU246" s="803"/>
      <c r="AV246" s="803"/>
      <c r="AW246" s="803"/>
      <c r="AX246" s="803"/>
      <c r="AY246" s="803"/>
      <c r="AZ246" s="803"/>
      <c r="BA246" s="803"/>
      <c r="BB246" s="803"/>
      <c r="BC246" s="946"/>
      <c r="BD246" s="946"/>
      <c r="BE246" s="803"/>
      <c r="BF246" s="869"/>
      <c r="BG246" s="869"/>
      <c r="BH246" s="946"/>
      <c r="BI246" s="946"/>
      <c r="BJ246" s="946"/>
    </row>
    <row r="247" ht="15.75" customHeight="1">
      <c r="A247" s="944" t="s">
        <v>57</v>
      </c>
      <c r="B247" s="945" t="s">
        <v>6358</v>
      </c>
      <c r="C247" s="866" t="s">
        <v>512</v>
      </c>
      <c r="D247" s="799" t="s">
        <v>1610</v>
      </c>
      <c r="E247" s="873"/>
      <c r="F247" s="788" t="s">
        <v>1388</v>
      </c>
      <c r="G247" s="873"/>
      <c r="H247" s="790"/>
      <c r="I247" s="873"/>
      <c r="J247" s="873"/>
      <c r="K247" s="873"/>
      <c r="L247" s="867" t="s">
        <v>887</v>
      </c>
      <c r="M247" s="873"/>
      <c r="N247" s="873"/>
      <c r="O247" s="873"/>
      <c r="P247" s="875"/>
      <c r="Q247" s="873"/>
      <c r="R247" s="873"/>
      <c r="S247" s="873"/>
      <c r="T247" s="873" t="s">
        <v>512</v>
      </c>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69"/>
      <c r="AQ247" s="873"/>
      <c r="AR247" s="873"/>
      <c r="AS247" s="873"/>
      <c r="AT247" s="873"/>
      <c r="AU247" s="873"/>
      <c r="AV247" s="873"/>
      <c r="AW247" s="873"/>
      <c r="AX247" s="873"/>
      <c r="AY247" s="873"/>
      <c r="AZ247" s="873"/>
      <c r="BA247" s="873"/>
      <c r="BB247" s="873"/>
      <c r="BC247" s="796"/>
      <c r="BD247" s="796"/>
      <c r="BE247" s="873"/>
      <c r="BF247" s="869"/>
      <c r="BG247" s="869"/>
      <c r="BH247" s="796"/>
      <c r="BI247" s="796"/>
      <c r="BJ247" s="796"/>
    </row>
    <row r="248">
      <c r="A248" s="970" t="s">
        <v>6839</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6357</v>
      </c>
      <c r="B249" s="977" t="s">
        <v>6840</v>
      </c>
      <c r="C249" s="866" t="s">
        <v>1753</v>
      </c>
      <c r="D249" s="873" t="s">
        <v>3870</v>
      </c>
      <c r="E249" s="873"/>
      <c r="F249" s="803"/>
      <c r="G249" s="873"/>
      <c r="H249" s="790"/>
      <c r="I249" s="873"/>
      <c r="J249" s="867" t="s">
        <v>3011</v>
      </c>
      <c r="K249" s="873"/>
      <c r="L249" s="873"/>
      <c r="M249" s="873"/>
      <c r="N249" s="873"/>
      <c r="O249" s="873"/>
      <c r="P249" s="875"/>
      <c r="Q249" s="873"/>
      <c r="R249" s="873"/>
      <c r="S249" s="873"/>
      <c r="T249" s="873"/>
      <c r="U249" s="873"/>
      <c r="V249" s="873"/>
      <c r="W249" s="873" t="s">
        <v>6841</v>
      </c>
      <c r="X249" s="873"/>
      <c r="Y249" s="873"/>
      <c r="Z249" s="873"/>
      <c r="AA249" s="873"/>
      <c r="AB249" s="873"/>
      <c r="AC249" s="873"/>
      <c r="AD249" s="873"/>
      <c r="AE249" s="873"/>
      <c r="AF249" s="873"/>
      <c r="AG249" s="873"/>
      <c r="AH249" s="873"/>
      <c r="AI249" s="873"/>
      <c r="AJ249" s="873"/>
      <c r="AK249" s="873"/>
      <c r="AL249" s="873"/>
      <c r="AM249" s="873"/>
      <c r="AN249" s="873"/>
      <c r="AO249" s="873"/>
      <c r="AP249" s="869"/>
      <c r="AQ249" s="873"/>
      <c r="AR249" s="873"/>
      <c r="AS249" s="873"/>
      <c r="AT249" s="873"/>
      <c r="AU249" s="873"/>
      <c r="AV249" s="873"/>
      <c r="AW249" s="873"/>
      <c r="AX249" s="873"/>
      <c r="AY249" s="873"/>
      <c r="AZ249" s="873"/>
      <c r="BA249" s="873"/>
      <c r="BB249" s="873"/>
      <c r="BC249" s="978"/>
      <c r="BD249" s="978"/>
      <c r="BE249" s="873"/>
      <c r="BF249" s="869"/>
      <c r="BG249" s="869"/>
      <c r="BH249" s="978"/>
      <c r="BI249" s="978"/>
      <c r="BJ249" s="978"/>
    </row>
    <row r="250" ht="15.75" customHeight="1">
      <c r="A250" s="979"/>
      <c r="B250" s="980" t="s">
        <v>6842</v>
      </c>
      <c r="C250" s="866" t="s">
        <v>4503</v>
      </c>
      <c r="D250" s="873"/>
      <c r="E250" s="873"/>
      <c r="F250" s="803"/>
      <c r="G250" s="873"/>
      <c r="H250" s="981" t="s">
        <v>3742</v>
      </c>
      <c r="I250" s="867" t="str">
        <f>HYPERLINK("https://youtu.be/K8Egs0-qumI","48.41")</f>
        <v>48.41</v>
      </c>
      <c r="J250" s="873"/>
      <c r="K250" s="873"/>
      <c r="L250" s="873"/>
      <c r="M250" s="873"/>
      <c r="N250" s="873"/>
      <c r="O250" s="873"/>
      <c r="P250" s="875"/>
      <c r="Q250" s="873"/>
      <c r="R250" s="788" t="s">
        <v>6843</v>
      </c>
      <c r="S250" s="873"/>
      <c r="T250" s="867" t="s">
        <v>4503</v>
      </c>
      <c r="U250" s="873"/>
      <c r="V250" s="873"/>
      <c r="W250" s="873"/>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796"/>
      <c r="BD250" s="796"/>
      <c r="BE250" s="873"/>
      <c r="BF250" s="869"/>
      <c r="BG250" s="869"/>
      <c r="BH250" s="796"/>
      <c r="BI250" s="796"/>
      <c r="BJ250" s="796"/>
    </row>
    <row r="251" ht="15.75" customHeight="1">
      <c r="A251" s="979"/>
      <c r="B251" s="980" t="s">
        <v>6844</v>
      </c>
      <c r="C251" s="866" t="s">
        <v>430</v>
      </c>
      <c r="D251" s="873" t="s">
        <v>4503</v>
      </c>
      <c r="E251" s="873"/>
      <c r="F251" s="803"/>
      <c r="G251" s="873"/>
      <c r="H251" s="790"/>
      <c r="I251" s="873" t="s">
        <v>6845</v>
      </c>
      <c r="J251" s="867" t="s">
        <v>4746</v>
      </c>
      <c r="K251" s="873"/>
      <c r="L251" s="873"/>
      <c r="M251" s="873"/>
      <c r="N251" s="873"/>
      <c r="O251" s="873"/>
      <c r="P251" s="875"/>
      <c r="Q251" s="873"/>
      <c r="R251" s="873"/>
      <c r="S251" s="873"/>
      <c r="T251" s="873"/>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978"/>
      <c r="BD251" s="978"/>
      <c r="BE251" s="873"/>
      <c r="BF251" s="869"/>
      <c r="BG251" s="869"/>
      <c r="BH251" s="978"/>
      <c r="BI251" s="978"/>
      <c r="BJ251" s="978"/>
    </row>
    <row r="252" ht="15.75" customHeight="1">
      <c r="A252" s="979"/>
      <c r="B252" s="980" t="s">
        <v>6846</v>
      </c>
      <c r="C252" s="866" t="s">
        <v>3815</v>
      </c>
      <c r="D252" s="873"/>
      <c r="E252" s="873"/>
      <c r="F252" s="788" t="s">
        <v>6207</v>
      </c>
      <c r="G252" s="873"/>
      <c r="H252" s="982"/>
      <c r="I252" s="867" t="s">
        <v>6847</v>
      </c>
      <c r="J252" s="873"/>
      <c r="K252" s="873"/>
      <c r="L252" s="873"/>
      <c r="M252" s="873"/>
      <c r="N252" s="873"/>
      <c r="O252" s="873"/>
      <c r="P252" s="875"/>
      <c r="Q252" s="873" t="s">
        <v>565</v>
      </c>
      <c r="R252" s="873"/>
      <c r="S252" s="873"/>
      <c r="T252" s="873"/>
      <c r="U252" s="873"/>
      <c r="V252" s="873"/>
      <c r="W252" s="873"/>
      <c r="X252" s="873"/>
      <c r="Y252" s="873"/>
      <c r="Z252" s="873"/>
      <c r="AA252" s="873"/>
      <c r="AB252" s="873" t="s">
        <v>3373</v>
      </c>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796"/>
      <c r="BD252" s="796"/>
      <c r="BE252" s="873"/>
      <c r="BF252" s="869"/>
      <c r="BG252" s="869"/>
      <c r="BH252" s="796"/>
      <c r="BI252" s="796"/>
      <c r="BJ252" s="796"/>
    </row>
    <row r="253" ht="15.75" customHeight="1">
      <c r="A253" s="979"/>
      <c r="B253" s="980" t="s">
        <v>6848</v>
      </c>
      <c r="C253" s="866" t="s">
        <v>1991</v>
      </c>
      <c r="D253" s="867"/>
      <c r="E253" s="867" t="s">
        <v>1534</v>
      </c>
      <c r="F253" s="803"/>
      <c r="G253" s="867" t="s">
        <v>1991</v>
      </c>
      <c r="H253" s="800" t="s">
        <v>857</v>
      </c>
      <c r="I253" s="867"/>
      <c r="J253" s="867" t="s">
        <v>2155</v>
      </c>
      <c r="K253" s="867"/>
      <c r="L253" s="868" t="s">
        <v>6849</v>
      </c>
      <c r="M253" s="867"/>
      <c r="N253" s="867"/>
      <c r="O253" s="867" t="s">
        <v>1306</v>
      </c>
      <c r="P253" s="868" t="s">
        <v>6850</v>
      </c>
      <c r="Q253" s="867"/>
      <c r="R253" s="867"/>
      <c r="S253" s="867"/>
      <c r="T253" s="867" t="s">
        <v>2144</v>
      </c>
      <c r="U253" s="867"/>
      <c r="V253" s="867"/>
      <c r="W253" s="867"/>
      <c r="X253" s="867" t="s">
        <v>1920</v>
      </c>
      <c r="Y253" s="867"/>
      <c r="Z253" s="867"/>
      <c r="AA253" s="867"/>
      <c r="AB253" s="867"/>
      <c r="AC253" s="867"/>
      <c r="AD253" s="867"/>
      <c r="AE253" s="867"/>
      <c r="AF253" s="867"/>
      <c r="AG253" s="867"/>
      <c r="AH253" s="867"/>
      <c r="AI253" s="867"/>
      <c r="AJ253" s="867"/>
      <c r="AK253" s="867"/>
      <c r="AL253" s="867"/>
      <c r="AM253" s="867"/>
      <c r="AN253" s="867"/>
      <c r="AO253" s="867"/>
      <c r="AP253" s="869"/>
      <c r="AQ253" s="867"/>
      <c r="AR253" s="867"/>
      <c r="AS253" s="867"/>
      <c r="AT253" s="867"/>
      <c r="AU253" s="867"/>
      <c r="AV253" s="867"/>
      <c r="AW253" s="867"/>
      <c r="AX253" s="867"/>
      <c r="AY253" s="867"/>
      <c r="AZ253" s="867"/>
      <c r="BA253" s="867"/>
      <c r="BB253" s="867"/>
      <c r="BC253" s="978"/>
      <c r="BD253" s="978"/>
      <c r="BE253" s="867"/>
      <c r="BF253" s="869"/>
      <c r="BG253" s="869"/>
      <c r="BH253" s="978"/>
      <c r="BI253" s="978"/>
      <c r="BJ253" s="978"/>
    </row>
    <row r="254" ht="15.75" customHeight="1">
      <c r="A254" s="979"/>
      <c r="B254" s="980" t="s">
        <v>6851</v>
      </c>
      <c r="C254" s="866" t="s">
        <v>2155</v>
      </c>
      <c r="D254" s="867"/>
      <c r="E254" s="867" t="s">
        <v>2155</v>
      </c>
      <c r="F254" s="803"/>
      <c r="G254" s="868" t="s">
        <v>2897</v>
      </c>
      <c r="H254" s="981" t="s">
        <v>6852</v>
      </c>
      <c r="I254" s="867"/>
      <c r="J254" s="867"/>
      <c r="K254" s="867"/>
      <c r="L254" s="867"/>
      <c r="M254" s="867"/>
      <c r="N254" s="867"/>
      <c r="O254" s="867"/>
      <c r="P254" s="868"/>
      <c r="Q254" s="788" t="s">
        <v>3163</v>
      </c>
      <c r="R254" s="867"/>
      <c r="S254" s="867"/>
      <c r="T254" s="867"/>
      <c r="U254" s="867"/>
      <c r="V254" s="868" t="s">
        <v>4537</v>
      </c>
      <c r="W254" s="867"/>
      <c r="X254" s="867"/>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796"/>
      <c r="BD254" s="796"/>
      <c r="BE254" s="867"/>
      <c r="BF254" s="869"/>
      <c r="BG254" s="869"/>
      <c r="BH254" s="796"/>
      <c r="BI254" s="796"/>
      <c r="BJ254" s="796"/>
    </row>
    <row r="255" ht="15.75" customHeight="1">
      <c r="A255" s="979"/>
      <c r="B255" s="980" t="s">
        <v>6853</v>
      </c>
      <c r="C255" s="866" t="s">
        <v>359</v>
      </c>
      <c r="D255" s="867"/>
      <c r="E255" s="867" t="s">
        <v>800</v>
      </c>
      <c r="F255" s="803"/>
      <c r="G255" s="868" t="s">
        <v>5475</v>
      </c>
      <c r="H255" s="800" t="s">
        <v>1306</v>
      </c>
      <c r="I255" s="867"/>
      <c r="J255" s="867"/>
      <c r="K255" s="867"/>
      <c r="L255" s="867"/>
      <c r="M255" s="867"/>
      <c r="N255" s="867"/>
      <c r="O255" s="867" t="s">
        <v>6164</v>
      </c>
      <c r="P255" s="868"/>
      <c r="Q255" s="867"/>
      <c r="R255" s="867"/>
      <c r="S255" s="867"/>
      <c r="T255" s="867"/>
      <c r="U255" s="867"/>
      <c r="V255" s="868" t="s">
        <v>6854</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978"/>
      <c r="BD255" s="978"/>
      <c r="BE255" s="867"/>
      <c r="BF255" s="869"/>
      <c r="BG255" s="869"/>
      <c r="BH255" s="978"/>
      <c r="BI255" s="978"/>
      <c r="BJ255" s="978"/>
    </row>
    <row r="256" ht="15.75" customHeight="1">
      <c r="A256" s="979"/>
      <c r="B256" s="980" t="s">
        <v>6855</v>
      </c>
      <c r="C256" s="866" t="s">
        <v>6856</v>
      </c>
      <c r="D256" s="867" t="s">
        <v>935</v>
      </c>
      <c r="E256" s="867" t="s">
        <v>6856</v>
      </c>
      <c r="F256" s="788" t="s">
        <v>2546</v>
      </c>
      <c r="G256" s="867"/>
      <c r="H256" s="800" t="s">
        <v>3117</v>
      </c>
      <c r="I256" s="867"/>
      <c r="J256" s="867"/>
      <c r="K256" s="867"/>
      <c r="L256" s="867"/>
      <c r="M256" s="867"/>
      <c r="N256" s="867"/>
      <c r="O256" s="867" t="s">
        <v>6857</v>
      </c>
      <c r="P256" s="868"/>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796"/>
      <c r="BD256" s="796"/>
      <c r="BE256" s="867"/>
      <c r="BF256" s="869"/>
      <c r="BG256" s="869"/>
      <c r="BH256" s="796"/>
      <c r="BI256" s="796"/>
      <c r="BJ256" s="796"/>
    </row>
    <row r="257" ht="15.75" customHeight="1">
      <c r="A257" s="976" t="s">
        <v>6360</v>
      </c>
      <c r="B257" s="977" t="s">
        <v>6358</v>
      </c>
      <c r="C257" s="866"/>
      <c r="D257" s="873"/>
      <c r="E257" s="873"/>
      <c r="F257" s="803"/>
      <c r="G257" s="873"/>
      <c r="H257" s="800" t="s">
        <v>6858</v>
      </c>
      <c r="I257" s="873"/>
      <c r="J257" s="873"/>
      <c r="K257" s="873"/>
      <c r="L257" s="873"/>
      <c r="M257" s="873"/>
      <c r="N257" s="873"/>
      <c r="O257" s="873"/>
      <c r="P257" s="875"/>
      <c r="Q257" s="873"/>
      <c r="R257" s="873"/>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69"/>
      <c r="AQ257" s="873"/>
      <c r="AR257" s="873"/>
      <c r="AS257" s="873"/>
      <c r="AT257" s="873"/>
      <c r="AU257" s="873"/>
      <c r="AV257" s="873"/>
      <c r="AW257" s="873"/>
      <c r="AX257" s="873"/>
      <c r="AY257" s="873"/>
      <c r="AZ257" s="873"/>
      <c r="BA257" s="873"/>
      <c r="BB257" s="873"/>
      <c r="BC257" s="978"/>
      <c r="BD257" s="978"/>
      <c r="BE257" s="873"/>
      <c r="BF257" s="869"/>
      <c r="BG257" s="869"/>
      <c r="BH257" s="978"/>
      <c r="BI257" s="978"/>
      <c r="BJ257" s="978"/>
    </row>
    <row r="258" ht="15.75" customHeight="1">
      <c r="A258" s="976" t="s">
        <v>6493</v>
      </c>
      <c r="B258" s="977" t="s">
        <v>6859</v>
      </c>
      <c r="C258" s="866" t="s">
        <v>1622</v>
      </c>
      <c r="D258" s="873" t="s">
        <v>144</v>
      </c>
      <c r="E258" s="873"/>
      <c r="F258" s="788" t="s">
        <v>4257</v>
      </c>
      <c r="G258" s="873"/>
      <c r="H258" s="982"/>
      <c r="I258" s="867" t="str">
        <f>HYPERLINK("https://youtu.be/_GZXmZdCc5s","31.80")</f>
        <v>31.80</v>
      </c>
      <c r="J258" s="873"/>
      <c r="K258" s="867" t="s">
        <v>6860</v>
      </c>
      <c r="L258" s="873"/>
      <c r="M258" s="867" t="s">
        <v>1622</v>
      </c>
      <c r="N258" s="867" t="str">
        <f>HYPERLINK("https://youtu.be/kUsh0nBBuMY","32.45")</f>
        <v>32.45</v>
      </c>
      <c r="O258" s="873"/>
      <c r="P258" s="875" t="s">
        <v>2210</v>
      </c>
      <c r="Q258" s="873"/>
      <c r="R258" s="873" t="s">
        <v>1089</v>
      </c>
      <c r="S258" s="873"/>
      <c r="T258" s="873"/>
      <c r="U258" s="873" t="s">
        <v>818</v>
      </c>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t="s">
        <v>1120</v>
      </c>
      <c r="AT258" s="873"/>
      <c r="AU258" s="873"/>
      <c r="AV258" s="873"/>
      <c r="AW258" s="873"/>
      <c r="AX258" s="873"/>
      <c r="AY258" s="873"/>
      <c r="AZ258" s="873"/>
      <c r="BA258" s="873"/>
      <c r="BB258" s="873"/>
      <c r="BC258" s="978"/>
      <c r="BD258" s="978"/>
      <c r="BE258" s="873"/>
      <c r="BF258" s="869"/>
      <c r="BG258" s="869"/>
      <c r="BH258" s="978"/>
      <c r="BI258" s="978"/>
      <c r="BJ258" s="978"/>
    </row>
    <row r="259" ht="15.75" customHeight="1">
      <c r="A259" s="979"/>
      <c r="B259" s="980" t="s">
        <v>6861</v>
      </c>
      <c r="C259" s="866" t="s">
        <v>458</v>
      </c>
      <c r="D259" s="873"/>
      <c r="E259" s="873"/>
      <c r="F259" s="803"/>
      <c r="G259" s="873"/>
      <c r="H259" s="790"/>
      <c r="I259" s="873"/>
      <c r="J259" s="873"/>
      <c r="K259" s="788" t="s">
        <v>2309</v>
      </c>
      <c r="L259" s="873"/>
      <c r="M259" s="873"/>
      <c r="N259" s="873"/>
      <c r="O259" s="873"/>
      <c r="P259" s="875"/>
      <c r="Q259" s="873"/>
      <c r="R259" s="873"/>
      <c r="S259" s="873"/>
      <c r="T259" s="867" t="s">
        <v>458</v>
      </c>
      <c r="U259" s="873" t="s">
        <v>4025</v>
      </c>
      <c r="V259" s="873"/>
      <c r="W259" s="873"/>
      <c r="X259" s="873"/>
      <c r="Y259" s="873"/>
      <c r="Z259" s="873"/>
      <c r="AA259" s="873"/>
      <c r="AB259" s="873"/>
      <c r="AC259" s="873"/>
      <c r="AD259" s="873"/>
      <c r="AE259" s="873"/>
      <c r="AF259" s="873"/>
      <c r="AG259" s="873" t="s">
        <v>3606</v>
      </c>
      <c r="AH259" s="873"/>
      <c r="AI259" s="873"/>
      <c r="AJ259" s="873"/>
      <c r="AK259" s="873"/>
      <c r="AL259" s="873"/>
      <c r="AM259" s="873"/>
      <c r="AN259" s="873"/>
      <c r="AO259" s="873"/>
      <c r="AP259" s="869"/>
      <c r="AQ259" s="873"/>
      <c r="AR259" s="873"/>
      <c r="AS259" s="873"/>
      <c r="AT259" s="873"/>
      <c r="AU259" s="873"/>
      <c r="AV259" s="873"/>
      <c r="AW259" s="873"/>
      <c r="AX259" s="873"/>
      <c r="AY259" s="873"/>
      <c r="AZ259" s="873"/>
      <c r="BA259" s="873"/>
      <c r="BB259" s="873"/>
      <c r="BC259" s="796"/>
      <c r="BD259" s="796"/>
      <c r="BE259" s="873"/>
      <c r="BF259" s="869"/>
      <c r="BG259" s="869"/>
      <c r="BH259" s="796"/>
      <c r="BI259" s="796"/>
      <c r="BJ259" s="796"/>
    </row>
    <row r="260" ht="15.75" customHeight="1">
      <c r="A260" s="979"/>
      <c r="B260" s="980" t="s">
        <v>6862</v>
      </c>
      <c r="C260" s="866" t="s">
        <v>6510</v>
      </c>
      <c r="D260" s="873" t="s">
        <v>3334</v>
      </c>
      <c r="E260" s="873"/>
      <c r="F260" s="803"/>
      <c r="G260" s="873"/>
      <c r="H260" s="982"/>
      <c r="I260" s="873"/>
      <c r="J260" s="873"/>
      <c r="K260" s="788" t="s">
        <v>900</v>
      </c>
      <c r="L260" s="873"/>
      <c r="M260" s="873"/>
      <c r="N260" s="873"/>
      <c r="O260" s="873"/>
      <c r="P260" s="875"/>
      <c r="Q260" s="873"/>
      <c r="R260" s="873"/>
      <c r="S260" s="873"/>
      <c r="T260" s="873"/>
      <c r="U260" s="873"/>
      <c r="V260" s="873"/>
      <c r="W260" s="873"/>
      <c r="X260" s="873"/>
      <c r="Y260" s="873"/>
      <c r="Z260" s="873"/>
      <c r="AA260" s="873"/>
      <c r="AB260" s="873"/>
      <c r="AC260" s="873"/>
      <c r="AD260" s="873"/>
      <c r="AE260" s="873"/>
      <c r="AF260" s="873"/>
      <c r="AG260" s="873"/>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978"/>
      <c r="BD260" s="978"/>
      <c r="BE260" s="873"/>
      <c r="BF260" s="869"/>
      <c r="BG260" s="869"/>
      <c r="BH260" s="978"/>
      <c r="BI260" s="978"/>
      <c r="BJ260" s="978"/>
    </row>
    <row r="261" ht="15.75" customHeight="1">
      <c r="A261" s="979"/>
      <c r="B261" s="980" t="s">
        <v>6863</v>
      </c>
      <c r="C261" s="866" t="s">
        <v>3502</v>
      </c>
      <c r="D261" s="867" t="s">
        <v>242</v>
      </c>
      <c r="E261" s="867" t="s">
        <v>3502</v>
      </c>
      <c r="F261" s="788" t="s">
        <v>1391</v>
      </c>
      <c r="G261" s="867" t="s">
        <v>1536</v>
      </c>
      <c r="H261" s="886" t="s">
        <v>179</v>
      </c>
      <c r="I261" s="867" t="s">
        <v>3150</v>
      </c>
      <c r="J261" s="867" t="s">
        <v>2134</v>
      </c>
      <c r="K261" s="867" t="s">
        <v>5392</v>
      </c>
      <c r="L261" s="867" t="s">
        <v>840</v>
      </c>
      <c r="M261" s="867" t="s">
        <v>276</v>
      </c>
      <c r="N261" s="867" t="s">
        <v>5673</v>
      </c>
      <c r="O261" s="867" t="s">
        <v>714</v>
      </c>
      <c r="P261" s="868" t="s">
        <v>427</v>
      </c>
      <c r="Q261" s="867" t="s">
        <v>4025</v>
      </c>
      <c r="R261" s="867"/>
      <c r="S261" s="867"/>
      <c r="T261" s="867"/>
      <c r="U261" s="867" t="s">
        <v>6864</v>
      </c>
      <c r="V261" s="867"/>
      <c r="W261" s="867"/>
      <c r="X261" s="867"/>
      <c r="Y261" s="867"/>
      <c r="Z261" s="867"/>
      <c r="AA261" s="867"/>
      <c r="AB261" s="867"/>
      <c r="AC261" s="867"/>
      <c r="AD261" s="867"/>
      <c r="AE261" s="867"/>
      <c r="AF261" s="867"/>
      <c r="AG261" s="867" t="s">
        <v>404</v>
      </c>
      <c r="AH261" s="867"/>
      <c r="AI261" s="867"/>
      <c r="AJ261" s="867"/>
      <c r="AK261" s="867"/>
      <c r="AL261" s="867"/>
      <c r="AM261" s="867"/>
      <c r="AN261" s="867"/>
      <c r="AO261" s="867"/>
      <c r="AP261" s="869"/>
      <c r="AQ261" s="867"/>
      <c r="AR261" s="867"/>
      <c r="AS261" s="867"/>
      <c r="AT261" s="867"/>
      <c r="AU261" s="867"/>
      <c r="AV261" s="867"/>
      <c r="AW261" s="867"/>
      <c r="AX261" s="867"/>
      <c r="AY261" s="867"/>
      <c r="AZ261" s="867"/>
      <c r="BA261" s="867"/>
      <c r="BB261" s="867"/>
      <c r="BC261" s="796"/>
      <c r="BD261" s="796"/>
      <c r="BE261" s="867"/>
      <c r="BF261" s="869"/>
      <c r="BG261" s="869"/>
      <c r="BH261" s="796"/>
      <c r="BI261" s="796"/>
      <c r="BJ261" s="796"/>
    </row>
    <row r="262" ht="15.75" customHeight="1">
      <c r="A262" s="976" t="s">
        <v>6409</v>
      </c>
      <c r="B262" s="977" t="s">
        <v>6865</v>
      </c>
      <c r="C262" s="866" t="s">
        <v>6866</v>
      </c>
      <c r="D262" s="867" t="s">
        <v>6507</v>
      </c>
      <c r="E262" s="867" t="s">
        <v>4142</v>
      </c>
      <c r="F262" s="788" t="s">
        <v>6867</v>
      </c>
      <c r="G262" s="867"/>
      <c r="H262" s="983" t="s">
        <v>6868</v>
      </c>
      <c r="I262" s="867" t="str">
        <f>HYPERLINK("https://youtu.be/fNmQmNF7N9I","46.93")</f>
        <v>46.93</v>
      </c>
      <c r="J262" s="867" t="s">
        <v>6866</v>
      </c>
      <c r="K262" s="867" t="s">
        <v>533</v>
      </c>
      <c r="L262" s="867" t="s">
        <v>6869</v>
      </c>
      <c r="M262" s="867" t="s">
        <v>1572</v>
      </c>
      <c r="N262" s="867"/>
      <c r="O262" s="867"/>
      <c r="P262" s="868"/>
      <c r="Q262" s="867"/>
      <c r="R262" s="867"/>
      <c r="S262" s="867" t="s">
        <v>3880</v>
      </c>
      <c r="T262" s="867" t="s">
        <v>6845</v>
      </c>
      <c r="U262" s="867" t="s">
        <v>6870</v>
      </c>
      <c r="V262" s="867" t="s">
        <v>4316</v>
      </c>
      <c r="W262" s="867" t="s">
        <v>6871</v>
      </c>
      <c r="X262" s="867"/>
      <c r="Y262" s="867"/>
      <c r="Z262" s="867" t="s">
        <v>6872</v>
      </c>
      <c r="AA262" s="867"/>
      <c r="AB262" s="867" t="s">
        <v>6873</v>
      </c>
      <c r="AC262" s="867"/>
      <c r="AD262" s="867"/>
      <c r="AE262" s="867"/>
      <c r="AF262" s="867"/>
      <c r="AG262" s="867"/>
      <c r="AH262" s="867"/>
      <c r="AI262" s="867"/>
      <c r="AJ262" s="867"/>
      <c r="AK262" s="867"/>
      <c r="AL262" s="867"/>
      <c r="AM262" s="867"/>
      <c r="AN262" s="867"/>
      <c r="AO262" s="867" t="s">
        <v>6176</v>
      </c>
      <c r="AP262" s="869"/>
      <c r="AQ262" s="867"/>
      <c r="AR262" s="867"/>
      <c r="AS262" s="867"/>
      <c r="AT262" s="867"/>
      <c r="AU262" s="867"/>
      <c r="AV262" s="867"/>
      <c r="AW262" s="867"/>
      <c r="AX262" s="867"/>
      <c r="AY262" s="867"/>
      <c r="AZ262" s="867"/>
      <c r="BA262" s="867"/>
      <c r="BB262" s="867"/>
      <c r="BC262" s="978"/>
      <c r="BD262" s="978"/>
      <c r="BE262" s="867"/>
      <c r="BF262" s="869"/>
      <c r="BG262" s="869"/>
      <c r="BH262" s="978"/>
      <c r="BI262" s="978"/>
      <c r="BJ262" s="978"/>
    </row>
    <row r="263" ht="15.75" customHeight="1">
      <c r="A263" s="979"/>
      <c r="B263" s="980" t="s">
        <v>6874</v>
      </c>
      <c r="C263" s="866" t="s">
        <v>3866</v>
      </c>
      <c r="D263" s="867" t="s">
        <v>5103</v>
      </c>
      <c r="E263" s="867" t="s">
        <v>3335</v>
      </c>
      <c r="F263" s="788" t="s">
        <v>6875</v>
      </c>
      <c r="G263" s="867"/>
      <c r="H263" s="811" t="s">
        <v>3248</v>
      </c>
      <c r="I263" s="867" t="str">
        <f>HYPERLINK(" https://youtu.be/dsDcBzsPA5s","45.74")</f>
        <v>45.74</v>
      </c>
      <c r="J263" s="867" t="s">
        <v>3866</v>
      </c>
      <c r="K263" s="867" t="s">
        <v>6876</v>
      </c>
      <c r="L263" s="867" t="s">
        <v>3922</v>
      </c>
      <c r="M263" s="867" t="s">
        <v>1699</v>
      </c>
      <c r="N263" s="867" t="s">
        <v>1992</v>
      </c>
      <c r="O263" s="867" t="s">
        <v>3851</v>
      </c>
      <c r="P263" s="868" t="s">
        <v>3373</v>
      </c>
      <c r="Q263" s="867" t="s">
        <v>6877</v>
      </c>
      <c r="R263" s="867"/>
      <c r="S263" s="867" t="s">
        <v>6878</v>
      </c>
      <c r="T263" s="867" t="s">
        <v>284</v>
      </c>
      <c r="U263" s="867" t="s">
        <v>6854</v>
      </c>
      <c r="V263" s="867" t="s">
        <v>701</v>
      </c>
      <c r="W263" s="867" t="s">
        <v>6879</v>
      </c>
      <c r="X263" s="867"/>
      <c r="Y263" s="867"/>
      <c r="Z263" s="867"/>
      <c r="AA263" s="867"/>
      <c r="AB263" s="867" t="s">
        <v>6565</v>
      </c>
      <c r="AC263" s="867"/>
      <c r="AD263" s="867"/>
      <c r="AE263" s="867"/>
      <c r="AF263" s="867"/>
      <c r="AG263" s="867"/>
      <c r="AH263" s="867"/>
      <c r="AI263" s="867"/>
      <c r="AJ263" s="867"/>
      <c r="AK263" s="867"/>
      <c r="AL263" s="867"/>
      <c r="AM263" s="867"/>
      <c r="AN263" s="867"/>
      <c r="AO263" s="867" t="s">
        <v>565</v>
      </c>
      <c r="AP263" s="869"/>
      <c r="AQ263" s="867"/>
      <c r="AR263" s="867"/>
      <c r="AS263" s="867"/>
      <c r="AT263" s="867"/>
      <c r="AU263" s="867"/>
      <c r="AV263" s="867"/>
      <c r="AW263" s="867"/>
      <c r="AX263" s="867"/>
      <c r="AY263" s="867"/>
      <c r="AZ263" s="867"/>
      <c r="BA263" s="867"/>
      <c r="BB263" s="867"/>
      <c r="BC263" s="796"/>
      <c r="BD263" s="796"/>
      <c r="BE263" s="867"/>
      <c r="BF263" s="869"/>
      <c r="BG263" s="869"/>
      <c r="BH263" s="796"/>
      <c r="BI263" s="796"/>
      <c r="BJ263" s="796"/>
    </row>
    <row r="264" ht="15.75" customHeight="1">
      <c r="A264" s="979"/>
      <c r="B264" s="980" t="s">
        <v>6880</v>
      </c>
      <c r="C264" s="866" t="s">
        <v>1047</v>
      </c>
      <c r="D264" s="867" t="s">
        <v>4588</v>
      </c>
      <c r="E264" s="867" t="s">
        <v>411</v>
      </c>
      <c r="F264" s="788" t="s">
        <v>186</v>
      </c>
      <c r="G264" s="867" t="s">
        <v>2055</v>
      </c>
      <c r="H264" s="983" t="s">
        <v>2077</v>
      </c>
      <c r="I264" s="867" t="str">
        <f>HYPERLINK("https://youtu.be/9O9oqhlyCxY","45.20")</f>
        <v>45.20</v>
      </c>
      <c r="J264" s="867" t="s">
        <v>6881</v>
      </c>
      <c r="K264" s="788" t="s">
        <v>3523</v>
      </c>
      <c r="L264" s="867" t="s">
        <v>321</v>
      </c>
      <c r="M264" s="867" t="s">
        <v>1307</v>
      </c>
      <c r="N264" s="867" t="s">
        <v>6847</v>
      </c>
      <c r="O264" s="867" t="s">
        <v>1047</v>
      </c>
      <c r="P264" s="868"/>
      <c r="Q264" s="867" t="s">
        <v>1929</v>
      </c>
      <c r="R264" s="867"/>
      <c r="S264" s="867" t="s">
        <v>430</v>
      </c>
      <c r="T264" s="867" t="s">
        <v>516</v>
      </c>
      <c r="U264" s="867"/>
      <c r="V264" s="867" t="s">
        <v>614</v>
      </c>
      <c r="W264" s="867"/>
      <c r="X264" s="867"/>
      <c r="Y264" s="867"/>
      <c r="Z264" s="867" t="s">
        <v>4313</v>
      </c>
      <c r="AA264" s="867"/>
      <c r="AB264" s="867" t="s">
        <v>1307</v>
      </c>
      <c r="AC264" s="867"/>
      <c r="AD264" s="867"/>
      <c r="AE264" s="867"/>
      <c r="AF264" s="867"/>
      <c r="AG264" s="867"/>
      <c r="AH264" s="867"/>
      <c r="AI264" s="867"/>
      <c r="AJ264" s="867"/>
      <c r="AK264" s="867"/>
      <c r="AL264" s="867"/>
      <c r="AM264" s="867"/>
      <c r="AN264" s="867"/>
      <c r="AO264" s="867"/>
      <c r="AP264" s="869"/>
      <c r="AQ264" s="867"/>
      <c r="AR264" s="867"/>
      <c r="AS264" s="867"/>
      <c r="AT264" s="867"/>
      <c r="AU264" s="867"/>
      <c r="AV264" s="867"/>
      <c r="AW264" s="867"/>
      <c r="AX264" s="867"/>
      <c r="AY264" s="867"/>
      <c r="AZ264" s="867"/>
      <c r="BA264" s="867"/>
      <c r="BB264" s="867"/>
      <c r="BC264" s="978"/>
      <c r="BD264" s="978"/>
      <c r="BE264" s="867"/>
      <c r="BF264" s="869"/>
      <c r="BG264" s="869"/>
      <c r="BH264" s="978"/>
      <c r="BI264" s="978"/>
      <c r="BJ264" s="978"/>
    </row>
    <row r="265" ht="15.75" customHeight="1">
      <c r="A265" s="984" t="s">
        <v>6570</v>
      </c>
      <c r="B265" s="985" t="s">
        <v>6882</v>
      </c>
      <c r="C265" s="866" t="s">
        <v>969</v>
      </c>
      <c r="D265" s="799" t="s">
        <v>1613</v>
      </c>
      <c r="E265" s="986" t="s">
        <v>412</v>
      </c>
      <c r="F265" s="788" t="s">
        <v>198</v>
      </c>
      <c r="G265" s="986" t="s">
        <v>4501</v>
      </c>
      <c r="H265" s="886"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9"/>
      <c r="AQ265" s="986"/>
      <c r="AR265" s="986"/>
      <c r="AS265" s="986"/>
      <c r="AT265" s="986"/>
      <c r="AU265" s="986"/>
      <c r="AV265" s="986"/>
      <c r="AW265" s="986"/>
      <c r="AX265" s="986"/>
      <c r="AY265" s="986"/>
      <c r="AZ265" s="986"/>
      <c r="BA265" s="986"/>
      <c r="BB265" s="986"/>
      <c r="BC265" s="796"/>
      <c r="BD265" s="796"/>
      <c r="BE265" s="986"/>
      <c r="BF265" s="869"/>
      <c r="BG265" s="869"/>
      <c r="BH265" s="796"/>
      <c r="BI265" s="796"/>
      <c r="BJ265" s="796"/>
    </row>
    <row r="266" ht="15.75" customHeight="1">
      <c r="A266" s="988" t="s">
        <v>6374</v>
      </c>
      <c r="B266" s="989" t="s">
        <v>6882</v>
      </c>
      <c r="C266" s="866" t="s">
        <v>6883</v>
      </c>
      <c r="D266" s="986" t="s">
        <v>148</v>
      </c>
      <c r="E266" s="986" t="s">
        <v>413</v>
      </c>
      <c r="F266" s="803"/>
      <c r="G266" s="986" t="s">
        <v>6883</v>
      </c>
      <c r="H266" s="983" t="s">
        <v>880</v>
      </c>
      <c r="I266" s="986"/>
      <c r="J266" s="986"/>
      <c r="K266" s="986"/>
      <c r="L266" s="986" t="s">
        <v>889</v>
      </c>
      <c r="M266" s="986" t="s">
        <v>717</v>
      </c>
      <c r="N266" s="986"/>
      <c r="O266" s="986" t="s">
        <v>1049</v>
      </c>
      <c r="P266" s="987"/>
      <c r="Q266" s="986"/>
      <c r="R266" s="986"/>
      <c r="S266" s="986"/>
      <c r="T266" s="986" t="s">
        <v>3007</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9"/>
      <c r="AQ266" s="986"/>
      <c r="AR266" s="986"/>
      <c r="AS266" s="986"/>
      <c r="AT266" s="986"/>
      <c r="AU266" s="986"/>
      <c r="AV266" s="986"/>
      <c r="AW266" s="986"/>
      <c r="AX266" s="986"/>
      <c r="AY266" s="986"/>
      <c r="AZ266" s="986"/>
      <c r="BA266" s="986"/>
      <c r="BB266" s="986"/>
      <c r="BC266" s="978"/>
      <c r="BD266" s="978"/>
      <c r="BE266" s="986"/>
      <c r="BF266" s="869"/>
      <c r="BG266" s="869"/>
      <c r="BH266" s="978"/>
      <c r="BI266" s="978"/>
      <c r="BJ266" s="978"/>
    </row>
    <row r="267" ht="15.75" customHeight="1">
      <c r="A267" s="990" t="s">
        <v>6379</v>
      </c>
      <c r="B267" s="991" t="s">
        <v>6358</v>
      </c>
      <c r="C267" s="866" t="s">
        <v>5637</v>
      </c>
      <c r="D267" s="867" t="s">
        <v>5659</v>
      </c>
      <c r="E267" s="867" t="s">
        <v>2778</v>
      </c>
      <c r="F267" s="788" t="s">
        <v>5600</v>
      </c>
      <c r="G267" s="867" t="s">
        <v>5637</v>
      </c>
      <c r="H267" s="800" t="s">
        <v>6884</v>
      </c>
      <c r="I267" s="867"/>
      <c r="J267" s="867" t="s">
        <v>5173</v>
      </c>
      <c r="K267" s="867"/>
      <c r="L267" s="867" t="s">
        <v>6885</v>
      </c>
      <c r="M267" s="867"/>
      <c r="N267" s="867"/>
      <c r="O267" s="867" t="s">
        <v>5637</v>
      </c>
      <c r="P267" s="868"/>
      <c r="Q267" s="867"/>
      <c r="R267" s="788" t="s">
        <v>6886</v>
      </c>
      <c r="S267" s="867"/>
      <c r="T267" s="867" t="s">
        <v>5637</v>
      </c>
      <c r="U267" s="867"/>
      <c r="V267" s="867" t="s">
        <v>4100</v>
      </c>
      <c r="W267" s="867" t="s">
        <v>6160</v>
      </c>
      <c r="X267" s="867" t="s">
        <v>6887</v>
      </c>
      <c r="Y267" s="867" t="s">
        <v>6050</v>
      </c>
      <c r="Z267" s="867"/>
      <c r="AA267" s="867"/>
      <c r="AB267" s="867"/>
      <c r="AC267" s="867"/>
      <c r="AD267" s="867"/>
      <c r="AE267" s="867" t="s">
        <v>3405</v>
      </c>
      <c r="AF267" s="867"/>
      <c r="AG267" s="867"/>
      <c r="AH267" s="867"/>
      <c r="AI267" s="867"/>
      <c r="AJ267" s="867"/>
      <c r="AK267" s="867"/>
      <c r="AL267" s="867"/>
      <c r="AM267" s="867"/>
      <c r="AN267" s="867"/>
      <c r="AO267" s="867"/>
      <c r="AP267" s="869"/>
      <c r="AQ267" s="867"/>
      <c r="AR267" s="867"/>
      <c r="AS267" s="867"/>
      <c r="AT267" s="867"/>
      <c r="AU267" s="867"/>
      <c r="AV267" s="867"/>
      <c r="AW267" s="867"/>
      <c r="AX267" s="867"/>
      <c r="AY267" s="867"/>
      <c r="AZ267" s="867"/>
      <c r="BA267" s="867"/>
      <c r="BB267" s="867"/>
      <c r="BC267" s="796"/>
      <c r="BD267" s="796"/>
      <c r="BE267" s="867"/>
      <c r="BF267" s="869"/>
      <c r="BG267" s="869"/>
      <c r="BH267" s="796"/>
      <c r="BI267" s="796"/>
      <c r="BJ267" s="796"/>
    </row>
    <row r="268" ht="15.75" customHeight="1">
      <c r="A268" s="990" t="s">
        <v>6407</v>
      </c>
      <c r="B268" s="991" t="s">
        <v>6358</v>
      </c>
      <c r="C268" s="866"/>
      <c r="D268" s="868" t="s">
        <v>6888</v>
      </c>
      <c r="E268" s="867"/>
      <c r="F268" s="803"/>
      <c r="G268" s="867"/>
      <c r="H268" s="992"/>
      <c r="I268" s="867"/>
      <c r="J268" s="867"/>
      <c r="K268" s="867"/>
      <c r="L268" s="867"/>
      <c r="M268" s="867"/>
      <c r="N268" s="867"/>
      <c r="O268" s="867"/>
      <c r="P268" s="868"/>
      <c r="Q268" s="867"/>
      <c r="R268" s="803"/>
      <c r="S268" s="867"/>
      <c r="T268" s="867"/>
      <c r="U268" s="867"/>
      <c r="V268" s="867"/>
      <c r="W268" s="867"/>
      <c r="X268" s="867"/>
      <c r="Y268" s="867"/>
      <c r="Z268" s="867"/>
      <c r="AA268" s="867"/>
      <c r="AB268" s="867"/>
      <c r="AC268" s="867"/>
      <c r="AD268" s="867"/>
      <c r="AE268" s="867"/>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6"/>
      <c r="BD268" s="796"/>
      <c r="BE268" s="867"/>
      <c r="BF268" s="869"/>
      <c r="BG268" s="869"/>
      <c r="BH268" s="796"/>
      <c r="BI268" s="796"/>
      <c r="BJ268" s="796"/>
    </row>
    <row r="269" ht="15.75" customHeight="1">
      <c r="A269" s="976" t="s">
        <v>6525</v>
      </c>
      <c r="B269" s="993" t="s">
        <v>6889</v>
      </c>
      <c r="C269" s="866" t="s">
        <v>6890</v>
      </c>
      <c r="D269" s="794" t="s">
        <v>1479</v>
      </c>
      <c r="E269" s="867" t="s">
        <v>4404</v>
      </c>
      <c r="F269" s="788" t="s">
        <v>1393</v>
      </c>
      <c r="G269" s="867" t="s">
        <v>6890</v>
      </c>
      <c r="H269" s="886" t="s">
        <v>1886</v>
      </c>
      <c r="I269" s="867" t="s">
        <v>1479</v>
      </c>
      <c r="J269" s="867" t="s">
        <v>3674</v>
      </c>
      <c r="K269" s="867"/>
      <c r="L269" s="867" t="s">
        <v>890</v>
      </c>
      <c r="M269" s="867"/>
      <c r="N269" s="867"/>
      <c r="O269" s="867" t="s">
        <v>6891</v>
      </c>
      <c r="P269" s="868"/>
      <c r="Q269" s="867" t="s">
        <v>189</v>
      </c>
      <c r="R269" s="867"/>
      <c r="S269" s="867"/>
      <c r="T269" s="867" t="s">
        <v>519</v>
      </c>
      <c r="U269" s="867"/>
      <c r="V269" s="867" t="s">
        <v>6892</v>
      </c>
      <c r="W269" s="867"/>
      <c r="X269" s="867"/>
      <c r="Y269" s="867"/>
      <c r="Z269" s="867"/>
      <c r="AA269" s="867"/>
      <c r="AB269" s="867"/>
      <c r="AC269" s="867"/>
      <c r="AD269" s="867"/>
      <c r="AE269" s="867"/>
      <c r="AF269" s="867" t="s">
        <v>6893</v>
      </c>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978"/>
      <c r="BD269" s="978"/>
      <c r="BE269" s="867"/>
      <c r="BF269" s="869"/>
      <c r="BG269" s="869"/>
      <c r="BH269" s="978"/>
      <c r="BI269" s="978"/>
      <c r="BJ269" s="978"/>
    </row>
    <row r="270" ht="15.75" customHeight="1">
      <c r="A270" s="994" t="s">
        <v>6535</v>
      </c>
      <c r="B270" s="991" t="s">
        <v>6889</v>
      </c>
      <c r="C270" s="866"/>
      <c r="D270" s="867" t="s">
        <v>6894</v>
      </c>
      <c r="E270" s="867"/>
      <c r="F270" s="803"/>
      <c r="G270" s="868" t="s">
        <v>6895</v>
      </c>
      <c r="H270" s="800" t="s">
        <v>6896</v>
      </c>
      <c r="I270" s="867"/>
      <c r="J270" s="867"/>
      <c r="K270" s="867"/>
      <c r="L270" s="867"/>
      <c r="M270" s="867"/>
      <c r="N270" s="867"/>
      <c r="O270" s="867"/>
      <c r="P270" s="868"/>
      <c r="Q270" s="867"/>
      <c r="R270" s="867"/>
      <c r="S270" s="867"/>
      <c r="T270" s="867"/>
      <c r="U270" s="867"/>
      <c r="V270" s="867"/>
      <c r="W270" s="867"/>
      <c r="X270" s="867"/>
      <c r="Y270" s="867"/>
      <c r="Z270" s="867"/>
      <c r="AA270" s="867"/>
      <c r="AB270" s="867"/>
      <c r="AC270" s="867"/>
      <c r="AD270" s="867"/>
      <c r="AE270" s="867"/>
      <c r="AF270" s="867"/>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8"/>
      <c r="BD270" s="978"/>
      <c r="BE270" s="867"/>
      <c r="BF270" s="869"/>
      <c r="BG270" s="869"/>
      <c r="BH270" s="978"/>
      <c r="BI270" s="978"/>
      <c r="BJ270" s="978"/>
    </row>
    <row r="271" ht="15.75" customHeight="1">
      <c r="A271" s="976" t="s">
        <v>6468</v>
      </c>
      <c r="B271" s="977" t="s">
        <v>6897</v>
      </c>
      <c r="C271" s="866" t="s">
        <v>4200</v>
      </c>
      <c r="D271" s="803"/>
      <c r="E271" s="788" t="s">
        <v>4273</v>
      </c>
      <c r="F271" s="788" t="s">
        <v>3293</v>
      </c>
      <c r="G271" s="788" t="s">
        <v>4200</v>
      </c>
      <c r="H271" s="982"/>
      <c r="I271" s="803"/>
      <c r="J271" s="803"/>
      <c r="K271" s="803"/>
      <c r="L271" s="803"/>
      <c r="M271" s="803"/>
      <c r="N271" s="803" t="s">
        <v>4372</v>
      </c>
      <c r="O271" s="803"/>
      <c r="P271" s="868" t="s">
        <v>6898</v>
      </c>
      <c r="Q271" s="803"/>
      <c r="R271" s="803"/>
      <c r="S271" s="803"/>
      <c r="T271" s="803"/>
      <c r="U271" s="803"/>
      <c r="V271" s="803"/>
      <c r="W271" s="803"/>
      <c r="X271" s="803"/>
      <c r="Y271" s="803"/>
      <c r="Z271" s="803"/>
      <c r="AA271" s="788" t="s">
        <v>6899</v>
      </c>
      <c r="AB271" s="803"/>
      <c r="AC271" s="803"/>
      <c r="AD271" s="803"/>
      <c r="AE271" s="803"/>
      <c r="AF271" s="803"/>
      <c r="AG271" s="803"/>
      <c r="AH271" s="803"/>
      <c r="AI271" s="803"/>
      <c r="AJ271" s="803"/>
      <c r="AK271" s="803"/>
      <c r="AL271" s="803"/>
      <c r="AM271" s="803"/>
      <c r="AN271" s="803"/>
      <c r="AO271" s="803"/>
      <c r="AP271" s="869"/>
      <c r="AQ271" s="803"/>
      <c r="AR271" s="803"/>
      <c r="AS271" s="803"/>
      <c r="AT271" s="803"/>
      <c r="AU271" s="803"/>
      <c r="AV271" s="803"/>
      <c r="AW271" s="803"/>
      <c r="AX271" s="803"/>
      <c r="AY271" s="803"/>
      <c r="AZ271" s="803"/>
      <c r="BA271" s="803"/>
      <c r="BB271" s="803"/>
      <c r="BC271" s="796"/>
      <c r="BD271" s="796"/>
      <c r="BE271" s="803"/>
      <c r="BF271" s="869"/>
      <c r="BG271" s="869"/>
      <c r="BH271" s="796"/>
      <c r="BI271" s="796"/>
      <c r="BJ271" s="796"/>
    </row>
    <row r="272" ht="15.75" customHeight="1">
      <c r="A272" s="979"/>
      <c r="B272" s="980" t="s">
        <v>6900</v>
      </c>
      <c r="C272" s="866" t="s">
        <v>4426</v>
      </c>
      <c r="D272" s="867" t="s">
        <v>1614</v>
      </c>
      <c r="E272" s="867" t="s">
        <v>2746</v>
      </c>
      <c r="F272" s="803"/>
      <c r="G272" s="868" t="s">
        <v>1276</v>
      </c>
      <c r="H272" s="800" t="s">
        <v>3119</v>
      </c>
      <c r="I272" s="867"/>
      <c r="J272" s="867"/>
      <c r="K272" s="867"/>
      <c r="L272" s="867"/>
      <c r="M272" s="867"/>
      <c r="N272" s="867"/>
      <c r="O272" s="867"/>
      <c r="P272" s="868" t="s">
        <v>5176</v>
      </c>
      <c r="Q272" s="867" t="s">
        <v>2626</v>
      </c>
      <c r="R272" s="867" t="s">
        <v>1614</v>
      </c>
      <c r="S272" s="867"/>
      <c r="T272" s="867" t="s">
        <v>4426</v>
      </c>
      <c r="U272" s="867"/>
      <c r="V272" s="867"/>
      <c r="W272" s="867"/>
      <c r="X272" s="867"/>
      <c r="Y272" s="867"/>
      <c r="Z272" s="867" t="s">
        <v>1743</v>
      </c>
      <c r="AA272" s="867"/>
      <c r="AB272" s="867"/>
      <c r="AC272" s="867"/>
      <c r="AD272" s="867"/>
      <c r="AE272" s="867"/>
      <c r="AF272" s="867"/>
      <c r="AG272" s="867"/>
      <c r="AH272" s="867"/>
      <c r="AI272" s="867"/>
      <c r="AJ272" s="867"/>
      <c r="AK272" s="867"/>
      <c r="AL272" s="867"/>
      <c r="AM272" s="867"/>
      <c r="AN272" s="867"/>
      <c r="AO272" s="867"/>
      <c r="AP272" s="869"/>
      <c r="AQ272" s="867"/>
      <c r="AR272" s="867"/>
      <c r="AS272" s="867"/>
      <c r="AT272" s="867"/>
      <c r="AU272" s="867"/>
      <c r="AV272" s="867"/>
      <c r="AW272" s="867"/>
      <c r="AX272" s="867"/>
      <c r="AY272" s="867"/>
      <c r="AZ272" s="867"/>
      <c r="BA272" s="867"/>
      <c r="BB272" s="867"/>
      <c r="BC272" s="978"/>
      <c r="BD272" s="978"/>
      <c r="BE272" s="867"/>
      <c r="BF272" s="869"/>
      <c r="BG272" s="869"/>
      <c r="BH272" s="978"/>
      <c r="BI272" s="978"/>
      <c r="BJ272" s="978"/>
    </row>
    <row r="273" ht="15.75" customHeight="1">
      <c r="A273" s="979"/>
      <c r="B273" s="980" t="s">
        <v>6901</v>
      </c>
      <c r="C273" s="866" t="s">
        <v>618</v>
      </c>
      <c r="D273" s="867"/>
      <c r="E273" s="867" t="s">
        <v>370</v>
      </c>
      <c r="F273" s="788" t="s">
        <v>3662</v>
      </c>
      <c r="G273" s="868" t="s">
        <v>6126</v>
      </c>
      <c r="H273" s="983" t="s">
        <v>3119</v>
      </c>
      <c r="I273" s="867"/>
      <c r="J273" s="867" t="s">
        <v>1614</v>
      </c>
      <c r="K273" s="867"/>
      <c r="L273" s="867"/>
      <c r="M273" s="867" t="s">
        <v>1186</v>
      </c>
      <c r="N273" s="867"/>
      <c r="O273" s="867" t="s">
        <v>3662</v>
      </c>
      <c r="P273" s="868" t="s">
        <v>1540</v>
      </c>
      <c r="Q273" s="867"/>
      <c r="R273" s="867"/>
      <c r="S273" s="867"/>
      <c r="T273" s="867" t="s">
        <v>370</v>
      </c>
      <c r="U273" s="867"/>
      <c r="V273" s="867" t="s">
        <v>618</v>
      </c>
      <c r="W273" s="867"/>
      <c r="X273" s="867"/>
      <c r="Y273" s="867"/>
      <c r="Z273" s="867"/>
      <c r="AA273" s="867"/>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796"/>
      <c r="BD273" s="796"/>
      <c r="BE273" s="867"/>
      <c r="BF273" s="869"/>
      <c r="BG273" s="869"/>
      <c r="BH273" s="796"/>
      <c r="BI273" s="796"/>
      <c r="BJ273" s="796"/>
    </row>
    <row r="274" ht="15.75" customHeight="1">
      <c r="A274" s="976" t="s">
        <v>6472</v>
      </c>
      <c r="B274" s="977" t="s">
        <v>6358</v>
      </c>
      <c r="C274" s="866" t="s">
        <v>6902</v>
      </c>
      <c r="D274" s="799" t="s">
        <v>1615</v>
      </c>
      <c r="E274" s="873"/>
      <c r="F274" s="788" t="s">
        <v>1394</v>
      </c>
      <c r="G274" s="873"/>
      <c r="H274" s="790"/>
      <c r="I274" s="873"/>
      <c r="J274" s="873"/>
      <c r="K274" s="873"/>
      <c r="L274" s="873" t="s">
        <v>892</v>
      </c>
      <c r="M274" s="873"/>
      <c r="N274" s="867" t="str">
        <f>HYPERLINK("https://youtu.be/4iaM52WYNRU","1:30.81")</f>
        <v>1:30.81</v>
      </c>
      <c r="O274" s="873"/>
      <c r="P274" s="875"/>
      <c r="Q274" s="873"/>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69"/>
      <c r="AQ274" s="873"/>
      <c r="AR274" s="873"/>
      <c r="AS274" s="873"/>
      <c r="AT274" s="873"/>
      <c r="AU274" s="873"/>
      <c r="AV274" s="873"/>
      <c r="AW274" s="873"/>
      <c r="AX274" s="873"/>
      <c r="AY274" s="873"/>
      <c r="AZ274" s="873"/>
      <c r="BA274" s="873"/>
      <c r="BB274" s="873"/>
      <c r="BC274" s="978"/>
      <c r="BD274" s="978"/>
      <c r="BE274" s="873"/>
      <c r="BF274" s="869"/>
      <c r="BG274" s="869"/>
      <c r="BH274" s="978"/>
      <c r="BI274" s="978"/>
      <c r="BJ274" s="978"/>
    </row>
    <row r="275" ht="15.75" customHeight="1">
      <c r="A275" s="976" t="s">
        <v>6582</v>
      </c>
      <c r="B275" s="977" t="s">
        <v>6554</v>
      </c>
      <c r="C275" s="866" t="s">
        <v>4158</v>
      </c>
      <c r="D275" s="812" t="s">
        <v>1616</v>
      </c>
      <c r="E275" s="873"/>
      <c r="F275" s="788" t="s">
        <v>1640</v>
      </c>
      <c r="G275" s="873"/>
      <c r="H275" s="982"/>
      <c r="I275" s="873" t="s">
        <v>4158</v>
      </c>
      <c r="J275" s="873"/>
      <c r="K275" s="873"/>
      <c r="L275" s="873"/>
      <c r="M275" s="873"/>
      <c r="N275" s="867" t="str">
        <f>HYPERLINK("https://youtu.be/iPAXLOnqzFM","41.13")</f>
        <v>41.13</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796"/>
      <c r="BD275" s="796"/>
      <c r="BE275" s="873"/>
      <c r="BF275" s="869"/>
      <c r="BG275" s="869"/>
      <c r="BH275" s="796"/>
      <c r="BI275" s="796"/>
      <c r="BJ275" s="796"/>
    </row>
    <row r="276" ht="15.75" customHeight="1">
      <c r="A276" s="979"/>
      <c r="B276" s="980" t="s">
        <v>6558</v>
      </c>
      <c r="C276" s="866" t="s">
        <v>4738</v>
      </c>
      <c r="D276" s="873"/>
      <c r="E276" s="873"/>
      <c r="F276" s="788" t="s">
        <v>1396</v>
      </c>
      <c r="G276" s="873"/>
      <c r="H276" s="790"/>
      <c r="I276" s="873"/>
      <c r="J276" s="873"/>
      <c r="K276" s="873"/>
      <c r="L276" s="873"/>
      <c r="M276" s="873"/>
      <c r="N276" s="873"/>
      <c r="O276" s="873"/>
      <c r="P276" s="875"/>
      <c r="Q276" s="873"/>
      <c r="R276" s="873"/>
      <c r="S276" s="788" t="s">
        <v>621</v>
      </c>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978"/>
      <c r="BD276" s="978"/>
      <c r="BE276" s="873"/>
      <c r="BF276" s="869"/>
      <c r="BG276" s="869"/>
      <c r="BH276" s="978"/>
      <c r="BI276" s="978"/>
      <c r="BJ276" s="978"/>
    </row>
    <row r="277" ht="15.75" customHeight="1">
      <c r="A277" s="976" t="s">
        <v>57</v>
      </c>
      <c r="B277" s="995" t="s">
        <v>6358</v>
      </c>
      <c r="C277" s="866" t="s">
        <v>6903</v>
      </c>
      <c r="D277" s="873" t="s">
        <v>6904</v>
      </c>
      <c r="E277" s="873"/>
      <c r="F277" s="788" t="s">
        <v>1397</v>
      </c>
      <c r="G277" s="873"/>
      <c r="H277" s="982"/>
      <c r="I277" s="873"/>
      <c r="J277" s="873"/>
      <c r="K277" s="873"/>
      <c r="L277" s="873" t="s">
        <v>894</v>
      </c>
      <c r="M277" s="873"/>
      <c r="N277" s="873"/>
      <c r="O277" s="873"/>
      <c r="P277" s="875"/>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796"/>
      <c r="BD277" s="796"/>
      <c r="BE277" s="873"/>
      <c r="BF277" s="869"/>
      <c r="BG277" s="869"/>
      <c r="BH277" s="796"/>
      <c r="BI277" s="796"/>
      <c r="BJ277" s="796"/>
    </row>
    <row r="278">
      <c r="A278" s="996" t="s">
        <v>6905</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6906</v>
      </c>
      <c r="C279" s="866" t="s">
        <v>6907</v>
      </c>
      <c r="D279" s="867" t="s">
        <v>6908</v>
      </c>
      <c r="E279" s="867" t="s">
        <v>6907</v>
      </c>
      <c r="F279" s="788" t="s">
        <v>4755</v>
      </c>
      <c r="G279" s="867"/>
      <c r="H279" s="790"/>
      <c r="I279" s="867"/>
      <c r="J279" s="867"/>
      <c r="K279" s="868" t="s">
        <v>6909</v>
      </c>
      <c r="L279" s="867"/>
      <c r="M279" s="867"/>
      <c r="N279" s="867"/>
      <c r="O279" s="867"/>
      <c r="P279" s="868" t="s">
        <v>6910</v>
      </c>
      <c r="Q279" s="867"/>
      <c r="R279" s="867"/>
      <c r="S279" s="867"/>
      <c r="T279" s="867"/>
      <c r="U279" s="867"/>
      <c r="V279" s="867"/>
      <c r="W279" s="867"/>
      <c r="X279" s="867"/>
      <c r="Y279" s="867"/>
      <c r="Z279" s="867"/>
      <c r="AA279" s="867"/>
      <c r="AB279" s="867"/>
      <c r="AC279" s="867"/>
      <c r="AD279" s="867"/>
      <c r="AE279" s="867"/>
      <c r="AF279" s="867"/>
      <c r="AG279" s="867"/>
      <c r="AH279" s="867"/>
      <c r="AI279" s="867"/>
      <c r="AJ279" s="867"/>
      <c r="AK279" s="867"/>
      <c r="AL279" s="867"/>
      <c r="AM279" s="867"/>
      <c r="AN279" s="867"/>
      <c r="AO279" s="867"/>
      <c r="AP279" s="869"/>
      <c r="AQ279" s="867"/>
      <c r="AR279" s="867"/>
      <c r="AS279" s="867"/>
      <c r="AT279" s="867"/>
      <c r="AU279" s="867"/>
      <c r="AV279" s="867"/>
      <c r="AW279" s="867"/>
      <c r="AX279" s="867"/>
      <c r="AY279" s="867"/>
      <c r="AZ279" s="867"/>
      <c r="BA279" s="867"/>
      <c r="BB279" s="867"/>
      <c r="BC279" s="1004"/>
      <c r="BD279" s="1004"/>
      <c r="BE279" s="867"/>
      <c r="BF279" s="869"/>
      <c r="BG279" s="869"/>
      <c r="BH279" s="1004"/>
      <c r="BI279" s="1004"/>
      <c r="BJ279" s="1004"/>
    </row>
    <row r="280" ht="15.75" customHeight="1">
      <c r="A280" s="1005"/>
      <c r="B280" s="1006" t="s">
        <v>6911</v>
      </c>
      <c r="C280" s="866" t="s">
        <v>426</v>
      </c>
      <c r="D280" s="794" t="s">
        <v>1621</v>
      </c>
      <c r="E280" s="788" t="s">
        <v>426</v>
      </c>
      <c r="F280" s="788" t="s">
        <v>1405</v>
      </c>
      <c r="G280" s="788" t="s">
        <v>6912</v>
      </c>
      <c r="H280" s="843" t="s">
        <v>2886</v>
      </c>
      <c r="I280" s="788" t="str">
        <f>HYPERLINK("https://youtu.be/ZpzmhXUsVhA","1:19.38")</f>
        <v>1:19.38</v>
      </c>
      <c r="J280" s="803"/>
      <c r="K280" s="788" t="s">
        <v>3529</v>
      </c>
      <c r="L280" s="803" t="s">
        <v>899</v>
      </c>
      <c r="M280" s="803" t="s">
        <v>5882</v>
      </c>
      <c r="N280" s="803" t="s">
        <v>6913</v>
      </c>
      <c r="O280" s="788" t="s">
        <v>6914</v>
      </c>
      <c r="P280" s="868"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9"/>
      <c r="AQ280" s="803"/>
      <c r="AR280" s="803"/>
      <c r="AS280" s="803"/>
      <c r="AT280" s="803"/>
      <c r="AU280" s="803"/>
      <c r="AV280" s="803"/>
      <c r="AW280" s="803"/>
      <c r="AX280" s="803"/>
      <c r="AY280" s="803"/>
      <c r="AZ280" s="803"/>
      <c r="BA280" s="803"/>
      <c r="BB280" s="803"/>
      <c r="BC280" s="796"/>
      <c r="BD280" s="796"/>
      <c r="BE280" s="803"/>
      <c r="BF280" s="869"/>
      <c r="BG280" s="869"/>
      <c r="BH280" s="796"/>
      <c r="BI280" s="796"/>
      <c r="BJ280" s="796"/>
    </row>
    <row r="281" ht="15.75" customHeight="1">
      <c r="A281" s="1007" t="s">
        <v>6916</v>
      </c>
      <c r="B281" s="1008" t="s">
        <v>6906</v>
      </c>
      <c r="C281" s="866" t="s">
        <v>5444</v>
      </c>
      <c r="D281" s="867" t="s">
        <v>1017</v>
      </c>
      <c r="E281" s="867" t="s">
        <v>3181</v>
      </c>
      <c r="F281" s="803"/>
      <c r="G281" s="867"/>
      <c r="H281" s="790"/>
      <c r="I281" s="867"/>
      <c r="J281" s="867"/>
      <c r="K281" s="867"/>
      <c r="L281" s="867"/>
      <c r="M281" s="867"/>
      <c r="N281" s="867"/>
      <c r="O281" s="867"/>
      <c r="P281" s="868"/>
      <c r="Q281" s="867"/>
      <c r="R281" s="867"/>
      <c r="S281" s="867"/>
      <c r="T281" s="867"/>
      <c r="U281" s="867"/>
      <c r="V281" s="867"/>
      <c r="W281" s="867"/>
      <c r="X281" s="867"/>
      <c r="Y281" s="867"/>
      <c r="Z281" s="867"/>
      <c r="AA281" s="867"/>
      <c r="AB281" s="867"/>
      <c r="AC281" s="867"/>
      <c r="AD281" s="867"/>
      <c r="AE281" s="867"/>
      <c r="AF281" s="867"/>
      <c r="AG281" s="867"/>
      <c r="AH281" s="867"/>
      <c r="AI281" s="867"/>
      <c r="AJ281" s="867"/>
      <c r="AK281" s="867"/>
      <c r="AL281" s="867"/>
      <c r="AM281" s="867"/>
      <c r="AN281" s="867"/>
      <c r="AO281" s="867"/>
      <c r="AP281" s="869"/>
      <c r="AQ281" s="867"/>
      <c r="AR281" s="867"/>
      <c r="AS281" s="867"/>
      <c r="AT281" s="867"/>
      <c r="AU281" s="867"/>
      <c r="AV281" s="867"/>
      <c r="AW281" s="867"/>
      <c r="AX281" s="867"/>
      <c r="AY281" s="867"/>
      <c r="AZ281" s="867"/>
      <c r="BA281" s="867"/>
      <c r="BB281" s="867"/>
      <c r="BC281" s="1004"/>
      <c r="BD281" s="1004"/>
      <c r="BE281" s="867"/>
      <c r="BF281" s="869"/>
      <c r="BG281" s="869"/>
      <c r="BH281" s="1004"/>
      <c r="BI281" s="1004"/>
      <c r="BJ281" s="1004"/>
    </row>
    <row r="282" ht="15.75" customHeight="1">
      <c r="A282" s="1005"/>
      <c r="B282" s="1006" t="s">
        <v>6911</v>
      </c>
      <c r="C282" s="866" t="s">
        <v>2173</v>
      </c>
      <c r="D282" s="1009" t="s">
        <v>6917</v>
      </c>
      <c r="E282" s="867" t="s">
        <v>4078</v>
      </c>
      <c r="F282" s="788" t="s">
        <v>2834</v>
      </c>
      <c r="G282" s="908" t="s">
        <v>4686</v>
      </c>
      <c r="H282" s="843" t="s">
        <v>2082</v>
      </c>
      <c r="I282" s="867"/>
      <c r="J282" s="867"/>
      <c r="K282" s="867"/>
      <c r="L282" s="867"/>
      <c r="M282" s="867"/>
      <c r="N282" s="867"/>
      <c r="O282" s="867" t="s">
        <v>2173</v>
      </c>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796"/>
      <c r="BD282" s="796"/>
      <c r="BE282" s="867"/>
      <c r="BF282" s="869"/>
      <c r="BG282" s="869"/>
      <c r="BH282" s="796"/>
      <c r="BI282" s="796"/>
      <c r="BJ282" s="796"/>
    </row>
    <row r="283" ht="15.75" customHeight="1">
      <c r="A283" s="1007" t="s">
        <v>6918</v>
      </c>
      <c r="B283" s="1010" t="s">
        <v>6919</v>
      </c>
      <c r="C283" s="866" t="s">
        <v>4245</v>
      </c>
      <c r="D283" s="966" t="s">
        <v>1791</v>
      </c>
      <c r="E283" s="867" t="s">
        <v>4245</v>
      </c>
      <c r="F283" s="803"/>
      <c r="G283" s="867"/>
      <c r="H283" s="790"/>
      <c r="I283" s="867"/>
      <c r="J283" s="867"/>
      <c r="K283" s="867" t="s">
        <v>2328</v>
      </c>
      <c r="L283" s="867"/>
      <c r="M283" s="867"/>
      <c r="N283" s="867"/>
      <c r="O283" s="867"/>
      <c r="P283" s="868" t="s">
        <v>6920</v>
      </c>
      <c r="Q283" s="867"/>
      <c r="R283" s="867"/>
      <c r="S283" s="867" t="s">
        <v>6921</v>
      </c>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1004"/>
      <c r="BD283" s="1004"/>
      <c r="BE283" s="867"/>
      <c r="BF283" s="869"/>
      <c r="BG283" s="869"/>
      <c r="BH283" s="1004"/>
      <c r="BI283" s="1004"/>
      <c r="BJ283" s="1004"/>
    </row>
    <row r="284" ht="15.75" customHeight="1">
      <c r="A284" s="1005"/>
      <c r="B284" s="1006" t="s">
        <v>6922</v>
      </c>
      <c r="C284" s="866" t="s">
        <v>6864</v>
      </c>
      <c r="D284" s="794" t="s">
        <v>1622</v>
      </c>
      <c r="E284" s="788" t="s">
        <v>427</v>
      </c>
      <c r="F284" s="788" t="s">
        <v>1406</v>
      </c>
      <c r="G284" s="788" t="s">
        <v>2086</v>
      </c>
      <c r="H284" s="843" t="s">
        <v>3121</v>
      </c>
      <c r="I284" s="803"/>
      <c r="J284" s="803"/>
      <c r="K284" s="803"/>
      <c r="L284" s="788" t="s">
        <v>900</v>
      </c>
      <c r="M284" s="803" t="s">
        <v>816</v>
      </c>
      <c r="N284" s="803"/>
      <c r="O284" s="788" t="s">
        <v>6864</v>
      </c>
      <c r="P284" s="868"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9"/>
      <c r="AQ284" s="803"/>
      <c r="AR284" s="803"/>
      <c r="AS284" s="803"/>
      <c r="AT284" s="803"/>
      <c r="AU284" s="803"/>
      <c r="AV284" s="803"/>
      <c r="AW284" s="803"/>
      <c r="AX284" s="803"/>
      <c r="AY284" s="803"/>
      <c r="AZ284" s="803"/>
      <c r="BA284" s="803"/>
      <c r="BB284" s="803"/>
      <c r="BC284" s="796"/>
      <c r="BD284" s="796"/>
      <c r="BE284" s="803"/>
      <c r="BF284" s="869"/>
      <c r="BG284" s="869"/>
      <c r="BH284" s="796"/>
      <c r="BI284" s="796"/>
      <c r="BJ284" s="796"/>
    </row>
    <row r="285" ht="15.75" customHeight="1">
      <c r="A285" s="1002" t="s">
        <v>6923</v>
      </c>
      <c r="B285" s="1011" t="s">
        <v>6924</v>
      </c>
      <c r="C285" s="866" t="s">
        <v>5998</v>
      </c>
      <c r="D285" s="867"/>
      <c r="E285" s="867" t="s">
        <v>5998</v>
      </c>
      <c r="F285" s="803"/>
      <c r="G285" s="867"/>
      <c r="H285" s="790"/>
      <c r="I285" s="867" t="s">
        <v>6801</v>
      </c>
      <c r="J285" s="867"/>
      <c r="K285" s="867"/>
      <c r="L285" s="867"/>
      <c r="M285" s="867"/>
      <c r="N285" s="867"/>
      <c r="O285" s="867"/>
      <c r="P285" s="868"/>
      <c r="Q285" s="867"/>
      <c r="R285" s="867"/>
      <c r="S285" s="867"/>
      <c r="T285" s="867"/>
      <c r="U285" s="867"/>
      <c r="V285" s="867"/>
      <c r="W285" s="867"/>
      <c r="X285" s="867"/>
      <c r="Y285" s="867"/>
      <c r="Z285" s="867"/>
      <c r="AA285" s="867"/>
      <c r="AB285" s="867"/>
      <c r="AC285" s="867"/>
      <c r="AD285" s="867"/>
      <c r="AE285" s="867"/>
      <c r="AF285" s="867"/>
      <c r="AG285" s="867"/>
      <c r="AH285" s="867"/>
      <c r="AI285" s="867"/>
      <c r="AJ285" s="867"/>
      <c r="AK285" s="867"/>
      <c r="AL285" s="867"/>
      <c r="AM285" s="867"/>
      <c r="AN285" s="867"/>
      <c r="AO285" s="867"/>
      <c r="AP285" s="869"/>
      <c r="AQ285" s="867"/>
      <c r="AR285" s="867"/>
      <c r="AS285" s="867"/>
      <c r="AT285" s="867"/>
      <c r="AU285" s="867"/>
      <c r="AV285" s="867"/>
      <c r="AW285" s="867"/>
      <c r="AX285" s="867"/>
      <c r="AY285" s="867"/>
      <c r="AZ285" s="867"/>
      <c r="BA285" s="867"/>
      <c r="BB285" s="867"/>
      <c r="BC285" s="1004"/>
      <c r="BD285" s="1004"/>
      <c r="BE285" s="867"/>
      <c r="BF285" s="869"/>
      <c r="BG285" s="869"/>
      <c r="BH285" s="1004"/>
      <c r="BI285" s="1004"/>
      <c r="BJ285" s="1004"/>
    </row>
    <row r="286" ht="15.75" customHeight="1">
      <c r="A286" s="1012"/>
      <c r="B286" s="1013" t="s">
        <v>6925</v>
      </c>
      <c r="C286" s="866" t="s">
        <v>6733</v>
      </c>
      <c r="D286" s="867"/>
      <c r="E286" s="867" t="s">
        <v>1316</v>
      </c>
      <c r="F286" s="803"/>
      <c r="G286" s="867"/>
      <c r="H286" s="839"/>
      <c r="I286" s="867" t="s">
        <v>6733</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796"/>
      <c r="BD286" s="796"/>
      <c r="BE286" s="867"/>
      <c r="BF286" s="869"/>
      <c r="BG286" s="869"/>
      <c r="BH286" s="796"/>
      <c r="BI286" s="796"/>
      <c r="BJ286" s="796"/>
    </row>
    <row r="287" ht="15.75" customHeight="1">
      <c r="A287" s="1002" t="s">
        <v>74</v>
      </c>
      <c r="B287" s="1003" t="s">
        <v>6926</v>
      </c>
      <c r="C287" s="866"/>
      <c r="D287" s="873"/>
      <c r="E287" s="873"/>
      <c r="F287" s="803"/>
      <c r="G287" s="873"/>
      <c r="H287" s="790"/>
      <c r="I287" s="873"/>
      <c r="J287" s="873"/>
      <c r="K287" s="873"/>
      <c r="L287" s="873"/>
      <c r="M287" s="873"/>
      <c r="N287" s="873"/>
      <c r="O287" s="873"/>
      <c r="P287" s="875"/>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69"/>
      <c r="AQ287" s="873"/>
      <c r="AR287" s="873"/>
      <c r="AS287" s="873"/>
      <c r="AT287" s="873"/>
      <c r="AU287" s="873"/>
      <c r="AV287" s="873"/>
      <c r="AW287" s="873"/>
      <c r="AX287" s="873"/>
      <c r="AY287" s="873"/>
      <c r="AZ287" s="873"/>
      <c r="BA287" s="873"/>
      <c r="BB287" s="873"/>
      <c r="BC287" s="1004"/>
      <c r="BD287" s="1004"/>
      <c r="BE287" s="873"/>
      <c r="BF287" s="869"/>
      <c r="BG287" s="869"/>
      <c r="BH287" s="1004"/>
      <c r="BI287" s="1004"/>
      <c r="BJ287" s="1004"/>
    </row>
    <row r="288" ht="15.75" customHeight="1">
      <c r="A288" s="1005"/>
      <c r="B288" s="1006" t="s">
        <v>6927</v>
      </c>
      <c r="C288" s="866"/>
      <c r="D288" s="910"/>
      <c r="E288" s="910"/>
      <c r="F288" s="803"/>
      <c r="G288" s="910"/>
      <c r="H288" s="839"/>
      <c r="I288" s="910" t="s">
        <v>2601</v>
      </c>
      <c r="J288" s="910"/>
      <c r="K288" s="910"/>
      <c r="L288" s="910"/>
      <c r="M288" s="910"/>
      <c r="N288" s="910"/>
      <c r="O288" s="910"/>
      <c r="P288" s="868"/>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0"/>
      <c r="AP288" s="869"/>
      <c r="AQ288" s="910"/>
      <c r="AR288" s="910"/>
      <c r="AS288" s="910"/>
      <c r="AT288" s="910"/>
      <c r="AU288" s="910"/>
      <c r="AV288" s="910"/>
      <c r="AW288" s="910"/>
      <c r="AX288" s="910"/>
      <c r="AY288" s="910"/>
      <c r="AZ288" s="910"/>
      <c r="BA288" s="910"/>
      <c r="BB288" s="910"/>
      <c r="BC288" s="796"/>
      <c r="BD288" s="796"/>
      <c r="BE288" s="910"/>
      <c r="BF288" s="869"/>
      <c r="BG288" s="869"/>
      <c r="BH288" s="796"/>
      <c r="BI288" s="796"/>
      <c r="BJ288" s="796"/>
    </row>
    <row r="289" ht="15.75" customHeight="1">
      <c r="A289" s="1005"/>
      <c r="B289" s="1006" t="s">
        <v>6928</v>
      </c>
      <c r="C289" s="866" t="s">
        <v>1489</v>
      </c>
      <c r="D289" s="873"/>
      <c r="E289" s="873"/>
      <c r="F289" s="803"/>
      <c r="G289" s="873"/>
      <c r="H289" s="790"/>
      <c r="I289" s="788" t="s">
        <v>1489</v>
      </c>
      <c r="J289" s="873"/>
      <c r="K289" s="873"/>
      <c r="L289" s="873"/>
      <c r="M289" s="873"/>
      <c r="N289" s="873"/>
      <c r="O289" s="873"/>
      <c r="P289" s="875"/>
      <c r="Q289" s="873"/>
      <c r="R289" s="873"/>
      <c r="S289" s="873"/>
      <c r="T289" s="873"/>
      <c r="U289" s="873"/>
      <c r="V289" s="873"/>
      <c r="W289" s="873"/>
      <c r="X289" s="873"/>
      <c r="Y289" s="873"/>
      <c r="Z289" s="873"/>
      <c r="AA289" s="873"/>
      <c r="AB289" s="873"/>
      <c r="AC289" s="873"/>
      <c r="AD289" s="873"/>
      <c r="AE289" s="873"/>
      <c r="AF289" s="788" t="s">
        <v>290</v>
      </c>
      <c r="AG289" s="873"/>
      <c r="AH289" s="873"/>
      <c r="AI289" s="873"/>
      <c r="AJ289" s="873"/>
      <c r="AK289" s="873"/>
      <c r="AL289" s="873"/>
      <c r="AM289" s="873"/>
      <c r="AN289" s="873"/>
      <c r="AO289" s="873"/>
      <c r="AP289" s="869"/>
      <c r="AQ289" s="873"/>
      <c r="AR289" s="873"/>
      <c r="AS289" s="873"/>
      <c r="AT289" s="873"/>
      <c r="AU289" s="873"/>
      <c r="AV289" s="873"/>
      <c r="AW289" s="873"/>
      <c r="AX289" s="873"/>
      <c r="AY289" s="873"/>
      <c r="AZ289" s="873"/>
      <c r="BA289" s="873"/>
      <c r="BB289" s="873"/>
      <c r="BC289" s="1004"/>
      <c r="BD289" s="1004"/>
      <c r="BE289" s="873"/>
      <c r="BF289" s="869"/>
      <c r="BG289" s="869"/>
      <c r="BH289" s="1004"/>
      <c r="BI289" s="1004"/>
      <c r="BJ289" s="1004"/>
    </row>
    <row r="290" ht="15.75" customHeight="1">
      <c r="A290" s="1002" t="s">
        <v>6929</v>
      </c>
      <c r="B290" s="1003"/>
      <c r="C290" s="866"/>
      <c r="D290" s="873"/>
      <c r="E290" s="873"/>
      <c r="F290" s="803"/>
      <c r="G290" s="873"/>
      <c r="H290" s="839"/>
      <c r="I290" s="873"/>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873"/>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4"/>
      <c r="BD290" s="1004"/>
      <c r="BE290" s="873"/>
      <c r="BF290" s="869"/>
      <c r="BG290" s="869"/>
      <c r="BH290" s="1004"/>
      <c r="BI290" s="1004"/>
      <c r="BJ290" s="1004"/>
    </row>
    <row r="291" ht="15.75" customHeight="1">
      <c r="A291" s="1007" t="s">
        <v>6374</v>
      </c>
      <c r="B291" s="1010" t="s">
        <v>6405</v>
      </c>
      <c r="C291" s="866" t="s">
        <v>3079</v>
      </c>
      <c r="D291" s="867"/>
      <c r="E291" s="867" t="s">
        <v>3735</v>
      </c>
      <c r="F291" s="803"/>
      <c r="G291" s="867" t="s">
        <v>3079</v>
      </c>
      <c r="H291" s="790"/>
      <c r="I291" s="867" t="s">
        <v>6930</v>
      </c>
      <c r="J291" s="867"/>
      <c r="K291" s="867"/>
      <c r="L291" s="867"/>
      <c r="M291" s="867"/>
      <c r="N291" s="867"/>
      <c r="O291" s="867"/>
      <c r="P291" s="868"/>
      <c r="Q291" s="867"/>
      <c r="R291" s="867"/>
      <c r="S291" s="867"/>
      <c r="T291" s="867"/>
      <c r="U291" s="867"/>
      <c r="V291" s="867"/>
      <c r="W291" s="867"/>
      <c r="X291" s="867"/>
      <c r="Y291" s="867"/>
      <c r="Z291" s="867"/>
      <c r="AA291" s="867"/>
      <c r="AB291" s="867"/>
      <c r="AC291" s="867"/>
      <c r="AD291" s="867"/>
      <c r="AE291" s="867"/>
      <c r="AF291" s="867"/>
      <c r="AG291" s="867"/>
      <c r="AH291" s="867"/>
      <c r="AI291" s="867"/>
      <c r="AJ291" s="867"/>
      <c r="AK291" s="867"/>
      <c r="AL291" s="867"/>
      <c r="AM291" s="867"/>
      <c r="AN291" s="867"/>
      <c r="AO291" s="867"/>
      <c r="AP291" s="869"/>
      <c r="AQ291" s="867"/>
      <c r="AR291" s="867"/>
      <c r="AS291" s="867"/>
      <c r="AT291" s="867"/>
      <c r="AU291" s="867"/>
      <c r="AV291" s="867"/>
      <c r="AW291" s="867"/>
      <c r="AX291" s="867"/>
      <c r="AY291" s="867"/>
      <c r="AZ291" s="867"/>
      <c r="BA291" s="867"/>
      <c r="BB291" s="867"/>
      <c r="BC291" s="1004"/>
      <c r="BD291" s="1004"/>
      <c r="BE291" s="867"/>
      <c r="BF291" s="869"/>
      <c r="BG291" s="869"/>
      <c r="BH291" s="1004"/>
      <c r="BI291" s="1004"/>
      <c r="BJ291" s="1004"/>
    </row>
    <row r="292" ht="15.75" customHeight="1">
      <c r="A292" s="1002" t="s">
        <v>6931</v>
      </c>
      <c r="B292" s="1014"/>
      <c r="C292" s="785" t="s">
        <v>6932</v>
      </c>
      <c r="D292" s="873"/>
      <c r="E292" s="873"/>
      <c r="F292" s="803"/>
      <c r="G292" s="788" t="s">
        <v>6932</v>
      </c>
      <c r="H292" s="839"/>
      <c r="I292" s="873"/>
      <c r="J292" s="873"/>
      <c r="K292" s="873"/>
      <c r="L292" s="873"/>
      <c r="M292" s="873"/>
      <c r="N292" s="873"/>
      <c r="O292" s="873"/>
      <c r="P292" s="875"/>
      <c r="Q292" s="873"/>
      <c r="R292" s="873"/>
      <c r="S292" s="873"/>
      <c r="T292" s="873"/>
      <c r="U292" s="873"/>
      <c r="V292" s="873"/>
      <c r="W292" s="873"/>
      <c r="X292" s="873"/>
      <c r="Y292" s="873"/>
      <c r="Z292" s="873"/>
      <c r="AA292" s="873"/>
      <c r="AB292" s="873"/>
      <c r="AC292" s="873"/>
      <c r="AD292" s="873"/>
      <c r="AE292" s="873"/>
      <c r="AF292" s="873"/>
      <c r="AG292" s="873"/>
      <c r="AH292" s="873"/>
      <c r="AI292" s="873"/>
      <c r="AJ292" s="873"/>
      <c r="AK292" s="873"/>
      <c r="AL292" s="873"/>
      <c r="AM292" s="873"/>
      <c r="AN292" s="873"/>
      <c r="AO292" s="873"/>
      <c r="AP292" s="869"/>
      <c r="AQ292" s="873"/>
      <c r="AR292" s="873"/>
      <c r="AS292" s="873"/>
      <c r="AT292" s="873"/>
      <c r="AU292" s="873"/>
      <c r="AV292" s="873"/>
      <c r="AW292" s="873"/>
      <c r="AX292" s="873"/>
      <c r="AY292" s="873"/>
      <c r="AZ292" s="873"/>
      <c r="BA292" s="873"/>
      <c r="BB292" s="873"/>
      <c r="BC292" s="796"/>
      <c r="BD292" s="796"/>
      <c r="BE292" s="873"/>
      <c r="BF292" s="869"/>
      <c r="BG292" s="869"/>
      <c r="BH292" s="796"/>
      <c r="BI292" s="796"/>
      <c r="BJ292" s="796"/>
    </row>
    <row r="293" ht="15.75" customHeight="1">
      <c r="A293" s="1007" t="s">
        <v>6933</v>
      </c>
      <c r="B293" s="1010" t="s">
        <v>6934</v>
      </c>
      <c r="C293" s="866" t="s">
        <v>3491</v>
      </c>
      <c r="D293" s="794" t="s">
        <v>3491</v>
      </c>
      <c r="E293" s="873"/>
      <c r="F293" s="803"/>
      <c r="G293" s="873"/>
      <c r="H293" s="790"/>
      <c r="I293" s="788" t="s">
        <v>834</v>
      </c>
      <c r="J293" s="873"/>
      <c r="K293" s="873"/>
      <c r="L293" s="873"/>
      <c r="M293" s="873"/>
      <c r="N293" s="873"/>
      <c r="O293" s="873"/>
      <c r="P293" s="875"/>
      <c r="Q293" s="873"/>
      <c r="R293" s="873"/>
      <c r="S293" s="873"/>
      <c r="T293" s="873"/>
      <c r="U293" s="873"/>
      <c r="V293" s="873"/>
      <c r="W293" s="873" t="s">
        <v>1691</v>
      </c>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1004"/>
      <c r="BD293" s="1004"/>
      <c r="BE293" s="873"/>
      <c r="BF293" s="869"/>
      <c r="BG293" s="869"/>
      <c r="BH293" s="1004"/>
      <c r="BI293" s="1004"/>
      <c r="BJ293" s="1004"/>
    </row>
    <row r="294" ht="15.75" customHeight="1">
      <c r="A294" s="1005"/>
      <c r="B294" s="1013" t="s">
        <v>6935</v>
      </c>
      <c r="C294" s="866" t="s">
        <v>3961</v>
      </c>
      <c r="D294" s="1015"/>
      <c r="E294" s="1015" t="s">
        <v>4167</v>
      </c>
      <c r="F294" s="803"/>
      <c r="G294" s="1015"/>
      <c r="H294" s="839"/>
      <c r="I294" s="788" t="s">
        <v>3961</v>
      </c>
      <c r="J294" s="1015"/>
      <c r="K294" s="1015"/>
      <c r="L294" s="1015"/>
      <c r="M294" s="1015" t="s">
        <v>6415</v>
      </c>
      <c r="N294" s="1015"/>
      <c r="O294" s="1015"/>
      <c r="P294" s="908"/>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9"/>
      <c r="AQ294" s="1015"/>
      <c r="AR294" s="1015"/>
      <c r="AS294" s="1015"/>
      <c r="AT294" s="1015"/>
      <c r="AU294" s="1015"/>
      <c r="AV294" s="1015"/>
      <c r="AW294" s="1015"/>
      <c r="AX294" s="1015"/>
      <c r="AY294" s="1015"/>
      <c r="AZ294" s="1015"/>
      <c r="BA294" s="1015"/>
      <c r="BB294" s="1015"/>
      <c r="BC294" s="796"/>
      <c r="BD294" s="796"/>
      <c r="BE294" s="1015"/>
      <c r="BF294" s="869"/>
      <c r="BG294" s="869"/>
      <c r="BH294" s="796"/>
      <c r="BI294" s="796"/>
      <c r="BJ294" s="796"/>
    </row>
    <row r="295" ht="15.75" customHeight="1">
      <c r="A295" s="1002" t="s">
        <v>6936</v>
      </c>
      <c r="B295" s="1003" t="s">
        <v>6937</v>
      </c>
      <c r="C295" s="866"/>
      <c r="D295" s="873"/>
      <c r="E295" s="873"/>
      <c r="F295" s="803"/>
      <c r="G295" s="873"/>
      <c r="H295" s="790"/>
      <c r="I295" s="873"/>
      <c r="J295" s="873"/>
      <c r="K295" s="873"/>
      <c r="L295" s="873"/>
      <c r="M295" s="873"/>
      <c r="N295" s="873"/>
      <c r="O295" s="873"/>
      <c r="P295" s="875"/>
      <c r="Q295" s="873"/>
      <c r="R295" s="873"/>
      <c r="S295" s="873"/>
      <c r="T295" s="873"/>
      <c r="U295" s="873"/>
      <c r="V295" s="873"/>
      <c r="W295" s="873"/>
      <c r="X295" s="873"/>
      <c r="Y295" s="873"/>
      <c r="Z295" s="873"/>
      <c r="AA295" s="873"/>
      <c r="AB295" s="873"/>
      <c r="AC295" s="873"/>
      <c r="AD295" s="873"/>
      <c r="AE295" s="873"/>
      <c r="AF295" s="873"/>
      <c r="AG295" s="873"/>
      <c r="AH295" s="873"/>
      <c r="AI295" s="873"/>
      <c r="AJ295" s="873"/>
      <c r="AK295" s="873"/>
      <c r="AL295" s="873"/>
      <c r="AM295" s="873"/>
      <c r="AN295" s="873"/>
      <c r="AO295" s="873"/>
      <c r="AP295" s="869"/>
      <c r="AQ295" s="873"/>
      <c r="AR295" s="873"/>
      <c r="AS295" s="873"/>
      <c r="AT295" s="873"/>
      <c r="AU295" s="873"/>
      <c r="AV295" s="873"/>
      <c r="AW295" s="873"/>
      <c r="AX295" s="873"/>
      <c r="AY295" s="873"/>
      <c r="AZ295" s="873"/>
      <c r="BA295" s="873"/>
      <c r="BB295" s="873"/>
      <c r="BC295" s="1004"/>
      <c r="BD295" s="1004"/>
      <c r="BE295" s="873"/>
      <c r="BF295" s="869"/>
      <c r="BG295" s="869"/>
      <c r="BH295" s="1004"/>
      <c r="BI295" s="1004"/>
      <c r="BJ295" s="1004"/>
    </row>
    <row r="296" ht="15.75" customHeight="1">
      <c r="A296" s="1005"/>
      <c r="B296" s="1006" t="s">
        <v>6938</v>
      </c>
      <c r="C296" s="866"/>
      <c r="D296" s="873"/>
      <c r="E296" s="873"/>
      <c r="F296" s="803"/>
      <c r="G296" s="873"/>
      <c r="H296" s="839"/>
      <c r="I296" s="873"/>
      <c r="J296" s="873"/>
      <c r="K296" s="873"/>
      <c r="L296" s="873"/>
      <c r="M296" s="873"/>
      <c r="N296" s="873" t="s">
        <v>5405</v>
      </c>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796"/>
      <c r="BD296" s="796"/>
      <c r="BE296" s="873"/>
      <c r="BF296" s="869"/>
      <c r="BG296" s="869"/>
      <c r="BH296" s="796"/>
      <c r="BI296" s="796"/>
      <c r="BJ296" s="796"/>
    </row>
    <row r="297" ht="15.75" customHeight="1">
      <c r="A297" s="1002" t="s">
        <v>6939</v>
      </c>
      <c r="B297" s="1003" t="s">
        <v>6940</v>
      </c>
      <c r="C297" s="866"/>
      <c r="D297" s="873"/>
      <c r="E297" s="873"/>
      <c r="F297" s="803"/>
      <c r="G297" s="873"/>
      <c r="H297" s="790"/>
      <c r="I297" s="873"/>
      <c r="J297" s="873"/>
      <c r="K297" s="873"/>
      <c r="L297" s="873"/>
      <c r="M297" s="873"/>
      <c r="N297" s="873"/>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6"/>
      <c r="BD297" s="796"/>
      <c r="BE297" s="873"/>
      <c r="BF297" s="869"/>
      <c r="BG297" s="869"/>
      <c r="BH297" s="796"/>
      <c r="BI297" s="796"/>
      <c r="BJ297" s="796"/>
    </row>
    <row r="298" ht="15.75" customHeight="1">
      <c r="A298" s="1005"/>
      <c r="B298" s="1013" t="s">
        <v>6941</v>
      </c>
      <c r="C298" s="866"/>
      <c r="D298" s="873"/>
      <c r="E298" s="873"/>
      <c r="F298" s="803"/>
      <c r="G298" s="873"/>
      <c r="H298" s="839"/>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6"/>
      <c r="BD298" s="796"/>
      <c r="BE298" s="873"/>
      <c r="BF298" s="869"/>
      <c r="BG298" s="869"/>
      <c r="BH298" s="796"/>
      <c r="BI298" s="796"/>
      <c r="BJ298" s="796"/>
    </row>
    <row r="299" ht="15.75" customHeight="1">
      <c r="A299" s="1005"/>
      <c r="B299" s="1013" t="s">
        <v>6942</v>
      </c>
      <c r="C299" s="866"/>
      <c r="D299" s="873"/>
      <c r="E299" s="873"/>
      <c r="F299" s="803"/>
      <c r="G299" s="873"/>
      <c r="H299" s="790"/>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6"/>
      <c r="BD299" s="796"/>
      <c r="BE299" s="873"/>
      <c r="BF299" s="869"/>
      <c r="BG299" s="869"/>
      <c r="BH299" s="796"/>
      <c r="BI299" s="796"/>
      <c r="BJ299" s="796"/>
    </row>
    <row r="300" ht="15.75" customHeight="1">
      <c r="A300" s="1002" t="s">
        <v>70</v>
      </c>
      <c r="B300" s="1003" t="s">
        <v>6943</v>
      </c>
      <c r="C300" s="866"/>
      <c r="D300" s="873"/>
      <c r="E300" s="873"/>
      <c r="F300" s="803"/>
      <c r="G300" s="873"/>
      <c r="H300" s="839"/>
      <c r="I300" s="873" t="s">
        <v>277</v>
      </c>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1004"/>
      <c r="BD300" s="1004"/>
      <c r="BE300" s="873"/>
      <c r="BF300" s="869"/>
      <c r="BG300" s="869"/>
      <c r="BH300" s="1004"/>
      <c r="BI300" s="1004"/>
      <c r="BJ300" s="1004"/>
    </row>
    <row r="301" ht="15.75" customHeight="1">
      <c r="A301" s="1002" t="s">
        <v>71</v>
      </c>
      <c r="B301" s="1003" t="s">
        <v>6943</v>
      </c>
      <c r="C301" s="866" t="s">
        <v>6944</v>
      </c>
      <c r="D301" s="873"/>
      <c r="E301" s="873"/>
      <c r="F301" s="803"/>
      <c r="G301" s="873"/>
      <c r="H301" s="790"/>
      <c r="I301" s="788" t="s">
        <v>6944</v>
      </c>
      <c r="J301" s="873"/>
      <c r="K301" s="873"/>
      <c r="L301" s="873"/>
      <c r="M301" s="873"/>
      <c r="N301" s="873" t="s">
        <v>5726</v>
      </c>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796"/>
      <c r="BD301" s="796"/>
      <c r="BE301" s="873"/>
      <c r="BF301" s="869"/>
      <c r="BG301" s="869"/>
      <c r="BH301" s="796"/>
      <c r="BI301" s="796"/>
      <c r="BJ301" s="796"/>
    </row>
    <row r="302" ht="26.25" customHeight="1">
      <c r="A302" s="996" t="s">
        <v>6945</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6946</v>
      </c>
      <c r="B303" s="1011" t="s">
        <v>6361</v>
      </c>
      <c r="C303" s="866" t="s">
        <v>530</v>
      </c>
      <c r="D303" s="877" t="s">
        <v>3334</v>
      </c>
      <c r="E303" s="877"/>
      <c r="F303" s="803"/>
      <c r="G303" s="877"/>
      <c r="H303" s="790"/>
      <c r="I303" s="877"/>
      <c r="J303" s="877"/>
      <c r="K303" s="877"/>
      <c r="L303" s="877"/>
      <c r="M303" s="877"/>
      <c r="N303" s="877"/>
      <c r="O303" s="877"/>
      <c r="P303" s="1017"/>
      <c r="Q303" s="877"/>
      <c r="R303" s="877"/>
      <c r="S303" s="877"/>
      <c r="T303" s="877"/>
      <c r="U303" s="877"/>
      <c r="V303" s="877"/>
      <c r="W303" s="877"/>
      <c r="X303" s="877"/>
      <c r="Y303" s="877"/>
      <c r="Z303" s="877"/>
      <c r="AA303" s="877"/>
      <c r="AB303" s="877"/>
      <c r="AC303" s="877"/>
      <c r="AD303" s="877"/>
      <c r="AE303" s="877"/>
      <c r="AF303" s="877"/>
      <c r="AG303" s="877"/>
      <c r="AH303" s="877"/>
      <c r="AI303" s="877"/>
      <c r="AJ303" s="877"/>
      <c r="AK303" s="877"/>
      <c r="AL303" s="877"/>
      <c r="AM303" s="877"/>
      <c r="AN303" s="877"/>
      <c r="AO303" s="877"/>
      <c r="AP303" s="869"/>
      <c r="AQ303" s="877"/>
      <c r="AR303" s="877"/>
      <c r="AS303" s="877"/>
      <c r="AT303" s="877"/>
      <c r="AU303" s="877"/>
      <c r="AV303" s="877"/>
      <c r="AW303" s="877"/>
      <c r="AX303" s="877"/>
      <c r="AY303" s="877"/>
      <c r="AZ303" s="877"/>
      <c r="BA303" s="877"/>
      <c r="BB303" s="877"/>
      <c r="BC303" s="796"/>
      <c r="BD303" s="796"/>
      <c r="BE303" s="877"/>
      <c r="BF303" s="869"/>
      <c r="BG303" s="869"/>
      <c r="BH303" s="796"/>
      <c r="BI303" s="796"/>
      <c r="BJ303" s="796"/>
    </row>
    <row r="304" ht="15.75" customHeight="1">
      <c r="A304" s="1005"/>
      <c r="B304" s="1013" t="s">
        <v>6947</v>
      </c>
      <c r="C304" s="866" t="s">
        <v>354</v>
      </c>
      <c r="D304" s="803"/>
      <c r="E304" s="788" t="s">
        <v>354</v>
      </c>
      <c r="F304" s="803"/>
      <c r="G304" s="803"/>
      <c r="H304" s="839"/>
      <c r="I304" s="803"/>
      <c r="J304" s="803"/>
      <c r="K304" s="803"/>
      <c r="L304" s="803"/>
      <c r="M304" s="803"/>
      <c r="N304" s="803"/>
      <c r="O304" s="803"/>
      <c r="P304" s="868"/>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9"/>
      <c r="AQ304" s="803"/>
      <c r="AR304" s="803"/>
      <c r="AS304" s="803"/>
      <c r="AT304" s="803"/>
      <c r="AU304" s="803"/>
      <c r="AV304" s="803"/>
      <c r="AW304" s="803"/>
      <c r="AX304" s="803"/>
      <c r="AY304" s="803"/>
      <c r="AZ304" s="803"/>
      <c r="BA304" s="803"/>
      <c r="BB304" s="803"/>
      <c r="BC304" s="1004"/>
      <c r="BD304" s="1004"/>
      <c r="BE304" s="803"/>
      <c r="BF304" s="869"/>
      <c r="BG304" s="869"/>
      <c r="BH304" s="1004"/>
      <c r="BI304" s="1004"/>
      <c r="BJ304" s="1004"/>
    </row>
    <row r="305" ht="15.75" customHeight="1">
      <c r="A305" s="1005"/>
      <c r="B305" s="1013" t="s">
        <v>6948</v>
      </c>
      <c r="C305" s="866" t="s">
        <v>2942</v>
      </c>
      <c r="D305" s="788" t="s">
        <v>407</v>
      </c>
      <c r="E305" s="788" t="s">
        <v>5242</v>
      </c>
      <c r="F305" s="803"/>
      <c r="G305" s="803" t="s">
        <v>2051</v>
      </c>
      <c r="H305" s="811" t="s">
        <v>2895</v>
      </c>
      <c r="I305" s="803"/>
      <c r="J305" s="803"/>
      <c r="K305" s="803"/>
      <c r="L305" s="803"/>
      <c r="M305" s="803"/>
      <c r="N305" s="803"/>
      <c r="O305" s="803"/>
      <c r="P305" s="868"/>
      <c r="Q305" s="803"/>
      <c r="R305" s="788" t="s">
        <v>5242</v>
      </c>
      <c r="S305" s="803"/>
      <c r="T305" s="788" t="s">
        <v>2942</v>
      </c>
      <c r="U305" s="803"/>
      <c r="V305" s="803"/>
      <c r="W305" s="803"/>
      <c r="X305" s="788" t="s">
        <v>2678</v>
      </c>
      <c r="Y305" s="803"/>
      <c r="Z305" s="803"/>
      <c r="AA305" s="803"/>
      <c r="AB305" s="803"/>
      <c r="AC305" s="803"/>
      <c r="AD305" s="803"/>
      <c r="AE305" s="803"/>
      <c r="AF305" s="803"/>
      <c r="AG305" s="803"/>
      <c r="AH305" s="803"/>
      <c r="AI305" s="803"/>
      <c r="AJ305" s="803"/>
      <c r="AK305" s="803"/>
      <c r="AL305" s="803"/>
      <c r="AM305" s="803"/>
      <c r="AN305" s="803"/>
      <c r="AO305" s="788" t="s">
        <v>2134</v>
      </c>
      <c r="AP305" s="869"/>
      <c r="AQ305" s="803"/>
      <c r="AR305" s="803"/>
      <c r="AS305" s="803"/>
      <c r="AT305" s="803"/>
      <c r="AU305" s="803"/>
      <c r="AV305" s="803"/>
      <c r="AW305" s="803"/>
      <c r="AX305" s="803"/>
      <c r="AY305" s="803"/>
      <c r="AZ305" s="803"/>
      <c r="BA305" s="803"/>
      <c r="BB305" s="803"/>
      <c r="BC305" s="796"/>
      <c r="BD305" s="796"/>
      <c r="BE305" s="803"/>
      <c r="BF305" s="869"/>
      <c r="BG305" s="869"/>
      <c r="BH305" s="796"/>
      <c r="BI305" s="796"/>
      <c r="BJ305" s="796"/>
    </row>
    <row r="306" ht="15.75" customHeight="1">
      <c r="A306" s="1002" t="s">
        <v>6949</v>
      </c>
      <c r="B306" s="1011" t="s">
        <v>6469</v>
      </c>
      <c r="C306" s="866" t="s">
        <v>6950</v>
      </c>
      <c r="D306" s="803"/>
      <c r="E306" s="788" t="s">
        <v>6950</v>
      </c>
      <c r="F306" s="803"/>
      <c r="G306" s="803"/>
      <c r="H306" s="843"/>
      <c r="I306" s="803"/>
      <c r="J306" s="803"/>
      <c r="K306" s="803"/>
      <c r="L306" s="803"/>
      <c r="M306" s="803"/>
      <c r="N306" s="803"/>
      <c r="O306" s="803"/>
      <c r="P306" s="868"/>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9"/>
      <c r="AQ306" s="803"/>
      <c r="AR306" s="803"/>
      <c r="AS306" s="803"/>
      <c r="AT306" s="803"/>
      <c r="AU306" s="803"/>
      <c r="AV306" s="803"/>
      <c r="AW306" s="803"/>
      <c r="AX306" s="803"/>
      <c r="AY306" s="803"/>
      <c r="AZ306" s="803"/>
      <c r="BA306" s="803"/>
      <c r="BB306" s="803"/>
      <c r="BC306" s="1004"/>
      <c r="BD306" s="1004"/>
      <c r="BE306" s="803"/>
      <c r="BF306" s="869"/>
      <c r="BG306" s="869"/>
      <c r="BH306" s="1004"/>
      <c r="BI306" s="1004"/>
      <c r="BJ306" s="1004"/>
    </row>
    <row r="307" ht="15.75" customHeight="1">
      <c r="A307" s="1005"/>
      <c r="B307" s="1013" t="s">
        <v>6471</v>
      </c>
      <c r="C307" s="866" t="s">
        <v>6212</v>
      </c>
      <c r="D307" s="803" t="s">
        <v>5078</v>
      </c>
      <c r="E307" s="788" t="s">
        <v>4472</v>
      </c>
      <c r="F307" s="803"/>
      <c r="G307" s="788" t="s">
        <v>6212</v>
      </c>
      <c r="H307" s="811" t="s">
        <v>5366</v>
      </c>
      <c r="I307" s="803"/>
      <c r="J307" s="803"/>
      <c r="K307" s="803"/>
      <c r="L307" s="803"/>
      <c r="M307" s="803"/>
      <c r="N307" s="803"/>
      <c r="O307" s="803"/>
      <c r="P307" s="868"/>
      <c r="Q307" s="803"/>
      <c r="R307" s="788" t="s">
        <v>6614</v>
      </c>
      <c r="S307" s="803"/>
      <c r="T307" s="803"/>
      <c r="U307" s="803"/>
      <c r="V307" s="788" t="s">
        <v>5874</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9"/>
      <c r="AQ307" s="803"/>
      <c r="AR307" s="803"/>
      <c r="AS307" s="803"/>
      <c r="AT307" s="803"/>
      <c r="AU307" s="803"/>
      <c r="AV307" s="803"/>
      <c r="AW307" s="803"/>
      <c r="AX307" s="803"/>
      <c r="AY307" s="803"/>
      <c r="AZ307" s="803"/>
      <c r="BA307" s="803"/>
      <c r="BB307" s="803"/>
      <c r="BC307" s="796"/>
      <c r="BD307" s="796"/>
      <c r="BE307" s="803"/>
      <c r="BF307" s="869"/>
      <c r="BG307" s="869"/>
      <c r="BH307" s="796"/>
      <c r="BI307" s="796"/>
      <c r="BJ307" s="796"/>
    </row>
    <row r="308" ht="15.75" customHeight="1">
      <c r="A308" s="1002" t="s">
        <v>6951</v>
      </c>
      <c r="B308" s="1011" t="s">
        <v>6358</v>
      </c>
      <c r="C308" s="866" t="s">
        <v>2412</v>
      </c>
      <c r="D308" s="817"/>
      <c r="E308" s="1018" t="s">
        <v>1779</v>
      </c>
      <c r="F308" s="803"/>
      <c r="G308" s="1018" t="s">
        <v>2412</v>
      </c>
      <c r="H308" s="1019" t="s">
        <v>2981</v>
      </c>
      <c r="I308" s="817"/>
      <c r="J308" s="1018" t="s">
        <v>1779</v>
      </c>
      <c r="K308" s="817"/>
      <c r="L308" s="1018" t="s">
        <v>6952</v>
      </c>
      <c r="M308" s="1018" t="s">
        <v>4814</v>
      </c>
      <c r="N308" s="817"/>
      <c r="O308" s="817"/>
      <c r="P308" s="816"/>
      <c r="Q308" s="817"/>
      <c r="R308" s="817"/>
      <c r="S308" s="817"/>
      <c r="T308" s="817"/>
      <c r="U308" s="817"/>
      <c r="V308" s="1018" t="s">
        <v>2834</v>
      </c>
      <c r="W308" s="817"/>
      <c r="X308" s="1018"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4"/>
      <c r="BD308" s="1004"/>
      <c r="BE308" s="817"/>
      <c r="BF308" s="816"/>
      <c r="BG308" s="816"/>
      <c r="BH308" s="1004"/>
      <c r="BI308" s="1004"/>
      <c r="BJ308" s="1004"/>
    </row>
    <row r="309" ht="15.75" customHeight="1">
      <c r="A309" s="1002" t="s">
        <v>6953</v>
      </c>
      <c r="B309" s="1011" t="s">
        <v>6954</v>
      </c>
      <c r="C309" s="866" t="s">
        <v>6955</v>
      </c>
      <c r="D309" s="803"/>
      <c r="E309" s="788" t="s">
        <v>6955</v>
      </c>
      <c r="F309" s="803"/>
      <c r="G309" s="803"/>
      <c r="H309" s="790"/>
      <c r="I309" s="803"/>
      <c r="J309" s="803"/>
      <c r="K309" s="803"/>
      <c r="L309" s="803"/>
      <c r="M309" s="803"/>
      <c r="N309" s="803"/>
      <c r="O309" s="803"/>
      <c r="P309" s="868"/>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9"/>
      <c r="AQ309" s="803"/>
      <c r="AR309" s="803"/>
      <c r="AS309" s="803"/>
      <c r="AT309" s="803"/>
      <c r="AU309" s="803"/>
      <c r="AV309" s="803"/>
      <c r="AW309" s="803"/>
      <c r="AX309" s="803"/>
      <c r="AY309" s="803"/>
      <c r="AZ309" s="803"/>
      <c r="BA309" s="803"/>
      <c r="BB309" s="803"/>
      <c r="BC309" s="796"/>
      <c r="BD309" s="796"/>
      <c r="BE309" s="803"/>
      <c r="BF309" s="869"/>
      <c r="BG309" s="869"/>
      <c r="BH309" s="796"/>
      <c r="BI309" s="796"/>
      <c r="BJ309" s="796"/>
    </row>
    <row r="310" ht="15.75" customHeight="1">
      <c r="A310" s="1005"/>
      <c r="B310" s="1020" t="s">
        <v>6956</v>
      </c>
      <c r="C310" s="866" t="s">
        <v>6957</v>
      </c>
      <c r="D310" s="803"/>
      <c r="E310" s="788" t="s">
        <v>6958</v>
      </c>
      <c r="F310" s="803"/>
      <c r="G310" s="803" t="s">
        <v>1423</v>
      </c>
      <c r="H310" s="843" t="s">
        <v>6959</v>
      </c>
      <c r="I310" s="803"/>
      <c r="J310" s="803"/>
      <c r="K310" s="803"/>
      <c r="L310" s="803"/>
      <c r="M310" s="803"/>
      <c r="N310" s="803"/>
      <c r="O310" s="803"/>
      <c r="P310" s="868"/>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9"/>
      <c r="AQ310" s="803"/>
      <c r="AR310" s="803"/>
      <c r="AS310" s="803"/>
      <c r="AT310" s="803"/>
      <c r="AU310" s="803"/>
      <c r="AV310" s="803"/>
      <c r="AW310" s="803"/>
      <c r="AX310" s="803"/>
      <c r="AY310" s="803"/>
      <c r="AZ310" s="803"/>
      <c r="BA310" s="803"/>
      <c r="BB310" s="803"/>
      <c r="BC310" s="1004"/>
      <c r="BD310" s="1004"/>
      <c r="BE310" s="803"/>
      <c r="BF310" s="869"/>
      <c r="BG310" s="869"/>
      <c r="BH310" s="1004"/>
      <c r="BI310" s="1004"/>
      <c r="BJ310" s="1004"/>
    </row>
    <row r="311" ht="15.75" customHeight="1">
      <c r="A311" s="1002" t="s">
        <v>6960</v>
      </c>
      <c r="B311" s="1011" t="s">
        <v>6961</v>
      </c>
      <c r="C311" s="866" t="s">
        <v>4367</v>
      </c>
      <c r="D311" s="803"/>
      <c r="E311" s="788" t="s">
        <v>4367</v>
      </c>
      <c r="F311" s="803"/>
      <c r="G311" s="803"/>
      <c r="H311" s="790"/>
      <c r="I311" s="803"/>
      <c r="J311" s="803"/>
      <c r="K311" s="803"/>
      <c r="L311" s="803"/>
      <c r="M311" s="803"/>
      <c r="N311" s="803"/>
      <c r="O311" s="803"/>
      <c r="P311" s="868"/>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9"/>
      <c r="AQ311" s="803"/>
      <c r="AR311" s="803"/>
      <c r="AS311" s="803"/>
      <c r="AT311" s="803"/>
      <c r="AU311" s="803"/>
      <c r="AV311" s="803"/>
      <c r="AW311" s="803"/>
      <c r="AX311" s="803"/>
      <c r="AY311" s="803"/>
      <c r="AZ311" s="803"/>
      <c r="BA311" s="803"/>
      <c r="BB311" s="803"/>
      <c r="BC311" s="796"/>
      <c r="BD311" s="796"/>
      <c r="BE311" s="803"/>
      <c r="BF311" s="869"/>
      <c r="BG311" s="869"/>
      <c r="BH311" s="796"/>
      <c r="BI311" s="796"/>
      <c r="BJ311" s="796"/>
    </row>
    <row r="312" ht="15.75" customHeight="1">
      <c r="A312" s="1005"/>
      <c r="B312" s="1013" t="s">
        <v>6962</v>
      </c>
      <c r="C312" s="866" t="s">
        <v>3521</v>
      </c>
      <c r="D312" s="803"/>
      <c r="E312" s="788" t="s">
        <v>3521</v>
      </c>
      <c r="F312" s="803"/>
      <c r="G312" s="803"/>
      <c r="H312" s="839"/>
      <c r="I312" s="803"/>
      <c r="J312" s="803"/>
      <c r="K312" s="803"/>
      <c r="L312" s="803"/>
      <c r="M312" s="803"/>
      <c r="N312" s="803"/>
      <c r="O312" s="803"/>
      <c r="P312" s="868"/>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9"/>
      <c r="AQ312" s="803"/>
      <c r="AR312" s="803"/>
      <c r="AS312" s="803"/>
      <c r="AT312" s="803"/>
      <c r="AU312" s="803"/>
      <c r="AV312" s="803"/>
      <c r="AW312" s="803"/>
      <c r="AX312" s="803"/>
      <c r="AY312" s="803"/>
      <c r="AZ312" s="803"/>
      <c r="BA312" s="803"/>
      <c r="BB312" s="803"/>
      <c r="BC312" s="1004"/>
      <c r="BD312" s="1004"/>
      <c r="BE312" s="803"/>
      <c r="BF312" s="869"/>
      <c r="BG312" s="869"/>
      <c r="BH312" s="1004"/>
      <c r="BI312" s="1004"/>
      <c r="BJ312" s="1004"/>
    </row>
    <row r="313" ht="15.75" customHeight="1">
      <c r="A313" s="1005"/>
      <c r="B313" s="1013" t="s">
        <v>6963</v>
      </c>
      <c r="C313" s="866" t="s">
        <v>6964</v>
      </c>
      <c r="D313" s="803"/>
      <c r="E313" s="788" t="s">
        <v>6964</v>
      </c>
      <c r="F313" s="803"/>
      <c r="G313" s="803"/>
      <c r="H313" s="790"/>
      <c r="I313" s="803"/>
      <c r="J313" s="803"/>
      <c r="K313" s="803"/>
      <c r="L313" s="803"/>
      <c r="M313" s="803"/>
      <c r="N313" s="803"/>
      <c r="O313" s="803"/>
      <c r="P313" s="868"/>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9"/>
      <c r="AQ313" s="803"/>
      <c r="AR313" s="803"/>
      <c r="AS313" s="803"/>
      <c r="AT313" s="803"/>
      <c r="AU313" s="803"/>
      <c r="AV313" s="803"/>
      <c r="AW313" s="803"/>
      <c r="AX313" s="803"/>
      <c r="AY313" s="803"/>
      <c r="AZ313" s="803"/>
      <c r="BA313" s="803"/>
      <c r="BB313" s="803"/>
      <c r="BC313" s="796"/>
      <c r="BD313" s="796"/>
      <c r="BE313" s="803"/>
      <c r="BF313" s="869"/>
      <c r="BG313" s="869"/>
      <c r="BH313" s="796"/>
      <c r="BI313" s="796"/>
      <c r="BJ313" s="796"/>
    </row>
    <row r="314" ht="15.75" customHeight="1">
      <c r="A314" s="1005"/>
      <c r="B314" s="1013" t="s">
        <v>6965</v>
      </c>
      <c r="C314" s="866" t="s">
        <v>1244</v>
      </c>
      <c r="D314" s="803"/>
      <c r="E314" s="788" t="s">
        <v>1244</v>
      </c>
      <c r="F314" s="803"/>
      <c r="G314" s="803"/>
      <c r="H314" s="839"/>
      <c r="I314" s="803"/>
      <c r="J314" s="803"/>
      <c r="K314" s="803"/>
      <c r="L314" s="803"/>
      <c r="M314" s="803"/>
      <c r="N314" s="803"/>
      <c r="O314" s="803"/>
      <c r="P314" s="868"/>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9"/>
      <c r="AQ314" s="803"/>
      <c r="AR314" s="803"/>
      <c r="AS314" s="803"/>
      <c r="AT314" s="803"/>
      <c r="AU314" s="803"/>
      <c r="AV314" s="803"/>
      <c r="AW314" s="803"/>
      <c r="AX314" s="803"/>
      <c r="AY314" s="803"/>
      <c r="AZ314" s="803"/>
      <c r="BA314" s="803"/>
      <c r="BB314" s="803"/>
      <c r="BC314" s="1004"/>
      <c r="BD314" s="1004"/>
      <c r="BE314" s="803"/>
      <c r="BF314" s="869"/>
      <c r="BG314" s="869"/>
      <c r="BH314" s="1004"/>
      <c r="BI314" s="1004"/>
      <c r="BJ314" s="1004"/>
    </row>
    <row r="315" ht="15.75" customHeight="1">
      <c r="A315" s="1005"/>
      <c r="B315" s="1013" t="s">
        <v>6966</v>
      </c>
      <c r="C315" s="866" t="s">
        <v>1179</v>
      </c>
      <c r="D315" s="803"/>
      <c r="E315" s="788" t="s">
        <v>1179</v>
      </c>
      <c r="F315" s="803"/>
      <c r="G315" s="803"/>
      <c r="H315" s="790"/>
      <c r="I315" s="803"/>
      <c r="J315" s="803"/>
      <c r="K315" s="803"/>
      <c r="L315" s="803"/>
      <c r="M315" s="803"/>
      <c r="N315" s="803"/>
      <c r="O315" s="803"/>
      <c r="P315" s="868"/>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9"/>
      <c r="AQ315" s="803"/>
      <c r="AR315" s="803"/>
      <c r="AS315" s="803"/>
      <c r="AT315" s="803"/>
      <c r="AU315" s="803"/>
      <c r="AV315" s="803"/>
      <c r="AW315" s="803"/>
      <c r="AX315" s="803"/>
      <c r="AY315" s="803"/>
      <c r="AZ315" s="803"/>
      <c r="BA315" s="803"/>
      <c r="BB315" s="803"/>
      <c r="BC315" s="796"/>
      <c r="BD315" s="796"/>
      <c r="BE315" s="803"/>
      <c r="BF315" s="869"/>
      <c r="BG315" s="869"/>
      <c r="BH315" s="796"/>
      <c r="BI315" s="796"/>
      <c r="BJ315" s="796"/>
    </row>
    <row r="316" ht="15.75" customHeight="1">
      <c r="A316" s="1005"/>
      <c r="B316" s="1013" t="s">
        <v>6967</v>
      </c>
      <c r="C316" s="866" t="s">
        <v>6968</v>
      </c>
      <c r="D316" s="803"/>
      <c r="E316" s="788" t="s">
        <v>3939</v>
      </c>
      <c r="F316" s="803"/>
      <c r="G316" s="788" t="s">
        <v>6968</v>
      </c>
      <c r="H316" s="1019" t="s">
        <v>1108</v>
      </c>
      <c r="I316" s="803"/>
      <c r="J316" s="803"/>
      <c r="K316" s="803"/>
      <c r="L316" s="803"/>
      <c r="M316" s="803"/>
      <c r="N316" s="803"/>
      <c r="O316" s="803"/>
      <c r="P316" s="868"/>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9"/>
      <c r="AQ316" s="803"/>
      <c r="AR316" s="803"/>
      <c r="AS316" s="803"/>
      <c r="AT316" s="803"/>
      <c r="AU316" s="803"/>
      <c r="AV316" s="803"/>
      <c r="AW316" s="803"/>
      <c r="AX316" s="803"/>
      <c r="AY316" s="803"/>
      <c r="AZ316" s="803"/>
      <c r="BA316" s="803"/>
      <c r="BB316" s="803"/>
      <c r="BC316" s="1004"/>
      <c r="BD316" s="1004"/>
      <c r="BE316" s="803"/>
      <c r="BF316" s="869"/>
      <c r="BG316" s="869"/>
      <c r="BH316" s="1004"/>
      <c r="BI316" s="1004"/>
      <c r="BJ316" s="1004"/>
    </row>
    <row r="317" ht="15.75" customHeight="1">
      <c r="A317" s="1005"/>
      <c r="B317" s="1013" t="s">
        <v>6969</v>
      </c>
      <c r="C317" s="866" t="s">
        <v>6970</v>
      </c>
      <c r="D317" s="873" t="s">
        <v>6971</v>
      </c>
      <c r="E317" s="873"/>
      <c r="F317" s="803"/>
      <c r="G317" s="788" t="s">
        <v>6972</v>
      </c>
      <c r="H317" s="1021" t="str">
        <f>HYPERLINK("https://youtu.be/wR4-nYMM6Xk","10.74")</f>
        <v>10.74</v>
      </c>
      <c r="I317" s="873"/>
      <c r="J317" s="873"/>
      <c r="K317" s="873"/>
      <c r="L317" s="873"/>
      <c r="M317" s="873"/>
      <c r="N317" s="873"/>
      <c r="O317" s="873"/>
      <c r="P317" s="875"/>
      <c r="Q317" s="873"/>
      <c r="R317" s="788" t="s">
        <v>6973</v>
      </c>
      <c r="S317" s="873"/>
      <c r="T317" s="788" t="s">
        <v>6974</v>
      </c>
      <c r="U317" s="873"/>
      <c r="V317" s="873"/>
      <c r="W317" s="873"/>
      <c r="X317" s="788" t="s">
        <v>6970</v>
      </c>
      <c r="Y317" s="873"/>
      <c r="Z317" s="873"/>
      <c r="AA317" s="873"/>
      <c r="AB317" s="873"/>
      <c r="AC317" s="873"/>
      <c r="AD317" s="873"/>
      <c r="AE317" s="873"/>
      <c r="AF317" s="873"/>
      <c r="AG317" s="873"/>
      <c r="AH317" s="873"/>
      <c r="AI317" s="873"/>
      <c r="AJ317" s="873"/>
      <c r="AK317" s="873"/>
      <c r="AL317" s="873"/>
      <c r="AM317" s="873"/>
      <c r="AN317" s="873"/>
      <c r="AO317" s="873"/>
      <c r="AP317" s="869"/>
      <c r="AQ317" s="873"/>
      <c r="AR317" s="873"/>
      <c r="AS317" s="873"/>
      <c r="AT317" s="873"/>
      <c r="AU317" s="873"/>
      <c r="AV317" s="873"/>
      <c r="AW317" s="873"/>
      <c r="AX317" s="873"/>
      <c r="AY317" s="873"/>
      <c r="AZ317" s="873"/>
      <c r="BA317" s="873"/>
      <c r="BB317" s="873"/>
      <c r="BC317" s="796"/>
      <c r="BD317" s="796"/>
      <c r="BE317" s="873"/>
      <c r="BF317" s="869"/>
      <c r="BG317" s="869"/>
      <c r="BH317" s="796"/>
      <c r="BI317" s="796"/>
      <c r="BJ317" s="796"/>
    </row>
    <row r="318" ht="15.75" customHeight="1">
      <c r="A318" s="1002" t="s">
        <v>6975</v>
      </c>
      <c r="B318" s="1011" t="s">
        <v>6358</v>
      </c>
      <c r="C318" s="866" t="s">
        <v>527</v>
      </c>
      <c r="D318" s="877" t="s">
        <v>5441</v>
      </c>
      <c r="E318" s="873"/>
      <c r="F318" s="803"/>
      <c r="G318" s="788" t="s">
        <v>527</v>
      </c>
      <c r="H318" s="1019" t="s">
        <v>6976</v>
      </c>
      <c r="I318" s="873"/>
      <c r="J318" s="788" t="s">
        <v>3977</v>
      </c>
      <c r="K318" s="873"/>
      <c r="L318" s="873"/>
      <c r="M318" s="873"/>
      <c r="N318" s="873"/>
      <c r="O318" s="873"/>
      <c r="P318" s="875"/>
      <c r="Q318" s="873"/>
      <c r="R318" s="873" t="s">
        <v>6977</v>
      </c>
      <c r="S318" s="873"/>
      <c r="T318" s="873"/>
      <c r="U318" s="873"/>
      <c r="V318" s="873" t="s">
        <v>6286</v>
      </c>
      <c r="W318" s="873"/>
      <c r="X318" s="873"/>
      <c r="Y318" s="873"/>
      <c r="Z318" s="873"/>
      <c r="AA318" s="873"/>
      <c r="AB318" s="873"/>
      <c r="AC318" s="788" t="s">
        <v>1117</v>
      </c>
      <c r="AD318" s="873"/>
      <c r="AE318" s="873"/>
      <c r="AF318" s="873"/>
      <c r="AG318" s="873"/>
      <c r="AH318" s="873"/>
      <c r="AI318" s="788" t="s">
        <v>784</v>
      </c>
      <c r="AJ318" s="873"/>
      <c r="AK318" s="873"/>
      <c r="AL318" s="873"/>
      <c r="AM318" s="873"/>
      <c r="AN318" s="873"/>
      <c r="AO318" s="873"/>
      <c r="AP318" s="869"/>
      <c r="AQ318" s="873"/>
      <c r="AR318" s="873"/>
      <c r="AS318" s="873"/>
      <c r="AT318" s="873"/>
      <c r="AU318" s="873"/>
      <c r="AV318" s="873"/>
      <c r="AW318" s="873"/>
      <c r="AX318" s="873"/>
      <c r="AY318" s="873"/>
      <c r="AZ318" s="873"/>
      <c r="BA318" s="873"/>
      <c r="BB318" s="873"/>
      <c r="BC318" s="1004"/>
      <c r="BD318" s="1004"/>
      <c r="BE318" s="873"/>
      <c r="BF318" s="869"/>
      <c r="BG318" s="869"/>
      <c r="BH318" s="1004"/>
      <c r="BI318" s="1004"/>
      <c r="BJ318" s="1004"/>
    </row>
    <row r="319" ht="15.75" customHeight="1">
      <c r="A319" s="1002" t="s">
        <v>6978</v>
      </c>
      <c r="B319" s="1011" t="s">
        <v>6979</v>
      </c>
      <c r="C319" s="866" t="s">
        <v>4673</v>
      </c>
      <c r="D319" s="803"/>
      <c r="E319" s="788" t="s">
        <v>4673</v>
      </c>
      <c r="F319" s="803"/>
      <c r="G319" s="803"/>
      <c r="H319" s="790"/>
      <c r="I319" s="803"/>
      <c r="J319" s="803"/>
      <c r="K319" s="803"/>
      <c r="L319" s="803"/>
      <c r="M319" s="803"/>
      <c r="N319" s="803"/>
      <c r="O319" s="803"/>
      <c r="P319" s="868"/>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9"/>
      <c r="AQ319" s="803"/>
      <c r="AR319" s="803"/>
      <c r="AS319" s="803"/>
      <c r="AT319" s="803"/>
      <c r="AU319" s="803"/>
      <c r="AV319" s="803"/>
      <c r="AW319" s="803"/>
      <c r="AX319" s="803"/>
      <c r="AY319" s="803"/>
      <c r="AZ319" s="803"/>
      <c r="BA319" s="803"/>
      <c r="BB319" s="803"/>
      <c r="BC319" s="796"/>
      <c r="BD319" s="796"/>
      <c r="BE319" s="803"/>
      <c r="BF319" s="869"/>
      <c r="BG319" s="869"/>
      <c r="BH319" s="796"/>
      <c r="BI319" s="796"/>
      <c r="BJ319" s="796"/>
    </row>
    <row r="320" ht="15.75" customHeight="1">
      <c r="A320" s="1005"/>
      <c r="B320" s="1013" t="s">
        <v>6980</v>
      </c>
      <c r="C320" s="785" t="s">
        <v>6981</v>
      </c>
      <c r="D320" s="803" t="s">
        <v>1011</v>
      </c>
      <c r="E320" s="788" t="s">
        <v>6982</v>
      </c>
      <c r="F320" s="803"/>
      <c r="G320" s="803"/>
      <c r="H320" s="843" t="s">
        <v>6983</v>
      </c>
      <c r="I320" s="803"/>
      <c r="J320" s="788" t="s">
        <v>6984</v>
      </c>
      <c r="K320" s="803"/>
      <c r="L320" s="803"/>
      <c r="M320" s="803"/>
      <c r="N320" s="803"/>
      <c r="O320" s="803"/>
      <c r="P320" s="868"/>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9"/>
      <c r="BG320" s="869"/>
      <c r="BH320" s="1004"/>
      <c r="BI320" s="1004"/>
      <c r="BJ320" s="1004"/>
    </row>
    <row r="321" ht="15.75" customHeight="1">
      <c r="A321" s="1005"/>
      <c r="B321" s="1013" t="s">
        <v>6985</v>
      </c>
      <c r="C321" s="785" t="s">
        <v>6986</v>
      </c>
      <c r="D321" s="803"/>
      <c r="E321" s="803"/>
      <c r="F321" s="803"/>
      <c r="G321" s="803" t="s">
        <v>6987</v>
      </c>
      <c r="H321" s="811" t="s">
        <v>6988</v>
      </c>
      <c r="I321" s="803"/>
      <c r="J321" s="803"/>
      <c r="K321" s="803"/>
      <c r="L321" s="803"/>
      <c r="M321" s="803"/>
      <c r="N321" s="803"/>
      <c r="O321" s="803"/>
      <c r="P321" s="868"/>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1" t="s">
        <v>6986</v>
      </c>
      <c r="AQ321" s="803"/>
      <c r="AR321" s="803"/>
      <c r="AS321" s="803"/>
      <c r="AT321" s="803"/>
      <c r="AU321" s="803"/>
      <c r="AV321" s="803"/>
      <c r="AW321" s="803"/>
      <c r="AX321" s="803"/>
      <c r="AY321" s="803"/>
      <c r="AZ321" s="803"/>
      <c r="BA321" s="803"/>
      <c r="BB321" s="803"/>
      <c r="BC321" s="796"/>
      <c r="BD321" s="796"/>
      <c r="BE321" s="803"/>
      <c r="BF321" s="869"/>
      <c r="BG321" s="869"/>
      <c r="BH321" s="796"/>
      <c r="BI321" s="796"/>
      <c r="BJ321" s="796"/>
    </row>
    <row r="322" ht="15.75" customHeight="1">
      <c r="A322" s="1002" t="s">
        <v>6989</v>
      </c>
      <c r="B322" s="1003" t="s">
        <v>6990</v>
      </c>
      <c r="C322" s="866" t="s">
        <v>5659</v>
      </c>
      <c r="D322" s="1022"/>
      <c r="E322" s="1022"/>
      <c r="F322" s="803"/>
      <c r="G322" s="788" t="s">
        <v>1297</v>
      </c>
      <c r="H322" s="843" t="s">
        <v>315</v>
      </c>
      <c r="I322" s="1022"/>
      <c r="J322" s="788" t="s">
        <v>5659</v>
      </c>
      <c r="K322" s="1022"/>
      <c r="L322" s="1022"/>
      <c r="M322" s="1022"/>
      <c r="N322" s="1022"/>
      <c r="O322" s="1022"/>
      <c r="P322" s="868"/>
      <c r="Q322" s="1022"/>
      <c r="R322" s="1022"/>
      <c r="S322" s="1022"/>
      <c r="T322" s="1022"/>
      <c r="U322" s="1022"/>
      <c r="V322" s="1022"/>
      <c r="W322" s="1022"/>
      <c r="X322" s="788" t="s">
        <v>4473</v>
      </c>
      <c r="Y322" s="1022"/>
      <c r="Z322" s="1022"/>
      <c r="AA322" s="1022"/>
      <c r="AB322" s="1022"/>
      <c r="AC322" s="1022"/>
      <c r="AD322" s="1022"/>
      <c r="AE322" s="1022"/>
      <c r="AF322" s="1022"/>
      <c r="AG322" s="1022"/>
      <c r="AH322" s="1022"/>
      <c r="AI322" s="1022"/>
      <c r="AJ322" s="1022"/>
      <c r="AK322" s="1022"/>
      <c r="AL322" s="1022"/>
      <c r="AM322" s="1022"/>
      <c r="AN322" s="1022"/>
      <c r="AO322" s="1022"/>
      <c r="AP322" s="869"/>
      <c r="AQ322" s="1022"/>
      <c r="AR322" s="1022"/>
      <c r="AS322" s="1022"/>
      <c r="AT322" s="1022"/>
      <c r="AU322" s="1022"/>
      <c r="AV322" s="1022"/>
      <c r="AW322" s="1022"/>
      <c r="AX322" s="1022"/>
      <c r="AY322" s="1022"/>
      <c r="AZ322" s="1022"/>
      <c r="BA322" s="1022"/>
      <c r="BB322" s="1022"/>
      <c r="BC322" s="1004"/>
      <c r="BD322" s="1004"/>
      <c r="BE322" s="1022"/>
      <c r="BF322" s="869"/>
      <c r="BG322" s="869"/>
      <c r="BH322" s="1004"/>
      <c r="BI322" s="1004"/>
      <c r="BJ322" s="1004"/>
    </row>
    <row r="323" ht="15.75" customHeight="1">
      <c r="A323" s="1005"/>
      <c r="B323" s="1020" t="s">
        <v>6991</v>
      </c>
      <c r="C323" s="866" t="s">
        <v>4606</v>
      </c>
      <c r="D323" s="803"/>
      <c r="E323" s="788" t="s">
        <v>6074</v>
      </c>
      <c r="F323" s="803"/>
      <c r="G323" s="803"/>
      <c r="H323" s="811" t="s">
        <v>897</v>
      </c>
      <c r="I323" s="803"/>
      <c r="J323" s="803"/>
      <c r="K323" s="803"/>
      <c r="L323" s="803"/>
      <c r="M323" s="803"/>
      <c r="N323" s="803"/>
      <c r="O323" s="803"/>
      <c r="P323" s="868"/>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9"/>
      <c r="AQ323" s="803"/>
      <c r="AR323" s="803"/>
      <c r="AS323" s="803"/>
      <c r="AT323" s="803"/>
      <c r="AU323" s="803"/>
      <c r="AV323" s="803"/>
      <c r="AW323" s="803"/>
      <c r="AX323" s="803"/>
      <c r="AY323" s="803"/>
      <c r="AZ323" s="803"/>
      <c r="BA323" s="803"/>
      <c r="BB323" s="803"/>
      <c r="BC323" s="796"/>
      <c r="BD323" s="796"/>
      <c r="BE323" s="803"/>
      <c r="BF323" s="869"/>
      <c r="BG323" s="869"/>
      <c r="BH323" s="796"/>
      <c r="BI323" s="796"/>
      <c r="BJ323" s="796"/>
    </row>
    <row r="324" ht="15.75" customHeight="1">
      <c r="A324" s="1002" t="s">
        <v>6992</v>
      </c>
      <c r="B324" s="1011" t="s">
        <v>6358</v>
      </c>
      <c r="C324" s="866" t="s">
        <v>6993</v>
      </c>
      <c r="D324" s="909"/>
      <c r="E324" s="909"/>
      <c r="F324" s="803"/>
      <c r="G324" s="788" t="s">
        <v>6993</v>
      </c>
      <c r="H324" s="839"/>
      <c r="I324" s="909"/>
      <c r="J324" s="909"/>
      <c r="K324" s="909"/>
      <c r="L324" s="909"/>
      <c r="M324" s="788" t="s">
        <v>6994</v>
      </c>
      <c r="N324" s="909"/>
      <c r="O324" s="909"/>
      <c r="P324" s="868"/>
      <c r="Q324" s="909"/>
      <c r="R324" s="909"/>
      <c r="S324" s="909"/>
      <c r="T324" s="909"/>
      <c r="U324" s="909"/>
      <c r="V324" s="909"/>
      <c r="W324" s="909"/>
      <c r="X324" s="909"/>
      <c r="Y324" s="909"/>
      <c r="Z324" s="909"/>
      <c r="AA324" s="909"/>
      <c r="AB324" s="909"/>
      <c r="AC324" s="909"/>
      <c r="AD324" s="909"/>
      <c r="AE324" s="909"/>
      <c r="AF324" s="909"/>
      <c r="AG324" s="909"/>
      <c r="AH324" s="909"/>
      <c r="AI324" s="909"/>
      <c r="AJ324" s="909"/>
      <c r="AK324" s="909"/>
      <c r="AL324" s="909"/>
      <c r="AM324" s="909"/>
      <c r="AN324" s="909"/>
      <c r="AO324" s="909"/>
      <c r="AP324" s="869"/>
      <c r="AQ324" s="909"/>
      <c r="AR324" s="909"/>
      <c r="AS324" s="909"/>
      <c r="AT324" s="909"/>
      <c r="AU324" s="909"/>
      <c r="AV324" s="909"/>
      <c r="AW324" s="909"/>
      <c r="AX324" s="909"/>
      <c r="AY324" s="909"/>
      <c r="AZ324" s="909"/>
      <c r="BA324" s="909"/>
      <c r="BB324" s="909"/>
      <c r="BC324" s="1004"/>
      <c r="BD324" s="1004"/>
      <c r="BE324" s="909"/>
      <c r="BF324" s="869"/>
      <c r="BG324" s="869"/>
      <c r="BH324" s="1004"/>
      <c r="BI324" s="1004"/>
      <c r="BJ324" s="1004"/>
    </row>
    <row r="325" ht="15.75" customHeight="1">
      <c r="A325" s="1002" t="s">
        <v>6995</v>
      </c>
      <c r="B325" s="1011" t="s">
        <v>6996</v>
      </c>
      <c r="C325" s="866" t="s">
        <v>3284</v>
      </c>
      <c r="D325" s="868"/>
      <c r="E325" s="868"/>
      <c r="F325" s="803"/>
      <c r="G325" s="868"/>
      <c r="H325" s="790"/>
      <c r="I325" s="868"/>
      <c r="J325" s="868"/>
      <c r="K325" s="868"/>
      <c r="L325" s="868"/>
      <c r="M325" s="868"/>
      <c r="N325" s="868"/>
      <c r="O325" s="868"/>
      <c r="P325" s="868"/>
      <c r="Q325" s="868"/>
      <c r="R325" s="868"/>
      <c r="S325" s="868"/>
      <c r="T325" s="868"/>
      <c r="U325" s="868"/>
      <c r="V325" s="868"/>
      <c r="W325" s="868"/>
      <c r="X325" s="868"/>
      <c r="Y325" s="868"/>
      <c r="Z325" s="868"/>
      <c r="AA325" s="868"/>
      <c r="AB325" s="868"/>
      <c r="AC325" s="1023" t="s">
        <v>3284</v>
      </c>
      <c r="AD325" s="868"/>
      <c r="AE325" s="868"/>
      <c r="AF325" s="868"/>
      <c r="AG325" s="868"/>
      <c r="AH325" s="868"/>
      <c r="AI325" s="868"/>
      <c r="AJ325" s="868"/>
      <c r="AK325" s="868"/>
      <c r="AL325" s="868"/>
      <c r="AM325" s="868"/>
      <c r="AN325" s="868"/>
      <c r="AO325" s="868"/>
      <c r="AP325" s="904"/>
      <c r="AQ325" s="868"/>
      <c r="AR325" s="868"/>
      <c r="AS325" s="868"/>
      <c r="AT325" s="868"/>
      <c r="AU325" s="868"/>
      <c r="AV325" s="868"/>
      <c r="AW325" s="868"/>
      <c r="AX325" s="868"/>
      <c r="AY325" s="868"/>
      <c r="AZ325" s="868"/>
      <c r="BA325" s="868"/>
      <c r="BB325" s="868"/>
      <c r="BC325" s="796"/>
      <c r="BD325" s="796"/>
      <c r="BE325" s="868"/>
      <c r="BF325" s="904"/>
      <c r="BG325" s="904"/>
      <c r="BH325" s="796"/>
      <c r="BI325" s="796"/>
      <c r="BJ325" s="796"/>
    </row>
    <row r="326" ht="15.75" customHeight="1">
      <c r="A326" s="1012"/>
      <c r="B326" s="1013" t="s">
        <v>6997</v>
      </c>
      <c r="C326" s="866" t="s">
        <v>754</v>
      </c>
      <c r="D326" s="868"/>
      <c r="E326" s="868"/>
      <c r="F326" s="803"/>
      <c r="G326" s="788" t="s">
        <v>754</v>
      </c>
      <c r="H326" s="843" t="s">
        <v>6998</v>
      </c>
      <c r="I326" s="868"/>
      <c r="J326" s="868"/>
      <c r="K326" s="868"/>
      <c r="L326" s="868"/>
      <c r="M326" s="868"/>
      <c r="N326" s="868"/>
      <c r="O326" s="788" t="s">
        <v>458</v>
      </c>
      <c r="P326" s="868"/>
      <c r="Q326" s="868"/>
      <c r="R326" s="868"/>
      <c r="S326" s="868"/>
      <c r="T326" s="868"/>
      <c r="U326" s="868"/>
      <c r="V326" s="868"/>
      <c r="W326" s="868" t="s">
        <v>977</v>
      </c>
      <c r="X326" s="1023" t="s">
        <v>6999</v>
      </c>
      <c r="Y326" s="868"/>
      <c r="Z326" s="868"/>
      <c r="AA326" s="868"/>
      <c r="AB326" s="868"/>
      <c r="AC326" s="868"/>
      <c r="AD326" s="868"/>
      <c r="AE326" s="868"/>
      <c r="AF326" s="868"/>
      <c r="AG326" s="868"/>
      <c r="AH326" s="868"/>
      <c r="AI326" s="868"/>
      <c r="AJ326" s="868"/>
      <c r="AK326" s="868"/>
      <c r="AL326" s="868"/>
      <c r="AM326" s="868"/>
      <c r="AN326" s="868"/>
      <c r="AO326" s="868"/>
      <c r="AP326" s="904"/>
      <c r="AQ326" s="868"/>
      <c r="AR326" s="868"/>
      <c r="AS326" s="868"/>
      <c r="AT326" s="868"/>
      <c r="AU326" s="868"/>
      <c r="AV326" s="868"/>
      <c r="AW326" s="868"/>
      <c r="AX326" s="868"/>
      <c r="AY326" s="868"/>
      <c r="AZ326" s="868"/>
      <c r="BA326" s="868"/>
      <c r="BB326" s="868"/>
      <c r="BC326" s="796"/>
      <c r="BD326" s="796"/>
      <c r="BE326" s="868"/>
      <c r="BF326" s="904"/>
      <c r="BG326" s="904"/>
      <c r="BH326" s="796"/>
      <c r="BI326" s="796"/>
      <c r="BJ326" s="796"/>
    </row>
    <row r="327" ht="15.75" customHeight="1">
      <c r="A327" s="1012"/>
      <c r="B327" s="1013" t="s">
        <v>7000</v>
      </c>
      <c r="C327" s="866" t="s">
        <v>754</v>
      </c>
      <c r="D327" s="803"/>
      <c r="E327" s="788" t="s">
        <v>754</v>
      </c>
      <c r="F327" s="803"/>
      <c r="G327" s="803" t="s">
        <v>754</v>
      </c>
      <c r="H327" s="790"/>
      <c r="I327" s="803"/>
      <c r="J327" s="803"/>
      <c r="K327" s="803"/>
      <c r="L327" s="803"/>
      <c r="M327" s="803"/>
      <c r="N327" s="803"/>
      <c r="O327" s="803"/>
      <c r="P327" s="868"/>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4"/>
      <c r="AQ327" s="803"/>
      <c r="AR327" s="803"/>
      <c r="AS327" s="803"/>
      <c r="AT327" s="803"/>
      <c r="AU327" s="803"/>
      <c r="AV327" s="803"/>
      <c r="AW327" s="803"/>
      <c r="AX327" s="803"/>
      <c r="AY327" s="803"/>
      <c r="AZ327" s="803"/>
      <c r="BA327" s="803"/>
      <c r="BB327" s="803"/>
      <c r="BC327" s="1004"/>
      <c r="BD327" s="1004"/>
      <c r="BE327" s="803"/>
      <c r="BF327" s="904"/>
      <c r="BG327" s="904"/>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H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7002</v>
      </c>
      <c r="H2" s="1030" t="s">
        <v>47</v>
      </c>
      <c r="I2" s="1030" t="s">
        <v>48</v>
      </c>
      <c r="J2" s="1030" t="s">
        <v>7003</v>
      </c>
      <c r="K2" s="1030" t="s">
        <v>54</v>
      </c>
      <c r="N2" s="1030" t="s">
        <v>7004</v>
      </c>
      <c r="P2" s="1031"/>
      <c r="Q2" s="1032" t="s">
        <v>47</v>
      </c>
      <c r="R2" s="1032" t="s">
        <v>7005</v>
      </c>
      <c r="S2" s="1032" t="s">
        <v>52</v>
      </c>
      <c r="T2" s="1032" t="s">
        <v>53</v>
      </c>
      <c r="U2" s="1032" t="s">
        <v>54</v>
      </c>
      <c r="V2" s="1032" t="s">
        <v>7006</v>
      </c>
      <c r="W2" s="1031"/>
      <c r="X2" s="1033" t="s">
        <v>47</v>
      </c>
      <c r="Y2" s="1033" t="s">
        <v>48</v>
      </c>
      <c r="Z2" s="1033" t="s">
        <v>49</v>
      </c>
      <c r="AA2" s="1033" t="s">
        <v>50</v>
      </c>
      <c r="AC2" s="1033" t="s">
        <v>52</v>
      </c>
      <c r="AD2" s="1033" t="s">
        <v>53</v>
      </c>
      <c r="AE2" s="1033" t="s">
        <v>54</v>
      </c>
      <c r="AF2" s="1033" t="s">
        <v>6582</v>
      </c>
      <c r="AG2" s="1033" t="s">
        <v>7004</v>
      </c>
      <c r="AI2" s="1031"/>
      <c r="AJ2" s="1034" t="s">
        <v>47</v>
      </c>
      <c r="AK2" s="1034" t="s">
        <v>48</v>
      </c>
      <c r="AM2" s="1034" t="s">
        <v>49</v>
      </c>
      <c r="AP2" s="1034" t="s">
        <v>51</v>
      </c>
      <c r="AR2" s="1034" t="s">
        <v>52</v>
      </c>
      <c r="AV2" s="1034" t="s">
        <v>52</v>
      </c>
      <c r="AW2" s="1034" t="s">
        <v>53</v>
      </c>
      <c r="AX2" s="1034" t="s">
        <v>7006</v>
      </c>
      <c r="AZ2" s="1035"/>
      <c r="BA2" s="1036" t="s">
        <v>47</v>
      </c>
      <c r="BB2" s="1036" t="s">
        <v>52</v>
      </c>
      <c r="BC2" s="1036" t="s">
        <v>53</v>
      </c>
      <c r="BD2" s="1036" t="s">
        <v>54</v>
      </c>
      <c r="BE2" s="1036" t="s">
        <v>7004</v>
      </c>
      <c r="BF2" s="1035"/>
      <c r="BG2" s="1037" t="s">
        <v>47</v>
      </c>
      <c r="BH2" s="1037" t="s">
        <v>48</v>
      </c>
      <c r="BI2" s="1037" t="s">
        <v>50</v>
      </c>
      <c r="BK2" s="1037" t="s">
        <v>52</v>
      </c>
      <c r="BL2" s="1037" t="s">
        <v>7004</v>
      </c>
      <c r="BN2" s="1031"/>
      <c r="BO2" s="1038" t="s">
        <v>49</v>
      </c>
      <c r="BP2" s="1038" t="s">
        <v>50</v>
      </c>
      <c r="BQ2" s="1038" t="s">
        <v>51</v>
      </c>
      <c r="BR2" s="1038" t="s">
        <v>52</v>
      </c>
      <c r="BT2" s="1038" t="s">
        <v>53</v>
      </c>
      <c r="BU2" s="1038" t="s">
        <v>54</v>
      </c>
      <c r="BW2" s="1038" t="s">
        <v>7006</v>
      </c>
      <c r="BX2" s="1035"/>
      <c r="BY2" s="1039" t="s">
        <v>7007</v>
      </c>
      <c r="BZ2" s="1040" t="s">
        <v>75</v>
      </c>
      <c r="CA2" s="1039" t="s">
        <v>80</v>
      </c>
      <c r="CD2" s="1039" t="s">
        <v>77</v>
      </c>
      <c r="CE2" s="1039" t="s">
        <v>7008</v>
      </c>
      <c r="CF2" s="1039" t="s">
        <v>7009</v>
      </c>
      <c r="CG2" s="1041" t="s">
        <v>68</v>
      </c>
      <c r="CH2" s="1039" t="s">
        <v>76</v>
      </c>
      <c r="CI2" s="1039" t="s">
        <v>66</v>
      </c>
      <c r="CJ2" s="1040" t="s">
        <v>78</v>
      </c>
    </row>
    <row r="3" ht="23.25" customHeight="1">
      <c r="J3" s="1042" t="s">
        <v>7010</v>
      </c>
      <c r="K3" s="1042" t="s">
        <v>7011</v>
      </c>
      <c r="L3" s="1043" t="s">
        <v>7012</v>
      </c>
      <c r="M3" s="1043" t="s">
        <v>7013</v>
      </c>
      <c r="N3" s="1043" t="s">
        <v>7014</v>
      </c>
      <c r="O3" s="1042" t="s">
        <v>7015</v>
      </c>
      <c r="P3" s="1031"/>
      <c r="W3" s="1031"/>
      <c r="AA3" s="1044" t="s">
        <v>7016</v>
      </c>
      <c r="AB3" s="1045" t="s">
        <v>91</v>
      </c>
      <c r="AF3" s="1045" t="s">
        <v>7017</v>
      </c>
      <c r="AG3" s="1044" t="s">
        <v>52</v>
      </c>
      <c r="AH3" s="1046" t="s">
        <v>49</v>
      </c>
      <c r="AI3" s="1031"/>
      <c r="AK3" s="1047" t="s">
        <v>7018</v>
      </c>
      <c r="AL3" s="1047" t="s">
        <v>7019</v>
      </c>
      <c r="AM3" s="1048" t="s">
        <v>7014</v>
      </c>
      <c r="AN3" s="1048" t="s">
        <v>7020</v>
      </c>
      <c r="AO3" s="1048" t="s">
        <v>7021</v>
      </c>
      <c r="AP3" s="1048" t="s">
        <v>7014</v>
      </c>
      <c r="AQ3" s="1049" t="s">
        <v>7022</v>
      </c>
      <c r="AR3" s="1048" t="s">
        <v>7023</v>
      </c>
      <c r="AS3" s="1048" t="s">
        <v>7024</v>
      </c>
      <c r="AT3" s="1048" t="s">
        <v>7025</v>
      </c>
      <c r="AU3" s="1048" t="s">
        <v>7026</v>
      </c>
      <c r="AX3" s="1048" t="s">
        <v>7027</v>
      </c>
      <c r="AY3" s="1048" t="s">
        <v>7028</v>
      </c>
      <c r="AZ3" s="1035"/>
      <c r="BF3" s="1050"/>
      <c r="BI3" s="1037" t="s">
        <v>7029</v>
      </c>
      <c r="BJ3" s="1037" t="s">
        <v>7030</v>
      </c>
      <c r="BL3" s="1051" t="s">
        <v>88</v>
      </c>
      <c r="BM3" s="1051" t="s">
        <v>7031</v>
      </c>
      <c r="BN3" s="1031"/>
      <c r="BR3" s="1052" t="s">
        <v>7021</v>
      </c>
      <c r="BS3" s="1052" t="s">
        <v>7032</v>
      </c>
      <c r="BU3" s="1052" t="s">
        <v>7014</v>
      </c>
      <c r="BV3" s="1052" t="s">
        <v>7021</v>
      </c>
      <c r="BX3" s="1035"/>
      <c r="CA3" s="1053" t="s">
        <v>7033</v>
      </c>
      <c r="CB3" s="1053" t="s">
        <v>7034</v>
      </c>
      <c r="CC3" s="1053" t="s">
        <v>7035</v>
      </c>
      <c r="CJ3" s="1053" t="s">
        <v>7036</v>
      </c>
      <c r="CK3" s="1053" t="s">
        <v>7037</v>
      </c>
    </row>
    <row r="4">
      <c r="A4" s="1054" t="s">
        <v>6338</v>
      </c>
      <c r="B4" s="1055" t="s">
        <v>7038</v>
      </c>
      <c r="C4" s="1056" t="s">
        <v>828</v>
      </c>
      <c r="D4" s="1057" t="s">
        <v>1064</v>
      </c>
      <c r="E4" s="1058" t="s">
        <v>828</v>
      </c>
      <c r="F4" s="1059" t="s">
        <v>220</v>
      </c>
      <c r="G4" s="1055" t="s">
        <v>4997</v>
      </c>
      <c r="H4" s="1060"/>
      <c r="I4" s="1061" t="s">
        <v>1326</v>
      </c>
      <c r="J4" s="1061"/>
      <c r="K4" s="1062" t="s">
        <v>7039</v>
      </c>
      <c r="L4" s="1061" t="s">
        <v>7040</v>
      </c>
      <c r="M4" s="1060"/>
      <c r="N4" s="1060"/>
      <c r="O4" s="1063" t="s">
        <v>7041</v>
      </c>
      <c r="P4" s="1064"/>
      <c r="Q4" s="1065" t="s">
        <v>7042</v>
      </c>
      <c r="R4" s="1066"/>
      <c r="S4" s="1066"/>
      <c r="T4" s="1067" t="s">
        <v>6544</v>
      </c>
      <c r="U4" s="1068"/>
      <c r="V4" s="1069" t="s">
        <v>7043</v>
      </c>
      <c r="W4" s="1064"/>
      <c r="X4" s="1070" t="s">
        <v>138</v>
      </c>
      <c r="Y4" s="1070" t="s">
        <v>7044</v>
      </c>
      <c r="Z4" s="1071" t="s">
        <v>4440</v>
      </c>
      <c r="AA4" s="1072" t="s">
        <v>2249</v>
      </c>
      <c r="AB4" s="1072" t="s">
        <v>791</v>
      </c>
      <c r="AC4" s="1073" t="s">
        <v>2807</v>
      </c>
      <c r="AD4" s="1073" t="s">
        <v>1214</v>
      </c>
      <c r="AE4" s="1072" t="s">
        <v>5584</v>
      </c>
      <c r="AF4" s="1074"/>
      <c r="AG4" s="1073" t="s">
        <v>7045</v>
      </c>
      <c r="AH4" s="1075"/>
      <c r="AI4" s="1064"/>
      <c r="AJ4" s="1076"/>
      <c r="AK4" s="1076" t="s">
        <v>4009</v>
      </c>
      <c r="AL4" s="1077"/>
      <c r="AM4" s="1076" t="s">
        <v>2071</v>
      </c>
      <c r="AN4" s="1076"/>
      <c r="AO4" s="1078" t="s">
        <v>2412</v>
      </c>
      <c r="AP4" s="1077"/>
      <c r="AQ4" s="1079" t="s">
        <v>7046</v>
      </c>
      <c r="AR4" s="1076" t="s">
        <v>7047</v>
      </c>
      <c r="AS4" s="1076" t="s">
        <v>7048</v>
      </c>
      <c r="AT4" s="1077"/>
      <c r="AU4" s="1077"/>
      <c r="AV4" s="1077"/>
      <c r="AW4" s="1080" t="s">
        <v>5989</v>
      </c>
      <c r="AX4" s="1081" t="s">
        <v>3728</v>
      </c>
      <c r="AY4" s="1076" t="s">
        <v>7049</v>
      </c>
      <c r="AZ4" s="1064"/>
      <c r="BA4" s="1082"/>
      <c r="BB4" s="1083" t="s">
        <v>7050</v>
      </c>
      <c r="BC4" s="1084" t="s">
        <v>7051</v>
      </c>
      <c r="BD4" s="1082"/>
      <c r="BE4" s="1085" t="s">
        <v>7052</v>
      </c>
      <c r="BF4" s="1064"/>
      <c r="BG4" s="1086" t="s">
        <v>7053</v>
      </c>
      <c r="BH4" s="1087" t="s">
        <v>3352</v>
      </c>
      <c r="BI4" s="1087"/>
      <c r="BJ4" s="1087"/>
      <c r="BK4" s="1088" t="s">
        <v>1969</v>
      </c>
      <c r="BL4" s="1089"/>
      <c r="BM4" s="1087" t="s">
        <v>7054</v>
      </c>
      <c r="BN4" s="1064"/>
      <c r="BO4" s="1090" t="s">
        <v>7055</v>
      </c>
      <c r="BP4" s="1091"/>
      <c r="BQ4" s="1091"/>
      <c r="BR4" s="1092" t="s">
        <v>7056</v>
      </c>
      <c r="BS4" s="1091"/>
      <c r="BT4" s="1093" t="s">
        <v>148</v>
      </c>
      <c r="BU4" s="1091"/>
      <c r="BV4" s="1094" t="s">
        <v>3799</v>
      </c>
      <c r="BW4" s="1093" t="s">
        <v>5941</v>
      </c>
      <c r="BX4" s="1064"/>
      <c r="BY4" s="1095" t="s">
        <v>2677</v>
      </c>
      <c r="BZ4" s="1096" t="s">
        <v>4193</v>
      </c>
      <c r="CA4" s="1097"/>
      <c r="CB4" s="1097"/>
      <c r="CC4" s="1097"/>
      <c r="CD4" s="1096" t="s">
        <v>1307</v>
      </c>
      <c r="CE4" s="1098" t="s">
        <v>4663</v>
      </c>
      <c r="CF4" s="1096" t="s">
        <v>7057</v>
      </c>
      <c r="CG4" s="1097"/>
      <c r="CH4" s="1097"/>
      <c r="CI4" s="1097"/>
      <c r="CJ4" s="1097"/>
      <c r="CK4" s="1097"/>
    </row>
    <row r="5">
      <c r="A5" s="1099" t="s">
        <v>436</v>
      </c>
      <c r="B5" s="1055" t="s">
        <v>7058</v>
      </c>
      <c r="C5" s="1056" t="s">
        <v>438</v>
      </c>
      <c r="D5" s="1057" t="s">
        <v>334</v>
      </c>
      <c r="E5" s="1058" t="s">
        <v>3389</v>
      </c>
      <c r="F5" s="1059" t="s">
        <v>3988</v>
      </c>
      <c r="G5" s="1055" t="s">
        <v>1498</v>
      </c>
      <c r="H5" s="1100" t="s">
        <v>1604</v>
      </c>
      <c r="I5" s="1101" t="s">
        <v>2887</v>
      </c>
      <c r="J5" s="1063" t="s">
        <v>7059</v>
      </c>
      <c r="K5" s="1102" t="s">
        <v>5769</v>
      </c>
      <c r="L5" s="1100" t="s">
        <v>5421</v>
      </c>
      <c r="M5" s="1060"/>
      <c r="N5" s="1060"/>
      <c r="O5" s="1062" t="s">
        <v>7060</v>
      </c>
      <c r="P5" s="1103"/>
      <c r="Q5" s="1104" t="s">
        <v>7061</v>
      </c>
      <c r="R5" s="1104" t="s">
        <v>2678</v>
      </c>
      <c r="S5" s="1066"/>
      <c r="T5" s="1105" t="s">
        <v>231</v>
      </c>
      <c r="U5" s="1106"/>
      <c r="V5" s="1067" t="s">
        <v>7062</v>
      </c>
      <c r="W5" s="1103"/>
      <c r="X5" s="1107" t="s">
        <v>3697</v>
      </c>
      <c r="Y5" s="1107" t="s">
        <v>7063</v>
      </c>
      <c r="Z5" s="1107" t="s">
        <v>2589</v>
      </c>
      <c r="AA5" s="1108" t="s">
        <v>7064</v>
      </c>
      <c r="AB5" s="1070" t="s">
        <v>1342</v>
      </c>
      <c r="AC5" s="1108" t="s">
        <v>1385</v>
      </c>
      <c r="AD5" s="1073" t="s">
        <v>1214</v>
      </c>
      <c r="AE5" s="1073" t="s">
        <v>6446</v>
      </c>
      <c r="AF5" s="1109"/>
      <c r="AG5" s="1110" t="s">
        <v>7065</v>
      </c>
      <c r="AH5" s="1075"/>
      <c r="AI5" s="1111"/>
      <c r="AJ5" s="1076"/>
      <c r="AK5" s="1076" t="s">
        <v>7066</v>
      </c>
      <c r="AL5" s="1077"/>
      <c r="AM5" s="1112" t="s">
        <v>3702</v>
      </c>
      <c r="AN5" s="1113" t="s">
        <v>3359</v>
      </c>
      <c r="AO5" s="1076" t="s">
        <v>7067</v>
      </c>
      <c r="AP5" s="1112" t="s">
        <v>2461</v>
      </c>
      <c r="AQ5" s="1114" t="s">
        <v>7068</v>
      </c>
      <c r="AR5" s="1076" t="s">
        <v>7069</v>
      </c>
      <c r="AS5" s="1077"/>
      <c r="AT5" s="1078" t="s">
        <v>4790</v>
      </c>
      <c r="AU5" s="1077"/>
      <c r="AV5" s="1077"/>
      <c r="AW5" s="1081" t="s">
        <v>4956</v>
      </c>
      <c r="AX5" s="1113" t="s">
        <v>1369</v>
      </c>
      <c r="AY5" s="1077"/>
      <c r="AZ5" s="1064"/>
      <c r="BA5" s="1115"/>
      <c r="BB5" s="1085" t="s">
        <v>7070</v>
      </c>
      <c r="BC5" s="1085" t="s">
        <v>6498</v>
      </c>
      <c r="BD5" s="1115"/>
      <c r="BE5" s="1116" t="s">
        <v>7071</v>
      </c>
      <c r="BF5" s="1064"/>
      <c r="BG5" s="1117" t="s">
        <v>7072</v>
      </c>
      <c r="BH5" s="1086" t="s">
        <v>1371</v>
      </c>
      <c r="BI5" s="1118" t="s">
        <v>5778</v>
      </c>
      <c r="BJ5" s="1119"/>
      <c r="BK5" s="1086" t="s">
        <v>7073</v>
      </c>
      <c r="BL5" s="1089"/>
      <c r="BM5" s="1087" t="s">
        <v>7074</v>
      </c>
      <c r="BN5" s="1103"/>
      <c r="BO5" s="1120" t="s">
        <v>4094</v>
      </c>
      <c r="BP5" s="1092"/>
      <c r="BQ5" s="1121" t="s">
        <v>1763</v>
      </c>
      <c r="BR5" s="1092" t="s">
        <v>7075</v>
      </c>
      <c r="BS5" s="1091"/>
      <c r="BT5" s="1121" t="s">
        <v>2048</v>
      </c>
      <c r="BU5" s="1091"/>
      <c r="BV5" s="1092" t="s">
        <v>7076</v>
      </c>
      <c r="BW5" s="1092" t="s">
        <v>2123</v>
      </c>
      <c r="BX5" s="1103"/>
      <c r="BY5" s="1122" t="s">
        <v>301</v>
      </c>
      <c r="BZ5" s="1096" t="s">
        <v>3354</v>
      </c>
      <c r="CA5" s="1123"/>
      <c r="CB5" s="1123"/>
      <c r="CC5" s="1123"/>
      <c r="CD5" s="1097"/>
      <c r="CE5" s="1097"/>
      <c r="CF5" s="1097"/>
      <c r="CG5" s="1097"/>
      <c r="CH5" s="1097"/>
      <c r="CI5" s="1097"/>
      <c r="CJ5" s="1123"/>
      <c r="CK5" s="1123"/>
    </row>
    <row r="6">
      <c r="A6" s="1054" t="s">
        <v>7077</v>
      </c>
      <c r="B6" s="1055" t="s">
        <v>7078</v>
      </c>
      <c r="C6" s="1056" t="s">
        <v>2692</v>
      </c>
      <c r="D6" s="1057" t="s">
        <v>3389</v>
      </c>
      <c r="E6" s="1058" t="s">
        <v>738</v>
      </c>
      <c r="F6" s="1059" t="s">
        <v>2868</v>
      </c>
      <c r="G6" s="1055" t="s">
        <v>2010</v>
      </c>
      <c r="H6" s="1062" t="s">
        <v>2906</v>
      </c>
      <c r="I6" s="1060"/>
      <c r="J6" s="1101" t="s">
        <v>1949</v>
      </c>
      <c r="K6" s="1124" t="s">
        <v>7079</v>
      </c>
      <c r="L6" s="1101" t="s">
        <v>7080</v>
      </c>
      <c r="M6" s="1125" t="s">
        <v>4786</v>
      </c>
      <c r="N6" s="1060"/>
      <c r="O6" s="1126" t="s">
        <v>7081</v>
      </c>
      <c r="P6" s="1103"/>
      <c r="Q6" s="1105" t="s">
        <v>7082</v>
      </c>
      <c r="R6" s="1069" t="s">
        <v>1646</v>
      </c>
      <c r="S6" s="1065" t="s">
        <v>5040</v>
      </c>
      <c r="T6" s="1065" t="s">
        <v>5539</v>
      </c>
      <c r="U6" s="1065"/>
      <c r="V6" s="1073" t="s">
        <v>7083</v>
      </c>
      <c r="W6" s="1103"/>
      <c r="X6" s="1069" t="s">
        <v>2405</v>
      </c>
      <c r="Y6" s="1073" t="s">
        <v>7084</v>
      </c>
      <c r="Z6" s="1073" t="s">
        <v>7085</v>
      </c>
      <c r="AA6" s="1071" t="s">
        <v>4953</v>
      </c>
      <c r="AB6" s="1071" t="s">
        <v>7086</v>
      </c>
      <c r="AC6" s="1070" t="s">
        <v>2686</v>
      </c>
      <c r="AD6" s="1107" t="s">
        <v>4238</v>
      </c>
      <c r="AE6" s="1107" t="s">
        <v>2522</v>
      </c>
      <c r="AF6" s="1074"/>
      <c r="AG6" s="1071" t="s">
        <v>7087</v>
      </c>
      <c r="AH6" s="1075"/>
      <c r="AI6" s="1111"/>
      <c r="AJ6" s="1076"/>
      <c r="AK6" s="1077"/>
      <c r="AL6" s="1077"/>
      <c r="AM6" s="1113" t="s">
        <v>1205</v>
      </c>
      <c r="AN6" s="1076"/>
      <c r="AO6" s="1077"/>
      <c r="AP6" s="1078" t="s">
        <v>835</v>
      </c>
      <c r="AQ6" s="1077"/>
      <c r="AR6" s="1077"/>
      <c r="AS6" s="1077"/>
      <c r="AT6" s="1112"/>
      <c r="AU6" s="1077"/>
      <c r="AV6" s="1077"/>
      <c r="AW6" s="1081" t="s">
        <v>4669</v>
      </c>
      <c r="AX6" s="1078" t="s">
        <v>1672</v>
      </c>
      <c r="AY6" s="1078" t="s">
        <v>2157</v>
      </c>
      <c r="AZ6" s="1064"/>
      <c r="BA6" s="1078" t="s">
        <v>7088</v>
      </c>
      <c r="BB6" s="1084" t="s">
        <v>7089</v>
      </c>
      <c r="BC6" s="1127" t="s">
        <v>293</v>
      </c>
      <c r="BD6" s="1083" t="s">
        <v>4243</v>
      </c>
      <c r="BE6" s="1128" t="s">
        <v>7090</v>
      </c>
      <c r="BF6" s="1064"/>
      <c r="BG6" s="1086" t="s">
        <v>7091</v>
      </c>
      <c r="BH6" s="1086" t="s">
        <v>691</v>
      </c>
      <c r="BI6" s="1129" t="s">
        <v>7092</v>
      </c>
      <c r="BJ6" s="1129" t="s">
        <v>7093</v>
      </c>
      <c r="BK6" s="1130" t="s">
        <v>7094</v>
      </c>
      <c r="BL6" s="1089"/>
      <c r="BM6" s="1131" t="s">
        <v>7095</v>
      </c>
      <c r="BN6" s="1111"/>
      <c r="BO6" s="1092"/>
      <c r="BP6" s="1132"/>
      <c r="BQ6" s="1091"/>
      <c r="BR6" s="1092" t="s">
        <v>2682</v>
      </c>
      <c r="BS6" s="1091"/>
      <c r="BT6" s="1093" t="s">
        <v>5345</v>
      </c>
      <c r="BU6" s="1094" t="s">
        <v>2791</v>
      </c>
      <c r="BV6" s="1092"/>
      <c r="BW6" s="1093" t="s">
        <v>7096</v>
      </c>
      <c r="BX6" s="1103"/>
      <c r="BY6" s="1133" t="s">
        <v>3222</v>
      </c>
      <c r="BZ6" s="1134" t="s">
        <v>7097</v>
      </c>
      <c r="CA6" s="1135" t="s">
        <v>7098</v>
      </c>
      <c r="CB6" s="1123"/>
      <c r="CC6" s="1136"/>
      <c r="CD6" s="1135" t="s">
        <v>7099</v>
      </c>
      <c r="CE6" s="1137" t="s">
        <v>7100</v>
      </c>
      <c r="CF6" s="1135" t="s">
        <v>7101</v>
      </c>
      <c r="CG6" s="1122" t="s">
        <v>5077</v>
      </c>
      <c r="CH6" s="1095" t="s">
        <v>7102</v>
      </c>
      <c r="CI6" s="1097"/>
      <c r="CJ6" s="1135" t="s">
        <v>2167</v>
      </c>
      <c r="CK6" s="1135" t="s">
        <v>3809</v>
      </c>
    </row>
    <row r="7">
      <c r="A7" s="1138" t="s">
        <v>1551</v>
      </c>
      <c r="B7" s="1055" t="s">
        <v>7103</v>
      </c>
      <c r="C7" s="1056" t="s">
        <v>828</v>
      </c>
      <c r="D7" s="1057" t="s">
        <v>334</v>
      </c>
      <c r="E7" s="1058" t="s">
        <v>1064</v>
      </c>
      <c r="F7" s="1059" t="s">
        <v>2762</v>
      </c>
      <c r="G7" s="1055" t="s">
        <v>5699</v>
      </c>
      <c r="H7" s="1100" t="s">
        <v>1361</v>
      </c>
      <c r="I7" s="1125" t="s">
        <v>7104</v>
      </c>
      <c r="J7" s="1060"/>
      <c r="K7" s="1061" t="s">
        <v>7105</v>
      </c>
      <c r="L7" s="1125" t="s">
        <v>7106</v>
      </c>
      <c r="M7" s="1060"/>
      <c r="N7" s="1062" t="s">
        <v>7107</v>
      </c>
      <c r="O7" s="1060"/>
      <c r="P7" s="1103"/>
      <c r="Q7" s="1065" t="s">
        <v>4148</v>
      </c>
      <c r="R7" s="1105" t="s">
        <v>3057</v>
      </c>
      <c r="S7" s="1106" t="s">
        <v>5752</v>
      </c>
      <c r="T7" s="1139" t="s">
        <v>5279</v>
      </c>
      <c r="U7" s="1139" t="s">
        <v>7108</v>
      </c>
      <c r="V7" s="1104" t="s">
        <v>7109</v>
      </c>
      <c r="W7" s="1103"/>
      <c r="X7" s="1108" t="s">
        <v>839</v>
      </c>
      <c r="Y7" s="1108" t="s">
        <v>7110</v>
      </c>
      <c r="Z7" s="1107" t="s">
        <v>6561</v>
      </c>
      <c r="AA7" s="1140" t="s">
        <v>4828</v>
      </c>
      <c r="AB7" s="1070" t="s">
        <v>4881</v>
      </c>
      <c r="AC7" s="1070" t="s">
        <v>5001</v>
      </c>
      <c r="AD7" s="1108" t="s">
        <v>4886</v>
      </c>
      <c r="AE7" s="1070" t="s">
        <v>6414</v>
      </c>
      <c r="AF7" s="1070"/>
      <c r="AG7" s="1141"/>
      <c r="AH7" s="1142" t="s">
        <v>7111</v>
      </c>
      <c r="AI7" s="1103"/>
      <c r="AJ7" s="1076"/>
      <c r="AK7" s="1076" t="s">
        <v>7112</v>
      </c>
      <c r="AL7" s="1076" t="s">
        <v>5464</v>
      </c>
      <c r="AM7" s="1076" t="s">
        <v>557</v>
      </c>
      <c r="AN7" s="1081" t="s">
        <v>7113</v>
      </c>
      <c r="AO7" s="1077"/>
      <c r="AP7" s="1081" t="s">
        <v>7114</v>
      </c>
      <c r="AQ7" s="1143" t="s">
        <v>5035</v>
      </c>
      <c r="AR7" s="1076" t="s">
        <v>7115</v>
      </c>
      <c r="AS7" s="1113" t="s">
        <v>7116</v>
      </c>
      <c r="AT7" s="1112"/>
      <c r="AU7" s="1076" t="s">
        <v>7117</v>
      </c>
      <c r="AV7" s="1077"/>
      <c r="AW7" s="1076" t="s">
        <v>471</v>
      </c>
      <c r="AX7" s="1081" t="s">
        <v>7118</v>
      </c>
      <c r="AY7" s="1113" t="s">
        <v>1926</v>
      </c>
      <c r="AZ7" s="1064"/>
      <c r="BA7" s="1128" t="s">
        <v>7119</v>
      </c>
      <c r="BB7" s="1084" t="s">
        <v>7120</v>
      </c>
      <c r="BC7" s="1144" t="s">
        <v>3370</v>
      </c>
      <c r="BD7" s="1115"/>
      <c r="BE7" s="1116" t="s">
        <v>7121</v>
      </c>
      <c r="BF7" s="1064"/>
      <c r="BG7" s="1117" t="s">
        <v>7072</v>
      </c>
      <c r="BH7" s="1086" t="s">
        <v>7122</v>
      </c>
      <c r="BI7" s="1087" t="s">
        <v>769</v>
      </c>
      <c r="BJ7" s="1145"/>
      <c r="BK7" s="1086" t="s">
        <v>7123</v>
      </c>
      <c r="BL7" s="1088" t="s">
        <v>7124</v>
      </c>
      <c r="BM7" s="1146" t="s">
        <v>7125</v>
      </c>
      <c r="BN7" s="1103"/>
      <c r="BO7" s="1092" t="s">
        <v>7126</v>
      </c>
      <c r="BP7" s="1132"/>
      <c r="BQ7" s="1092" t="s">
        <v>6772</v>
      </c>
      <c r="BR7" s="1147" t="s">
        <v>7127</v>
      </c>
      <c r="BS7" s="1094" t="s">
        <v>7128</v>
      </c>
      <c r="BT7" s="1092" t="s">
        <v>6578</v>
      </c>
      <c r="BU7" s="1147" t="s">
        <v>7119</v>
      </c>
      <c r="BV7" s="1093" t="s">
        <v>7129</v>
      </c>
      <c r="BW7" s="1121" t="s">
        <v>7130</v>
      </c>
      <c r="BX7" s="1103"/>
      <c r="BY7" s="1096" t="s">
        <v>7131</v>
      </c>
      <c r="BZ7" s="1096" t="s">
        <v>2540</v>
      </c>
      <c r="CA7" s="1123"/>
      <c r="CB7" s="1148" t="s">
        <v>2429</v>
      </c>
      <c r="CC7" s="1148"/>
      <c r="CD7" s="1096" t="s">
        <v>2780</v>
      </c>
      <c r="CE7" s="1149" t="s">
        <v>7132</v>
      </c>
      <c r="CF7" s="1149" t="s">
        <v>7133</v>
      </c>
      <c r="CG7" s="1133" t="s">
        <v>7134</v>
      </c>
      <c r="CH7" s="1135" t="s">
        <v>7135</v>
      </c>
      <c r="CI7" s="1135" t="s">
        <v>3499</v>
      </c>
      <c r="CJ7" s="1133" t="s">
        <v>4963</v>
      </c>
      <c r="CK7" s="1123"/>
    </row>
    <row r="8">
      <c r="A8" s="1150" t="s">
        <v>7136</v>
      </c>
      <c r="B8" s="1151" t="s">
        <v>7137</v>
      </c>
      <c r="C8" s="1056" t="s">
        <v>828</v>
      </c>
      <c r="D8" s="1057" t="s">
        <v>3389</v>
      </c>
      <c r="E8" s="1058" t="s">
        <v>914</v>
      </c>
      <c r="F8" s="1059" t="s">
        <v>7138</v>
      </c>
      <c r="G8" s="1055" t="s">
        <v>2821</v>
      </c>
      <c r="H8" s="1152" t="s">
        <v>6841</v>
      </c>
      <c r="I8" s="1100" t="s">
        <v>7139</v>
      </c>
      <c r="J8" s="1152" t="s">
        <v>3576</v>
      </c>
      <c r="K8" s="1100" t="s">
        <v>7140</v>
      </c>
      <c r="L8" s="1153" t="s">
        <v>1949</v>
      </c>
      <c r="M8" s="1101" t="s">
        <v>7141</v>
      </c>
      <c r="N8" s="1100" t="s">
        <v>7142</v>
      </c>
      <c r="O8" s="1100" t="s">
        <v>7143</v>
      </c>
      <c r="P8" s="1103"/>
      <c r="Q8" s="1069" t="s">
        <v>7144</v>
      </c>
      <c r="R8" s="1069" t="s">
        <v>2086</v>
      </c>
      <c r="S8" s="1067" t="s">
        <v>725</v>
      </c>
      <c r="T8" s="1069" t="s">
        <v>5106</v>
      </c>
      <c r="U8" s="1104" t="s">
        <v>7145</v>
      </c>
      <c r="V8" s="1067" t="s">
        <v>7146</v>
      </c>
      <c r="W8" s="1103"/>
      <c r="X8" s="1072" t="s">
        <v>920</v>
      </c>
      <c r="Y8" s="1071" t="s">
        <v>7147</v>
      </c>
      <c r="Z8" s="1107" t="s">
        <v>7148</v>
      </c>
      <c r="AA8" s="1107" t="s">
        <v>7149</v>
      </c>
      <c r="AB8" s="1140" t="s">
        <v>4302</v>
      </c>
      <c r="AC8" s="1107" t="s">
        <v>5621</v>
      </c>
      <c r="AD8" s="1107" t="s">
        <v>2379</v>
      </c>
      <c r="AE8" s="1107" t="s">
        <v>7150</v>
      </c>
      <c r="AF8" s="1074"/>
      <c r="AG8" s="1110" t="s">
        <v>7151</v>
      </c>
      <c r="AH8" s="1154" t="s">
        <v>7152</v>
      </c>
      <c r="AI8" s="1103"/>
      <c r="AJ8" s="1155"/>
      <c r="AK8" s="1113" t="s">
        <v>100</v>
      </c>
      <c r="AL8" s="1114" t="s">
        <v>7153</v>
      </c>
      <c r="AM8" s="1081" t="s">
        <v>2182</v>
      </c>
      <c r="AN8" s="1076" t="s">
        <v>4620</v>
      </c>
      <c r="AO8" s="1076" t="s">
        <v>7154</v>
      </c>
      <c r="AP8" s="1081" t="s">
        <v>7155</v>
      </c>
      <c r="AQ8" s="1076" t="s">
        <v>7156</v>
      </c>
      <c r="AR8" s="1113" t="s">
        <v>7157</v>
      </c>
      <c r="AS8" s="1081" t="s">
        <v>7158</v>
      </c>
      <c r="AT8" s="1114" t="s">
        <v>7159</v>
      </c>
      <c r="AU8" s="1078" t="s">
        <v>7160</v>
      </c>
      <c r="AV8" s="1114" t="s">
        <v>7161</v>
      </c>
      <c r="AW8" s="1081" t="s">
        <v>2828</v>
      </c>
      <c r="AX8" s="1114" t="s">
        <v>2231</v>
      </c>
      <c r="AY8" s="1114" t="s">
        <v>7162</v>
      </c>
      <c r="AZ8" s="1064"/>
      <c r="BA8" s="1085" t="s">
        <v>7163</v>
      </c>
      <c r="BB8" s="1116" t="s">
        <v>7164</v>
      </c>
      <c r="BC8" s="1156" t="s">
        <v>3711</v>
      </c>
      <c r="BD8" s="1157"/>
      <c r="BE8" s="1084" t="s">
        <v>7165</v>
      </c>
      <c r="BF8" s="1064"/>
      <c r="BG8" s="1129" t="s">
        <v>7166</v>
      </c>
      <c r="BH8" s="1158" t="s">
        <v>3371</v>
      </c>
      <c r="BI8" s="1086" t="s">
        <v>607</v>
      </c>
      <c r="BJ8" s="1087" t="s">
        <v>7167</v>
      </c>
      <c r="BK8" s="1086" t="s">
        <v>7168</v>
      </c>
      <c r="BL8" s="1086" t="s">
        <v>7169</v>
      </c>
      <c r="BM8" s="1086" t="s">
        <v>7170</v>
      </c>
      <c r="BN8" s="1103"/>
      <c r="BO8" s="1093" t="s">
        <v>2461</v>
      </c>
      <c r="BP8" s="1094" t="s">
        <v>5638</v>
      </c>
      <c r="BQ8" s="1093" t="s">
        <v>6160</v>
      </c>
      <c r="BR8" s="1093" t="s">
        <v>3972</v>
      </c>
      <c r="BS8" s="1093" t="s">
        <v>815</v>
      </c>
      <c r="BT8" s="1093" t="s">
        <v>1281</v>
      </c>
      <c r="BU8" s="1121" t="s">
        <v>3972</v>
      </c>
      <c r="BV8" s="1120" t="s">
        <v>7171</v>
      </c>
      <c r="BW8" s="1093" t="s">
        <v>7172</v>
      </c>
      <c r="BX8" s="1103"/>
      <c r="BY8" s="1122" t="s">
        <v>7173</v>
      </c>
      <c r="BZ8" s="1133" t="s">
        <v>5137</v>
      </c>
      <c r="CA8" s="1149" t="s">
        <v>2338</v>
      </c>
      <c r="CB8" s="1133" t="s">
        <v>3409</v>
      </c>
      <c r="CC8" s="1133"/>
      <c r="CD8" s="1159"/>
      <c r="CE8" s="1122" t="s">
        <v>2686</v>
      </c>
      <c r="CF8" s="1122" t="s">
        <v>6797</v>
      </c>
      <c r="CG8" s="1122" t="s">
        <v>7174</v>
      </c>
      <c r="CH8" s="1122" t="s">
        <v>2197</v>
      </c>
      <c r="CI8" s="1149" t="s">
        <v>7175</v>
      </c>
      <c r="CJ8" s="1149" t="s">
        <v>3618</v>
      </c>
      <c r="CK8" s="1133"/>
    </row>
    <row r="9">
      <c r="A9" s="1099" t="s">
        <v>1413</v>
      </c>
      <c r="B9" s="1055" t="s">
        <v>7176</v>
      </c>
      <c r="C9" s="1056" t="s">
        <v>438</v>
      </c>
      <c r="D9" s="1057" t="s">
        <v>543</v>
      </c>
      <c r="E9" s="1058" t="s">
        <v>1064</v>
      </c>
      <c r="F9" s="1059" t="s">
        <v>7177</v>
      </c>
      <c r="G9" s="1055" t="s">
        <v>1724</v>
      </c>
      <c r="H9" s="1060"/>
      <c r="I9" s="1100" t="s">
        <v>7178</v>
      </c>
      <c r="J9" s="1102"/>
      <c r="K9" s="1101" t="s">
        <v>7179</v>
      </c>
      <c r="L9" s="1152" t="s">
        <v>2900</v>
      </c>
      <c r="M9" s="1060"/>
      <c r="N9" s="1060"/>
      <c r="O9" s="1125" t="s">
        <v>7180</v>
      </c>
      <c r="P9" s="1103"/>
      <c r="Q9" s="1069" t="s">
        <v>6638</v>
      </c>
      <c r="R9" s="1066"/>
      <c r="S9" s="1066"/>
      <c r="T9" s="1160" t="s">
        <v>5706</v>
      </c>
      <c r="U9" s="1065"/>
      <c r="V9" s="1139" t="s">
        <v>7181</v>
      </c>
      <c r="W9" s="1103"/>
      <c r="X9" s="1107" t="s">
        <v>586</v>
      </c>
      <c r="Y9" s="1161" t="s">
        <v>6556</v>
      </c>
      <c r="Z9" s="1108" t="s">
        <v>3095</v>
      </c>
      <c r="AA9" s="1108" t="s">
        <v>5455</v>
      </c>
      <c r="AB9" s="1107" t="s">
        <v>2342</v>
      </c>
      <c r="AC9" s="1108" t="s">
        <v>7182</v>
      </c>
      <c r="AD9" s="1162" t="s">
        <v>2443</v>
      </c>
      <c r="AE9" s="1107" t="s">
        <v>652</v>
      </c>
      <c r="AF9" s="1109"/>
      <c r="AG9" s="1072" t="s">
        <v>7183</v>
      </c>
      <c r="AH9" s="1163" t="s">
        <v>7184</v>
      </c>
      <c r="AI9" s="1111"/>
      <c r="AJ9" s="1077"/>
      <c r="AK9" s="1112" t="s">
        <v>7185</v>
      </c>
      <c r="AL9" s="1113" t="s">
        <v>5820</v>
      </c>
      <c r="AM9" s="1081" t="s">
        <v>654</v>
      </c>
      <c r="AN9" s="1164"/>
      <c r="AO9" s="1081" t="s">
        <v>5645</v>
      </c>
      <c r="AP9" s="1112" t="s">
        <v>7186</v>
      </c>
      <c r="AQ9" s="1165" t="s">
        <v>5719</v>
      </c>
      <c r="AR9" s="1077"/>
      <c r="AS9" s="1077"/>
      <c r="AT9" s="1112"/>
      <c r="AU9" s="1077"/>
      <c r="AV9" s="1112" t="s">
        <v>7187</v>
      </c>
      <c r="AW9" s="1112" t="s">
        <v>891</v>
      </c>
      <c r="AX9" s="1143" t="s">
        <v>7188</v>
      </c>
      <c r="AY9" s="1143" t="s">
        <v>7189</v>
      </c>
      <c r="AZ9" s="1064"/>
      <c r="BA9" s="1166"/>
      <c r="BB9" s="1167" t="s">
        <v>7190</v>
      </c>
      <c r="BC9" s="1084" t="s">
        <v>5303</v>
      </c>
      <c r="BD9" s="1115"/>
      <c r="BE9" s="1084" t="s">
        <v>7191</v>
      </c>
      <c r="BF9" s="1064"/>
      <c r="BG9" s="1086" t="s">
        <v>7192</v>
      </c>
      <c r="BH9" s="1168" t="s">
        <v>4690</v>
      </c>
      <c r="BI9" s="1089"/>
      <c r="BJ9" s="1145"/>
      <c r="BK9" s="1089"/>
      <c r="BL9" s="1089"/>
      <c r="BM9" s="1169" t="s">
        <v>7193</v>
      </c>
      <c r="BN9" s="1111"/>
      <c r="BO9" s="1093" t="s">
        <v>7194</v>
      </c>
      <c r="BP9" s="1132"/>
      <c r="BQ9" s="1091"/>
      <c r="BR9" s="1094" t="s">
        <v>7195</v>
      </c>
      <c r="BS9" s="1091"/>
      <c r="BT9" s="1132" t="s">
        <v>295</v>
      </c>
      <c r="BU9" s="1091"/>
      <c r="BV9" s="1132" t="s">
        <v>7196</v>
      </c>
      <c r="BW9" s="1093" t="s">
        <v>7197</v>
      </c>
      <c r="BX9" s="1111"/>
      <c r="BY9" s="1170"/>
      <c r="BZ9" s="1149" t="s">
        <v>722</v>
      </c>
      <c r="CA9" s="1123"/>
      <c r="CB9" s="1123"/>
      <c r="CC9" s="1123"/>
      <c r="CD9" s="1133" t="s">
        <v>4375</v>
      </c>
      <c r="CE9" s="1097"/>
      <c r="CF9" s="1133" t="s">
        <v>7198</v>
      </c>
      <c r="CG9" s="1148" t="s">
        <v>2632</v>
      </c>
      <c r="CH9" s="1097"/>
      <c r="CI9" s="1097"/>
      <c r="CJ9" s="1123"/>
      <c r="CK9" s="1123"/>
    </row>
    <row r="10">
      <c r="A10" s="1171" t="s">
        <v>912</v>
      </c>
      <c r="B10" s="1055" t="s">
        <v>7199</v>
      </c>
      <c r="C10" s="1056" t="s">
        <v>333</v>
      </c>
      <c r="D10" s="1057" t="s">
        <v>1064</v>
      </c>
      <c r="E10" s="1058" t="s">
        <v>543</v>
      </c>
      <c r="F10" s="1059" t="s">
        <v>6005</v>
      </c>
      <c r="G10" s="1055" t="s">
        <v>2904</v>
      </c>
      <c r="H10" s="1060"/>
      <c r="I10" s="1152" t="s">
        <v>7200</v>
      </c>
      <c r="J10" s="1061" t="s">
        <v>7201</v>
      </c>
      <c r="K10" s="1061"/>
      <c r="L10" s="1062" t="s">
        <v>7202</v>
      </c>
      <c r="M10" s="1060"/>
      <c r="N10" s="1101" t="s">
        <v>7203</v>
      </c>
      <c r="O10" s="1060"/>
      <c r="P10" s="1103"/>
      <c r="Q10" s="1172" t="s">
        <v>7204</v>
      </c>
      <c r="R10" s="1172" t="s">
        <v>2111</v>
      </c>
      <c r="S10" s="1066"/>
      <c r="T10" s="1066"/>
      <c r="U10" s="1105" t="s">
        <v>7205</v>
      </c>
      <c r="V10" s="1067" t="s">
        <v>7206</v>
      </c>
      <c r="W10" s="1103"/>
      <c r="X10" s="1071" t="s">
        <v>7207</v>
      </c>
      <c r="Y10" s="1070"/>
      <c r="Z10" s="1070" t="s">
        <v>7208</v>
      </c>
      <c r="AA10" s="1173" t="s">
        <v>7209</v>
      </c>
      <c r="AB10" s="1070"/>
      <c r="AC10" s="1070" t="s">
        <v>7210</v>
      </c>
      <c r="AD10" s="1073" t="s">
        <v>1214</v>
      </c>
      <c r="AE10" s="1141"/>
      <c r="AF10" s="1141"/>
      <c r="AG10" s="1070" t="s">
        <v>7211</v>
      </c>
      <c r="AH10" s="1075"/>
      <c r="AI10" s="1103"/>
      <c r="AJ10" s="1077"/>
      <c r="AK10" s="1077"/>
      <c r="AL10" s="1077"/>
      <c r="AM10" s="1078" t="s">
        <v>6019</v>
      </c>
      <c r="AN10" s="1077"/>
      <c r="AO10" s="1113" t="s">
        <v>1983</v>
      </c>
      <c r="AP10" s="1114" t="s">
        <v>7212</v>
      </c>
      <c r="AQ10" s="1078" t="s">
        <v>7213</v>
      </c>
      <c r="AR10" s="1077"/>
      <c r="AS10" s="1077"/>
      <c r="AT10" s="1112"/>
      <c r="AU10" s="1077"/>
      <c r="AV10" s="1077"/>
      <c r="AW10" s="1078" t="s">
        <v>3609</v>
      </c>
      <c r="AX10" s="1077"/>
      <c r="AY10" s="1077"/>
      <c r="AZ10" s="1064"/>
      <c r="BA10" s="1166"/>
      <c r="BB10" s="1166"/>
      <c r="BC10" s="1083" t="s">
        <v>6393</v>
      </c>
      <c r="BD10" s="1115"/>
      <c r="BE10" s="1116" t="s">
        <v>7214</v>
      </c>
      <c r="BF10" s="1064"/>
      <c r="BG10" s="1130" t="s">
        <v>7215</v>
      </c>
      <c r="BH10" s="1130" t="s">
        <v>6930</v>
      </c>
      <c r="BI10" s="1088" t="s">
        <v>325</v>
      </c>
      <c r="BJ10" s="1145"/>
      <c r="BK10" s="1089"/>
      <c r="BL10" s="1089"/>
      <c r="BM10" s="1087" t="s">
        <v>7216</v>
      </c>
      <c r="BN10" s="1103"/>
      <c r="BO10" s="1094" t="s">
        <v>7217</v>
      </c>
      <c r="BP10" s="1132"/>
      <c r="BQ10" s="1092" t="s">
        <v>7218</v>
      </c>
      <c r="BR10" s="1091"/>
      <c r="BS10" s="1091"/>
      <c r="BT10" s="1120" t="s">
        <v>959</v>
      </c>
      <c r="BU10" s="1091"/>
      <c r="BV10" s="1092" t="s">
        <v>3994</v>
      </c>
      <c r="BW10" s="1092" t="s">
        <v>7219</v>
      </c>
      <c r="BX10" s="1103"/>
      <c r="BY10" s="1096" t="s">
        <v>895</v>
      </c>
      <c r="BZ10" s="1135" t="s">
        <v>3627</v>
      </c>
      <c r="CA10" s="1123"/>
      <c r="CB10" s="1123"/>
      <c r="CC10" s="1123"/>
      <c r="CD10" s="1097"/>
      <c r="CE10" s="1097"/>
      <c r="CF10" s="1097"/>
      <c r="CG10" s="1097"/>
      <c r="CH10" s="1097"/>
      <c r="CI10" s="1097"/>
      <c r="CJ10" s="1123"/>
      <c r="CK10" s="1123"/>
    </row>
    <row r="11">
      <c r="A11" s="1099" t="s">
        <v>330</v>
      </c>
      <c r="B11" s="1055" t="s">
        <v>7220</v>
      </c>
      <c r="C11" s="1056" t="s">
        <v>828</v>
      </c>
      <c r="D11" s="1057" t="s">
        <v>3389</v>
      </c>
      <c r="E11" s="1058" t="s">
        <v>332</v>
      </c>
      <c r="F11" s="1059" t="s">
        <v>3680</v>
      </c>
      <c r="G11" s="1055" t="s">
        <v>1498</v>
      </c>
      <c r="H11" s="1174" t="s">
        <v>2754</v>
      </c>
      <c r="I11" s="1062" t="s">
        <v>7221</v>
      </c>
      <c r="J11" s="1062" t="s">
        <v>7222</v>
      </c>
      <c r="K11" s="1152" t="s">
        <v>710</v>
      </c>
      <c r="L11" s="1175" t="s">
        <v>7223</v>
      </c>
      <c r="M11" s="1060"/>
      <c r="N11" s="1060"/>
      <c r="O11" s="1125" t="s">
        <v>7224</v>
      </c>
      <c r="P11" s="1103"/>
      <c r="Q11" s="1069" t="s">
        <v>7225</v>
      </c>
      <c r="R11" s="1066"/>
      <c r="S11" s="1066"/>
      <c r="T11" s="1104" t="s">
        <v>5245</v>
      </c>
      <c r="U11" s="1065"/>
      <c r="V11" s="1139" t="s">
        <v>7226</v>
      </c>
      <c r="W11" s="1103"/>
      <c r="X11" s="1141"/>
      <c r="Y11" s="1108" t="s">
        <v>7227</v>
      </c>
      <c r="Z11" s="1161" t="s">
        <v>7223</v>
      </c>
      <c r="AA11" s="1161" t="s">
        <v>7228</v>
      </c>
      <c r="AB11" s="1073" t="s">
        <v>5070</v>
      </c>
      <c r="AC11" s="1108" t="s">
        <v>2722</v>
      </c>
      <c r="AD11" s="1107" t="s">
        <v>2421</v>
      </c>
      <c r="AE11" s="1071" t="s">
        <v>1248</v>
      </c>
      <c r="AF11" s="1109"/>
      <c r="AG11" s="1161" t="s">
        <v>7229</v>
      </c>
      <c r="AH11" s="1075"/>
      <c r="AI11" s="1103"/>
      <c r="AJ11" s="1176"/>
      <c r="AK11" s="1081" t="s">
        <v>7230</v>
      </c>
      <c r="AL11" s="1077"/>
      <c r="AM11" s="1177"/>
      <c r="AN11" s="1177" t="s">
        <v>6030</v>
      </c>
      <c r="AO11" s="1178" t="s">
        <v>4751</v>
      </c>
      <c r="AP11" s="1179" t="s">
        <v>7231</v>
      </c>
      <c r="AQ11" s="1179" t="s">
        <v>7232</v>
      </c>
      <c r="AR11" s="1180"/>
      <c r="AS11" s="1078" t="s">
        <v>7048</v>
      </c>
      <c r="AT11" s="1181"/>
      <c r="AU11" s="1164"/>
      <c r="AV11" s="1078" t="s">
        <v>7233</v>
      </c>
      <c r="AW11" s="1113" t="s">
        <v>7234</v>
      </c>
      <c r="AX11" s="1143" t="s">
        <v>7235</v>
      </c>
      <c r="AY11" s="1143" t="s">
        <v>7236</v>
      </c>
      <c r="AZ11" s="1064"/>
      <c r="BA11" s="1082"/>
      <c r="BB11" s="1128" t="s">
        <v>7237</v>
      </c>
      <c r="BC11" s="1084" t="s">
        <v>3724</v>
      </c>
      <c r="BD11" s="1115"/>
      <c r="BE11" s="1167" t="s">
        <v>7238</v>
      </c>
      <c r="BF11" s="1064"/>
      <c r="BG11" s="1088" t="s">
        <v>7239</v>
      </c>
      <c r="BH11" s="1117" t="s">
        <v>5375</v>
      </c>
      <c r="BI11" s="1087"/>
      <c r="BJ11" s="1182"/>
      <c r="BK11" s="1182" t="s">
        <v>7240</v>
      </c>
      <c r="BL11" s="1089"/>
      <c r="BM11" s="1182" t="s">
        <v>7241</v>
      </c>
      <c r="BN11" s="1103"/>
      <c r="BO11" s="1121" t="s">
        <v>7242</v>
      </c>
      <c r="BP11" s="1132"/>
      <c r="BQ11" s="1120" t="s">
        <v>692</v>
      </c>
      <c r="BR11" s="1147" t="s">
        <v>7243</v>
      </c>
      <c r="BS11" s="1091"/>
      <c r="BT11" s="1093" t="s">
        <v>4672</v>
      </c>
      <c r="BU11" s="1091"/>
      <c r="BV11" s="1132" t="s">
        <v>7244</v>
      </c>
      <c r="BW11" s="1183" t="s">
        <v>7245</v>
      </c>
      <c r="BX11" s="1111"/>
      <c r="BY11" s="1148" t="s">
        <v>4424</v>
      </c>
      <c r="BZ11" s="1097"/>
      <c r="CA11" s="1184"/>
      <c r="CB11" s="1135" t="s">
        <v>155</v>
      </c>
      <c r="CC11" s="1185"/>
      <c r="CD11" s="1148" t="s">
        <v>1174</v>
      </c>
      <c r="CE11" s="1097"/>
      <c r="CF11" s="1148" t="s">
        <v>7246</v>
      </c>
      <c r="CG11" s="1097"/>
      <c r="CH11" s="1133" t="s">
        <v>4759</v>
      </c>
      <c r="CI11" s="1097"/>
      <c r="CJ11" s="1123"/>
      <c r="CK11" s="1123"/>
    </row>
    <row r="12">
      <c r="A12" s="1054" t="s">
        <v>2398</v>
      </c>
      <c r="B12" s="1055" t="s">
        <v>7247</v>
      </c>
      <c r="C12" s="1056" t="s">
        <v>438</v>
      </c>
      <c r="D12" s="1057" t="s">
        <v>828</v>
      </c>
      <c r="E12" s="1058" t="s">
        <v>1064</v>
      </c>
      <c r="F12" s="1059" t="s">
        <v>2095</v>
      </c>
      <c r="G12" s="1055" t="s">
        <v>2095</v>
      </c>
      <c r="H12" s="1100" t="s">
        <v>1205</v>
      </c>
      <c r="I12" s="1100" t="s">
        <v>7248</v>
      </c>
      <c r="J12" s="1152" t="s">
        <v>3576</v>
      </c>
      <c r="K12" s="1100" t="s">
        <v>1951</v>
      </c>
      <c r="L12" s="1060"/>
      <c r="M12" s="1060"/>
      <c r="N12" s="1060"/>
      <c r="O12" s="1152" t="s">
        <v>7249</v>
      </c>
      <c r="P12" s="1103"/>
      <c r="Q12" s="1069" t="s">
        <v>7250</v>
      </c>
      <c r="R12" s="1066"/>
      <c r="S12" s="1104" t="s">
        <v>7251</v>
      </c>
      <c r="T12" s="1069" t="s">
        <v>5187</v>
      </c>
      <c r="U12" s="1069" t="s">
        <v>7252</v>
      </c>
      <c r="V12" s="1069" t="s">
        <v>7253</v>
      </c>
      <c r="W12" s="1103"/>
      <c r="X12" s="1107" t="s">
        <v>2645</v>
      </c>
      <c r="Y12" s="1072" t="s">
        <v>7254</v>
      </c>
      <c r="Z12" s="1107" t="s">
        <v>7255</v>
      </c>
      <c r="AA12" s="1107" t="s">
        <v>7149</v>
      </c>
      <c r="AB12" s="1107" t="s">
        <v>6121</v>
      </c>
      <c r="AC12" s="1107" t="s">
        <v>7256</v>
      </c>
      <c r="AD12" s="1107" t="s">
        <v>1059</v>
      </c>
      <c r="AE12" s="1107" t="s">
        <v>7257</v>
      </c>
      <c r="AF12" s="1109"/>
      <c r="AG12" s="1107" t="s">
        <v>7258</v>
      </c>
      <c r="AH12" s="1075"/>
      <c r="AI12" s="1103"/>
      <c r="AJ12" s="1176"/>
      <c r="AK12" s="1114" t="s">
        <v>2013</v>
      </c>
      <c r="AL12" s="1077"/>
      <c r="AM12" s="1081" t="s">
        <v>4221</v>
      </c>
      <c r="AN12" s="1077"/>
      <c r="AO12" s="1077"/>
      <c r="AP12" s="1081" t="s">
        <v>3372</v>
      </c>
      <c r="AQ12" s="1077"/>
      <c r="AR12" s="1078" t="s">
        <v>7259</v>
      </c>
      <c r="AS12" s="1081" t="s">
        <v>7260</v>
      </c>
      <c r="AT12" s="1112"/>
      <c r="AU12" s="1113" t="s">
        <v>7261</v>
      </c>
      <c r="AV12" s="1077"/>
      <c r="AW12" s="1081" t="s">
        <v>5338</v>
      </c>
      <c r="AX12" s="1081" t="s">
        <v>4721</v>
      </c>
      <c r="AY12" s="1081" t="s">
        <v>7262</v>
      </c>
      <c r="AZ12" s="1064"/>
      <c r="BA12" s="1084" t="s">
        <v>7263</v>
      </c>
      <c r="BB12" s="1084" t="s">
        <v>7264</v>
      </c>
      <c r="BC12" s="1084" t="s">
        <v>5235</v>
      </c>
      <c r="BD12" s="1115"/>
      <c r="BE12" s="1084" t="s">
        <v>7265</v>
      </c>
      <c r="BF12" s="1064"/>
      <c r="BG12" s="1086" t="s">
        <v>7266</v>
      </c>
      <c r="BH12" s="1086" t="s">
        <v>3201</v>
      </c>
      <c r="BI12" s="1086" t="s">
        <v>2167</v>
      </c>
      <c r="BJ12" s="1186" t="s">
        <v>7267</v>
      </c>
      <c r="BK12" s="1086" t="s">
        <v>3084</v>
      </c>
      <c r="BL12" s="1089"/>
      <c r="BM12" s="1086" t="s">
        <v>7268</v>
      </c>
      <c r="BN12" s="1103"/>
      <c r="BO12" s="1091"/>
      <c r="BP12" s="1132"/>
      <c r="BQ12" s="1093" t="s">
        <v>2560</v>
      </c>
      <c r="BR12" s="1093" t="s">
        <v>7269</v>
      </c>
      <c r="BS12" s="1091"/>
      <c r="BT12" s="1093" t="s">
        <v>171</v>
      </c>
      <c r="BU12" s="1091"/>
      <c r="BV12" s="1093" t="s">
        <v>7270</v>
      </c>
      <c r="BW12" s="1093" t="s">
        <v>5928</v>
      </c>
      <c r="BX12" s="1103"/>
      <c r="BY12" s="1122" t="s">
        <v>7067</v>
      </c>
      <c r="BZ12" s="1122" t="s">
        <v>2649</v>
      </c>
      <c r="CA12" s="1187" t="s">
        <v>7271</v>
      </c>
      <c r="CB12" s="1123"/>
      <c r="CC12" s="1123"/>
      <c r="CD12" s="1133" t="s">
        <v>4375</v>
      </c>
      <c r="CE12" s="1122" t="s">
        <v>7272</v>
      </c>
      <c r="CF12" s="1122" t="s">
        <v>3633</v>
      </c>
      <c r="CG12" s="1149" t="s">
        <v>7273</v>
      </c>
      <c r="CH12" s="1097"/>
      <c r="CI12" s="1133" t="s">
        <v>4715</v>
      </c>
      <c r="CJ12" s="1123"/>
      <c r="CK12" s="1123"/>
    </row>
    <row r="13">
      <c r="A13" s="1054" t="s">
        <v>1945</v>
      </c>
      <c r="B13" s="1055" t="s">
        <v>7274</v>
      </c>
      <c r="C13" s="1056" t="s">
        <v>1415</v>
      </c>
      <c r="D13" s="1057" t="s">
        <v>828</v>
      </c>
      <c r="E13" s="1058" t="s">
        <v>543</v>
      </c>
      <c r="F13" s="1059" t="s">
        <v>2692</v>
      </c>
      <c r="G13" s="1055" t="s">
        <v>7275</v>
      </c>
      <c r="H13" s="1060"/>
      <c r="I13" s="1061" t="s">
        <v>7276</v>
      </c>
      <c r="J13" s="1061"/>
      <c r="K13" s="1100" t="s">
        <v>1695</v>
      </c>
      <c r="L13" s="1061"/>
      <c r="M13" s="1061"/>
      <c r="N13" s="1060"/>
      <c r="O13" s="1100" t="s">
        <v>7277</v>
      </c>
      <c r="P13" s="1103"/>
      <c r="Q13" s="1066"/>
      <c r="R13" s="1068"/>
      <c r="S13" s="1069" t="s">
        <v>7278</v>
      </c>
      <c r="T13" s="1066"/>
      <c r="U13" s="1066"/>
      <c r="V13" s="1069" t="s">
        <v>7279</v>
      </c>
      <c r="W13" s="1103"/>
      <c r="X13" s="1073" t="s">
        <v>1284</v>
      </c>
      <c r="Y13" s="1141"/>
      <c r="Z13" s="1070" t="s">
        <v>7280</v>
      </c>
      <c r="AA13" s="1107" t="s">
        <v>7281</v>
      </c>
      <c r="AB13" s="1070" t="s">
        <v>3574</v>
      </c>
      <c r="AC13" s="1107" t="s">
        <v>1969</v>
      </c>
      <c r="AD13" s="1070" t="s">
        <v>4125</v>
      </c>
      <c r="AE13" s="1070" t="s">
        <v>7282</v>
      </c>
      <c r="AF13" s="1070"/>
      <c r="AG13" s="1107" t="s">
        <v>7283</v>
      </c>
      <c r="AH13" s="1075"/>
      <c r="AI13" s="1103"/>
      <c r="AJ13" s="1077"/>
      <c r="AK13" s="1077"/>
      <c r="AL13" s="1077"/>
      <c r="AM13" s="1114" t="s">
        <v>1417</v>
      </c>
      <c r="AN13" s="1077"/>
      <c r="AO13" s="1077"/>
      <c r="AP13" s="1076" t="s">
        <v>7284</v>
      </c>
      <c r="AQ13" s="1077"/>
      <c r="AR13" s="1077"/>
      <c r="AS13" s="1077"/>
      <c r="AT13" s="1112"/>
      <c r="AU13" s="1077"/>
      <c r="AV13" s="1077"/>
      <c r="AW13" s="1077"/>
      <c r="AX13" s="1081" t="s">
        <v>7285</v>
      </c>
      <c r="AY13" s="1076" t="s">
        <v>7286</v>
      </c>
      <c r="AZ13" s="1064"/>
      <c r="BA13" s="1116"/>
      <c r="BB13" s="1116"/>
      <c r="BC13" s="1084" t="s">
        <v>3296</v>
      </c>
      <c r="BD13" s="1082"/>
      <c r="BE13" s="1116" t="s">
        <v>7287</v>
      </c>
      <c r="BF13" s="1064"/>
      <c r="BG13" s="1087" t="s">
        <v>5916</v>
      </c>
      <c r="BH13" s="1088" t="s">
        <v>7288</v>
      </c>
      <c r="BI13" s="1089"/>
      <c r="BJ13" s="1145"/>
      <c r="BK13" s="1117" t="s">
        <v>7289</v>
      </c>
      <c r="BL13" s="1089"/>
      <c r="BM13" s="1086" t="s">
        <v>7290</v>
      </c>
      <c r="BN13" s="1103"/>
      <c r="BO13" s="1092" t="s">
        <v>7291</v>
      </c>
      <c r="BP13" s="1147"/>
      <c r="BQ13" s="1092"/>
      <c r="BR13" s="1120" t="s">
        <v>7292</v>
      </c>
      <c r="BS13" s="1092"/>
      <c r="BT13" s="1093" t="s">
        <v>1312</v>
      </c>
      <c r="BU13" s="1091"/>
      <c r="BV13" s="1121" t="s">
        <v>7293</v>
      </c>
      <c r="BW13" s="1093" t="s">
        <v>7294</v>
      </c>
      <c r="BX13" s="1103"/>
      <c r="BY13" s="1149" t="s">
        <v>462</v>
      </c>
      <c r="BZ13" s="1097"/>
      <c r="CA13" s="1123"/>
      <c r="CB13" s="1123"/>
      <c r="CC13" s="1123"/>
      <c r="CD13" s="1097"/>
      <c r="CE13" s="1097"/>
      <c r="CF13" s="1096" t="s">
        <v>4608</v>
      </c>
      <c r="CG13" s="1097"/>
      <c r="CH13" s="1097"/>
      <c r="CI13" s="1097"/>
      <c r="CJ13" s="1123"/>
      <c r="CK13" s="1123"/>
    </row>
    <row r="14">
      <c r="A14" s="1054" t="s">
        <v>6327</v>
      </c>
      <c r="B14" s="1055" t="s">
        <v>7295</v>
      </c>
      <c r="C14" s="1056" t="s">
        <v>1415</v>
      </c>
      <c r="D14" s="1057" t="s">
        <v>438</v>
      </c>
      <c r="E14" s="1058" t="s">
        <v>438</v>
      </c>
      <c r="F14" s="1059" t="s">
        <v>5550</v>
      </c>
      <c r="G14" s="1055" t="s">
        <v>1724</v>
      </c>
      <c r="H14" s="1100" t="s">
        <v>2114</v>
      </c>
      <c r="I14" s="1100" t="s">
        <v>7296</v>
      </c>
      <c r="J14" s="1060"/>
      <c r="K14" s="1060"/>
      <c r="L14" s="1100" t="s">
        <v>3157</v>
      </c>
      <c r="M14" s="1060"/>
      <c r="N14" s="1100" t="s">
        <v>7297</v>
      </c>
      <c r="O14" s="1060"/>
      <c r="P14" s="1103"/>
      <c r="Q14" s="1069" t="s">
        <v>244</v>
      </c>
      <c r="R14" s="1066"/>
      <c r="S14" s="1069" t="s">
        <v>7185</v>
      </c>
      <c r="T14" s="1069" t="s">
        <v>3591</v>
      </c>
      <c r="U14" s="1066"/>
      <c r="V14" s="1069" t="s">
        <v>7298</v>
      </c>
      <c r="W14" s="1103"/>
      <c r="X14" s="1107" t="s">
        <v>271</v>
      </c>
      <c r="Y14" s="1107" t="s">
        <v>7299</v>
      </c>
      <c r="Z14" s="1107" t="s">
        <v>2361</v>
      </c>
      <c r="AA14" s="1140" t="s">
        <v>7300</v>
      </c>
      <c r="AB14" s="1107" t="s">
        <v>7301</v>
      </c>
      <c r="AC14" s="1107" t="s">
        <v>1668</v>
      </c>
      <c r="AD14" s="1107" t="s">
        <v>5460</v>
      </c>
      <c r="AE14" s="1107" t="s">
        <v>7302</v>
      </c>
      <c r="AF14" s="1074"/>
      <c r="AG14" s="1070" t="s">
        <v>7303</v>
      </c>
      <c r="AH14" s="1075"/>
      <c r="AI14" s="1103"/>
      <c r="AJ14" s="1155"/>
      <c r="AK14" s="1081" t="s">
        <v>7304</v>
      </c>
      <c r="AL14" s="1081" t="s">
        <v>7305</v>
      </c>
      <c r="AM14" s="1081" t="s">
        <v>1210</v>
      </c>
      <c r="AN14" s="1076"/>
      <c r="AO14" s="1077"/>
      <c r="AP14" s="1081" t="s">
        <v>4005</v>
      </c>
      <c r="AQ14" s="1077"/>
      <c r="AR14" s="1081" t="s">
        <v>7306</v>
      </c>
      <c r="AS14" s="1114" t="s">
        <v>7307</v>
      </c>
      <c r="AT14" s="1113" t="s">
        <v>7308</v>
      </c>
      <c r="AU14" s="1114" t="s">
        <v>7309</v>
      </c>
      <c r="AV14" s="1077"/>
      <c r="AW14" s="1081" t="s">
        <v>370</v>
      </c>
      <c r="AX14" s="1081" t="s">
        <v>7310</v>
      </c>
      <c r="AY14" s="1081" t="s">
        <v>7311</v>
      </c>
      <c r="AZ14" s="1064"/>
      <c r="BA14" s="1166"/>
      <c r="BB14" s="1084" t="s">
        <v>7312</v>
      </c>
      <c r="BC14" s="1084" t="s">
        <v>7313</v>
      </c>
      <c r="BD14" s="1082"/>
      <c r="BE14" s="1084" t="s">
        <v>7314</v>
      </c>
      <c r="BF14" s="1064"/>
      <c r="BG14" s="1087" t="s">
        <v>4019</v>
      </c>
      <c r="BH14" s="1087" t="s">
        <v>4607</v>
      </c>
      <c r="BI14" s="1117" t="s">
        <v>1587</v>
      </c>
      <c r="BJ14" s="1145"/>
      <c r="BK14" s="1087" t="s">
        <v>4342</v>
      </c>
      <c r="BL14" s="1089"/>
      <c r="BM14" s="1087" t="s">
        <v>7315</v>
      </c>
      <c r="BN14" s="1103"/>
      <c r="BO14" s="1093" t="s">
        <v>3330</v>
      </c>
      <c r="BP14" s="1132"/>
      <c r="BQ14" s="1091"/>
      <c r="BR14" s="1091"/>
      <c r="BS14" s="1091"/>
      <c r="BT14" s="1093" t="s">
        <v>934</v>
      </c>
      <c r="BU14" s="1091"/>
      <c r="BV14" s="1092" t="s">
        <v>7316</v>
      </c>
      <c r="BW14" s="1092" t="s">
        <v>7317</v>
      </c>
      <c r="BX14" s="1103"/>
      <c r="BY14" s="1122" t="s">
        <v>1612</v>
      </c>
      <c r="BZ14" s="1096"/>
      <c r="CA14" s="1123"/>
      <c r="CB14" s="1123"/>
      <c r="CC14" s="1123"/>
      <c r="CD14" s="1097"/>
      <c r="CE14" s="1096" t="s">
        <v>7318</v>
      </c>
      <c r="CF14" s="1097"/>
      <c r="CG14" s="1097"/>
      <c r="CH14" s="1097"/>
      <c r="CI14" s="1097"/>
      <c r="CJ14" s="1123"/>
      <c r="CK14" s="1123"/>
    </row>
    <row r="15">
      <c r="A15" s="1188" t="s">
        <v>1722</v>
      </c>
      <c r="B15" s="1055" t="s">
        <v>7319</v>
      </c>
      <c r="C15" s="1056" t="s">
        <v>1415</v>
      </c>
      <c r="D15" s="1057" t="s">
        <v>438</v>
      </c>
      <c r="E15" s="1058" t="s">
        <v>738</v>
      </c>
      <c r="F15" s="1059" t="s">
        <v>987</v>
      </c>
      <c r="G15" s="1055" t="s">
        <v>2218</v>
      </c>
      <c r="H15" s="1100" t="s">
        <v>2347</v>
      </c>
      <c r="I15" s="1189" t="s">
        <v>7320</v>
      </c>
      <c r="J15" s="1061" t="s">
        <v>1367</v>
      </c>
      <c r="K15" s="1061" t="s">
        <v>7321</v>
      </c>
      <c r="L15" s="1061" t="s">
        <v>2137</v>
      </c>
      <c r="M15" s="1060"/>
      <c r="N15" s="1061" t="s">
        <v>7322</v>
      </c>
      <c r="O15" s="1061" t="s">
        <v>7323</v>
      </c>
      <c r="P15" s="1103"/>
      <c r="Q15" s="1065" t="s">
        <v>7324</v>
      </c>
      <c r="R15" s="1065" t="s">
        <v>2397</v>
      </c>
      <c r="S15" s="1065" t="s">
        <v>7325</v>
      </c>
      <c r="T15" s="1065" t="s">
        <v>5612</v>
      </c>
      <c r="U15" s="1065" t="s">
        <v>7326</v>
      </c>
      <c r="V15" s="1065" t="s">
        <v>7327</v>
      </c>
      <c r="W15" s="1103"/>
      <c r="X15" s="1070" t="s">
        <v>3866</v>
      </c>
      <c r="Y15" s="1070" t="s">
        <v>7328</v>
      </c>
      <c r="Z15" s="1108" t="s">
        <v>7329</v>
      </c>
      <c r="AA15" s="1190" t="s">
        <v>7330</v>
      </c>
      <c r="AB15" s="1070" t="s">
        <v>7331</v>
      </c>
      <c r="AC15" s="1070" t="s">
        <v>7332</v>
      </c>
      <c r="AD15" s="1140" t="s">
        <v>1701</v>
      </c>
      <c r="AE15" s="1107" t="s">
        <v>5388</v>
      </c>
      <c r="AF15" s="1070" t="s">
        <v>7333</v>
      </c>
      <c r="AG15" s="1070" t="s">
        <v>7334</v>
      </c>
      <c r="AH15" s="1191" t="s">
        <v>7335</v>
      </c>
      <c r="AI15" s="1103"/>
      <c r="AJ15" s="1155"/>
      <c r="AK15" s="1081" t="s">
        <v>7336</v>
      </c>
      <c r="AL15" s="1076"/>
      <c r="AM15" s="1076" t="s">
        <v>3324</v>
      </c>
      <c r="AN15" s="1081" t="s">
        <v>1640</v>
      </c>
      <c r="AO15" s="1076" t="s">
        <v>2244</v>
      </c>
      <c r="AP15" s="1079" t="s">
        <v>7337</v>
      </c>
      <c r="AQ15" s="1076" t="s">
        <v>7338</v>
      </c>
      <c r="AR15" s="1114" t="s">
        <v>7339</v>
      </c>
      <c r="AS15" s="1076" t="s">
        <v>7340</v>
      </c>
      <c r="AT15" s="1143"/>
      <c r="AU15" s="1076"/>
      <c r="AV15" s="1076"/>
      <c r="AW15" s="1079" t="s">
        <v>305</v>
      </c>
      <c r="AX15" s="1143" t="s">
        <v>7341</v>
      </c>
      <c r="AY15" s="1076" t="s">
        <v>7342</v>
      </c>
      <c r="AZ15" s="1064"/>
      <c r="BA15" s="1116" t="s">
        <v>7343</v>
      </c>
      <c r="BB15" s="1116" t="s">
        <v>7344</v>
      </c>
      <c r="BC15" s="1116" t="s">
        <v>3116</v>
      </c>
      <c r="BD15" s="1116"/>
      <c r="BE15" s="1192" t="s">
        <v>7345</v>
      </c>
      <c r="BF15" s="1064"/>
      <c r="BG15" s="1087" t="s">
        <v>7346</v>
      </c>
      <c r="BH15" s="1087" t="s">
        <v>4823</v>
      </c>
      <c r="BI15" s="1086" t="s">
        <v>2086</v>
      </c>
      <c r="BJ15" s="1130" t="s">
        <v>7347</v>
      </c>
      <c r="BK15" s="1146" t="s">
        <v>7348</v>
      </c>
      <c r="BL15" s="1087"/>
      <c r="BM15" s="1087" t="s">
        <v>7349</v>
      </c>
      <c r="BN15" s="1103"/>
      <c r="BO15" s="1093" t="s">
        <v>7350</v>
      </c>
      <c r="BP15" s="1147"/>
      <c r="BQ15" s="1193" t="s">
        <v>4696</v>
      </c>
      <c r="BR15" s="1092" t="s">
        <v>7351</v>
      </c>
      <c r="BS15" s="1092"/>
      <c r="BT15" s="1194" t="s">
        <v>7352</v>
      </c>
      <c r="BU15" s="1147" t="s">
        <v>4938</v>
      </c>
      <c r="BV15" s="1092" t="s">
        <v>7353</v>
      </c>
      <c r="BW15" s="1092" t="s">
        <v>7354</v>
      </c>
      <c r="BX15" s="1103"/>
      <c r="BY15" s="1096" t="s">
        <v>2515</v>
      </c>
      <c r="BZ15" s="1096" t="s">
        <v>2081</v>
      </c>
      <c r="CA15" s="1123"/>
      <c r="CB15" s="1123"/>
      <c r="CC15" s="1123"/>
      <c r="CD15" s="1096"/>
      <c r="CE15" s="1096" t="s">
        <v>7355</v>
      </c>
      <c r="CF15" s="1096" t="s">
        <v>7356</v>
      </c>
      <c r="CG15" s="1096"/>
      <c r="CH15" s="1149" t="s">
        <v>7357</v>
      </c>
      <c r="CI15" s="1097"/>
      <c r="CJ15" s="1123"/>
      <c r="CK15" s="1123"/>
    </row>
    <row r="16">
      <c r="A16" s="1054" t="s">
        <v>7358</v>
      </c>
      <c r="B16" s="1055" t="s">
        <v>7359</v>
      </c>
      <c r="C16" s="1056" t="s">
        <v>1415</v>
      </c>
      <c r="D16" s="1057" t="s">
        <v>1415</v>
      </c>
      <c r="E16" s="1058" t="s">
        <v>1415</v>
      </c>
      <c r="F16" s="1059" t="s">
        <v>1415</v>
      </c>
      <c r="G16" s="1055" t="s">
        <v>3124</v>
      </c>
      <c r="H16" s="1060"/>
      <c r="I16" s="1125" t="s">
        <v>7360</v>
      </c>
      <c r="J16" s="1061"/>
      <c r="K16" s="1060"/>
      <c r="L16" s="1060"/>
      <c r="M16" s="1060"/>
      <c r="N16" s="1060"/>
      <c r="O16" s="1061" t="s">
        <v>7361</v>
      </c>
      <c r="P16" s="1103"/>
      <c r="Q16" s="1139" t="s">
        <v>1485</v>
      </c>
      <c r="R16" s="1066"/>
      <c r="S16" s="1066"/>
      <c r="T16" s="1139" t="s">
        <v>1119</v>
      </c>
      <c r="U16" s="1065"/>
      <c r="V16" s="1065" t="s">
        <v>7362</v>
      </c>
      <c r="W16" s="1103"/>
      <c r="X16" s="1161" t="s">
        <v>7363</v>
      </c>
      <c r="Y16" s="1070" t="s">
        <v>7364</v>
      </c>
      <c r="Z16" s="1161" t="s">
        <v>7223</v>
      </c>
      <c r="AA16" s="1108" t="s">
        <v>6362</v>
      </c>
      <c r="AB16" s="1108" t="s">
        <v>1647</v>
      </c>
      <c r="AC16" s="1108" t="s">
        <v>3499</v>
      </c>
      <c r="AD16" s="1161" t="s">
        <v>200</v>
      </c>
      <c r="AE16" s="1108" t="s">
        <v>4619</v>
      </c>
      <c r="AF16" s="1070"/>
      <c r="AG16" s="1108" t="s">
        <v>7365</v>
      </c>
      <c r="AH16" s="1075"/>
      <c r="AI16" s="1103"/>
      <c r="AJ16" s="1077"/>
      <c r="AK16" s="1112" t="s">
        <v>5535</v>
      </c>
      <c r="AL16" s="1143" t="s">
        <v>7366</v>
      </c>
      <c r="AM16" s="1112" t="s">
        <v>7367</v>
      </c>
      <c r="AN16" s="1077"/>
      <c r="AO16" s="1143" t="s">
        <v>903</v>
      </c>
      <c r="AP16" s="1112" t="s">
        <v>7368</v>
      </c>
      <c r="AQ16" s="1143" t="s">
        <v>7369</v>
      </c>
      <c r="AR16" s="1143" t="s">
        <v>7370</v>
      </c>
      <c r="AS16" s="1077"/>
      <c r="AT16" s="1112"/>
      <c r="AU16" s="1077"/>
      <c r="AV16" s="1077"/>
      <c r="AW16" s="1112" t="s">
        <v>1250</v>
      </c>
      <c r="AX16" s="1143" t="s">
        <v>7371</v>
      </c>
      <c r="AY16" s="1143" t="s">
        <v>7372</v>
      </c>
      <c r="AZ16" s="1064"/>
      <c r="BA16" s="1116"/>
      <c r="BB16" s="1192" t="s">
        <v>7373</v>
      </c>
      <c r="BC16" s="1166"/>
      <c r="BD16" s="1166"/>
      <c r="BE16" s="1192" t="s">
        <v>7374</v>
      </c>
      <c r="BF16" s="1064"/>
      <c r="BG16" s="1182" t="s">
        <v>7375</v>
      </c>
      <c r="BH16" s="1182" t="s">
        <v>2121</v>
      </c>
      <c r="BI16" s="1089"/>
      <c r="BJ16" s="1145"/>
      <c r="BK16" s="1089"/>
      <c r="BL16" s="1089"/>
      <c r="BM16" s="1087" t="s">
        <v>7376</v>
      </c>
      <c r="BN16" s="1103"/>
      <c r="BO16" s="1147" t="s">
        <v>1953</v>
      </c>
      <c r="BP16" s="1132"/>
      <c r="BQ16" s="1091"/>
      <c r="BR16" s="1147" t="s">
        <v>7377</v>
      </c>
      <c r="BS16" s="1091"/>
      <c r="BT16" s="1147" t="s">
        <v>3002</v>
      </c>
      <c r="BU16" s="1091"/>
      <c r="BV16" s="1147" t="s">
        <v>7378</v>
      </c>
      <c r="BW16" s="1147" t="s">
        <v>7379</v>
      </c>
      <c r="BX16" s="1103"/>
      <c r="BY16" s="1148" t="s">
        <v>3470</v>
      </c>
      <c r="BZ16" s="1097"/>
      <c r="CA16" s="1123"/>
      <c r="CB16" s="1123"/>
      <c r="CC16" s="1123"/>
      <c r="CD16" s="1097"/>
      <c r="CE16" s="1097"/>
      <c r="CF16" s="1097"/>
      <c r="CG16" s="1097"/>
      <c r="CH16" s="1097"/>
      <c r="CI16" s="1097"/>
      <c r="CJ16" s="1123"/>
      <c r="CK16" s="1123"/>
    </row>
    <row r="17">
      <c r="A17" s="1054" t="s">
        <v>7380</v>
      </c>
      <c r="B17" s="1055" t="s">
        <v>7381</v>
      </c>
      <c r="C17" s="1056" t="s">
        <v>1415</v>
      </c>
      <c r="D17" s="1057" t="s">
        <v>1415</v>
      </c>
      <c r="E17" s="1058" t="s">
        <v>1415</v>
      </c>
      <c r="F17" s="1059" t="s">
        <v>334</v>
      </c>
      <c r="G17" s="1055" t="s">
        <v>1881</v>
      </c>
      <c r="H17" s="1060"/>
      <c r="I17" s="1060"/>
      <c r="J17" s="1061" t="s">
        <v>7382</v>
      </c>
      <c r="K17" s="1061" t="s">
        <v>7383</v>
      </c>
      <c r="L17" s="1100" t="s">
        <v>7384</v>
      </c>
      <c r="M17" s="1060"/>
      <c r="N17" s="1125" t="s">
        <v>7385</v>
      </c>
      <c r="O17" s="1061" t="s">
        <v>7386</v>
      </c>
      <c r="P17" s="1103"/>
      <c r="Q17" s="1139" t="s">
        <v>724</v>
      </c>
      <c r="R17" s="1066"/>
      <c r="S17" s="1066"/>
      <c r="T17" s="1066"/>
      <c r="U17" s="1065"/>
      <c r="V17" s="1069" t="s">
        <v>7303</v>
      </c>
      <c r="W17" s="1103"/>
      <c r="X17" s="1141"/>
      <c r="Y17" s="1107" t="s">
        <v>7387</v>
      </c>
      <c r="Z17" s="1108" t="s">
        <v>2427</v>
      </c>
      <c r="AA17" s="1195"/>
      <c r="AB17" s="1141"/>
      <c r="AC17" s="1108" t="s">
        <v>815</v>
      </c>
      <c r="AD17" s="1108" t="s">
        <v>5637</v>
      </c>
      <c r="AE17" s="1108" t="s">
        <v>6650</v>
      </c>
      <c r="AF17" s="1070"/>
      <c r="AG17" s="1108" t="s">
        <v>7388</v>
      </c>
      <c r="AH17" s="1075"/>
      <c r="AI17" s="1103"/>
      <c r="AJ17" s="1076"/>
      <c r="AK17" s="1143" t="s">
        <v>1470</v>
      </c>
      <c r="AL17" s="1077"/>
      <c r="AM17" s="1077"/>
      <c r="AN17" s="1077"/>
      <c r="AO17" s="1077"/>
      <c r="AP17" s="1143" t="s">
        <v>7389</v>
      </c>
      <c r="AQ17" s="1077"/>
      <c r="AR17" s="1077"/>
      <c r="AS17" s="1077"/>
      <c r="AT17" s="1112"/>
      <c r="AU17" s="1077"/>
      <c r="AV17" s="1077"/>
      <c r="AW17" s="1081" t="s">
        <v>5959</v>
      </c>
      <c r="AX17" s="1076" t="s">
        <v>7390</v>
      </c>
      <c r="AY17" s="1076" t="s">
        <v>6065</v>
      </c>
      <c r="AZ17" s="1064"/>
      <c r="BA17" s="1116" t="s">
        <v>7391</v>
      </c>
      <c r="BB17" s="1192" t="s">
        <v>7392</v>
      </c>
      <c r="BC17" s="1084" t="s">
        <v>508</v>
      </c>
      <c r="BD17" s="1082"/>
      <c r="BE17" s="1192" t="s">
        <v>7393</v>
      </c>
      <c r="BF17" s="1064"/>
      <c r="BG17" s="1087" t="s">
        <v>2852</v>
      </c>
      <c r="BH17" s="1182" t="s">
        <v>7394</v>
      </c>
      <c r="BI17" s="1087"/>
      <c r="BJ17" s="1182"/>
      <c r="BK17" s="1089"/>
      <c r="BL17" s="1089"/>
      <c r="BM17" s="1086" t="s">
        <v>7395</v>
      </c>
      <c r="BN17" s="1103"/>
      <c r="BO17" s="1147" t="s">
        <v>3101</v>
      </c>
      <c r="BP17" s="1132"/>
      <c r="BQ17" s="1091"/>
      <c r="BR17" s="1092" t="s">
        <v>7396</v>
      </c>
      <c r="BS17" s="1091"/>
      <c r="BT17" s="1147" t="s">
        <v>2315</v>
      </c>
      <c r="BU17" s="1091"/>
      <c r="BV17" s="1092" t="s">
        <v>250</v>
      </c>
      <c r="BW17" s="1092" t="s">
        <v>1574</v>
      </c>
      <c r="BX17" s="1103"/>
      <c r="BY17" s="1096" t="s">
        <v>4194</v>
      </c>
      <c r="BZ17" s="1122" t="s">
        <v>5862</v>
      </c>
      <c r="CA17" s="1123"/>
      <c r="CB17" s="1123"/>
      <c r="CC17" s="1123"/>
      <c r="CD17" s="1097"/>
      <c r="CE17" s="1096" t="s">
        <v>5750</v>
      </c>
      <c r="CF17" s="1148" t="s">
        <v>7397</v>
      </c>
      <c r="CG17" s="1097"/>
      <c r="CH17" s="1097"/>
      <c r="CI17" s="1096" t="s">
        <v>7398</v>
      </c>
      <c r="CJ17" s="1123"/>
      <c r="CK17" s="1123"/>
    </row>
    <row r="18">
      <c r="A18" s="1054" t="s">
        <v>1879</v>
      </c>
      <c r="B18" s="1055" t="s">
        <v>7399</v>
      </c>
      <c r="C18" s="1056" t="s">
        <v>1415</v>
      </c>
      <c r="D18" s="1057" t="s">
        <v>1415</v>
      </c>
      <c r="E18" s="1058" t="s">
        <v>1415</v>
      </c>
      <c r="F18" s="1059" t="s">
        <v>1415</v>
      </c>
      <c r="G18" s="1055" t="s">
        <v>1881</v>
      </c>
      <c r="H18" s="1060"/>
      <c r="I18" s="1061" t="s">
        <v>2555</v>
      </c>
      <c r="J18" s="1061" t="s">
        <v>3566</v>
      </c>
      <c r="K18" s="1061" t="s">
        <v>7400</v>
      </c>
      <c r="L18" s="1125" t="s">
        <v>7401</v>
      </c>
      <c r="M18" s="1060"/>
      <c r="N18" s="1125" t="s">
        <v>7402</v>
      </c>
      <c r="O18" s="1061" t="s">
        <v>7403</v>
      </c>
      <c r="P18" s="1103"/>
      <c r="Q18" s="1139" t="s">
        <v>3264</v>
      </c>
      <c r="R18" s="1066"/>
      <c r="S18" s="1066"/>
      <c r="T18" s="1139" t="s">
        <v>4957</v>
      </c>
      <c r="U18" s="1065"/>
      <c r="V18" s="1139" t="s">
        <v>7404</v>
      </c>
      <c r="W18" s="1103"/>
      <c r="X18" s="1108" t="s">
        <v>4052</v>
      </c>
      <c r="Y18" s="1108" t="s">
        <v>7405</v>
      </c>
      <c r="Z18" s="1108" t="s">
        <v>7406</v>
      </c>
      <c r="AA18" s="1108" t="s">
        <v>2948</v>
      </c>
      <c r="AB18" s="1108" t="s">
        <v>4657</v>
      </c>
      <c r="AC18" s="1070" t="s">
        <v>1592</v>
      </c>
      <c r="AD18" s="1108" t="s">
        <v>4606</v>
      </c>
      <c r="AE18" s="1108" t="s">
        <v>4801</v>
      </c>
      <c r="AF18" s="1070"/>
      <c r="AG18" s="1070" t="s">
        <v>7407</v>
      </c>
      <c r="AH18" s="1196" t="s">
        <v>7408</v>
      </c>
      <c r="AI18" s="1103"/>
      <c r="AJ18" s="1077"/>
      <c r="AK18" s="1077"/>
      <c r="AL18" s="1077"/>
      <c r="AM18" s="1076" t="s">
        <v>170</v>
      </c>
      <c r="AN18" s="1077"/>
      <c r="AO18" s="1143" t="s">
        <v>4313</v>
      </c>
      <c r="AP18" s="1076" t="s">
        <v>3175</v>
      </c>
      <c r="AQ18" s="1143" t="s">
        <v>7409</v>
      </c>
      <c r="AR18" s="1077"/>
      <c r="AS18" s="1077"/>
      <c r="AT18" s="1112"/>
      <c r="AU18" s="1077"/>
      <c r="AV18" s="1077"/>
      <c r="AW18" s="1143" t="s">
        <v>1009</v>
      </c>
      <c r="AX18" s="1143" t="s">
        <v>4790</v>
      </c>
      <c r="AY18" s="1077"/>
      <c r="AZ18" s="1064"/>
      <c r="BA18" s="1166"/>
      <c r="BB18" s="1166"/>
      <c r="BC18" s="1192" t="s">
        <v>6542</v>
      </c>
      <c r="BD18" s="1116"/>
      <c r="BE18" s="1116" t="s">
        <v>7410</v>
      </c>
      <c r="BF18" s="1064"/>
      <c r="BG18" s="1182" t="s">
        <v>1203</v>
      </c>
      <c r="BH18" s="1182" t="s">
        <v>2121</v>
      </c>
      <c r="BI18" s="1089"/>
      <c r="BJ18" s="1145"/>
      <c r="BK18" s="1087" t="s">
        <v>7411</v>
      </c>
      <c r="BL18" s="1089"/>
      <c r="BM18" s="1182" t="s">
        <v>7412</v>
      </c>
      <c r="BN18" s="1103"/>
      <c r="BO18" s="1147" t="s">
        <v>7413</v>
      </c>
      <c r="BP18" s="1132"/>
      <c r="BQ18" s="1091"/>
      <c r="BR18" s="1091"/>
      <c r="BS18" s="1091"/>
      <c r="BT18" s="1147" t="s">
        <v>3259</v>
      </c>
      <c r="BU18" s="1091"/>
      <c r="BV18" s="1091"/>
      <c r="BW18" s="1132" t="s">
        <v>7414</v>
      </c>
      <c r="BX18" s="1103"/>
      <c r="BY18" s="1096" t="s">
        <v>2913</v>
      </c>
      <c r="BZ18" s="1097"/>
      <c r="CA18" s="1123"/>
      <c r="CB18" s="1123"/>
      <c r="CC18" s="1123"/>
      <c r="CD18" s="1097"/>
      <c r="CE18" s="1097"/>
      <c r="CF18" s="1097"/>
      <c r="CG18" s="1097"/>
      <c r="CH18" s="1097"/>
      <c r="CI18" s="1097"/>
      <c r="CJ18" s="1123"/>
      <c r="CK18" s="1123"/>
    </row>
    <row r="19">
      <c r="A19" s="1054" t="s">
        <v>6336</v>
      </c>
      <c r="B19" s="1055" t="s">
        <v>7415</v>
      </c>
      <c r="C19" s="1056" t="s">
        <v>1415</v>
      </c>
      <c r="D19" s="1057" t="s">
        <v>738</v>
      </c>
      <c r="E19" s="1058" t="s">
        <v>1415</v>
      </c>
      <c r="F19" s="1059" t="s">
        <v>738</v>
      </c>
      <c r="G19" s="1055" t="s">
        <v>7275</v>
      </c>
      <c r="H19" s="1060"/>
      <c r="I19" s="1060"/>
      <c r="J19" s="1061" t="s">
        <v>7416</v>
      </c>
      <c r="K19" s="1061" t="s">
        <v>7417</v>
      </c>
      <c r="L19" s="1060"/>
      <c r="M19" s="1060"/>
      <c r="N19" s="1060"/>
      <c r="O19" s="1125" t="s">
        <v>7418</v>
      </c>
      <c r="P19" s="1103"/>
      <c r="Q19" s="1065" t="s">
        <v>7419</v>
      </c>
      <c r="R19" s="1066"/>
      <c r="S19" s="1065" t="s">
        <v>5752</v>
      </c>
      <c r="T19" s="1065" t="s">
        <v>5088</v>
      </c>
      <c r="U19" s="1065" t="s">
        <v>7420</v>
      </c>
      <c r="V19" s="1139" t="s">
        <v>7421</v>
      </c>
      <c r="W19" s="1103"/>
      <c r="X19" s="1141"/>
      <c r="Y19" s="1141"/>
      <c r="Z19" s="1070" t="s">
        <v>7422</v>
      </c>
      <c r="AA19" s="1195"/>
      <c r="AB19" s="1070" t="s">
        <v>2260</v>
      </c>
      <c r="AC19" s="1108" t="s">
        <v>7423</v>
      </c>
      <c r="AD19" s="1141"/>
      <c r="AE19" s="1141"/>
      <c r="AF19" s="1141"/>
      <c r="AG19" s="1108" t="s">
        <v>7424</v>
      </c>
      <c r="AH19" s="1075"/>
      <c r="AI19" s="1103"/>
      <c r="AJ19" s="1077"/>
      <c r="AK19" s="1077"/>
      <c r="AL19" s="1077"/>
      <c r="AM19" s="1076" t="s">
        <v>1379</v>
      </c>
      <c r="AN19" s="1076"/>
      <c r="AO19" s="1077"/>
      <c r="AP19" s="1077"/>
      <c r="AQ19" s="1077"/>
      <c r="AR19" s="1077"/>
      <c r="AS19" s="1077"/>
      <c r="AT19" s="1112"/>
      <c r="AU19" s="1077"/>
      <c r="AV19" s="1077"/>
      <c r="AW19" s="1076" t="s">
        <v>3865</v>
      </c>
      <c r="AX19" s="1143" t="s">
        <v>7425</v>
      </c>
      <c r="AY19" s="1077"/>
      <c r="AZ19" s="1064"/>
      <c r="BA19" s="1166"/>
      <c r="BB19" s="1116" t="s">
        <v>7426</v>
      </c>
      <c r="BC19" s="1116" t="s">
        <v>3588</v>
      </c>
      <c r="BD19" s="1116"/>
      <c r="BE19" s="1192" t="s">
        <v>7427</v>
      </c>
      <c r="BF19" s="1064"/>
      <c r="BG19" s="1087" t="s">
        <v>710</v>
      </c>
      <c r="BH19" s="1182" t="s">
        <v>4345</v>
      </c>
      <c r="BI19" s="1087" t="s">
        <v>144</v>
      </c>
      <c r="BJ19" s="1087" t="s">
        <v>7428</v>
      </c>
      <c r="BK19" s="1087" t="s">
        <v>7429</v>
      </c>
      <c r="BL19" s="1089"/>
      <c r="BM19" s="1087" t="s">
        <v>7430</v>
      </c>
      <c r="BN19" s="1103"/>
      <c r="BO19" s="1092" t="s">
        <v>4689</v>
      </c>
      <c r="BP19" s="1132"/>
      <c r="BQ19" s="1091"/>
      <c r="BR19" s="1121" t="s">
        <v>7431</v>
      </c>
      <c r="BS19" s="1091"/>
      <c r="BT19" s="1092" t="s">
        <v>2359</v>
      </c>
      <c r="BU19" s="1091"/>
      <c r="BV19" s="1092" t="s">
        <v>7432</v>
      </c>
      <c r="BW19" s="1092" t="s">
        <v>2062</v>
      </c>
      <c r="BX19" s="1103"/>
      <c r="BY19" s="1096" t="s">
        <v>4537</v>
      </c>
      <c r="BZ19" s="1184"/>
      <c r="CA19" s="1123"/>
      <c r="CB19" s="1123"/>
      <c r="CC19" s="1123"/>
      <c r="CD19" s="1097"/>
      <c r="CE19" s="1097"/>
      <c r="CF19" s="1097"/>
      <c r="CG19" s="1097"/>
      <c r="CH19" s="1097"/>
      <c r="CI19" s="1097"/>
      <c r="CJ19" s="1123"/>
      <c r="CK19" s="1123"/>
    </row>
    <row r="20">
      <c r="A20" s="1197" t="s">
        <v>1060</v>
      </c>
      <c r="B20" s="1055" t="s">
        <v>7433</v>
      </c>
      <c r="C20" s="1056" t="s">
        <v>987</v>
      </c>
      <c r="D20" s="1057" t="s">
        <v>438</v>
      </c>
      <c r="E20" s="1058" t="s">
        <v>438</v>
      </c>
      <c r="F20" s="1059" t="s">
        <v>1063</v>
      </c>
      <c r="G20" s="1055" t="s">
        <v>5687</v>
      </c>
      <c r="H20" s="1101" t="s">
        <v>4720</v>
      </c>
      <c r="I20" s="1060"/>
      <c r="J20" s="1060"/>
      <c r="K20" s="1060"/>
      <c r="L20" s="1060"/>
      <c r="M20" s="1060"/>
      <c r="N20" s="1060"/>
      <c r="O20" s="1060"/>
      <c r="P20" s="1103"/>
      <c r="Q20" s="1066"/>
      <c r="R20" s="1067" t="s">
        <v>404</v>
      </c>
      <c r="S20" s="1066"/>
      <c r="T20" s="1172" t="s">
        <v>4770</v>
      </c>
      <c r="U20" s="1172" t="s">
        <v>1187</v>
      </c>
      <c r="V20" s="1066"/>
      <c r="W20" s="1103"/>
      <c r="X20" s="1141"/>
      <c r="Y20" s="1141"/>
      <c r="Z20" s="1072" t="s">
        <v>3167</v>
      </c>
      <c r="AA20" s="1195"/>
      <c r="AB20" s="1141"/>
      <c r="AC20" s="1141"/>
      <c r="AD20" s="1071" t="s">
        <v>1781</v>
      </c>
      <c r="AE20" s="1108" t="s">
        <v>4316</v>
      </c>
      <c r="AF20" s="1070"/>
      <c r="AG20" s="1141"/>
      <c r="AH20" s="1075"/>
      <c r="AI20" s="1103"/>
      <c r="AJ20" s="1077"/>
      <c r="AK20" s="1077"/>
      <c r="AL20" s="1077"/>
      <c r="AM20" s="1077"/>
      <c r="AN20" s="1078" t="s">
        <v>4012</v>
      </c>
      <c r="AO20" s="1077"/>
      <c r="AP20" s="1077"/>
      <c r="AQ20" s="1077"/>
      <c r="AR20" s="1077"/>
      <c r="AS20" s="1077"/>
      <c r="AT20" s="1112"/>
      <c r="AU20" s="1077"/>
      <c r="AV20" s="1077"/>
      <c r="AW20" s="1114" t="s">
        <v>1043</v>
      </c>
      <c r="AX20" s="1077"/>
      <c r="AY20" s="1077"/>
      <c r="AZ20" s="1064"/>
      <c r="BA20" s="1166"/>
      <c r="BB20" s="1116"/>
      <c r="BC20" s="1128" t="s">
        <v>4496</v>
      </c>
      <c r="BD20" s="1082"/>
      <c r="BE20" s="1116"/>
      <c r="BF20" s="1064"/>
      <c r="BG20" s="1089"/>
      <c r="BH20" s="1089"/>
      <c r="BI20" s="1130" t="s">
        <v>7434</v>
      </c>
      <c r="BJ20" s="1145"/>
      <c r="BK20" s="1089"/>
      <c r="BL20" s="1089"/>
      <c r="BM20" s="1089"/>
      <c r="BN20" s="1103"/>
      <c r="BO20" s="1092"/>
      <c r="BP20" s="1132"/>
      <c r="BQ20" s="1094" t="s">
        <v>4958</v>
      </c>
      <c r="BR20" s="1091"/>
      <c r="BS20" s="1091"/>
      <c r="BT20" s="1094" t="s">
        <v>5391</v>
      </c>
      <c r="BU20" s="1091"/>
      <c r="BV20" s="1147" t="s">
        <v>7435</v>
      </c>
      <c r="BW20" s="1120" t="s">
        <v>7436</v>
      </c>
      <c r="BX20" s="1103"/>
      <c r="BY20" s="1135" t="s">
        <v>3407</v>
      </c>
      <c r="BZ20" s="1096"/>
      <c r="CA20" s="1123"/>
      <c r="CB20" s="1123"/>
      <c r="CC20" s="1123"/>
      <c r="CD20" s="1097"/>
      <c r="CE20" s="1097"/>
      <c r="CF20" s="1097"/>
      <c r="CG20" s="1135" t="s">
        <v>7437</v>
      </c>
      <c r="CH20" s="1097"/>
      <c r="CI20" s="1097"/>
      <c r="CJ20" s="1123"/>
      <c r="CK20" s="1123"/>
    </row>
    <row r="21">
      <c r="A21" s="1054" t="s">
        <v>2902</v>
      </c>
      <c r="B21" s="1055" t="s">
        <v>7438</v>
      </c>
      <c r="C21" s="1056" t="s">
        <v>738</v>
      </c>
      <c r="D21" s="1057" t="s">
        <v>1415</v>
      </c>
      <c r="E21" s="1058" t="s">
        <v>1415</v>
      </c>
      <c r="F21" s="1059" t="s">
        <v>738</v>
      </c>
      <c r="G21" s="1055" t="s">
        <v>5083</v>
      </c>
      <c r="H21" s="1060"/>
      <c r="I21" s="1060"/>
      <c r="J21" s="1061" t="s">
        <v>310</v>
      </c>
      <c r="K21" s="1061" t="s">
        <v>7439</v>
      </c>
      <c r="L21" s="1061"/>
      <c r="M21" s="1060"/>
      <c r="N21" s="1060"/>
      <c r="O21" s="1061" t="s">
        <v>7440</v>
      </c>
      <c r="P21" s="1103"/>
      <c r="Q21" s="1065" t="s">
        <v>4846</v>
      </c>
      <c r="R21" s="1065" t="s">
        <v>3779</v>
      </c>
      <c r="S21" s="1065" t="s">
        <v>688</v>
      </c>
      <c r="T21" s="1065" t="s">
        <v>249</v>
      </c>
      <c r="U21" s="1066"/>
      <c r="V21" s="1065" t="s">
        <v>7441</v>
      </c>
      <c r="W21" s="1103"/>
      <c r="X21" s="1070" t="s">
        <v>6204</v>
      </c>
      <c r="Y21" s="1141"/>
      <c r="Z21" s="1070" t="s">
        <v>4859</v>
      </c>
      <c r="AA21" s="1070" t="s">
        <v>7442</v>
      </c>
      <c r="AB21" s="1070" t="s">
        <v>2921</v>
      </c>
      <c r="AC21" s="1070" t="s">
        <v>1668</v>
      </c>
      <c r="AD21" s="1070" t="s">
        <v>6395</v>
      </c>
      <c r="AE21" s="1070" t="s">
        <v>2839</v>
      </c>
      <c r="AF21" s="1070"/>
      <c r="AG21" s="1070" t="s">
        <v>7443</v>
      </c>
      <c r="AH21" s="1198" t="s">
        <v>2924</v>
      </c>
      <c r="AI21" s="1103"/>
      <c r="AJ21" s="1077"/>
      <c r="AK21" s="1077"/>
      <c r="AL21" s="1078" t="s">
        <v>7444</v>
      </c>
      <c r="AM21" s="1076" t="s">
        <v>1818</v>
      </c>
      <c r="AN21" s="1076"/>
      <c r="AO21" s="1077"/>
      <c r="AP21" s="1077"/>
      <c r="AQ21" s="1077"/>
      <c r="AR21" s="1076" t="s">
        <v>7445</v>
      </c>
      <c r="AS21" s="1076"/>
      <c r="AT21" s="1112"/>
      <c r="AU21" s="1076" t="s">
        <v>7446</v>
      </c>
      <c r="AV21" s="1143" t="s">
        <v>7447</v>
      </c>
      <c r="AW21" s="1076" t="s">
        <v>767</v>
      </c>
      <c r="AX21" s="1143" t="s">
        <v>7448</v>
      </c>
      <c r="AY21" s="1076" t="s">
        <v>7449</v>
      </c>
      <c r="AZ21" s="1064"/>
      <c r="BA21" s="1116" t="s">
        <v>7450</v>
      </c>
      <c r="BB21" s="1116" t="s">
        <v>7451</v>
      </c>
      <c r="BC21" s="1166"/>
      <c r="BD21" s="1166"/>
      <c r="BE21" s="1116" t="s">
        <v>7452</v>
      </c>
      <c r="BF21" s="1064"/>
      <c r="BG21" s="1087" t="s">
        <v>5916</v>
      </c>
      <c r="BH21" s="1089"/>
      <c r="BI21" s="1087" t="s">
        <v>473</v>
      </c>
      <c r="BJ21" s="1087" t="s">
        <v>7453</v>
      </c>
      <c r="BK21" s="1087" t="s">
        <v>7454</v>
      </c>
      <c r="BL21" s="1087" t="s">
        <v>7455</v>
      </c>
      <c r="BM21" s="1146" t="s">
        <v>7456</v>
      </c>
      <c r="BN21" s="1103"/>
      <c r="BO21" s="1092" t="s">
        <v>7457</v>
      </c>
      <c r="BP21" s="1092" t="s">
        <v>4168</v>
      </c>
      <c r="BQ21" s="1091"/>
      <c r="BR21" s="1092" t="s">
        <v>7458</v>
      </c>
      <c r="BS21" s="1091"/>
      <c r="BT21" s="1092" t="s">
        <v>2942</v>
      </c>
      <c r="BU21" s="1092" t="s">
        <v>5021</v>
      </c>
      <c r="BV21" s="1092" t="s">
        <v>7459</v>
      </c>
      <c r="BW21" s="1092" t="s">
        <v>7460</v>
      </c>
      <c r="BX21" s="1103"/>
      <c r="BY21" s="1199" t="s">
        <v>3373</v>
      </c>
      <c r="BZ21" s="1096" t="s">
        <v>940</v>
      </c>
      <c r="CA21" s="1123"/>
      <c r="CB21" s="1123"/>
      <c r="CC21" s="1123"/>
      <c r="CD21" s="1097"/>
      <c r="CE21" s="1096" t="s">
        <v>7461</v>
      </c>
      <c r="CF21" s="1096" t="s">
        <v>7462</v>
      </c>
      <c r="CG21" s="1097"/>
      <c r="CH21" s="1097"/>
      <c r="CI21" s="1097"/>
      <c r="CJ21" s="1123"/>
      <c r="CK21" s="1123"/>
    </row>
    <row r="22">
      <c r="A22" s="1054" t="s">
        <v>7463</v>
      </c>
      <c r="B22" s="1055" t="s">
        <v>6182</v>
      </c>
      <c r="C22" s="1056" t="s">
        <v>1415</v>
      </c>
      <c r="D22" s="1057" t="s">
        <v>1415</v>
      </c>
      <c r="E22" s="1058" t="s">
        <v>1415</v>
      </c>
      <c r="F22" s="1059" t="s">
        <v>1064</v>
      </c>
      <c r="G22" s="1055" t="s">
        <v>5687</v>
      </c>
      <c r="H22" s="1060"/>
      <c r="I22" s="1060"/>
      <c r="J22" s="1060"/>
      <c r="K22" s="1060"/>
      <c r="L22" s="1175" t="s">
        <v>7464</v>
      </c>
      <c r="M22" s="1060"/>
      <c r="N22" s="1125" t="s">
        <v>7465</v>
      </c>
      <c r="O22" s="1060"/>
      <c r="P22" s="1103"/>
      <c r="Q22" s="1066"/>
      <c r="R22" s="1066"/>
      <c r="S22" s="1066"/>
      <c r="T22" s="1066"/>
      <c r="U22" s="1065"/>
      <c r="V22" s="1139" t="s">
        <v>7466</v>
      </c>
      <c r="W22" s="1103"/>
      <c r="X22" s="1141"/>
      <c r="Y22" s="1141"/>
      <c r="Z22" s="1161" t="s">
        <v>7467</v>
      </c>
      <c r="AA22" s="1141"/>
      <c r="AB22" s="1141"/>
      <c r="AC22" s="1141"/>
      <c r="AD22" s="1141"/>
      <c r="AE22" s="1200" t="str">
        <f>HYPERLINK("https://youtu.be/0lXotWIeH0g","49.54")</f>
        <v>49.54</v>
      </c>
      <c r="AF22" s="1195"/>
      <c r="AG22" s="1108" t="s">
        <v>7468</v>
      </c>
      <c r="AH22" s="1154" t="s">
        <v>7469</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7470</v>
      </c>
      <c r="AZ22" s="1064"/>
      <c r="BA22" s="1166"/>
      <c r="BB22" s="1166"/>
      <c r="BC22" s="1167" t="s">
        <v>4123</v>
      </c>
      <c r="BD22" s="1166"/>
      <c r="BE22" s="1192" t="s">
        <v>7471</v>
      </c>
      <c r="BF22" s="1064"/>
      <c r="BG22" s="1089"/>
      <c r="BH22" s="1089"/>
      <c r="BI22" s="1089"/>
      <c r="BJ22" s="1145"/>
      <c r="BK22" s="1089"/>
      <c r="BL22" s="1202" t="str">
        <f>HYPERLINK("https://youtu.be/ZWHJWoriERw","3:48.70")</f>
        <v>3:48.70</v>
      </c>
      <c r="BM22" s="1086" t="s">
        <v>7472</v>
      </c>
      <c r="BN22" s="1103"/>
      <c r="BO22" s="1132" t="s">
        <v>229</v>
      </c>
      <c r="BP22" s="1132"/>
      <c r="BQ22" s="1091"/>
      <c r="BR22" s="1091"/>
      <c r="BS22" s="1091"/>
      <c r="BT22" s="1093" t="str">
        <f>HYPERLINK("https://youtu.be/-5bLlrzaDDc","27.91")</f>
        <v>27.91</v>
      </c>
      <c r="BU22" s="1132" t="s">
        <v>7473</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7474</v>
      </c>
      <c r="C23" s="1056" t="s">
        <v>1415</v>
      </c>
      <c r="D23" s="1057" t="s">
        <v>1415</v>
      </c>
      <c r="E23" s="1058" t="s">
        <v>1415</v>
      </c>
      <c r="F23" s="1059" t="s">
        <v>334</v>
      </c>
      <c r="G23" s="1055" t="s">
        <v>3680</v>
      </c>
      <c r="H23" s="1100" t="s">
        <v>2606</v>
      </c>
      <c r="I23" s="1100" t="s">
        <v>7475</v>
      </c>
      <c r="J23" s="1205"/>
      <c r="K23" s="1100" t="s">
        <v>3180</v>
      </c>
      <c r="L23" s="1061"/>
      <c r="M23" s="1060"/>
      <c r="N23" s="1060"/>
      <c r="O23" s="1125" t="s">
        <v>7476</v>
      </c>
      <c r="P23" s="1103"/>
      <c r="Q23" s="1139" t="s">
        <v>7477</v>
      </c>
      <c r="R23" s="1066"/>
      <c r="S23" s="1066"/>
      <c r="T23" s="1139" t="s">
        <v>5106</v>
      </c>
      <c r="U23" s="1065"/>
      <c r="V23" s="1139" t="s">
        <v>7478</v>
      </c>
      <c r="W23" s="1103"/>
      <c r="X23" s="1108" t="s">
        <v>2132</v>
      </c>
      <c r="Y23" s="1141"/>
      <c r="Z23" s="1108" t="s">
        <v>1907</v>
      </c>
      <c r="AA23" s="1195"/>
      <c r="AB23" s="1108" t="s">
        <v>5220</v>
      </c>
      <c r="AC23" s="1141"/>
      <c r="AD23" s="1141"/>
      <c r="AE23" s="1108" t="s">
        <v>4410</v>
      </c>
      <c r="AF23" s="1070"/>
      <c r="AG23" s="1108" t="s">
        <v>7479</v>
      </c>
      <c r="AH23" s="1075"/>
      <c r="AI23" s="1103"/>
      <c r="AJ23" s="1077"/>
      <c r="AK23" s="1077"/>
      <c r="AL23" s="1077"/>
      <c r="AM23" s="1077"/>
      <c r="AN23" s="1077"/>
      <c r="AO23" s="1143" t="s">
        <v>5067</v>
      </c>
      <c r="AP23" s="1077"/>
      <c r="AQ23" s="1081" t="s">
        <v>3255</v>
      </c>
      <c r="AR23" s="1077"/>
      <c r="AS23" s="1077"/>
      <c r="AT23" s="1112"/>
      <c r="AU23" s="1077"/>
      <c r="AV23" s="1077"/>
      <c r="AW23" s="1081" t="s">
        <v>719</v>
      </c>
      <c r="AX23" s="1077"/>
      <c r="AY23" s="1077"/>
      <c r="AZ23" s="1064"/>
      <c r="BA23" s="1166"/>
      <c r="BB23" s="1166"/>
      <c r="BC23" s="1166"/>
      <c r="BD23" s="1166"/>
      <c r="BE23" s="1192" t="s">
        <v>7480</v>
      </c>
      <c r="BF23" s="1064"/>
      <c r="BG23" s="1182" t="s">
        <v>2621</v>
      </c>
      <c r="BH23" s="1089"/>
      <c r="BI23" s="1089"/>
      <c r="BJ23" s="1145"/>
      <c r="BK23" s="1089"/>
      <c r="BL23" s="1089"/>
      <c r="BM23" s="1182" t="s">
        <v>7481</v>
      </c>
      <c r="BN23" s="1103"/>
      <c r="BO23" s="1147" t="s">
        <v>609</v>
      </c>
      <c r="BP23" s="1132"/>
      <c r="BQ23" s="1091"/>
      <c r="BR23" s="1091"/>
      <c r="BS23" s="1091"/>
      <c r="BT23" s="1091"/>
      <c r="BU23" s="1091"/>
      <c r="BV23" s="1147" t="s">
        <v>7482</v>
      </c>
      <c r="BW23" s="1091"/>
      <c r="BX23" s="1103"/>
      <c r="BY23" s="1122" t="s">
        <v>7483</v>
      </c>
      <c r="BZ23" s="1097"/>
      <c r="CA23" s="1123"/>
      <c r="CB23" s="1123"/>
      <c r="CC23" s="1123"/>
      <c r="CD23" s="1097"/>
      <c r="CE23" s="1122" t="s">
        <v>7484</v>
      </c>
      <c r="CF23" s="1096" t="s">
        <v>7485</v>
      </c>
      <c r="CG23" s="1097"/>
      <c r="CH23" s="1097"/>
      <c r="CI23" s="1097"/>
      <c r="CJ23" s="1123"/>
      <c r="CK23" s="1123"/>
    </row>
    <row r="24">
      <c r="A24" s="1206" t="s">
        <v>3387</v>
      </c>
      <c r="B24" s="1055" t="s">
        <v>7474</v>
      </c>
      <c r="C24" s="1056" t="s">
        <v>1415</v>
      </c>
      <c r="D24" s="1057" t="s">
        <v>738</v>
      </c>
      <c r="E24" s="1058" t="s">
        <v>1415</v>
      </c>
      <c r="F24" s="1059" t="s">
        <v>543</v>
      </c>
      <c r="G24" s="1055" t="s">
        <v>1062</v>
      </c>
      <c r="H24" s="1060"/>
      <c r="I24" s="1060"/>
      <c r="J24" s="1060"/>
      <c r="K24" s="1060"/>
      <c r="L24" s="1060"/>
      <c r="M24" s="1060"/>
      <c r="N24" s="1061" t="s">
        <v>7486</v>
      </c>
      <c r="O24" s="1060"/>
      <c r="P24" s="1103"/>
      <c r="Q24" s="1066"/>
      <c r="R24" s="1066"/>
      <c r="S24" s="1066"/>
      <c r="T24" s="1066"/>
      <c r="U24" s="1065" t="s">
        <v>2894</v>
      </c>
      <c r="V24" s="1065" t="s">
        <v>7487</v>
      </c>
      <c r="W24" s="1103"/>
      <c r="X24" s="1070" t="s">
        <v>195</v>
      </c>
      <c r="Y24" s="1070" t="s">
        <v>7488</v>
      </c>
      <c r="Z24" s="1070" t="s">
        <v>7489</v>
      </c>
      <c r="AA24" s="1207" t="s">
        <v>2750</v>
      </c>
      <c r="AB24" s="1070" t="s">
        <v>653</v>
      </c>
      <c r="AC24" s="1070" t="s">
        <v>1883</v>
      </c>
      <c r="AD24" s="1070" t="s">
        <v>6977</v>
      </c>
      <c r="AE24" s="1070" t="s">
        <v>145</v>
      </c>
      <c r="AF24" s="1070"/>
      <c r="AG24" s="1070" t="s">
        <v>7490</v>
      </c>
      <c r="AH24" s="1208" t="s">
        <v>7491</v>
      </c>
      <c r="AI24" s="1103"/>
      <c r="AJ24" s="1076"/>
      <c r="AK24" s="1076" t="s">
        <v>5609</v>
      </c>
      <c r="AL24" s="1077"/>
      <c r="AM24" s="1076" t="s">
        <v>2584</v>
      </c>
      <c r="AN24" s="1077"/>
      <c r="AO24" s="1077"/>
      <c r="AP24" s="1076" t="s">
        <v>1982</v>
      </c>
      <c r="AQ24" s="1077"/>
      <c r="AR24" s="1076" t="s">
        <v>7492</v>
      </c>
      <c r="AS24" s="1076" t="s">
        <v>3464</v>
      </c>
      <c r="AT24" s="1112"/>
      <c r="AU24" s="1077"/>
      <c r="AV24" s="1143" t="s">
        <v>7493</v>
      </c>
      <c r="AW24" s="1076" t="s">
        <v>803</v>
      </c>
      <c r="AX24" s="1076" t="s">
        <v>7494</v>
      </c>
      <c r="AY24" s="1076" t="s">
        <v>7495</v>
      </c>
      <c r="AZ24" s="1064"/>
      <c r="BA24" s="1166"/>
      <c r="BB24" s="1084" t="s">
        <v>7496</v>
      </c>
      <c r="BC24" s="1116" t="s">
        <v>6126</v>
      </c>
      <c r="BD24" s="1116"/>
      <c r="BE24" s="1127" t="s">
        <v>7497</v>
      </c>
      <c r="BF24" s="1064"/>
      <c r="BG24" s="1089"/>
      <c r="BH24" s="1089"/>
      <c r="BI24" s="1089"/>
      <c r="BJ24" s="1145"/>
      <c r="BK24" s="1089"/>
      <c r="BL24" s="1118" t="s">
        <v>7498</v>
      </c>
      <c r="BM24" s="1087" t="s">
        <v>7499</v>
      </c>
      <c r="BN24" s="1103"/>
      <c r="BO24" s="1091"/>
      <c r="BP24" s="1132"/>
      <c r="BQ24" s="1091"/>
      <c r="BR24" s="1091"/>
      <c r="BS24" s="1121" t="s">
        <v>6907</v>
      </c>
      <c r="BT24" s="1091"/>
      <c r="BU24" s="1091"/>
      <c r="BV24" s="1091"/>
      <c r="BW24" s="1092" t="s">
        <v>7500</v>
      </c>
      <c r="BX24" s="1103"/>
      <c r="BY24" s="1097"/>
      <c r="BZ24" s="1097"/>
      <c r="CA24" s="1123"/>
      <c r="CB24" s="1123"/>
      <c r="CC24" s="1123"/>
      <c r="CD24" s="1097"/>
      <c r="CE24" s="1097"/>
      <c r="CF24" s="1097"/>
      <c r="CG24" s="1097"/>
      <c r="CH24" s="1097"/>
      <c r="CI24" s="1097"/>
      <c r="CJ24" s="1123"/>
      <c r="CK24" s="1123"/>
    </row>
    <row r="25">
      <c r="A25" s="1054" t="s">
        <v>6339</v>
      </c>
      <c r="B25" s="1055" t="s">
        <v>7501</v>
      </c>
      <c r="C25" s="1056" t="s">
        <v>1415</v>
      </c>
      <c r="D25" s="1057" t="s">
        <v>1415</v>
      </c>
      <c r="E25" s="1058" t="s">
        <v>738</v>
      </c>
      <c r="F25" s="1059" t="s">
        <v>438</v>
      </c>
      <c r="G25" s="1055" t="s">
        <v>3680</v>
      </c>
      <c r="H25" s="1060"/>
      <c r="I25" s="1060"/>
      <c r="J25" s="1060"/>
      <c r="K25" s="1060"/>
      <c r="L25" s="1061" t="s">
        <v>742</v>
      </c>
      <c r="M25" s="1060"/>
      <c r="N25" s="1061" t="s">
        <v>7502</v>
      </c>
      <c r="O25" s="1061"/>
      <c r="P25" s="1103"/>
      <c r="Q25" s="1066"/>
      <c r="R25" s="1066"/>
      <c r="S25" s="1066"/>
      <c r="T25" s="1066"/>
      <c r="U25" s="1066"/>
      <c r="V25" s="1139" t="s">
        <v>7503</v>
      </c>
      <c r="W25" s="1103"/>
      <c r="X25" s="1070" t="s">
        <v>7504</v>
      </c>
      <c r="Y25" s="1108" t="s">
        <v>7505</v>
      </c>
      <c r="Z25" s="1141"/>
      <c r="AA25" s="1209" t="s">
        <v>7506</v>
      </c>
      <c r="AB25" s="1141"/>
      <c r="AC25" s="1072" t="s">
        <v>4933</v>
      </c>
      <c r="AD25" s="1070" t="s">
        <v>1401</v>
      </c>
      <c r="AE25" s="1070" t="s">
        <v>7507</v>
      </c>
      <c r="AF25" s="1070"/>
      <c r="AG25" s="1108" t="s">
        <v>7508</v>
      </c>
      <c r="AH25" s="1075"/>
      <c r="AI25" s="1103"/>
      <c r="AJ25" s="1077"/>
      <c r="AK25" s="1077"/>
      <c r="AL25" s="1077"/>
      <c r="AM25" s="1076" t="s">
        <v>4881</v>
      </c>
      <c r="AN25" s="1077"/>
      <c r="AO25" s="1077"/>
      <c r="AP25" s="1077"/>
      <c r="AQ25" s="1077"/>
      <c r="AR25" s="1077"/>
      <c r="AS25" s="1077"/>
      <c r="AT25" s="1112"/>
      <c r="AU25" s="1077"/>
      <c r="AV25" s="1077"/>
      <c r="AW25" s="1077"/>
      <c r="AX25" s="1077"/>
      <c r="AY25" s="1143" t="s">
        <v>7509</v>
      </c>
      <c r="AZ25" s="1064"/>
      <c r="BA25" s="1166"/>
      <c r="BB25" s="1166"/>
      <c r="BC25" s="1166"/>
      <c r="BD25" s="1166"/>
      <c r="BE25" s="1116" t="s">
        <v>7510</v>
      </c>
      <c r="BF25" s="1064"/>
      <c r="BG25" s="1089"/>
      <c r="BH25" s="1089"/>
      <c r="BI25" s="1089"/>
      <c r="BJ25" s="1145"/>
      <c r="BK25" s="1089"/>
      <c r="BL25" s="1087" t="s">
        <v>7511</v>
      </c>
      <c r="BM25" s="1089"/>
      <c r="BN25" s="1103"/>
      <c r="BO25" s="1092" t="s">
        <v>4837</v>
      </c>
      <c r="BP25" s="1132"/>
      <c r="BQ25" s="1091"/>
      <c r="BR25" s="1092" t="s">
        <v>7512</v>
      </c>
      <c r="BS25" s="1093" t="s">
        <v>7281</v>
      </c>
      <c r="BT25" s="1092" t="s">
        <v>1386</v>
      </c>
      <c r="BU25" s="1091"/>
      <c r="BV25" s="1147" t="s">
        <v>7513</v>
      </c>
      <c r="BW25" s="1092" t="s">
        <v>7514</v>
      </c>
      <c r="BX25" s="1103"/>
      <c r="BY25" s="1097"/>
      <c r="BZ25" s="1097"/>
      <c r="CA25" s="1123"/>
      <c r="CB25" s="1123"/>
      <c r="CC25" s="1123"/>
      <c r="CD25" s="1097"/>
      <c r="CE25" s="1096" t="s">
        <v>3520</v>
      </c>
      <c r="CF25" s="1148" t="s">
        <v>7515</v>
      </c>
      <c r="CG25" s="1097"/>
      <c r="CH25" s="1097"/>
      <c r="CI25" s="1097"/>
      <c r="CJ25" s="1123"/>
      <c r="CK25" s="1123"/>
    </row>
    <row r="26">
      <c r="A26" s="1204" t="s">
        <v>6351</v>
      </c>
      <c r="B26" s="1055" t="s">
        <v>7516</v>
      </c>
      <c r="C26" s="1056" t="s">
        <v>828</v>
      </c>
      <c r="D26" s="1057" t="s">
        <v>1415</v>
      </c>
      <c r="E26" s="1058" t="s">
        <v>738</v>
      </c>
      <c r="F26" s="1059" t="s">
        <v>3389</v>
      </c>
      <c r="G26" s="1055" t="s">
        <v>3389</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7517</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7518</v>
      </c>
      <c r="BF26" s="1064"/>
      <c r="BG26" s="1089"/>
      <c r="BH26" s="1089"/>
      <c r="BI26" s="1089"/>
      <c r="BJ26" s="1145"/>
      <c r="BK26" s="1089"/>
      <c r="BL26" s="1089"/>
      <c r="BM26" s="1130" t="s">
        <v>7519</v>
      </c>
      <c r="BN26" s="1111"/>
      <c r="BO26" s="1203" t="str">
        <f>HYPERLINK("https://youtu.be/oOY4TocVyJU","1:05.01")</f>
        <v>1:05.01</v>
      </c>
      <c r="BP26" s="1132"/>
      <c r="BQ26" s="1091"/>
      <c r="BR26" s="1092"/>
      <c r="BS26" s="1092"/>
      <c r="BT26" s="1091"/>
      <c r="BU26" s="1091"/>
      <c r="BV26" s="1091"/>
      <c r="BW26" s="1094" t="s">
        <v>7520</v>
      </c>
      <c r="BX26" s="1111"/>
      <c r="BY26" s="1097"/>
      <c r="BZ26" s="1097"/>
      <c r="CA26" s="1213"/>
      <c r="CB26" s="1213"/>
      <c r="CC26" s="1213"/>
      <c r="CD26" s="1097"/>
      <c r="CE26" s="1097"/>
      <c r="CF26" s="1097"/>
      <c r="CG26" s="1097"/>
      <c r="CH26" s="1097"/>
      <c r="CI26" s="1097"/>
      <c r="CJ26" s="1123"/>
      <c r="CK26" s="1123"/>
    </row>
    <row r="27">
      <c r="A27" s="1054" t="s">
        <v>7521</v>
      </c>
      <c r="B27" s="1055" t="s">
        <v>7522</v>
      </c>
      <c r="C27" s="1056" t="s">
        <v>738</v>
      </c>
      <c r="D27" s="1057" t="s">
        <v>1415</v>
      </c>
      <c r="E27" s="1058" t="s">
        <v>738</v>
      </c>
      <c r="F27" s="1059" t="s">
        <v>828</v>
      </c>
      <c r="G27" s="1055" t="s">
        <v>2762</v>
      </c>
      <c r="H27" s="1061" t="s">
        <v>3847</v>
      </c>
      <c r="I27" s="1061"/>
      <c r="J27" s="1061"/>
      <c r="K27" s="1060"/>
      <c r="L27" s="1061" t="s">
        <v>7523</v>
      </c>
      <c r="M27" s="1060"/>
      <c r="N27" s="1061" t="s">
        <v>7524</v>
      </c>
      <c r="O27" s="1060"/>
      <c r="P27" s="1103"/>
      <c r="Q27" s="1065" t="s">
        <v>7525</v>
      </c>
      <c r="R27" s="1066"/>
      <c r="S27" s="1066"/>
      <c r="T27" s="1066"/>
      <c r="U27" s="1139" t="s">
        <v>7526</v>
      </c>
      <c r="V27" s="1065" t="s">
        <v>7527</v>
      </c>
      <c r="W27" s="1103"/>
      <c r="X27" s="1070"/>
      <c r="Y27" s="1070"/>
      <c r="Z27" s="1070" t="s">
        <v>6373</v>
      </c>
      <c r="AA27" s="1207" t="s">
        <v>4608</v>
      </c>
      <c r="AB27" s="1070" t="s">
        <v>1187</v>
      </c>
      <c r="AC27" s="1141"/>
      <c r="AD27" s="1141"/>
      <c r="AE27" s="1070" t="s">
        <v>7528</v>
      </c>
      <c r="AF27" s="1070"/>
      <c r="AG27" s="1109" t="s">
        <v>7529</v>
      </c>
      <c r="AH27" s="1191" t="s">
        <v>7530</v>
      </c>
      <c r="AI27" s="1103"/>
      <c r="AJ27" s="1155"/>
      <c r="AK27" s="1078" t="s">
        <v>7531</v>
      </c>
      <c r="AL27" s="1077"/>
      <c r="AM27" s="1077"/>
      <c r="AN27" s="1077"/>
      <c r="AO27" s="1077"/>
      <c r="AP27" s="1077"/>
      <c r="AQ27" s="1077"/>
      <c r="AR27" s="1143" t="s">
        <v>7532</v>
      </c>
      <c r="AS27" s="1076" t="s">
        <v>7533</v>
      </c>
      <c r="AT27" s="1112"/>
      <c r="AU27" s="1077"/>
      <c r="AV27" s="1143" t="s">
        <v>7534</v>
      </c>
      <c r="AW27" s="1076" t="s">
        <v>2552</v>
      </c>
      <c r="AX27" s="1077"/>
      <c r="AY27" s="1076" t="s">
        <v>7535</v>
      </c>
      <c r="AZ27" s="1064"/>
      <c r="BA27" s="1166"/>
      <c r="BB27" s="1166"/>
      <c r="BC27" s="1166"/>
      <c r="BD27" s="1166"/>
      <c r="BE27" s="1116" t="s">
        <v>7536</v>
      </c>
      <c r="BF27" s="1064"/>
      <c r="BG27" s="1089"/>
      <c r="BH27" s="1089"/>
      <c r="BI27" s="1089"/>
      <c r="BJ27" s="1087"/>
      <c r="BK27" s="1089"/>
      <c r="BL27" s="1117" t="s">
        <v>7537</v>
      </c>
      <c r="BM27" s="1086" t="s">
        <v>7538</v>
      </c>
      <c r="BN27" s="1103"/>
      <c r="BO27" s="1092" t="s">
        <v>3992</v>
      </c>
      <c r="BP27" s="1132"/>
      <c r="BQ27" s="1091"/>
      <c r="BR27" s="1092" t="s">
        <v>7539</v>
      </c>
      <c r="BS27" s="1091"/>
      <c r="BT27" s="1147" t="s">
        <v>902</v>
      </c>
      <c r="BU27" s="1091"/>
      <c r="BV27" s="1092" t="s">
        <v>7540</v>
      </c>
      <c r="BW27" s="1092" t="s">
        <v>7541</v>
      </c>
      <c r="BX27" s="1103"/>
      <c r="BY27" s="1097"/>
      <c r="BZ27" s="1097"/>
      <c r="CA27" s="1123"/>
      <c r="CB27" s="1123"/>
      <c r="CC27" s="1123"/>
      <c r="CD27" s="1097"/>
      <c r="CE27" s="1122" t="s">
        <v>7542</v>
      </c>
      <c r="CF27" s="1097"/>
      <c r="CG27" s="1097"/>
      <c r="CH27" s="1097"/>
      <c r="CI27" s="1097"/>
      <c r="CJ27" s="1123"/>
      <c r="CK27" s="1123"/>
    </row>
    <row r="28">
      <c r="A28" s="1054" t="s">
        <v>4063</v>
      </c>
      <c r="B28" s="1055" t="s">
        <v>7543</v>
      </c>
      <c r="C28" s="1056" t="s">
        <v>1415</v>
      </c>
      <c r="D28" s="1057" t="s">
        <v>1415</v>
      </c>
      <c r="E28" s="1058" t="s">
        <v>543</v>
      </c>
      <c r="F28" s="1059" t="s">
        <v>3389</v>
      </c>
      <c r="G28" s="1055" t="s">
        <v>5165</v>
      </c>
      <c r="H28" s="1174" t="s">
        <v>1353</v>
      </c>
      <c r="I28" s="1060"/>
      <c r="J28" s="1060"/>
      <c r="K28" s="1060"/>
      <c r="L28" s="1061" t="s">
        <v>1485</v>
      </c>
      <c r="M28" s="1060"/>
      <c r="N28" s="1100" t="s">
        <v>7544</v>
      </c>
      <c r="O28" s="1060"/>
      <c r="P28" s="1103"/>
      <c r="Q28" s="1214" t="s">
        <v>7545</v>
      </c>
      <c r="R28" s="1066"/>
      <c r="S28" s="1065" t="s">
        <v>5814</v>
      </c>
      <c r="T28" s="1069" t="s">
        <v>618</v>
      </c>
      <c r="U28" s="1215" t="s">
        <v>7546</v>
      </c>
      <c r="V28" s="1065" t="s">
        <v>7547</v>
      </c>
      <c r="W28" s="1103"/>
      <c r="X28" s="1141"/>
      <c r="Y28" s="1070" t="s">
        <v>4074</v>
      </c>
      <c r="Z28" s="1070" t="s">
        <v>5217</v>
      </c>
      <c r="AA28" s="1216" t="s">
        <v>1760</v>
      </c>
      <c r="AB28" s="1070" t="s">
        <v>6108</v>
      </c>
      <c r="AC28" s="1070" t="s">
        <v>3425</v>
      </c>
      <c r="AD28" s="1070" t="s">
        <v>2991</v>
      </c>
      <c r="AE28" s="1107" t="s">
        <v>243</v>
      </c>
      <c r="AF28" s="1109"/>
      <c r="AG28" s="1141"/>
      <c r="AH28" s="1217" t="s">
        <v>4076</v>
      </c>
      <c r="AI28" s="1103"/>
      <c r="AJ28" s="1076"/>
      <c r="AK28" s="1076" t="s">
        <v>7548</v>
      </c>
      <c r="AL28" s="1076" t="s">
        <v>7549</v>
      </c>
      <c r="AM28" s="1076" t="s">
        <v>1641</v>
      </c>
      <c r="AN28" s="1076"/>
      <c r="AO28" s="1077"/>
      <c r="AP28" s="1081" t="s">
        <v>6717</v>
      </c>
      <c r="AQ28" s="1077"/>
      <c r="AR28" s="1076" t="s">
        <v>7550</v>
      </c>
      <c r="AS28" s="1076" t="s">
        <v>7551</v>
      </c>
      <c r="AT28" s="1112"/>
      <c r="AU28" s="1076" t="s">
        <v>7552</v>
      </c>
      <c r="AV28" s="1077"/>
      <c r="AW28" s="1081" t="s">
        <v>2706</v>
      </c>
      <c r="AX28" s="1076" t="s">
        <v>7553</v>
      </c>
      <c r="AY28" s="1076" t="s">
        <v>7554</v>
      </c>
      <c r="AZ28" s="1064"/>
      <c r="BA28" s="1166"/>
      <c r="BB28" s="1166"/>
      <c r="BC28" s="1116" t="s">
        <v>2202</v>
      </c>
      <c r="BD28" s="1116"/>
      <c r="BE28" s="1116" t="s">
        <v>7555</v>
      </c>
      <c r="BF28" s="1064"/>
      <c r="BG28" s="1089"/>
      <c r="BH28" s="1087" t="s">
        <v>7556</v>
      </c>
      <c r="BI28" s="1089"/>
      <c r="BJ28" s="1145"/>
      <c r="BK28" s="1089"/>
      <c r="BL28" s="1087" t="s">
        <v>7557</v>
      </c>
      <c r="BM28" s="1089"/>
      <c r="BN28" s="1103"/>
      <c r="BO28" s="1147" t="s">
        <v>7558</v>
      </c>
      <c r="BP28" s="1132"/>
      <c r="BQ28" s="1091"/>
      <c r="BR28" s="1091"/>
      <c r="BS28" s="1120" t="s">
        <v>7484</v>
      </c>
      <c r="BT28" s="1147" t="s">
        <v>318</v>
      </c>
      <c r="BU28" s="1120" t="s">
        <v>7559</v>
      </c>
      <c r="BV28" s="1091"/>
      <c r="BW28" s="1092" t="s">
        <v>3805</v>
      </c>
      <c r="BX28" s="1103"/>
      <c r="BY28" s="1097"/>
      <c r="BZ28" s="1097"/>
      <c r="CA28" s="1123"/>
      <c r="CB28" s="1123"/>
      <c r="CC28" s="1123"/>
      <c r="CD28" s="1097"/>
      <c r="CE28" s="1096" t="s">
        <v>7485</v>
      </c>
      <c r="CF28" s="1096" t="s">
        <v>7560</v>
      </c>
      <c r="CG28" s="1097"/>
      <c r="CH28" s="1097"/>
      <c r="CI28" s="1097"/>
      <c r="CJ28" s="1123"/>
      <c r="CK28" s="1123"/>
    </row>
    <row r="29">
      <c r="A29" s="1218" t="s">
        <v>6333</v>
      </c>
      <c r="B29" s="1055" t="s">
        <v>7561</v>
      </c>
      <c r="C29" s="1056" t="s">
        <v>1415</v>
      </c>
      <c r="D29" s="1057" t="s">
        <v>1415</v>
      </c>
      <c r="E29" s="1058" t="s">
        <v>1415</v>
      </c>
      <c r="F29" s="1059" t="s">
        <v>1064</v>
      </c>
      <c r="G29" s="1055" t="s">
        <v>1062</v>
      </c>
      <c r="H29" s="1174" t="s">
        <v>4214</v>
      </c>
      <c r="I29" s="1061" t="s">
        <v>7562</v>
      </c>
      <c r="J29" s="1061"/>
      <c r="K29" s="1061"/>
      <c r="L29" s="1125" t="s">
        <v>7563</v>
      </c>
      <c r="M29" s="1060"/>
      <c r="N29" s="1100" t="s">
        <v>7564</v>
      </c>
      <c r="O29" s="1060"/>
      <c r="P29" s="1103"/>
      <c r="Q29" s="1066"/>
      <c r="R29" s="1066"/>
      <c r="S29" s="1066"/>
      <c r="T29" s="1066"/>
      <c r="U29" s="1065" t="s">
        <v>416</v>
      </c>
      <c r="V29" s="1069" t="s">
        <v>7565</v>
      </c>
      <c r="W29" s="1103"/>
      <c r="X29" s="1108" t="s">
        <v>4834</v>
      </c>
      <c r="Y29" s="1070" t="s">
        <v>7566</v>
      </c>
      <c r="Z29" s="1108" t="s">
        <v>5867</v>
      </c>
      <c r="AA29" s="1190" t="s">
        <v>4608</v>
      </c>
      <c r="AB29" s="1108" t="s">
        <v>2503</v>
      </c>
      <c r="AC29" s="1107" t="s">
        <v>7567</v>
      </c>
      <c r="AD29" s="1141"/>
      <c r="AE29" s="1107" t="str">
        <f>HYPERLINK("https://twitter.com/Qbe_Root/status/1242884733232648192","56.04")</f>
        <v>56.04</v>
      </c>
      <c r="AF29" s="1109"/>
      <c r="AG29" s="1107" t="s">
        <v>7568</v>
      </c>
      <c r="AH29" s="1075"/>
      <c r="AI29" s="1103"/>
      <c r="AJ29" s="1076"/>
      <c r="AK29" s="1076" t="s">
        <v>7569</v>
      </c>
      <c r="AL29" s="1076" t="s">
        <v>7570</v>
      </c>
      <c r="AM29" s="1076" t="s">
        <v>7571</v>
      </c>
      <c r="AN29" s="1076"/>
      <c r="AO29" s="1077"/>
      <c r="AP29" s="114" t="s">
        <v>7572</v>
      </c>
      <c r="AQ29" s="1077"/>
      <c r="AR29" s="1077"/>
      <c r="AS29" s="1077"/>
      <c r="AT29" s="1112"/>
      <c r="AU29" s="1077"/>
      <c r="AV29" s="1077"/>
      <c r="AW29" s="1076" t="s">
        <v>1614</v>
      </c>
      <c r="AX29" s="1076" t="s">
        <v>7573</v>
      </c>
      <c r="AY29" s="1077"/>
      <c r="AZ29" s="1064"/>
      <c r="BA29" s="1166"/>
      <c r="BB29" s="1166"/>
      <c r="BC29" s="1166"/>
      <c r="BD29" s="1166"/>
      <c r="BE29" s="1192" t="s">
        <v>7574</v>
      </c>
      <c r="BF29" s="1064"/>
      <c r="BG29" s="1087" t="s">
        <v>1465</v>
      </c>
      <c r="BH29" s="1089"/>
      <c r="BI29" s="1089"/>
      <c r="BJ29" s="1145"/>
      <c r="BK29" s="1087" t="s">
        <v>7575</v>
      </c>
      <c r="BL29" s="1089"/>
      <c r="BM29" s="1087" t="s">
        <v>7576</v>
      </c>
      <c r="BN29" s="1103"/>
      <c r="BO29" s="1092" t="s">
        <v>7577</v>
      </c>
      <c r="BP29" s="1132"/>
      <c r="BQ29" s="1091"/>
      <c r="BR29" s="1091"/>
      <c r="BS29" s="1091"/>
      <c r="BT29" s="1147" t="s">
        <v>1472</v>
      </c>
      <c r="BU29" s="1091"/>
      <c r="BV29" s="1219" t="str">
        <f>HYPERLINK("https://twitter.com/Qbe_Root/status/1400138849058275330", "1:53.21")</f>
        <v>1:53.21</v>
      </c>
      <c r="BW29" s="1092" t="s">
        <v>7578</v>
      </c>
      <c r="BX29" s="1103"/>
      <c r="BY29" s="1097"/>
      <c r="BZ29" s="1097"/>
      <c r="CA29" s="1123"/>
      <c r="CB29" s="1123"/>
      <c r="CC29" s="1123"/>
      <c r="CD29" s="1148" t="s">
        <v>4910</v>
      </c>
      <c r="CE29" s="1097"/>
      <c r="CF29" s="1097"/>
      <c r="CG29" s="1097"/>
      <c r="CH29" s="1097"/>
      <c r="CI29" s="1097"/>
      <c r="CJ29" s="1123"/>
      <c r="CK29" s="1123"/>
    </row>
    <row r="30">
      <c r="A30" s="1054" t="s">
        <v>3986</v>
      </c>
      <c r="B30" s="1055" t="s">
        <v>7579</v>
      </c>
      <c r="C30" s="1056" t="s">
        <v>1415</v>
      </c>
      <c r="D30" s="1057" t="s">
        <v>1415</v>
      </c>
      <c r="E30" s="1058" t="s">
        <v>1415</v>
      </c>
      <c r="F30" s="1059" t="s">
        <v>438</v>
      </c>
      <c r="G30" s="1055" t="s">
        <v>2904</v>
      </c>
      <c r="H30" s="1061" t="s">
        <v>2297</v>
      </c>
      <c r="I30" s="1060"/>
      <c r="J30" s="1060"/>
      <c r="K30" s="1060"/>
      <c r="L30" s="1061" t="s">
        <v>7580</v>
      </c>
      <c r="M30" s="1060"/>
      <c r="N30" s="1061" t="s">
        <v>7581</v>
      </c>
      <c r="O30" s="1060"/>
      <c r="P30" s="1103"/>
      <c r="Q30" s="1065" t="s">
        <v>7582</v>
      </c>
      <c r="R30" s="1066"/>
      <c r="S30" s="1066"/>
      <c r="T30" s="1066"/>
      <c r="U30" s="1139" t="s">
        <v>7196</v>
      </c>
      <c r="V30" s="1065" t="s">
        <v>7583</v>
      </c>
      <c r="W30" s="1103"/>
      <c r="X30" s="1141"/>
      <c r="Y30" s="1141"/>
      <c r="Z30" s="1070" t="s">
        <v>7584</v>
      </c>
      <c r="AA30" s="1195"/>
      <c r="AB30" s="1070" t="s">
        <v>4759</v>
      </c>
      <c r="AC30" s="1070" t="s">
        <v>194</v>
      </c>
      <c r="AD30" s="1141"/>
      <c r="AE30" s="1070" t="s">
        <v>3702</v>
      </c>
      <c r="AF30" s="1070"/>
      <c r="AG30" s="1107" t="s">
        <v>7585</v>
      </c>
      <c r="AH30" s="1198" t="s">
        <v>7586</v>
      </c>
      <c r="AI30" s="1103"/>
      <c r="AJ30" s="1076"/>
      <c r="AK30" s="1076" t="s">
        <v>7587</v>
      </c>
      <c r="AL30" s="1076" t="s">
        <v>7588</v>
      </c>
      <c r="AM30" s="1076" t="s">
        <v>4184</v>
      </c>
      <c r="AN30" s="1076"/>
      <c r="AO30" s="1077"/>
      <c r="AP30" s="1077"/>
      <c r="AQ30" s="1077"/>
      <c r="AR30" s="1076" t="s">
        <v>7589</v>
      </c>
      <c r="AS30" s="1076" t="s">
        <v>7590</v>
      </c>
      <c r="AT30" s="1143"/>
      <c r="AU30" s="1076" t="s">
        <v>7591</v>
      </c>
      <c r="AV30" s="1076"/>
      <c r="AW30" s="1076" t="s">
        <v>767</v>
      </c>
      <c r="AX30" s="1077"/>
      <c r="AY30" s="1076" t="s">
        <v>7592</v>
      </c>
      <c r="AZ30" s="1064"/>
      <c r="BA30" s="1116"/>
      <c r="BB30" s="1116" t="s">
        <v>7593</v>
      </c>
      <c r="BC30" s="1192" t="s">
        <v>4426</v>
      </c>
      <c r="BD30" s="1116"/>
      <c r="BE30" s="1192" t="s">
        <v>7594</v>
      </c>
      <c r="BF30" s="1064"/>
      <c r="BG30" s="1087" t="s">
        <v>7595</v>
      </c>
      <c r="BH30" s="1089"/>
      <c r="BI30" s="1089"/>
      <c r="BJ30" s="1145"/>
      <c r="BK30" s="1089"/>
      <c r="BL30" s="1087" t="s">
        <v>7596</v>
      </c>
      <c r="BM30" s="1087" t="s">
        <v>7597</v>
      </c>
      <c r="BN30" s="1103"/>
      <c r="BO30" s="1092" t="s">
        <v>3233</v>
      </c>
      <c r="BP30" s="1132"/>
      <c r="BQ30" s="1091"/>
      <c r="BR30" s="1092" t="s">
        <v>7598</v>
      </c>
      <c r="BS30" s="1147" t="s">
        <v>7599</v>
      </c>
      <c r="BT30" s="1091"/>
      <c r="BU30" s="1091"/>
      <c r="BV30" s="1092" t="s">
        <v>5233</v>
      </c>
      <c r="BW30" s="1092" t="s">
        <v>7600</v>
      </c>
      <c r="BX30" s="1103"/>
      <c r="BY30" s="1097"/>
      <c r="BZ30" s="1097"/>
      <c r="CA30" s="1123"/>
      <c r="CB30" s="1123"/>
      <c r="CC30" s="1123"/>
      <c r="CD30" s="1097"/>
      <c r="CE30" s="1097"/>
      <c r="CF30" s="1096" t="s">
        <v>7601</v>
      </c>
      <c r="CG30" s="1097"/>
      <c r="CH30" s="1097"/>
      <c r="CI30" s="1122" t="s">
        <v>7602</v>
      </c>
      <c r="CJ30" s="1123"/>
      <c r="CK30" s="1123"/>
    </row>
    <row r="31">
      <c r="A31" s="1054" t="s">
        <v>2760</v>
      </c>
      <c r="B31" s="1055" t="s">
        <v>7603</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7604</v>
      </c>
      <c r="V31" s="1065" t="s">
        <v>7605</v>
      </c>
      <c r="W31" s="1103"/>
      <c r="X31" s="1141"/>
      <c r="Y31" s="1141"/>
      <c r="Z31" s="1141"/>
      <c r="AA31" s="1195"/>
      <c r="AB31" s="1070"/>
      <c r="AC31" s="1071" t="s">
        <v>7606</v>
      </c>
      <c r="AD31" s="1070" t="s">
        <v>7607</v>
      </c>
      <c r="AE31" s="1070" t="s">
        <v>4524</v>
      </c>
      <c r="AF31" s="1070"/>
      <c r="AG31" s="1141"/>
      <c r="AH31" s="1075"/>
      <c r="AI31" s="1103"/>
      <c r="AJ31" s="1077"/>
      <c r="AK31" s="1077"/>
      <c r="AL31" s="1077"/>
      <c r="AM31" s="1077"/>
      <c r="AN31" s="1077"/>
      <c r="AO31" s="1077"/>
      <c r="AP31" s="1113" t="s">
        <v>7608</v>
      </c>
      <c r="AQ31" s="1077"/>
      <c r="AR31" s="1077"/>
      <c r="AS31" s="1077"/>
      <c r="AT31" s="1112"/>
      <c r="AU31" s="1077"/>
      <c r="AV31" s="1077"/>
      <c r="AW31" s="1076" t="s">
        <v>1701</v>
      </c>
      <c r="AX31" s="1077"/>
      <c r="AY31" s="1077"/>
      <c r="AZ31" s="1064"/>
      <c r="BA31" s="1166"/>
      <c r="BB31" s="1166"/>
      <c r="BC31" s="1084" t="s">
        <v>5553</v>
      </c>
      <c r="BD31" s="1082"/>
      <c r="BE31" s="1116" t="s">
        <v>7609</v>
      </c>
      <c r="BF31" s="1064"/>
      <c r="BG31" s="1089"/>
      <c r="BH31" s="1089"/>
      <c r="BI31" s="1089"/>
      <c r="BJ31" s="1145"/>
      <c r="BK31" s="1089"/>
      <c r="BL31" s="1089"/>
      <c r="BM31" s="1089"/>
      <c r="BN31" s="1103"/>
      <c r="BO31" s="1092" t="s">
        <v>7610</v>
      </c>
      <c r="BP31" s="1132"/>
      <c r="BQ31" s="1091"/>
      <c r="BR31" s="1091"/>
      <c r="BS31" s="1091"/>
      <c r="BT31" s="1091"/>
      <c r="BU31" s="1091"/>
      <c r="BV31" s="1092" t="s">
        <v>7611</v>
      </c>
      <c r="BW31" s="1091"/>
      <c r="BX31" s="1103"/>
      <c r="BY31" s="1097"/>
      <c r="BZ31" s="1097"/>
      <c r="CA31" s="1123"/>
      <c r="CB31" s="1123"/>
      <c r="CC31" s="1123"/>
      <c r="CD31" s="1097"/>
      <c r="CE31" s="1097"/>
      <c r="CF31" s="1097"/>
      <c r="CG31" s="1097"/>
      <c r="CH31" s="1097"/>
      <c r="CI31" s="1097"/>
      <c r="CJ31" s="1123"/>
      <c r="CK31" s="1123"/>
    </row>
    <row r="32">
      <c r="A32" s="1054" t="s">
        <v>7612</v>
      </c>
      <c r="B32" s="1055" t="s">
        <v>2693</v>
      </c>
      <c r="C32" s="1056" t="s">
        <v>1415</v>
      </c>
      <c r="D32" s="1057" t="s">
        <v>1415</v>
      </c>
      <c r="E32" s="1058" t="s">
        <v>1415</v>
      </c>
      <c r="F32" s="1059" t="s">
        <v>1415</v>
      </c>
      <c r="G32" s="1055" t="s">
        <v>219</v>
      </c>
      <c r="H32" s="1060"/>
      <c r="I32" s="1060"/>
      <c r="J32" s="1061" t="s">
        <v>7613</v>
      </c>
      <c r="K32" s="1060"/>
      <c r="L32" s="1060"/>
      <c r="M32" s="1060"/>
      <c r="N32" s="1060"/>
      <c r="O32" s="1061" t="s">
        <v>7614</v>
      </c>
      <c r="P32" s="1103"/>
      <c r="Q32" s="1066"/>
      <c r="R32" s="1066"/>
      <c r="S32" s="1066"/>
      <c r="T32" s="1066"/>
      <c r="U32" s="1066"/>
      <c r="V32" s="1065" t="s">
        <v>7615</v>
      </c>
      <c r="W32" s="1103"/>
      <c r="X32" s="1141"/>
      <c r="Y32" s="1141"/>
      <c r="Z32" s="1141"/>
      <c r="AA32" s="1195"/>
      <c r="AB32" s="1141"/>
      <c r="AC32" s="1141"/>
      <c r="AD32" s="1141"/>
      <c r="AE32" s="1070" t="s">
        <v>2287</v>
      </c>
      <c r="AF32" s="1070"/>
      <c r="AG32" s="1070" t="s">
        <v>7616</v>
      </c>
      <c r="AH32" s="1075"/>
      <c r="AI32" s="1103"/>
      <c r="AJ32" s="1077"/>
      <c r="AK32" s="1077"/>
      <c r="AL32" s="1077"/>
      <c r="AM32" s="1077"/>
      <c r="AN32" s="1077"/>
      <c r="AO32" s="1077"/>
      <c r="AP32" s="1076" t="s">
        <v>7617</v>
      </c>
      <c r="AQ32" s="1077"/>
      <c r="AR32" s="1077"/>
      <c r="AS32" s="1077"/>
      <c r="AT32" s="1112"/>
      <c r="AU32" s="1077"/>
      <c r="AV32" s="1077"/>
      <c r="AW32" s="1077"/>
      <c r="AX32" s="1077"/>
      <c r="AY32" s="1077"/>
      <c r="AZ32" s="1064"/>
      <c r="BA32" s="1116" t="s">
        <v>7618</v>
      </c>
      <c r="BB32" s="1166"/>
      <c r="BC32" s="1116"/>
      <c r="BD32" s="1116"/>
      <c r="BE32" s="1116" t="s">
        <v>7619</v>
      </c>
      <c r="BF32" s="1064"/>
      <c r="BG32" s="1089"/>
      <c r="BH32" s="1089"/>
      <c r="BI32" s="1089"/>
      <c r="BJ32" s="1145"/>
      <c r="BK32" s="1089"/>
      <c r="BL32" s="1089"/>
      <c r="BM32" s="1087" t="s">
        <v>7620</v>
      </c>
      <c r="BN32" s="1103"/>
      <c r="BO32" s="1091"/>
      <c r="BP32" s="1132"/>
      <c r="BQ32" s="1091"/>
      <c r="BR32" s="1092" t="s">
        <v>2469</v>
      </c>
      <c r="BS32" s="1091"/>
      <c r="BT32" s="1091"/>
      <c r="BU32" s="1091"/>
      <c r="BV32" s="1147" t="s">
        <v>7621</v>
      </c>
      <c r="BW32" s="1092" t="s">
        <v>2033</v>
      </c>
      <c r="BX32" s="1103"/>
      <c r="BY32" s="1096" t="s">
        <v>6048</v>
      </c>
      <c r="BZ32" s="1097"/>
      <c r="CA32" s="1148"/>
      <c r="CB32" s="1148"/>
      <c r="CC32" s="1148"/>
      <c r="CD32" s="1097"/>
      <c r="CE32" s="1097"/>
      <c r="CF32" s="1097"/>
      <c r="CG32" s="1097"/>
      <c r="CH32" s="1097"/>
      <c r="CI32" s="1097"/>
      <c r="CJ32" s="1123"/>
      <c r="CK32" s="1123"/>
    </row>
    <row r="33">
      <c r="A33" s="1054" t="s">
        <v>2139</v>
      </c>
      <c r="B33" s="1055" t="s">
        <v>5200</v>
      </c>
      <c r="C33" s="1056" t="s">
        <v>738</v>
      </c>
      <c r="D33" s="1057" t="s">
        <v>1415</v>
      </c>
      <c r="E33" s="1058" t="s">
        <v>1415</v>
      </c>
      <c r="F33" s="1059" t="s">
        <v>738</v>
      </c>
      <c r="G33" s="1055" t="s">
        <v>5687</v>
      </c>
      <c r="H33" s="1061"/>
      <c r="I33" s="1060"/>
      <c r="J33" s="1060"/>
      <c r="K33" s="1060"/>
      <c r="L33" s="1061" t="s">
        <v>7622</v>
      </c>
      <c r="M33" s="1060"/>
      <c r="N33" s="1061" t="s">
        <v>7623</v>
      </c>
      <c r="O33" s="1061"/>
      <c r="P33" s="1103"/>
      <c r="Q33" s="1065" t="s">
        <v>7624</v>
      </c>
      <c r="R33" s="1066"/>
      <c r="S33" s="1066"/>
      <c r="T33" s="1066"/>
      <c r="U33" s="1066"/>
      <c r="V33" s="1065" t="s">
        <v>7625</v>
      </c>
      <c r="W33" s="1103"/>
      <c r="X33" s="1141"/>
      <c r="Y33" s="1141"/>
      <c r="Z33" s="1070" t="s">
        <v>7626</v>
      </c>
      <c r="AA33" s="1070" t="s">
        <v>7627</v>
      </c>
      <c r="AB33" s="1070" t="s">
        <v>3980</v>
      </c>
      <c r="AC33" s="1070" t="s">
        <v>7628</v>
      </c>
      <c r="AD33" s="1141"/>
      <c r="AE33" s="1070" t="s">
        <v>2599</v>
      </c>
      <c r="AF33" s="1070"/>
      <c r="AG33" s="1141"/>
      <c r="AH33" s="1198" t="s">
        <v>7629</v>
      </c>
      <c r="AI33" s="1103"/>
      <c r="AJ33" s="1077"/>
      <c r="AK33" s="1077"/>
      <c r="AL33" s="1077"/>
      <c r="AM33" s="1077"/>
      <c r="AN33" s="1077"/>
      <c r="AO33" s="1077"/>
      <c r="AP33" s="1076" t="s">
        <v>7630</v>
      </c>
      <c r="AQ33" s="1077"/>
      <c r="AR33" s="1077"/>
      <c r="AS33" s="1077"/>
      <c r="AT33" s="1112"/>
      <c r="AU33" s="1077"/>
      <c r="AV33" s="1077"/>
      <c r="AW33" s="1076" t="s">
        <v>434</v>
      </c>
      <c r="AX33" s="1077"/>
      <c r="AY33" s="1076" t="s">
        <v>7631</v>
      </c>
      <c r="AZ33" s="1064"/>
      <c r="BA33" s="1116" t="s">
        <v>7632</v>
      </c>
      <c r="BB33" s="1116" t="s">
        <v>7633</v>
      </c>
      <c r="BC33" s="1166"/>
      <c r="BD33" s="1166"/>
      <c r="BE33" s="1116" t="s">
        <v>7634</v>
      </c>
      <c r="BF33" s="1064"/>
      <c r="BG33" s="1089"/>
      <c r="BH33" s="1089"/>
      <c r="BI33" s="1089"/>
      <c r="BJ33" s="1145"/>
      <c r="BK33" s="1089"/>
      <c r="BL33" s="1130" t="s">
        <v>7635</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5029</v>
      </c>
      <c r="B34" s="1055" t="s">
        <v>916</v>
      </c>
      <c r="C34" s="1056" t="s">
        <v>1415</v>
      </c>
      <c r="D34" s="1057" t="s">
        <v>1415</v>
      </c>
      <c r="E34" s="1058" t="s">
        <v>1415</v>
      </c>
      <c r="F34" s="1059" t="s">
        <v>828</v>
      </c>
      <c r="G34" s="1055" t="s">
        <v>6017</v>
      </c>
      <c r="H34" s="1061" t="s">
        <v>6172</v>
      </c>
      <c r="I34" s="1060"/>
      <c r="J34" s="1060"/>
      <c r="K34" s="1060"/>
      <c r="L34" s="1060"/>
      <c r="M34" s="1060"/>
      <c r="N34" s="1060"/>
      <c r="O34" s="1060"/>
      <c r="P34" s="1103"/>
      <c r="Q34" s="1066"/>
      <c r="R34" s="1066"/>
      <c r="S34" s="1065" t="s">
        <v>1025</v>
      </c>
      <c r="T34" s="1065" t="s">
        <v>1965</v>
      </c>
      <c r="U34" s="1065" t="s">
        <v>4520</v>
      </c>
      <c r="V34" s="1065" t="s">
        <v>7636</v>
      </c>
      <c r="W34" s="1103"/>
      <c r="X34" s="1070" t="s">
        <v>1664</v>
      </c>
      <c r="Y34" s="1141"/>
      <c r="Z34" s="1141"/>
      <c r="AA34" s="1195"/>
      <c r="AB34" s="1141"/>
      <c r="AC34" s="1141"/>
      <c r="AD34" s="1141"/>
      <c r="AE34" s="1141"/>
      <c r="AF34" s="1070"/>
      <c r="AG34" s="1141"/>
      <c r="AH34" s="1075"/>
      <c r="AI34" s="1103"/>
      <c r="AJ34" s="1077"/>
      <c r="AK34" s="1077"/>
      <c r="AL34" s="1077"/>
      <c r="AM34" s="1076" t="s">
        <v>7637</v>
      </c>
      <c r="AN34" s="1077"/>
      <c r="AO34" s="1077"/>
      <c r="AP34" s="1076" t="s">
        <v>7638</v>
      </c>
      <c r="AQ34" s="1077"/>
      <c r="AR34" s="1081" t="s">
        <v>7639</v>
      </c>
      <c r="AS34" s="1077"/>
      <c r="AT34" s="1112"/>
      <c r="AU34" s="1077"/>
      <c r="AV34" s="1077"/>
      <c r="AW34" s="1076" t="s">
        <v>1435</v>
      </c>
      <c r="AX34" s="1077"/>
      <c r="AY34" s="1077"/>
      <c r="AZ34" s="1064"/>
      <c r="BA34" s="1166"/>
      <c r="BB34" s="1116" t="s">
        <v>7640</v>
      </c>
      <c r="BC34" s="1116" t="s">
        <v>422</v>
      </c>
      <c r="BD34" s="1116"/>
      <c r="BE34" s="1116" t="s">
        <v>7641</v>
      </c>
      <c r="BF34" s="1064"/>
      <c r="BG34" s="1089"/>
      <c r="BH34" s="1089"/>
      <c r="BI34" s="1089"/>
      <c r="BJ34" s="1145"/>
      <c r="BK34" s="1089"/>
      <c r="BL34" s="1089"/>
      <c r="BM34" s="1089"/>
      <c r="BN34" s="1103"/>
      <c r="BO34" s="1093" t="s">
        <v>7642</v>
      </c>
      <c r="BP34" s="1132"/>
      <c r="BQ34" s="1093" t="s">
        <v>1037</v>
      </c>
      <c r="BR34" s="1091"/>
      <c r="BS34" s="1091"/>
      <c r="BT34" s="1091"/>
      <c r="BU34" s="1091"/>
      <c r="BV34" s="1092" t="s">
        <v>7643</v>
      </c>
      <c r="BW34" s="1092" t="s">
        <v>7644</v>
      </c>
      <c r="BX34" s="1103"/>
      <c r="BY34" s="1097"/>
      <c r="BZ34" s="1122" t="s">
        <v>6386</v>
      </c>
      <c r="CA34" s="1123"/>
      <c r="CB34" s="1123"/>
      <c r="CC34" s="1123"/>
      <c r="CD34" s="1097"/>
      <c r="CE34" s="1097"/>
      <c r="CF34" s="1097"/>
      <c r="CG34" s="1097"/>
      <c r="CH34" s="1097"/>
      <c r="CI34" s="1097"/>
      <c r="CJ34" s="1123"/>
      <c r="CK34" s="1123"/>
    </row>
    <row r="35">
      <c r="A35" s="1054" t="s">
        <v>6091</v>
      </c>
      <c r="B35" s="1055" t="s">
        <v>7645</v>
      </c>
      <c r="C35" s="1056" t="s">
        <v>1415</v>
      </c>
      <c r="D35" s="1057" t="s">
        <v>1415</v>
      </c>
      <c r="E35" s="1058" t="s">
        <v>1415</v>
      </c>
      <c r="F35" s="1059" t="s">
        <v>1415</v>
      </c>
      <c r="G35" s="1055" t="s">
        <v>2692</v>
      </c>
      <c r="H35" s="1060"/>
      <c r="I35" s="1060"/>
      <c r="J35" s="1060"/>
      <c r="K35" s="1060"/>
      <c r="L35" s="1061" t="s">
        <v>7646</v>
      </c>
      <c r="M35" s="1060"/>
      <c r="N35" s="1061" t="s">
        <v>7647</v>
      </c>
      <c r="O35" s="1060"/>
      <c r="P35" s="1103"/>
      <c r="Q35" s="1066"/>
      <c r="R35" s="1066"/>
      <c r="S35" s="1066"/>
      <c r="T35" s="1066"/>
      <c r="U35" s="1065" t="s">
        <v>4554</v>
      </c>
      <c r="V35" s="1065" t="s">
        <v>7648</v>
      </c>
      <c r="W35" s="1103"/>
      <c r="X35" s="1141"/>
      <c r="Y35" s="1141"/>
      <c r="Z35" s="1070" t="s">
        <v>7649</v>
      </c>
      <c r="AA35" s="1195"/>
      <c r="AB35" s="1141"/>
      <c r="AC35" s="1141"/>
      <c r="AD35" s="1070" t="s">
        <v>1320</v>
      </c>
      <c r="AE35" s="1070" t="s">
        <v>3767</v>
      </c>
      <c r="AF35" s="1070"/>
      <c r="AG35" s="1141"/>
      <c r="AH35" s="1198" t="s">
        <v>7650</v>
      </c>
      <c r="AI35" s="1103"/>
      <c r="AJ35" s="1077"/>
      <c r="AK35" s="1077"/>
      <c r="AL35" s="1077"/>
      <c r="AM35" s="1076" t="s">
        <v>2812</v>
      </c>
      <c r="AN35" s="1077"/>
      <c r="AO35" s="1077"/>
      <c r="AP35" s="1077"/>
      <c r="AQ35" s="1077"/>
      <c r="AR35" s="1077"/>
      <c r="AS35" s="1077"/>
      <c r="AT35" s="1112"/>
      <c r="AU35" s="1077"/>
      <c r="AV35" s="1077"/>
      <c r="AW35" s="1076" t="s">
        <v>1349</v>
      </c>
      <c r="AX35" s="1077"/>
      <c r="AY35" s="1077"/>
      <c r="AZ35" s="1064"/>
      <c r="BA35" s="1166"/>
      <c r="BB35" s="1166"/>
      <c r="BC35" s="1166"/>
      <c r="BD35" s="1166"/>
      <c r="BE35" s="1116" t="s">
        <v>7651</v>
      </c>
      <c r="BF35" s="1064"/>
      <c r="BG35" s="1087" t="s">
        <v>7652</v>
      </c>
      <c r="BH35" s="1087" t="s">
        <v>2913</v>
      </c>
      <c r="BI35" s="1089"/>
      <c r="BJ35" s="1145"/>
      <c r="BK35" s="1089"/>
      <c r="BL35" s="1087" t="s">
        <v>7653</v>
      </c>
      <c r="BM35" s="1089"/>
      <c r="BN35" s="1103"/>
      <c r="BO35" s="1092" t="s">
        <v>1899</v>
      </c>
      <c r="BP35" s="1132"/>
      <c r="BQ35" s="1091"/>
      <c r="BR35" s="1091"/>
      <c r="BS35" s="1091"/>
      <c r="BT35" s="1092" t="s">
        <v>4315</v>
      </c>
      <c r="BU35" s="1091"/>
      <c r="BV35" s="1092" t="s">
        <v>7654</v>
      </c>
      <c r="BW35" s="1092" t="s">
        <v>7655</v>
      </c>
      <c r="BX35" s="1103"/>
      <c r="BY35" s="1097"/>
      <c r="BZ35" s="1097"/>
      <c r="CA35" s="1123"/>
      <c r="CB35" s="1123"/>
      <c r="CC35" s="1123"/>
      <c r="CD35" s="1097"/>
      <c r="CE35" s="1097"/>
      <c r="CF35" s="1097"/>
      <c r="CG35" s="1097"/>
      <c r="CH35" s="1148" t="s">
        <v>5873</v>
      </c>
      <c r="CI35" s="1097"/>
      <c r="CJ35" s="1123"/>
      <c r="CK35" s="1123"/>
    </row>
    <row r="36">
      <c r="A36" s="1054" t="s">
        <v>5383</v>
      </c>
      <c r="B36" s="1055" t="s">
        <v>2011</v>
      </c>
      <c r="C36" s="1056" t="s">
        <v>1415</v>
      </c>
      <c r="D36" s="1057" t="s">
        <v>1415</v>
      </c>
      <c r="E36" s="1058" t="s">
        <v>1415</v>
      </c>
      <c r="F36" s="1059" t="s">
        <v>738</v>
      </c>
      <c r="G36" s="1055" t="s">
        <v>219</v>
      </c>
      <c r="H36" s="1060"/>
      <c r="I36" s="1060"/>
      <c r="J36" s="1060"/>
      <c r="K36" s="1060"/>
      <c r="L36" s="1174" t="s">
        <v>289</v>
      </c>
      <c r="M36" s="1060"/>
      <c r="N36" s="1061" t="s">
        <v>7656</v>
      </c>
      <c r="O36" s="1060"/>
      <c r="P36" s="1103"/>
      <c r="Q36" s="1066"/>
      <c r="R36" s="1066"/>
      <c r="S36" s="1065" t="s">
        <v>7657</v>
      </c>
      <c r="T36" s="1066"/>
      <c r="U36" s="1066"/>
      <c r="V36" s="1066"/>
      <c r="W36" s="1103"/>
      <c r="X36" s="1141"/>
      <c r="Y36" s="1141"/>
      <c r="Z36" s="1141"/>
      <c r="AA36" s="1207" t="s">
        <v>6636</v>
      </c>
      <c r="AB36" s="1110" t="s">
        <v>7658</v>
      </c>
      <c r="AC36" s="1141"/>
      <c r="AD36" s="1141"/>
      <c r="AE36" s="1141"/>
      <c r="AF36" s="1141"/>
      <c r="AG36" s="1141"/>
      <c r="AH36" s="1198" t="s">
        <v>7659</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7660</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7661</v>
      </c>
      <c r="BX36" s="1103"/>
      <c r="BY36" s="1097"/>
      <c r="BZ36" s="1199" t="s">
        <v>2696</v>
      </c>
      <c r="CA36" s="1123"/>
      <c r="CB36" s="1123"/>
      <c r="CC36" s="1123"/>
      <c r="CD36" s="1097"/>
      <c r="CE36" s="1097"/>
      <c r="CF36" s="1096" t="s">
        <v>7662</v>
      </c>
      <c r="CG36" s="1097"/>
      <c r="CH36" s="1097"/>
      <c r="CI36" s="1122" t="s">
        <v>4917</v>
      </c>
      <c r="CJ36" s="1123"/>
      <c r="CK36" s="1123"/>
    </row>
    <row r="37">
      <c r="A37" s="1221" t="s">
        <v>3234</v>
      </c>
      <c r="B37" s="1055" t="s">
        <v>3160</v>
      </c>
      <c r="C37" s="1056" t="s">
        <v>738</v>
      </c>
      <c r="D37" s="1057" t="s">
        <v>1415</v>
      </c>
      <c r="E37" s="1058" t="s">
        <v>1415</v>
      </c>
      <c r="F37" s="1059" t="s">
        <v>828</v>
      </c>
      <c r="G37" s="1055" t="s">
        <v>3650</v>
      </c>
      <c r="H37" s="1061" t="s">
        <v>927</v>
      </c>
      <c r="I37" s="1060"/>
      <c r="J37" s="1060"/>
      <c r="K37" s="1060"/>
      <c r="L37" s="1060"/>
      <c r="M37" s="1060"/>
      <c r="N37" s="1100" t="s">
        <v>7663</v>
      </c>
      <c r="O37" s="1060"/>
      <c r="P37" s="1103"/>
      <c r="Q37" s="1066"/>
      <c r="R37" s="1066"/>
      <c r="S37" s="1172" t="s">
        <v>2842</v>
      </c>
      <c r="T37" s="1066"/>
      <c r="U37" s="1066"/>
      <c r="V37" s="1065" t="s">
        <v>7664</v>
      </c>
      <c r="W37" s="1103"/>
      <c r="X37" s="1141"/>
      <c r="Y37" s="1141"/>
      <c r="Z37" s="1070" t="s">
        <v>7416</v>
      </c>
      <c r="AA37" s="1140" t="s">
        <v>604</v>
      </c>
      <c r="AB37" s="1141"/>
      <c r="AC37" s="1141"/>
      <c r="AD37" s="1070" t="s">
        <v>4850</v>
      </c>
      <c r="AE37" s="1070" t="s">
        <v>747</v>
      </c>
      <c r="AF37" s="1141"/>
      <c r="AG37" s="1141"/>
      <c r="AH37" s="1208" t="s">
        <v>7665</v>
      </c>
      <c r="AI37" s="1103"/>
      <c r="AJ37" s="1077"/>
      <c r="AK37" s="1077"/>
      <c r="AL37" s="1077"/>
      <c r="AM37" s="1076" t="s">
        <v>7666</v>
      </c>
      <c r="AN37" s="1077"/>
      <c r="AO37" s="1077"/>
      <c r="AP37" s="1077"/>
      <c r="AQ37" s="1077"/>
      <c r="AR37" s="1077"/>
      <c r="AS37" s="1077"/>
      <c r="AT37" s="1112"/>
      <c r="AU37" s="1077"/>
      <c r="AV37" s="1077"/>
      <c r="AW37" s="1077"/>
      <c r="AX37" s="1077"/>
      <c r="AY37" s="1076" t="s">
        <v>7667</v>
      </c>
      <c r="AZ37" s="1064"/>
      <c r="BA37" s="1166"/>
      <c r="BB37" s="1166"/>
      <c r="BC37" s="1166"/>
      <c r="BD37" s="1116" t="s">
        <v>7668</v>
      </c>
      <c r="BE37" s="1116" t="s">
        <v>7669</v>
      </c>
      <c r="BF37" s="1064"/>
      <c r="BG37" s="1087" t="s">
        <v>1301</v>
      </c>
      <c r="BH37" s="1089"/>
      <c r="BI37" s="1089"/>
      <c r="BJ37" s="1145"/>
      <c r="BK37" s="1089"/>
      <c r="BL37" s="1087" t="s">
        <v>7670</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7671</v>
      </c>
      <c r="B38" s="1055" t="s">
        <v>7672</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5336</v>
      </c>
      <c r="U38" s="1066"/>
      <c r="V38" s="1160" t="s">
        <v>7673</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6355</v>
      </c>
      <c r="B39" s="1055" t="s">
        <v>7674</v>
      </c>
      <c r="C39" s="1056" t="s">
        <v>1415</v>
      </c>
      <c r="D39" s="1057" t="s">
        <v>1415</v>
      </c>
      <c r="E39" s="1058" t="s">
        <v>1415</v>
      </c>
      <c r="F39" s="1059" t="s">
        <v>543</v>
      </c>
      <c r="G39" s="1055" t="s">
        <v>828</v>
      </c>
      <c r="H39" s="812"/>
      <c r="I39" s="812"/>
      <c r="J39" s="812"/>
      <c r="K39" s="812"/>
      <c r="L39" s="812"/>
      <c r="M39" s="1225"/>
      <c r="N39" s="812"/>
      <c r="O39" s="1060"/>
      <c r="P39" s="1103"/>
      <c r="Q39" s="1066"/>
      <c r="R39" s="1225"/>
      <c r="S39" s="1225"/>
      <c r="T39" s="1225"/>
      <c r="U39" s="1225"/>
      <c r="V39" s="1225"/>
      <c r="W39" s="1226"/>
      <c r="X39" s="799" t="s">
        <v>1161</v>
      </c>
      <c r="Y39" s="812" t="s">
        <v>7675</v>
      </c>
      <c r="Z39" s="812"/>
      <c r="AA39" s="812"/>
      <c r="AB39" s="799" t="s">
        <v>5007</v>
      </c>
      <c r="AC39" s="812"/>
      <c r="AD39" s="1225"/>
      <c r="AE39" s="1225"/>
      <c r="AF39" s="1225"/>
      <c r="AG39" s="799" t="s">
        <v>7676</v>
      </c>
      <c r="AH39" s="1075"/>
      <c r="AI39" s="1103"/>
      <c r="AJ39" s="1077"/>
      <c r="AK39" s="1225"/>
      <c r="AL39" s="1225"/>
      <c r="AM39" s="1225"/>
      <c r="AN39" s="1225"/>
      <c r="AO39" s="1225"/>
      <c r="AP39" s="1225"/>
      <c r="AQ39" s="1225"/>
      <c r="AR39" s="1225"/>
      <c r="AS39" s="1225"/>
      <c r="AT39" s="1225"/>
      <c r="AU39" s="1225"/>
      <c r="AV39" s="1225"/>
      <c r="AW39" s="812"/>
      <c r="AX39" s="1225"/>
      <c r="AY39" s="1077"/>
      <c r="AZ39" s="1064"/>
      <c r="BA39" s="1166"/>
      <c r="BB39" s="1225"/>
      <c r="BC39" s="1225"/>
      <c r="BD39" s="1225"/>
      <c r="BE39" s="1225"/>
      <c r="BF39" s="1064"/>
      <c r="BG39" s="1089"/>
      <c r="BH39" s="1225"/>
      <c r="BI39" s="1225"/>
      <c r="BJ39" s="812"/>
      <c r="BK39" s="1225"/>
      <c r="BL39" s="1225"/>
      <c r="BM39" s="1089"/>
      <c r="BN39" s="1103"/>
      <c r="BO39" s="1091"/>
      <c r="BP39" s="1225"/>
      <c r="BQ39" s="1225"/>
      <c r="BR39" s="1225"/>
      <c r="BS39" s="1225"/>
      <c r="BT39" s="1225"/>
      <c r="BU39" s="812"/>
      <c r="BV39" s="812"/>
      <c r="BW39" s="1091"/>
      <c r="BX39" s="1103"/>
      <c r="BY39" s="1097"/>
      <c r="BZ39" s="1225"/>
      <c r="CA39" s="1225"/>
      <c r="CB39" s="1225"/>
      <c r="CC39" s="1225"/>
      <c r="CD39" s="1225"/>
      <c r="CE39" s="1225"/>
      <c r="CF39" s="1225"/>
      <c r="CG39" s="1225"/>
      <c r="CH39" s="1225"/>
      <c r="CI39" s="1225"/>
      <c r="CJ39" s="812"/>
      <c r="CK39" s="1225"/>
    </row>
    <row r="40">
      <c r="A40" s="1227" t="s">
        <v>7677</v>
      </c>
      <c r="B40" s="1055" t="s">
        <v>2095</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5948</v>
      </c>
      <c r="AF40" s="1141"/>
      <c r="AG40" s="1141"/>
      <c r="AH40" s="1075"/>
      <c r="AI40" s="1103"/>
      <c r="AJ40" s="1077"/>
      <c r="AK40" s="1077"/>
      <c r="AL40" s="1077"/>
      <c r="AM40" s="1081" t="s">
        <v>4507</v>
      </c>
      <c r="AN40" s="1114" t="s">
        <v>4036</v>
      </c>
      <c r="AO40" s="1077"/>
      <c r="AP40" s="1077"/>
      <c r="AQ40" s="1077"/>
      <c r="AR40" s="1077"/>
      <c r="AS40" s="1077"/>
      <c r="AT40" s="1112"/>
      <c r="AU40" s="1077"/>
      <c r="AV40" s="1077"/>
      <c r="AW40" s="1077"/>
      <c r="AX40" s="1077"/>
      <c r="AY40" s="1077"/>
      <c r="AZ40" s="1064"/>
      <c r="BA40" s="1166"/>
      <c r="BB40" s="1166"/>
      <c r="BC40" s="1166"/>
      <c r="BD40" s="1166"/>
      <c r="BE40" s="1166"/>
      <c r="BF40" s="1064"/>
      <c r="BG40" s="1086" t="s">
        <v>7678</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4434</v>
      </c>
      <c r="B41" s="1055" t="s">
        <v>5083</v>
      </c>
      <c r="C41" s="1056" t="s">
        <v>1415</v>
      </c>
      <c r="D41" s="1057" t="s">
        <v>1415</v>
      </c>
      <c r="E41" s="1058" t="s">
        <v>1415</v>
      </c>
      <c r="F41" s="1059" t="s">
        <v>1415</v>
      </c>
      <c r="G41" s="1055" t="s">
        <v>333</v>
      </c>
      <c r="H41" s="1060"/>
      <c r="I41" s="1060"/>
      <c r="J41" s="1061" t="s">
        <v>7679</v>
      </c>
      <c r="K41" s="1061"/>
      <c r="L41" s="1061"/>
      <c r="M41" s="1061" t="s">
        <v>7680</v>
      </c>
      <c r="N41" s="1060"/>
      <c r="O41" s="1061" t="s">
        <v>7681</v>
      </c>
      <c r="P41" s="1103"/>
      <c r="Q41" s="1066"/>
      <c r="R41" s="1065" t="s">
        <v>6950</v>
      </c>
      <c r="S41" s="1066"/>
      <c r="T41" s="1066"/>
      <c r="U41" s="1066"/>
      <c r="V41" s="1065" t="s">
        <v>7682</v>
      </c>
      <c r="W41" s="1103"/>
      <c r="X41" s="1141"/>
      <c r="Y41" s="1141"/>
      <c r="Z41" s="1141"/>
      <c r="AA41" s="1207" t="s">
        <v>7683</v>
      </c>
      <c r="AB41" s="1070" t="s">
        <v>7684</v>
      </c>
      <c r="AC41" s="1141"/>
      <c r="AD41" s="1141"/>
      <c r="AE41" s="1141"/>
      <c r="AF41" s="1141"/>
      <c r="AG41" s="1070" t="s">
        <v>7685</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7686</v>
      </c>
      <c r="BF41" s="1064"/>
      <c r="BG41" s="1089"/>
      <c r="BH41" s="1089"/>
      <c r="BI41" s="1089"/>
      <c r="BJ41" s="1145"/>
      <c r="BK41" s="1089"/>
      <c r="BL41" s="1089"/>
      <c r="BM41" s="1087" t="s">
        <v>7687</v>
      </c>
      <c r="BN41" s="1103"/>
      <c r="BO41" s="1091"/>
      <c r="BP41" s="1132"/>
      <c r="BQ41" s="1091"/>
      <c r="BR41" s="1091"/>
      <c r="BS41" s="1091"/>
      <c r="BT41" s="1091"/>
      <c r="BU41" s="1091"/>
      <c r="BV41" s="1092" t="s">
        <v>7161</v>
      </c>
      <c r="BW41" s="1092" t="s">
        <v>7688</v>
      </c>
      <c r="BX41" s="1103"/>
      <c r="BY41" s="1097"/>
      <c r="BZ41" s="1097"/>
      <c r="CA41" s="1123"/>
      <c r="CB41" s="1123"/>
      <c r="CC41" s="1123"/>
      <c r="CD41" s="1097"/>
      <c r="CE41" s="1097"/>
      <c r="CF41" s="1097"/>
      <c r="CG41" s="1097"/>
      <c r="CH41" s="1097"/>
      <c r="CI41" s="1097"/>
      <c r="CJ41" s="1123"/>
      <c r="CK41" s="1123"/>
    </row>
    <row r="42">
      <c r="A42" s="1228" t="s">
        <v>5298</v>
      </c>
      <c r="B42" s="1055" t="s">
        <v>5730</v>
      </c>
      <c r="C42" s="1056" t="s">
        <v>1415</v>
      </c>
      <c r="D42" s="1057" t="s">
        <v>1415</v>
      </c>
      <c r="E42" s="1058" t="s">
        <v>1415</v>
      </c>
      <c r="F42" s="1059" t="s">
        <v>543</v>
      </c>
      <c r="G42" s="1055" t="s">
        <v>219</v>
      </c>
      <c r="H42" s="1061" t="s">
        <v>2066</v>
      </c>
      <c r="I42" s="1061"/>
      <c r="J42" s="1060"/>
      <c r="K42" s="1060"/>
      <c r="L42" s="1061" t="s">
        <v>7689</v>
      </c>
      <c r="M42" s="1060"/>
      <c r="N42" s="1100" t="s">
        <v>7690</v>
      </c>
      <c r="O42" s="1060"/>
      <c r="P42" s="1103"/>
      <c r="Q42" s="1065" t="s">
        <v>7691</v>
      </c>
      <c r="R42" s="1066"/>
      <c r="S42" s="1066"/>
      <c r="T42" s="1066"/>
      <c r="U42" s="1066"/>
      <c r="V42" s="1065" t="s">
        <v>7692</v>
      </c>
      <c r="W42" s="1103"/>
      <c r="X42" s="1141"/>
      <c r="Y42" s="1141"/>
      <c r="Z42" s="1141"/>
      <c r="AA42" s="1195"/>
      <c r="AB42" s="1141"/>
      <c r="AC42" s="1141"/>
      <c r="AD42" s="1141"/>
      <c r="AE42" s="1141"/>
      <c r="AF42" s="1141"/>
      <c r="AG42" s="1141"/>
      <c r="AH42" s="1198" t="s">
        <v>7693</v>
      </c>
      <c r="AI42" s="1103"/>
      <c r="AJ42" s="1077"/>
      <c r="AK42" s="1077"/>
      <c r="AL42" s="1077"/>
      <c r="AM42" s="1077"/>
      <c r="AN42" s="1077"/>
      <c r="AO42" s="1077"/>
      <c r="AP42" s="1077"/>
      <c r="AQ42" s="1077"/>
      <c r="AR42" s="1077"/>
      <c r="AS42" s="1077"/>
      <c r="AT42" s="1112"/>
      <c r="AU42" s="1077"/>
      <c r="AV42" s="1077"/>
      <c r="AW42" s="1076" t="s">
        <v>1842</v>
      </c>
      <c r="AX42" s="1077"/>
      <c r="AY42" s="1077"/>
      <c r="AZ42" s="1064"/>
      <c r="BA42" s="1166"/>
      <c r="BB42" s="1166"/>
      <c r="BC42" s="1116" t="s">
        <v>7694</v>
      </c>
      <c r="BD42" s="1116"/>
      <c r="BE42" s="1116" t="s">
        <v>7695</v>
      </c>
      <c r="BF42" s="1064"/>
      <c r="BG42" s="1089"/>
      <c r="BH42" s="1089"/>
      <c r="BI42" s="1089"/>
      <c r="BJ42" s="1145"/>
      <c r="BK42" s="1089"/>
      <c r="BL42" s="1089"/>
      <c r="BM42" s="1089"/>
      <c r="BN42" s="1103"/>
      <c r="BO42" s="1091"/>
      <c r="BP42" s="1132"/>
      <c r="BQ42" s="1092" t="s">
        <v>3519</v>
      </c>
      <c r="BR42" s="1091"/>
      <c r="BS42" s="1091"/>
      <c r="BT42" s="1091"/>
      <c r="BU42" s="1093" t="s">
        <v>7696</v>
      </c>
      <c r="BV42" s="1091"/>
      <c r="BW42" s="1092" t="s">
        <v>7697</v>
      </c>
      <c r="BX42" s="1103"/>
      <c r="BY42" s="1097"/>
      <c r="BZ42" s="1097"/>
      <c r="CA42" s="1123"/>
      <c r="CB42" s="1123"/>
      <c r="CC42" s="1123"/>
      <c r="CD42" s="1097"/>
      <c r="CE42" s="1097"/>
      <c r="CF42" s="1097"/>
      <c r="CG42" s="1097"/>
      <c r="CH42" s="1097"/>
      <c r="CI42" s="1122" t="s">
        <v>7698</v>
      </c>
      <c r="CJ42" s="1123"/>
      <c r="CK42" s="1123"/>
    </row>
    <row r="43">
      <c r="A43" s="1054" t="s">
        <v>5773</v>
      </c>
      <c r="B43" s="1055" t="s">
        <v>2904</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7699</v>
      </c>
      <c r="BX43" s="1103"/>
      <c r="BY43" s="1097"/>
      <c r="BZ43" s="1097"/>
      <c r="CA43" s="1123"/>
      <c r="CB43" s="1123"/>
      <c r="CC43" s="1123"/>
      <c r="CD43" s="1097"/>
      <c r="CE43" s="1097"/>
      <c r="CF43" s="1097"/>
      <c r="CG43" s="1097"/>
      <c r="CH43" s="1097"/>
      <c r="CI43" s="1097"/>
      <c r="CJ43" s="1123"/>
      <c r="CK43" s="1123"/>
    </row>
    <row r="44">
      <c r="A44" s="1054" t="s">
        <v>2639</v>
      </c>
      <c r="B44" s="1055" t="s">
        <v>218</v>
      </c>
      <c r="C44" s="1056" t="s">
        <v>1415</v>
      </c>
      <c r="D44" s="1057" t="s">
        <v>1415</v>
      </c>
      <c r="E44" s="1058" t="s">
        <v>1415</v>
      </c>
      <c r="F44" s="1059" t="s">
        <v>1415</v>
      </c>
      <c r="G44" s="1055" t="s">
        <v>543</v>
      </c>
      <c r="H44" s="1060"/>
      <c r="I44" s="1060"/>
      <c r="J44" s="1060"/>
      <c r="K44" s="1060"/>
      <c r="L44" s="1229" t="s">
        <v>7700</v>
      </c>
      <c r="M44" s="1125" t="s">
        <v>2686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7701</v>
      </c>
      <c r="BF44" s="1064"/>
      <c r="BG44" s="1182" t="s">
        <v>7702</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6352</v>
      </c>
      <c r="B45" s="1055" t="s">
        <v>6005</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5198</v>
      </c>
      <c r="B46" s="1055" t="s">
        <v>6005</v>
      </c>
      <c r="C46" s="1056" t="s">
        <v>1415</v>
      </c>
      <c r="D46" s="1057" t="s">
        <v>1415</v>
      </c>
      <c r="E46" s="1058" t="s">
        <v>1415</v>
      </c>
      <c r="F46" s="1059" t="s">
        <v>1415</v>
      </c>
      <c r="G46" s="1055" t="s">
        <v>2253</v>
      </c>
      <c r="H46" s="1060"/>
      <c r="I46" s="1060"/>
      <c r="J46" s="1060"/>
      <c r="K46" s="1060"/>
      <c r="L46" s="1061" t="s">
        <v>4735</v>
      </c>
      <c r="M46" s="1060"/>
      <c r="N46" s="1061" t="s">
        <v>7703</v>
      </c>
      <c r="O46" s="1060"/>
      <c r="P46" s="1103"/>
      <c r="Q46" s="1066"/>
      <c r="R46" s="1066"/>
      <c r="S46" s="1066"/>
      <c r="T46" s="1066"/>
      <c r="U46" s="1065"/>
      <c r="V46" s="1065" t="s">
        <v>7704</v>
      </c>
      <c r="W46" s="1103"/>
      <c r="X46" s="1141"/>
      <c r="Y46" s="1141"/>
      <c r="Z46" s="1108" t="s">
        <v>7705</v>
      </c>
      <c r="AA46" s="1195"/>
      <c r="AB46" s="1070" t="s">
        <v>815</v>
      </c>
      <c r="AC46" s="1141"/>
      <c r="AD46" s="1141"/>
      <c r="AE46" s="1141"/>
      <c r="AF46" s="1141"/>
      <c r="AG46" s="1070" t="s">
        <v>7706</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7707</v>
      </c>
      <c r="BF46" s="1064"/>
      <c r="BG46" s="1089"/>
      <c r="BH46" s="1089"/>
      <c r="BI46" s="1089"/>
      <c r="BJ46" s="1145"/>
      <c r="BK46" s="1089"/>
      <c r="BL46" s="1089"/>
      <c r="BM46" s="1089"/>
      <c r="BN46" s="1103"/>
      <c r="BO46" s="1092" t="s">
        <v>7708</v>
      </c>
      <c r="BP46" s="1132"/>
      <c r="BQ46" s="1091"/>
      <c r="BR46" s="1091"/>
      <c r="BS46" s="1091"/>
      <c r="BT46" s="1091"/>
      <c r="BU46" s="1091"/>
      <c r="BV46" s="1091"/>
      <c r="BW46" s="1147" t="s">
        <v>7709</v>
      </c>
      <c r="BX46" s="1103"/>
      <c r="BY46" s="1097"/>
      <c r="BZ46" s="1097"/>
      <c r="CA46" s="1123"/>
      <c r="CB46" s="1123"/>
      <c r="CC46" s="1123"/>
      <c r="CD46" s="1097"/>
      <c r="CE46" s="1097"/>
      <c r="CF46" s="1097"/>
      <c r="CG46" s="1097"/>
      <c r="CH46" s="1097"/>
      <c r="CI46" s="1097"/>
      <c r="CJ46" s="1123"/>
      <c r="CK46" s="1123"/>
    </row>
    <row r="47">
      <c r="A47" s="1054" t="s">
        <v>6353</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7710</v>
      </c>
      <c r="W47" s="1103"/>
      <c r="X47" s="1141"/>
      <c r="Y47" s="1141"/>
      <c r="Z47" s="1141"/>
      <c r="AA47" s="1195"/>
      <c r="AB47" s="1141"/>
      <c r="AC47" s="1141"/>
      <c r="AD47" s="1141"/>
      <c r="AE47" s="1141"/>
      <c r="AF47" s="1141"/>
      <c r="AG47" s="1141"/>
      <c r="AH47" s="1198" t="s">
        <v>7711</v>
      </c>
      <c r="AI47" s="1103"/>
      <c r="AJ47" s="1077"/>
      <c r="AK47" s="1077"/>
      <c r="AL47" s="1077"/>
      <c r="AM47" s="1077"/>
      <c r="AN47" s="1077"/>
      <c r="AO47" s="1077"/>
      <c r="AP47" s="1077"/>
      <c r="AQ47" s="1077"/>
      <c r="AR47" s="1077"/>
      <c r="AS47" s="1077"/>
      <c r="AT47" s="1112"/>
      <c r="AU47" s="1077"/>
      <c r="AV47" s="1077"/>
      <c r="AW47" s="1077"/>
      <c r="AX47" s="1077"/>
      <c r="AY47" s="1198" t="s">
        <v>7712</v>
      </c>
      <c r="AZ47" s="1064"/>
      <c r="BA47" s="1166"/>
      <c r="BB47" s="1166"/>
      <c r="BC47" s="1166"/>
      <c r="BD47" s="1166"/>
      <c r="BE47" s="1198" t="s">
        <v>7713</v>
      </c>
      <c r="BF47" s="1064"/>
      <c r="BG47" s="1089"/>
      <c r="BH47" s="1089"/>
      <c r="BI47" s="1089"/>
      <c r="BJ47" s="1145"/>
      <c r="BK47" s="1089"/>
      <c r="BL47" s="1198" t="s">
        <v>7714</v>
      </c>
      <c r="BM47" s="1087"/>
      <c r="BN47" s="1103"/>
      <c r="BO47" s="1091"/>
      <c r="BP47" s="1132"/>
      <c r="BQ47" s="1091"/>
      <c r="BR47" s="1091"/>
      <c r="BS47" s="1091"/>
      <c r="BT47" s="1091"/>
      <c r="BU47" s="1091"/>
      <c r="BV47" s="1091"/>
      <c r="BW47" s="1198" t="s">
        <v>7715</v>
      </c>
      <c r="BX47" s="1103"/>
      <c r="BY47" s="1097"/>
      <c r="BZ47" s="1097"/>
      <c r="CA47" s="1123"/>
      <c r="CB47" s="1123"/>
      <c r="CC47" s="1123"/>
      <c r="CD47" s="1097"/>
      <c r="CE47" s="1097"/>
      <c r="CF47" s="1097"/>
      <c r="CG47" s="1097"/>
      <c r="CH47" s="1097"/>
      <c r="CI47" s="1097"/>
      <c r="CJ47" s="1123"/>
      <c r="CK47" s="1123"/>
    </row>
    <row r="48">
      <c r="A48" s="1204" t="s">
        <v>7716</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7717</v>
      </c>
      <c r="AA48" s="1141"/>
      <c r="AB48" s="1161" t="s">
        <v>7718</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7719</v>
      </c>
      <c r="B49" s="1055" t="s">
        <v>987</v>
      </c>
      <c r="C49" s="1056" t="s">
        <v>1415</v>
      </c>
      <c r="D49" s="1057" t="s">
        <v>1415</v>
      </c>
      <c r="E49" s="1058" t="s">
        <v>1415</v>
      </c>
      <c r="F49" s="1059" t="s">
        <v>1415</v>
      </c>
      <c r="G49" s="1055" t="s">
        <v>543</v>
      </c>
      <c r="H49" s="1060"/>
      <c r="I49" s="1060"/>
      <c r="J49" s="1060"/>
      <c r="K49" s="1060"/>
      <c r="L49" s="1060"/>
      <c r="M49" s="1060"/>
      <c r="N49" s="1061" t="s">
        <v>7720</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7721</v>
      </c>
      <c r="BF49" s="1064"/>
      <c r="BG49" s="1089"/>
      <c r="BH49" s="1089"/>
      <c r="BI49" s="1089"/>
      <c r="BJ49" s="1145"/>
      <c r="BK49" s="1089"/>
      <c r="BL49" s="1089"/>
      <c r="BM49" s="1089"/>
      <c r="BN49" s="1103"/>
      <c r="BO49" s="1091"/>
      <c r="BP49" s="1132"/>
      <c r="BQ49" s="1091"/>
      <c r="BR49" s="1091"/>
      <c r="BS49" s="1091"/>
      <c r="BT49" s="1091"/>
      <c r="BU49" s="1091"/>
      <c r="BV49" s="1091"/>
      <c r="BW49" s="1092" t="s">
        <v>7722</v>
      </c>
      <c r="BX49" s="1103"/>
      <c r="BY49" s="1097"/>
      <c r="BZ49" s="1097"/>
      <c r="CA49" s="1123"/>
      <c r="CB49" s="1123"/>
      <c r="CC49" s="1123"/>
      <c r="CD49" s="1097"/>
      <c r="CE49" s="1097"/>
      <c r="CF49" s="1097"/>
      <c r="CG49" s="1097"/>
      <c r="CH49" s="1097"/>
      <c r="CI49" s="1097"/>
      <c r="CJ49" s="1123"/>
      <c r="CK49" s="1123"/>
    </row>
    <row r="50">
      <c r="A50" s="1054" t="s">
        <v>3807</v>
      </c>
      <c r="B50" s="1055" t="s">
        <v>2253</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7723</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3477</v>
      </c>
      <c r="B51" s="1055" t="s">
        <v>2253</v>
      </c>
      <c r="C51" s="1056" t="s">
        <v>1415</v>
      </c>
      <c r="D51" s="1057" t="s">
        <v>1415</v>
      </c>
      <c r="E51" s="1058" t="s">
        <v>1415</v>
      </c>
      <c r="F51" s="1059" t="s">
        <v>738</v>
      </c>
      <c r="G51" s="1055" t="s">
        <v>543</v>
      </c>
      <c r="H51" s="1060"/>
      <c r="I51" s="1060"/>
      <c r="J51" s="1060"/>
      <c r="K51" s="1060"/>
      <c r="L51" s="1060"/>
      <c r="M51" s="1060"/>
      <c r="N51" s="1060"/>
      <c r="O51" s="1060"/>
      <c r="P51" s="1103"/>
      <c r="Q51" s="1065" t="s">
        <v>5937</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7724</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6178</v>
      </c>
      <c r="B52" s="1055" t="s">
        <v>3389</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1977</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7725</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5700</v>
      </c>
      <c r="AL53" s="1076" t="s">
        <v>7726</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1790</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7727</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5286</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7728</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6024</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7729</v>
      </c>
      <c r="W56" s="1103"/>
      <c r="X56" s="1141"/>
      <c r="Y56" s="1141"/>
      <c r="Z56" s="1141"/>
      <c r="AA56" s="1195"/>
      <c r="AB56" s="1141"/>
      <c r="AC56" s="1141"/>
      <c r="AD56" s="1141"/>
      <c r="AE56" s="1141"/>
      <c r="AF56" s="1141"/>
      <c r="AG56" s="1141"/>
      <c r="AH56" s="1198" t="s">
        <v>7730</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7731</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5973</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4628</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7732</v>
      </c>
      <c r="B58" s="1055" t="s">
        <v>543</v>
      </c>
      <c r="C58" s="1056" t="s">
        <v>1415</v>
      </c>
      <c r="D58" s="1057" t="s">
        <v>1415</v>
      </c>
      <c r="E58" s="1058" t="s">
        <v>1415</v>
      </c>
      <c r="F58" s="1059" t="s">
        <v>438</v>
      </c>
      <c r="G58" s="1055" t="s">
        <v>438</v>
      </c>
      <c r="H58" s="1060"/>
      <c r="I58" s="1060"/>
      <c r="J58" s="1060"/>
      <c r="K58" s="1060"/>
      <c r="L58" s="1100" t="s">
        <v>7733</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7070</v>
      </c>
      <c r="BV58" s="1091"/>
      <c r="BW58" s="1091"/>
      <c r="BX58" s="1103"/>
      <c r="BY58" s="1097"/>
      <c r="BZ58" s="1097"/>
      <c r="CA58" s="1123"/>
      <c r="CB58" s="1123"/>
      <c r="CC58" s="1123"/>
      <c r="CD58" s="1097"/>
      <c r="CE58" s="1097"/>
      <c r="CF58" s="1097"/>
      <c r="CG58" s="1097"/>
      <c r="CH58" s="1097"/>
      <c r="CI58" s="1097"/>
      <c r="CJ58" s="1123"/>
      <c r="CK58" s="1123"/>
    </row>
    <row r="59">
      <c r="A59" s="1054" t="s">
        <v>7734</v>
      </c>
      <c r="B59" s="1055" t="s">
        <v>738</v>
      </c>
      <c r="C59" s="1056" t="s">
        <v>1415</v>
      </c>
      <c r="D59" s="1057" t="s">
        <v>1415</v>
      </c>
      <c r="E59" s="1058" t="s">
        <v>1415</v>
      </c>
      <c r="F59" s="1059" t="s">
        <v>1415</v>
      </c>
      <c r="G59" s="1055" t="s">
        <v>738</v>
      </c>
      <c r="H59" s="1061" t="s">
        <v>3933</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3918</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6780</v>
      </c>
      <c r="Z1" s="33" t="s">
        <v>6839</v>
      </c>
      <c r="AC1" s="34" t="s">
        <v>42</v>
      </c>
      <c r="AF1" s="1241"/>
      <c r="AG1" s="1241"/>
    </row>
    <row r="2" ht="38.25" customHeight="1">
      <c r="A2" s="35" t="s">
        <v>43</v>
      </c>
      <c r="B2" s="36" t="s">
        <v>44</v>
      </c>
      <c r="C2" s="36" t="s">
        <v>45</v>
      </c>
      <c r="F2" s="36" t="s">
        <v>7736</v>
      </c>
      <c r="H2" s="1242"/>
      <c r="I2" s="1242"/>
      <c r="J2" s="1242"/>
      <c r="K2" s="1243" t="s">
        <v>7737</v>
      </c>
      <c r="L2" s="1243" t="s">
        <v>7738</v>
      </c>
      <c r="M2" s="1243" t="s">
        <v>7739</v>
      </c>
      <c r="N2" s="1244" t="s">
        <v>54</v>
      </c>
      <c r="O2" s="1244"/>
      <c r="P2" s="1244"/>
      <c r="Q2" s="42" t="s">
        <v>48</v>
      </c>
      <c r="R2" s="42" t="s">
        <v>7740</v>
      </c>
      <c r="S2" s="42"/>
      <c r="T2" s="44" t="s">
        <v>50</v>
      </c>
      <c r="U2" s="44" t="s">
        <v>54</v>
      </c>
      <c r="V2" s="44" t="s">
        <v>62</v>
      </c>
      <c r="W2" s="45" t="s">
        <v>52</v>
      </c>
      <c r="X2" s="45"/>
      <c r="Y2" s="45"/>
      <c r="Z2" s="47" t="s">
        <v>51</v>
      </c>
      <c r="AA2" s="1245" t="s">
        <v>7741</v>
      </c>
      <c r="AB2" s="47"/>
      <c r="AC2" s="1246" t="s">
        <v>7742</v>
      </c>
      <c r="AD2" s="1246"/>
      <c r="AE2" s="1246"/>
      <c r="AF2" s="1247"/>
      <c r="AG2" s="1247"/>
    </row>
    <row r="3">
      <c r="A3" s="1248" t="s">
        <v>4230</v>
      </c>
      <c r="B3" s="1249" t="s">
        <v>6017</v>
      </c>
      <c r="C3" s="1250" t="s">
        <v>738</v>
      </c>
      <c r="D3" s="1251" t="s">
        <v>738</v>
      </c>
      <c r="E3" s="1252" t="s">
        <v>438</v>
      </c>
      <c r="F3" s="1253" t="s">
        <v>828</v>
      </c>
      <c r="G3" s="1249" t="s">
        <v>828</v>
      </c>
      <c r="H3" s="1254"/>
      <c r="I3" s="1255"/>
      <c r="J3" s="1256"/>
      <c r="K3" s="1257"/>
      <c r="L3" s="1225"/>
      <c r="M3" s="1225"/>
      <c r="N3" s="1225"/>
      <c r="O3" s="1258"/>
      <c r="P3" s="1258"/>
      <c r="Q3" s="1259" t="s">
        <v>5992</v>
      </c>
      <c r="R3" s="1260"/>
      <c r="S3" s="1260"/>
      <c r="T3" s="1261" t="s">
        <v>6721</v>
      </c>
      <c r="U3" s="1258"/>
      <c r="V3" s="1258"/>
      <c r="W3" s="1261" t="s">
        <v>7743</v>
      </c>
      <c r="X3" s="1258"/>
      <c r="Y3" s="1258"/>
      <c r="Z3" s="1262" t="s">
        <v>7744</v>
      </c>
      <c r="AA3" s="1258"/>
      <c r="AB3" s="1225"/>
      <c r="AC3" s="1258"/>
      <c r="AD3" s="1258"/>
      <c r="AE3" s="1258"/>
      <c r="AF3" s="1263"/>
      <c r="AG3" s="1263"/>
    </row>
    <row r="4">
      <c r="A4" s="1264" t="s">
        <v>5298</v>
      </c>
      <c r="B4" s="1249" t="s">
        <v>988</v>
      </c>
      <c r="C4" s="1250" t="s">
        <v>738</v>
      </c>
      <c r="D4" s="1251" t="s">
        <v>738</v>
      </c>
      <c r="E4" s="1252" t="s">
        <v>738</v>
      </c>
      <c r="F4" s="1253" t="s">
        <v>828</v>
      </c>
      <c r="G4" s="1249" t="s">
        <v>828</v>
      </c>
      <c r="H4" s="1258"/>
      <c r="I4" s="92"/>
      <c r="J4" s="101"/>
      <c r="K4" s="1225"/>
      <c r="L4" s="1225"/>
      <c r="M4" s="1225"/>
      <c r="N4" s="1225"/>
      <c r="O4" s="1258"/>
      <c r="P4" s="1258"/>
      <c r="Q4" s="1265" t="s">
        <v>5868</v>
      </c>
      <c r="R4" s="1225"/>
      <c r="S4" s="1225"/>
      <c r="T4" s="1266" t="s">
        <v>2105</v>
      </c>
      <c r="U4" s="1258"/>
      <c r="V4" s="1258"/>
      <c r="W4" s="1259" t="s">
        <v>7745</v>
      </c>
      <c r="X4" s="1258"/>
      <c r="Y4" s="1258"/>
      <c r="Z4" s="799" t="s">
        <v>1244</v>
      </c>
      <c r="AA4" s="1258"/>
      <c r="AB4" s="1225"/>
      <c r="AC4" s="1258"/>
      <c r="AD4" s="1258"/>
      <c r="AE4" s="1258"/>
      <c r="AF4" s="1263"/>
      <c r="AG4" s="1263"/>
    </row>
    <row r="5">
      <c r="A5" s="1248" t="s">
        <v>3986</v>
      </c>
      <c r="B5" s="1249" t="s">
        <v>333</v>
      </c>
      <c r="C5" s="1250" t="s">
        <v>1415</v>
      </c>
      <c r="D5" s="1251" t="s">
        <v>738</v>
      </c>
      <c r="E5" s="1252" t="s">
        <v>1415</v>
      </c>
      <c r="F5" s="1253" t="s">
        <v>543</v>
      </c>
      <c r="G5" s="1249" t="s">
        <v>332</v>
      </c>
      <c r="H5" s="1258"/>
      <c r="I5" s="92"/>
      <c r="J5" s="101"/>
      <c r="K5" s="1225"/>
      <c r="L5" s="1225"/>
      <c r="M5" s="1225"/>
      <c r="N5" s="1225"/>
      <c r="O5" s="1258"/>
      <c r="P5" s="1258"/>
      <c r="Q5" s="1266" t="s">
        <v>4552</v>
      </c>
      <c r="R5" s="1267" t="s">
        <v>1660</v>
      </c>
      <c r="S5" s="1225"/>
      <c r="T5" s="799" t="s">
        <v>1043</v>
      </c>
      <c r="U5" s="1258"/>
      <c r="V5" s="1258"/>
      <c r="W5" s="799" t="s">
        <v>7746</v>
      </c>
      <c r="X5" s="1258"/>
      <c r="Y5" s="1258"/>
      <c r="Z5" s="1268" t="s">
        <v>7747</v>
      </c>
      <c r="AA5" s="1258"/>
      <c r="AB5" s="1225"/>
      <c r="AC5" s="1258"/>
      <c r="AD5" s="1258"/>
      <c r="AE5" s="1258"/>
      <c r="AF5" s="1263"/>
      <c r="AG5" s="1263"/>
    </row>
    <row r="6">
      <c r="A6" s="1248" t="s">
        <v>2453</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5" t="s">
        <v>7595</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2"/>
      <c r="N7" s="1270"/>
      <c r="O7" s="1258"/>
      <c r="P7" s="1258"/>
      <c r="Q7" s="1258"/>
      <c r="R7" s="1266" t="s">
        <v>7748</v>
      </c>
      <c r="S7" s="1225"/>
      <c r="T7" s="1258"/>
      <c r="U7" s="1258"/>
      <c r="V7" s="1258"/>
      <c r="W7" s="1225"/>
      <c r="X7" s="1258"/>
      <c r="Y7" s="1258"/>
      <c r="Z7" s="1259" t="s">
        <v>7749</v>
      </c>
      <c r="AA7" s="1259" t="s">
        <v>6154</v>
      </c>
      <c r="AB7" s="1225"/>
      <c r="AC7" s="1258"/>
      <c r="AD7" s="1258"/>
      <c r="AE7" s="1258"/>
      <c r="AF7" s="1263"/>
      <c r="AG7" s="1263"/>
    </row>
    <row r="8">
      <c r="A8" s="1230" t="s">
        <v>7719</v>
      </c>
      <c r="B8" s="1249" t="s">
        <v>2253</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3241</v>
      </c>
      <c r="W9" s="1225"/>
      <c r="X9" s="1258"/>
      <c r="Y9" s="1258"/>
      <c r="Z9" s="1225"/>
      <c r="AA9" s="1258"/>
      <c r="AB9" s="1225"/>
      <c r="AC9" s="1266" t="s">
        <v>7750</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6694</v>
      </c>
      <c r="AD10" s="1258"/>
      <c r="AE10" s="1258"/>
      <c r="AF10" s="1263"/>
      <c r="AG10" s="1263"/>
    </row>
    <row r="11">
      <c r="A11" s="1230" t="s">
        <v>4492</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7751</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7752</v>
      </c>
      <c r="L12" s="1225"/>
      <c r="M12" s="1225"/>
      <c r="N12" s="1225"/>
      <c r="O12" s="1258"/>
      <c r="P12" s="1258"/>
      <c r="Q12" s="1258"/>
      <c r="R12" s="1225"/>
      <c r="S12" s="1225"/>
      <c r="T12" s="1258"/>
      <c r="U12" s="1258"/>
      <c r="V12" s="1258"/>
      <c r="W12" s="1259" t="s">
        <v>7745</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2"/>
      <c r="M13" s="1270"/>
      <c r="N13" s="1225"/>
      <c r="O13" s="1258"/>
      <c r="P13" s="1258"/>
      <c r="Q13" s="1258"/>
      <c r="R13" s="1225"/>
      <c r="S13" s="1225"/>
      <c r="T13" s="1258"/>
      <c r="U13" s="92"/>
      <c r="V13" s="1258"/>
      <c r="W13" s="1225"/>
      <c r="X13" s="1258"/>
      <c r="Y13" s="1258"/>
      <c r="Z13" s="1225"/>
      <c r="AA13" s="1258"/>
      <c r="AB13" s="1225"/>
      <c r="AC13" s="1265" t="s">
        <v>7753</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5576</v>
      </c>
      <c r="W14" s="1225"/>
      <c r="X14" s="1258"/>
      <c r="Y14" s="1258"/>
      <c r="Z14" s="1225"/>
      <c r="AA14" s="1258"/>
      <c r="AB14" s="1225"/>
      <c r="AC14" s="1258"/>
      <c r="AD14" s="1258"/>
      <c r="AE14" s="1258"/>
      <c r="AF14" s="1263"/>
      <c r="AG14" s="1263"/>
    </row>
    <row r="15">
      <c r="A15" s="1248" t="s">
        <v>7754</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5336</v>
      </c>
      <c r="S15" s="1225"/>
      <c r="T15" s="1258"/>
      <c r="U15" s="1258"/>
      <c r="V15" s="1258"/>
      <c r="W15" s="1225"/>
      <c r="X15" s="1258"/>
      <c r="Y15" s="1258"/>
      <c r="Z15" s="1225"/>
      <c r="AA15" s="1258"/>
      <c r="AB15" s="1225"/>
      <c r="AC15" s="1258"/>
      <c r="AD15" s="1258"/>
      <c r="AE15" s="1258"/>
      <c r="AF15" s="1263"/>
      <c r="AG15" s="1263"/>
    </row>
    <row r="16">
      <c r="A16" s="1248" t="s">
        <v>3598</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5383</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3594</v>
      </c>
      <c r="R17" s="1260"/>
      <c r="S17" s="1260"/>
      <c r="T17" s="1273" t="s">
        <v>6470</v>
      </c>
      <c r="U17" s="1225"/>
      <c r="V17" s="1225"/>
      <c r="W17" s="1273" t="s">
        <v>1412</v>
      </c>
      <c r="X17" s="1257"/>
      <c r="Y17" s="1257"/>
      <c r="Z17" s="1271"/>
      <c r="AA17" s="1257"/>
      <c r="AB17" s="1257"/>
      <c r="AC17" s="812"/>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5" t="s">
        <v>7755</v>
      </c>
      <c r="AD18" s="1258"/>
      <c r="AE18" s="1258"/>
      <c r="AF18" s="1263"/>
      <c r="AG18" s="1263"/>
    </row>
    <row r="19">
      <c r="A19" s="1099" t="s">
        <v>6287</v>
      </c>
      <c r="B19" s="1249" t="s">
        <v>543</v>
      </c>
      <c r="C19" s="1250" t="s">
        <v>1415</v>
      </c>
      <c r="D19" s="1251" t="s">
        <v>1415</v>
      </c>
      <c r="E19" s="1252" t="s">
        <v>1415</v>
      </c>
      <c r="F19" s="1253" t="s">
        <v>738</v>
      </c>
      <c r="G19" s="1249" t="s">
        <v>738</v>
      </c>
      <c r="H19" s="1258"/>
      <c r="I19" s="92"/>
      <c r="J19" s="1256"/>
      <c r="K19" s="1260"/>
      <c r="L19" s="812"/>
      <c r="M19" s="1270"/>
      <c r="N19" s="1225"/>
      <c r="O19" s="1258"/>
      <c r="P19" s="1258"/>
      <c r="Q19" s="1258"/>
      <c r="R19" s="1225"/>
      <c r="S19" s="1225"/>
      <c r="T19" s="1254"/>
      <c r="U19" s="92"/>
      <c r="V19" s="1265" t="s">
        <v>7756</v>
      </c>
      <c r="W19" s="1225"/>
      <c r="X19" s="1258"/>
      <c r="Y19" s="1258"/>
      <c r="Z19" s="1225"/>
      <c r="AA19" s="1258"/>
      <c r="AB19" s="1225"/>
      <c r="AC19" s="1258"/>
      <c r="AD19" s="1258"/>
      <c r="AE19" s="1258"/>
      <c r="AF19" s="1263"/>
      <c r="AG19" s="1263"/>
    </row>
    <row r="20">
      <c r="A20" s="1248" t="s">
        <v>7757</v>
      </c>
      <c r="B20" s="1249" t="s">
        <v>543</v>
      </c>
      <c r="C20" s="1250" t="s">
        <v>438</v>
      </c>
      <c r="D20" s="1251" t="s">
        <v>1415</v>
      </c>
      <c r="E20" s="1252" t="s">
        <v>1415</v>
      </c>
      <c r="F20" s="1253" t="s">
        <v>438</v>
      </c>
      <c r="G20" s="1249" t="s">
        <v>438</v>
      </c>
      <c r="H20" s="1258"/>
      <c r="I20" s="92"/>
      <c r="J20" s="101"/>
      <c r="K20" s="1259" t="s">
        <v>7758</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1945</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5" t="s">
        <v>7759</v>
      </c>
      <c r="AD21" s="1258"/>
      <c r="AE21" s="1258"/>
      <c r="AF21" s="1263"/>
      <c r="AG21" s="1263"/>
    </row>
    <row r="22">
      <c r="A22" s="1248" t="s">
        <v>6327</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7760</v>
      </c>
      <c r="W23" s="1225"/>
      <c r="X23" s="1258"/>
      <c r="Y23" s="1258"/>
      <c r="Z23" s="1225"/>
      <c r="AA23" s="1258"/>
      <c r="AB23" s="1225"/>
      <c r="AC23" s="1258"/>
      <c r="AD23" s="1258"/>
      <c r="AE23" s="1258"/>
      <c r="AF23" s="1263"/>
      <c r="AG23" s="1263"/>
    </row>
    <row r="24">
      <c r="A24" s="1248" t="s">
        <v>2572</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7761</v>
      </c>
      <c r="V24" s="1258"/>
      <c r="W24" s="1225"/>
      <c r="X24" s="1258"/>
      <c r="Y24" s="1258"/>
      <c r="Z24" s="1225"/>
      <c r="AA24" s="1258"/>
      <c r="AB24" s="1225"/>
      <c r="AC24" s="1258"/>
      <c r="AD24" s="1258"/>
      <c r="AE24" s="1258"/>
      <c r="AF24" s="1263"/>
      <c r="AG24" s="1263"/>
    </row>
    <row r="25">
      <c r="A25" s="1230" t="s">
        <v>6097</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3" t="s">
        <v>7763</v>
      </c>
      <c r="W1" s="1284" t="s">
        <v>7764</v>
      </c>
      <c r="AM1" s="1285" t="s">
        <v>7765</v>
      </c>
      <c r="BG1" s="1286" t="s">
        <v>7766</v>
      </c>
      <c r="BQ1" s="1287" t="s">
        <v>7767</v>
      </c>
      <c r="BV1" s="1288" t="s">
        <v>7768</v>
      </c>
      <c r="CE1" s="1283" t="s">
        <v>7769</v>
      </c>
      <c r="CM1" s="1289" t="s">
        <v>7770</v>
      </c>
      <c r="CP1" s="1290" t="s">
        <v>7771</v>
      </c>
      <c r="CT1" s="1291" t="s">
        <v>7772</v>
      </c>
    </row>
    <row r="2">
      <c r="A2" s="1292" t="s">
        <v>43</v>
      </c>
      <c r="B2" s="36" t="s">
        <v>44</v>
      </c>
      <c r="C2" s="36" t="s">
        <v>45</v>
      </c>
      <c r="F2" s="36" t="s">
        <v>7773</v>
      </c>
      <c r="H2" s="1293" t="s">
        <v>7774</v>
      </c>
      <c r="I2" s="1293" t="s">
        <v>7775</v>
      </c>
      <c r="J2" s="1293" t="s">
        <v>7776</v>
      </c>
      <c r="K2" s="1293" t="s">
        <v>7777</v>
      </c>
      <c r="L2" s="1293" t="s">
        <v>7778</v>
      </c>
      <c r="M2" s="1293" t="s">
        <v>7779</v>
      </c>
      <c r="N2" s="1293" t="s">
        <v>7780</v>
      </c>
      <c r="O2" s="1293" t="s">
        <v>7781</v>
      </c>
      <c r="P2" s="1293" t="s">
        <v>7782</v>
      </c>
      <c r="Q2" s="1293" t="s">
        <v>7783</v>
      </c>
      <c r="R2" s="1293" t="s">
        <v>7784</v>
      </c>
      <c r="S2" s="1293" t="s">
        <v>7785</v>
      </c>
      <c r="T2" s="1293" t="s">
        <v>7786</v>
      </c>
      <c r="U2" s="1293" t="s">
        <v>7787</v>
      </c>
      <c r="V2" s="1293" t="s">
        <v>7788</v>
      </c>
      <c r="W2" s="1294" t="s">
        <v>7789</v>
      </c>
      <c r="X2" s="1294" t="s">
        <v>7790</v>
      </c>
      <c r="Y2" s="1294" t="s">
        <v>7791</v>
      </c>
      <c r="Z2" s="1294" t="s">
        <v>7792</v>
      </c>
      <c r="AA2" s="1294" t="s">
        <v>7793</v>
      </c>
      <c r="AB2" s="1294" t="s">
        <v>7794</v>
      </c>
      <c r="AC2" s="1294" t="s">
        <v>7795</v>
      </c>
      <c r="AD2" s="1294" t="s">
        <v>7796</v>
      </c>
      <c r="AE2" s="1294" t="s">
        <v>7797</v>
      </c>
      <c r="AF2" s="1294" t="s">
        <v>7798</v>
      </c>
      <c r="AG2" s="1294" t="s">
        <v>7799</v>
      </c>
      <c r="AH2" s="1294" t="s">
        <v>7800</v>
      </c>
      <c r="AI2" s="1294" t="s">
        <v>7801</v>
      </c>
      <c r="AJ2" s="1294" t="s">
        <v>7802</v>
      </c>
      <c r="AK2" s="1294" t="s">
        <v>7803</v>
      </c>
      <c r="AL2" s="1294" t="s">
        <v>7804</v>
      </c>
      <c r="AM2" s="1295" t="s">
        <v>7805</v>
      </c>
      <c r="AN2" s="1295" t="s">
        <v>7806</v>
      </c>
      <c r="AO2" s="1295" t="s">
        <v>7807</v>
      </c>
      <c r="AP2" s="1295" t="s">
        <v>7808</v>
      </c>
      <c r="AQ2" s="1295" t="s">
        <v>7809</v>
      </c>
      <c r="AR2" s="1295" t="s">
        <v>7810</v>
      </c>
      <c r="AS2" s="1295" t="s">
        <v>7811</v>
      </c>
      <c r="AT2" s="1295" t="s">
        <v>7812</v>
      </c>
      <c r="AU2" s="1295" t="s">
        <v>7813</v>
      </c>
      <c r="AV2" s="1295" t="s">
        <v>7814</v>
      </c>
      <c r="AW2" s="1295" t="s">
        <v>7815</v>
      </c>
      <c r="AX2" s="1295" t="s">
        <v>7816</v>
      </c>
      <c r="AY2" s="1295" t="s">
        <v>7817</v>
      </c>
      <c r="AZ2" s="1295" t="s">
        <v>7818</v>
      </c>
      <c r="BA2" s="1295" t="s">
        <v>7819</v>
      </c>
      <c r="BB2" s="1295" t="s">
        <v>7820</v>
      </c>
      <c r="BC2" s="1295" t="s">
        <v>7821</v>
      </c>
      <c r="BD2" s="1295" t="s">
        <v>7822</v>
      </c>
      <c r="BE2" s="1295" t="s">
        <v>7823</v>
      </c>
      <c r="BF2" s="1295" t="s">
        <v>7824</v>
      </c>
      <c r="BG2" s="1296" t="s">
        <v>7825</v>
      </c>
      <c r="BH2" s="1296" t="s">
        <v>7826</v>
      </c>
      <c r="BI2" s="1296" t="s">
        <v>7827</v>
      </c>
      <c r="BJ2" s="1296" t="s">
        <v>7828</v>
      </c>
      <c r="BK2" s="1296" t="s">
        <v>7829</v>
      </c>
      <c r="BL2" s="1296" t="s">
        <v>7830</v>
      </c>
      <c r="BM2" s="1296" t="s">
        <v>7831</v>
      </c>
      <c r="BN2" s="1296" t="s">
        <v>7832</v>
      </c>
      <c r="BO2" s="1296" t="s">
        <v>7833</v>
      </c>
      <c r="BP2" s="1296" t="s">
        <v>7834</v>
      </c>
      <c r="BQ2" s="1297" t="s">
        <v>7835</v>
      </c>
      <c r="BR2" s="1297" t="s">
        <v>7836</v>
      </c>
      <c r="BS2" s="1297" t="s">
        <v>7837</v>
      </c>
      <c r="BT2" s="1297" t="s">
        <v>7838</v>
      </c>
      <c r="BU2" s="1297" t="s">
        <v>7839</v>
      </c>
      <c r="BV2" s="1298" t="s">
        <v>7840</v>
      </c>
      <c r="BW2" s="1298" t="s">
        <v>7841</v>
      </c>
      <c r="BX2" s="1298" t="s">
        <v>7842</v>
      </c>
      <c r="BY2" s="1298" t="s">
        <v>7843</v>
      </c>
      <c r="BZ2" s="1298" t="s">
        <v>7844</v>
      </c>
      <c r="CA2" s="1298" t="s">
        <v>7845</v>
      </c>
      <c r="CB2" s="1298" t="s">
        <v>7846</v>
      </c>
      <c r="CC2" s="1298" t="s">
        <v>7847</v>
      </c>
      <c r="CD2" s="1298" t="s">
        <v>7848</v>
      </c>
      <c r="CE2" s="1299" t="s">
        <v>7774</v>
      </c>
      <c r="CF2" s="1299" t="s">
        <v>7777</v>
      </c>
      <c r="CG2" s="1299" t="s">
        <v>7781</v>
      </c>
      <c r="CH2" s="1299" t="s">
        <v>7783</v>
      </c>
      <c r="CI2" s="1299" t="s">
        <v>7784</v>
      </c>
      <c r="CJ2" s="1299" t="s">
        <v>7787</v>
      </c>
      <c r="CK2" s="1299" t="s">
        <v>7849</v>
      </c>
      <c r="CL2" s="1299" t="s">
        <v>7850</v>
      </c>
      <c r="CM2" s="1300" t="s">
        <v>7851</v>
      </c>
      <c r="CN2" s="1300" t="s">
        <v>7852</v>
      </c>
      <c r="CO2" s="1300" t="s">
        <v>7853</v>
      </c>
      <c r="CP2" s="1243" t="s">
        <v>7854</v>
      </c>
      <c r="CQ2" s="1243" t="s">
        <v>7855</v>
      </c>
      <c r="CR2" s="1243" t="s">
        <v>7856</v>
      </c>
      <c r="CS2" s="1243" t="s">
        <v>7857</v>
      </c>
      <c r="CT2" s="1301" t="s">
        <v>7858</v>
      </c>
    </row>
    <row r="3">
      <c r="A3" s="1302" t="s">
        <v>6348</v>
      </c>
      <c r="B3" s="1055" t="s">
        <v>7859</v>
      </c>
      <c r="C3" s="1056" t="s">
        <v>333</v>
      </c>
      <c r="D3" s="1057" t="s">
        <v>438</v>
      </c>
      <c r="E3" s="1058" t="s">
        <v>543</v>
      </c>
      <c r="F3" s="1059" t="s">
        <v>2692</v>
      </c>
      <c r="G3" s="1055" t="s">
        <v>3442</v>
      </c>
      <c r="H3" s="812" t="s">
        <v>7860</v>
      </c>
      <c r="I3" s="1265" t="s">
        <v>7861</v>
      </c>
      <c r="J3" s="812" t="s">
        <v>7534</v>
      </c>
      <c r="K3" s="786" t="s">
        <v>7862</v>
      </c>
      <c r="L3" s="1265" t="s">
        <v>7863</v>
      </c>
      <c r="M3" s="1303" t="s">
        <v>7864</v>
      </c>
      <c r="N3" s="812" t="s">
        <v>7865</v>
      </c>
      <c r="O3" s="1265" t="s">
        <v>7866</v>
      </c>
      <c r="P3" s="1266" t="s">
        <v>7867</v>
      </c>
      <c r="Q3" s="1266" t="s">
        <v>7868</v>
      </c>
      <c r="R3" s="812" t="s">
        <v>7869</v>
      </c>
      <c r="S3" s="1268" t="s">
        <v>7870</v>
      </c>
      <c r="T3" s="799" t="s">
        <v>7871</v>
      </c>
      <c r="U3" s="1259" t="s">
        <v>7872</v>
      </c>
      <c r="V3" s="812" t="s">
        <v>7873</v>
      </c>
      <c r="W3" s="812" t="s">
        <v>2347</v>
      </c>
      <c r="X3" s="1268" t="s">
        <v>175</v>
      </c>
      <c r="Y3" s="812" t="s">
        <v>1871</v>
      </c>
      <c r="Z3" s="1268" t="s">
        <v>7874</v>
      </c>
      <c r="AA3" s="812" t="s">
        <v>4450</v>
      </c>
      <c r="AB3" s="1268"/>
      <c r="AC3" s="812" t="s">
        <v>3401</v>
      </c>
      <c r="AD3" s="812" t="s">
        <v>3817</v>
      </c>
      <c r="AE3" s="812" t="s">
        <v>7875</v>
      </c>
      <c r="AF3" s="1268" t="s">
        <v>7876</v>
      </c>
      <c r="AG3" s="1268"/>
      <c r="AH3" s="1268" t="s">
        <v>7877</v>
      </c>
      <c r="AI3" s="1268" t="s">
        <v>7878</v>
      </c>
      <c r="AJ3" s="1258"/>
      <c r="AK3" s="1268"/>
      <c r="AL3" s="812"/>
      <c r="AM3" s="1268" t="s">
        <v>7879</v>
      </c>
      <c r="AN3" s="1259" t="s">
        <v>7880</v>
      </c>
      <c r="AO3" s="1259" t="s">
        <v>7881</v>
      </c>
      <c r="AP3" s="1259" t="s">
        <v>7882</v>
      </c>
      <c r="AQ3" s="1259" t="s">
        <v>7883</v>
      </c>
      <c r="AR3" s="1259" t="s">
        <v>7884</v>
      </c>
      <c r="AS3" s="1259" t="s">
        <v>7885</v>
      </c>
      <c r="AT3" s="1303" t="s">
        <v>7886</v>
      </c>
      <c r="AU3" s="1259" t="s">
        <v>7887</v>
      </c>
      <c r="AV3" s="1259" t="s">
        <v>7888</v>
      </c>
      <c r="AW3" s="799" t="s">
        <v>7889</v>
      </c>
      <c r="AX3" s="1259" t="s">
        <v>7890</v>
      </c>
      <c r="AY3" s="1268" t="s">
        <v>7891</v>
      </c>
      <c r="AZ3" s="1268" t="s">
        <v>5083</v>
      </c>
      <c r="BA3" s="1259" t="s">
        <v>7892</v>
      </c>
      <c r="BB3" s="1268" t="s">
        <v>7893</v>
      </c>
      <c r="BC3" s="1268" t="s">
        <v>7894</v>
      </c>
      <c r="BD3" s="812" t="s">
        <v>7895</v>
      </c>
      <c r="BE3" s="1268"/>
      <c r="BF3" s="1259" t="s">
        <v>7896</v>
      </c>
      <c r="BG3" s="1268"/>
      <c r="BH3" s="1268"/>
      <c r="BI3" s="1268" t="s">
        <v>7897</v>
      </c>
      <c r="BJ3" s="1268"/>
      <c r="BK3" s="1268"/>
      <c r="BL3" s="812"/>
      <c r="BM3" s="1268" t="s">
        <v>7898</v>
      </c>
      <c r="BN3" s="1268"/>
      <c r="BO3" s="1268"/>
      <c r="BP3" s="1268"/>
      <c r="BQ3" s="812" t="s">
        <v>7899</v>
      </c>
      <c r="BR3" s="1258"/>
      <c r="BS3" s="812" t="s">
        <v>7900</v>
      </c>
      <c r="BT3" s="1258"/>
      <c r="BU3" s="812" t="s">
        <v>7901</v>
      </c>
      <c r="BV3" s="1225"/>
      <c r="BW3" s="1258"/>
      <c r="BX3" s="1268" t="s">
        <v>3982</v>
      </c>
      <c r="BY3" s="1258"/>
      <c r="BZ3" s="1225"/>
      <c r="CA3" s="1268" t="s">
        <v>3437</v>
      </c>
      <c r="CB3" s="1268" t="s">
        <v>372</v>
      </c>
      <c r="CC3" s="1268" t="s">
        <v>2411</v>
      </c>
      <c r="CD3" s="1268"/>
      <c r="CE3" s="812" t="s">
        <v>7902</v>
      </c>
      <c r="CF3" s="812" t="s">
        <v>7903</v>
      </c>
      <c r="CG3" s="1268"/>
      <c r="CH3" s="1268"/>
      <c r="CI3" s="1268"/>
      <c r="CJ3" s="1268"/>
      <c r="CK3" s="1268"/>
      <c r="CL3" s="1268"/>
      <c r="CM3" s="1268"/>
      <c r="CN3" s="812"/>
      <c r="CO3" s="1268"/>
      <c r="CP3" s="812" t="s">
        <v>7904</v>
      </c>
      <c r="CQ3" s="812" t="s">
        <v>7905</v>
      </c>
      <c r="CR3" s="1268"/>
      <c r="CS3" s="1268"/>
      <c r="CT3" s="1268" t="s">
        <v>7906</v>
      </c>
    </row>
    <row r="4">
      <c r="A4" s="1304" t="s">
        <v>6327</v>
      </c>
      <c r="B4" s="1055" t="s">
        <v>7907</v>
      </c>
      <c r="C4" s="1056" t="s">
        <v>332</v>
      </c>
      <c r="D4" s="1057" t="s">
        <v>828</v>
      </c>
      <c r="E4" s="1058" t="s">
        <v>987</v>
      </c>
      <c r="F4" s="1059" t="s">
        <v>7908</v>
      </c>
      <c r="G4" s="1055" t="s">
        <v>5165</v>
      </c>
      <c r="H4" s="1305" t="s">
        <v>7909</v>
      </c>
      <c r="I4" s="1306" t="s">
        <v>7910</v>
      </c>
      <c r="J4" s="1225"/>
      <c r="K4" s="812" t="s">
        <v>7911</v>
      </c>
      <c r="L4" s="1258"/>
      <c r="M4" s="1259" t="s">
        <v>7912</v>
      </c>
      <c r="N4" s="1225"/>
      <c r="O4" s="799" t="s">
        <v>7913</v>
      </c>
      <c r="P4" s="1265" t="s">
        <v>7914</v>
      </c>
      <c r="Q4" s="1258"/>
      <c r="R4" s="799" t="s">
        <v>7915</v>
      </c>
      <c r="S4" s="1225"/>
      <c r="T4" s="812" t="s">
        <v>7916</v>
      </c>
      <c r="U4" s="799" t="s">
        <v>7387</v>
      </c>
      <c r="V4" s="1259" t="s">
        <v>7917</v>
      </c>
      <c r="W4" s="799" t="s">
        <v>1361</v>
      </c>
      <c r="X4" s="799" t="s">
        <v>1725</v>
      </c>
      <c r="Y4" s="799" t="s">
        <v>1582</v>
      </c>
      <c r="Z4" s="1259" t="s">
        <v>3612</v>
      </c>
      <c r="AA4" s="1260"/>
      <c r="AB4" s="1307" t="s">
        <v>7918</v>
      </c>
      <c r="AC4" s="799" t="s">
        <v>3313</v>
      </c>
      <c r="AD4" s="799" t="s">
        <v>6212</v>
      </c>
      <c r="AE4" s="1260"/>
      <c r="AF4" s="1265" t="s">
        <v>7637</v>
      </c>
      <c r="AG4" s="1258"/>
      <c r="AH4" s="1266" t="s">
        <v>7919</v>
      </c>
      <c r="AI4" s="1266" t="s">
        <v>4971</v>
      </c>
      <c r="AJ4" s="1258"/>
      <c r="AK4" s="799" t="s">
        <v>7920</v>
      </c>
      <c r="AL4" s="1225"/>
      <c r="AM4" s="1265" t="s">
        <v>7921</v>
      </c>
      <c r="AN4" s="812" t="s">
        <v>7922</v>
      </c>
      <c r="AO4" s="812" t="s">
        <v>7923</v>
      </c>
      <c r="AP4" s="1265" t="s">
        <v>7879</v>
      </c>
      <c r="AQ4" s="1225"/>
      <c r="AR4" s="812" t="s">
        <v>7924</v>
      </c>
      <c r="AS4" s="1225"/>
      <c r="AT4" s="1265" t="s">
        <v>7886</v>
      </c>
      <c r="AU4" s="1265" t="s">
        <v>7925</v>
      </c>
      <c r="AV4" s="1225"/>
      <c r="AW4" s="1265" t="s">
        <v>7926</v>
      </c>
      <c r="AX4" s="1225"/>
      <c r="AY4" s="1225"/>
      <c r="AZ4" s="1265" t="s">
        <v>1575</v>
      </c>
      <c r="BA4" s="1266" t="s">
        <v>5201</v>
      </c>
      <c r="BB4" s="1265" t="s">
        <v>7927</v>
      </c>
      <c r="BC4" s="799" t="s">
        <v>7928</v>
      </c>
      <c r="BD4" s="1259" t="s">
        <v>7929</v>
      </c>
      <c r="BE4" s="1258"/>
      <c r="BF4" s="1225"/>
      <c r="BG4" s="1258"/>
      <c r="BH4" s="1258"/>
      <c r="BI4" s="1258"/>
      <c r="BJ4" s="1258"/>
      <c r="BK4" s="1258"/>
      <c r="BL4" s="1225"/>
      <c r="BM4" s="1258"/>
      <c r="BN4" s="1258"/>
      <c r="BO4" s="1258"/>
      <c r="BP4" s="1258"/>
      <c r="BQ4" s="1258"/>
      <c r="BR4" s="1258"/>
      <c r="BS4" s="1258"/>
      <c r="BT4" s="1258"/>
      <c r="BU4" s="1258"/>
      <c r="BV4" s="1225"/>
      <c r="BW4" s="1259" t="s">
        <v>5276</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6336</v>
      </c>
      <c r="B5" s="1055" t="s">
        <v>7930</v>
      </c>
      <c r="C5" s="1056" t="s">
        <v>828</v>
      </c>
      <c r="D5" s="1057" t="s">
        <v>332</v>
      </c>
      <c r="E5" s="1058" t="s">
        <v>1415</v>
      </c>
      <c r="F5" s="1059" t="s">
        <v>914</v>
      </c>
      <c r="G5" s="1055" t="s">
        <v>5550</v>
      </c>
      <c r="H5" s="812" t="s">
        <v>7931</v>
      </c>
      <c r="I5" s="812" t="s">
        <v>7591</v>
      </c>
      <c r="J5" s="812"/>
      <c r="K5" s="1266" t="s">
        <v>7932</v>
      </c>
      <c r="L5" s="1259" t="s">
        <v>7933</v>
      </c>
      <c r="M5" s="812"/>
      <c r="N5" s="812"/>
      <c r="O5" s="799" t="s">
        <v>7934</v>
      </c>
      <c r="P5" s="812" t="s">
        <v>7935</v>
      </c>
      <c r="Q5" s="812" t="s">
        <v>7936</v>
      </c>
      <c r="R5" s="1259" t="s">
        <v>7937</v>
      </c>
      <c r="S5" s="812"/>
      <c r="T5" s="1266" t="s">
        <v>7938</v>
      </c>
      <c r="U5" s="1266" t="s">
        <v>7939</v>
      </c>
      <c r="V5" s="812"/>
      <c r="W5" s="812" t="s">
        <v>6376</v>
      </c>
      <c r="X5" s="812"/>
      <c r="Y5" s="812" t="s">
        <v>7940</v>
      </c>
      <c r="Z5" s="1266" t="s">
        <v>119</v>
      </c>
      <c r="AA5" s="1260"/>
      <c r="AB5" s="1260"/>
      <c r="AC5" s="812" t="s">
        <v>7941</v>
      </c>
      <c r="AD5" s="1225"/>
      <c r="AE5" s="812"/>
      <c r="AF5" s="812" t="s">
        <v>7942</v>
      </c>
      <c r="AG5" s="812"/>
      <c r="AH5" s="812" t="s">
        <v>7943</v>
      </c>
      <c r="AI5" s="812" t="s">
        <v>2017</v>
      </c>
      <c r="AJ5" s="1225"/>
      <c r="AK5" s="812"/>
      <c r="AL5" s="812"/>
      <c r="AM5" s="812" t="s">
        <v>7944</v>
      </c>
      <c r="AN5" s="1225"/>
      <c r="AO5" s="1225"/>
      <c r="AP5" s="812" t="s">
        <v>7945</v>
      </c>
      <c r="AQ5" s="1266" t="s">
        <v>7946</v>
      </c>
      <c r="AR5" s="812" t="s">
        <v>7947</v>
      </c>
      <c r="AS5" s="812"/>
      <c r="AT5" s="812" t="s">
        <v>7948</v>
      </c>
      <c r="AU5" s="799" t="s">
        <v>7949</v>
      </c>
      <c r="AV5" s="812"/>
      <c r="AW5" s="1269" t="s">
        <v>7950</v>
      </c>
      <c r="AX5" s="114"/>
      <c r="AY5" s="114" t="s">
        <v>7951</v>
      </c>
      <c r="AZ5" s="812" t="s">
        <v>2868</v>
      </c>
      <c r="BA5" s="812"/>
      <c r="BB5" s="812" t="s">
        <v>7929</v>
      </c>
      <c r="BC5" s="1259" t="s">
        <v>7952</v>
      </c>
      <c r="BD5" s="812" t="s">
        <v>7953</v>
      </c>
      <c r="BE5" s="812"/>
      <c r="BF5" s="812"/>
      <c r="BG5" s="812" t="s">
        <v>7954</v>
      </c>
      <c r="BH5" s="812"/>
      <c r="BI5" s="812"/>
      <c r="BJ5" s="812"/>
      <c r="BK5" s="812" t="s">
        <v>7955</v>
      </c>
      <c r="BL5" s="812"/>
      <c r="BM5" s="812"/>
      <c r="BN5" s="812"/>
      <c r="BO5" s="812"/>
      <c r="BP5" s="812" t="s">
        <v>7956</v>
      </c>
      <c r="BQ5" s="1225"/>
      <c r="BR5" s="1225"/>
      <c r="BS5" s="1225"/>
      <c r="BT5" s="1225"/>
      <c r="BU5" s="1225"/>
      <c r="BV5" s="812"/>
      <c r="BW5" s="812" t="s">
        <v>6618</v>
      </c>
      <c r="BX5" s="812"/>
      <c r="BY5" s="812"/>
      <c r="BZ5" s="812"/>
      <c r="CA5" s="812"/>
      <c r="CB5" s="812" t="s">
        <v>2444</v>
      </c>
      <c r="CC5" s="812"/>
      <c r="CD5" s="812"/>
      <c r="CE5" s="812"/>
      <c r="CF5" s="812"/>
      <c r="CG5" s="812"/>
      <c r="CH5" s="812"/>
      <c r="CI5" s="812"/>
      <c r="CJ5" s="812"/>
      <c r="CK5" s="812"/>
      <c r="CL5" s="812"/>
      <c r="CM5" s="812"/>
      <c r="CN5" s="812"/>
      <c r="CO5" s="812"/>
      <c r="CP5" s="812"/>
      <c r="CQ5" s="812"/>
      <c r="CR5" s="812"/>
      <c r="CS5" s="812"/>
      <c r="CT5" s="114"/>
    </row>
    <row r="6">
      <c r="A6" s="1309" t="s">
        <v>6354</v>
      </c>
      <c r="B6" s="1055" t="s">
        <v>7399</v>
      </c>
      <c r="C6" s="1056" t="s">
        <v>987</v>
      </c>
      <c r="D6" s="1057" t="s">
        <v>333</v>
      </c>
      <c r="E6" s="1058" t="s">
        <v>828</v>
      </c>
      <c r="F6" s="1059" t="s">
        <v>7908</v>
      </c>
      <c r="G6" s="1055" t="s">
        <v>5730</v>
      </c>
      <c r="H6" s="1266" t="s">
        <v>7957</v>
      </c>
      <c r="I6" s="799" t="s">
        <v>7958</v>
      </c>
      <c r="J6" s="812"/>
      <c r="K6" s="1265" t="s">
        <v>7959</v>
      </c>
      <c r="L6" s="799" t="s">
        <v>7960</v>
      </c>
      <c r="M6" s="1225"/>
      <c r="N6" s="1225"/>
      <c r="O6" s="799" t="s">
        <v>7961</v>
      </c>
      <c r="P6" s="1225"/>
      <c r="Q6" s="812" t="s">
        <v>7962</v>
      </c>
      <c r="R6" s="1266" t="s">
        <v>7963</v>
      </c>
      <c r="S6" s="1225"/>
      <c r="T6" s="1265" t="s">
        <v>7964</v>
      </c>
      <c r="U6" s="1265" t="s">
        <v>668</v>
      </c>
      <c r="V6" s="812" t="s">
        <v>7965</v>
      </c>
      <c r="W6" s="1225"/>
      <c r="X6" s="1265" t="s">
        <v>5975</v>
      </c>
      <c r="Y6" s="1266" t="s">
        <v>2534</v>
      </c>
      <c r="Z6" s="1225"/>
      <c r="AA6" s="1225"/>
      <c r="AB6" s="1225"/>
      <c r="AC6" s="1225"/>
      <c r="AD6" s="812" t="s">
        <v>7966</v>
      </c>
      <c r="AE6" s="1260"/>
      <c r="AF6" s="799" t="s">
        <v>464</v>
      </c>
      <c r="AG6" s="1260"/>
      <c r="AH6" s="1225"/>
      <c r="AI6" s="1225"/>
      <c r="AJ6" s="1259" t="s">
        <v>2207</v>
      </c>
      <c r="AK6" s="1266" t="s">
        <v>5963</v>
      </c>
      <c r="AL6" s="1310" t="s">
        <v>7967</v>
      </c>
      <c r="AM6" s="1266" t="s">
        <v>7968</v>
      </c>
      <c r="AN6" s="1225"/>
      <c r="AO6" s="1225"/>
      <c r="AP6" s="812" t="s">
        <v>7879</v>
      </c>
      <c r="AQ6" s="812"/>
      <c r="AR6" s="1266" t="s">
        <v>7969</v>
      </c>
      <c r="AS6" s="1260"/>
      <c r="AT6" s="1259" t="s">
        <v>7970</v>
      </c>
      <c r="AU6" s="799" t="s">
        <v>7971</v>
      </c>
      <c r="AV6" s="1266" t="s">
        <v>7972</v>
      </c>
      <c r="AW6" s="1266" t="s">
        <v>7973</v>
      </c>
      <c r="AX6" s="1225"/>
      <c r="AY6" s="1225"/>
      <c r="AZ6" s="1259" t="s">
        <v>4578</v>
      </c>
      <c r="BA6" s="1260"/>
      <c r="BB6" s="1266" t="s">
        <v>7974</v>
      </c>
      <c r="BC6" s="1266" t="s">
        <v>7975</v>
      </c>
      <c r="BD6" s="1225"/>
      <c r="BE6" s="1225"/>
      <c r="BF6" s="1225"/>
      <c r="BG6" s="1311" t="s">
        <v>7976</v>
      </c>
      <c r="BH6" s="1166"/>
      <c r="BI6" s="1166"/>
      <c r="BJ6" s="1166"/>
      <c r="BK6" s="1311" t="s">
        <v>7977</v>
      </c>
      <c r="BL6" s="1166"/>
      <c r="BM6" s="1128" t="s">
        <v>7978</v>
      </c>
      <c r="BN6" s="1083" t="s">
        <v>7979</v>
      </c>
      <c r="BO6" s="1166"/>
      <c r="BP6" s="1166"/>
      <c r="BQ6" s="1312"/>
      <c r="BR6" s="1225"/>
      <c r="BS6" s="1259" t="s">
        <v>7980</v>
      </c>
      <c r="BT6" s="1225"/>
      <c r="BU6" s="1225"/>
      <c r="BV6" s="1225"/>
      <c r="BW6" s="1225"/>
      <c r="BX6" s="1225"/>
      <c r="BY6" s="1225"/>
      <c r="BZ6" s="1225"/>
      <c r="CA6" s="1225"/>
      <c r="CB6" s="1225"/>
      <c r="CC6" s="1266" t="s">
        <v>450</v>
      </c>
      <c r="CD6" s="1260"/>
      <c r="CE6" s="1313"/>
      <c r="CF6" s="1313"/>
      <c r="CG6" s="1314"/>
      <c r="CH6" s="1314"/>
      <c r="CI6" s="1313" t="s">
        <v>7981</v>
      </c>
      <c r="CJ6" s="1314"/>
      <c r="CK6" s="1314"/>
      <c r="CL6" s="1313" t="s">
        <v>5550</v>
      </c>
      <c r="CM6" s="1315" t="s">
        <v>2218</v>
      </c>
      <c r="CN6" s="1315" t="s">
        <v>220</v>
      </c>
      <c r="CO6" s="1313"/>
      <c r="CP6" s="1313"/>
      <c r="CQ6" s="1313"/>
      <c r="CR6" s="1313"/>
      <c r="CS6" s="1315" t="s">
        <v>7982</v>
      </c>
      <c r="CT6" s="101"/>
    </row>
    <row r="7">
      <c r="A7" s="1316" t="s">
        <v>7136</v>
      </c>
      <c r="B7" s="1055" t="s">
        <v>7983</v>
      </c>
      <c r="C7" s="1056" t="s">
        <v>828</v>
      </c>
      <c r="D7" s="1057" t="s">
        <v>1064</v>
      </c>
      <c r="E7" s="1058" t="s">
        <v>1064</v>
      </c>
      <c r="F7" s="1059" t="s">
        <v>4915</v>
      </c>
      <c r="G7" s="1055" t="s">
        <v>2868</v>
      </c>
      <c r="H7" s="799" t="s">
        <v>7984</v>
      </c>
      <c r="I7" s="786" t="s">
        <v>7985</v>
      </c>
      <c r="J7" s="1317"/>
      <c r="K7" s="799" t="s">
        <v>7986</v>
      </c>
      <c r="L7" s="1254"/>
      <c r="M7" s="1265" t="s">
        <v>7987</v>
      </c>
      <c r="N7" s="1225"/>
      <c r="O7" s="1225"/>
      <c r="P7" s="1268" t="s">
        <v>7988</v>
      </c>
      <c r="Q7" s="1258"/>
      <c r="R7" s="812"/>
      <c r="S7" s="1225"/>
      <c r="T7" s="1225"/>
      <c r="U7" s="1268" t="s">
        <v>7989</v>
      </c>
      <c r="V7" s="1268"/>
      <c r="W7" s="1265" t="s">
        <v>2120</v>
      </c>
      <c r="X7" s="799" t="s">
        <v>2172</v>
      </c>
      <c r="Y7" s="799" t="s">
        <v>2068</v>
      </c>
      <c r="Z7" s="1265" t="s">
        <v>7990</v>
      </c>
      <c r="AA7" s="1260"/>
      <c r="AB7" s="1260"/>
      <c r="AC7" s="1268" t="s">
        <v>7991</v>
      </c>
      <c r="AD7" s="799" t="s">
        <v>4472</v>
      </c>
      <c r="AE7" s="1260"/>
      <c r="AF7" s="799" t="s">
        <v>7992</v>
      </c>
      <c r="AG7" s="1254"/>
      <c r="AH7" s="1268" t="s">
        <v>1890</v>
      </c>
      <c r="AI7" s="1268" t="s">
        <v>1342</v>
      </c>
      <c r="AJ7" s="1268"/>
      <c r="AK7" s="812" t="s">
        <v>7993</v>
      </c>
      <c r="AL7" s="1268" t="s">
        <v>6132</v>
      </c>
      <c r="AM7" s="1318" t="s">
        <v>7994</v>
      </c>
      <c r="AN7" s="1265" t="s">
        <v>7995</v>
      </c>
      <c r="AO7" s="1266" t="s">
        <v>7996</v>
      </c>
      <c r="AP7" s="799" t="s">
        <v>7997</v>
      </c>
      <c r="AQ7" s="1260"/>
      <c r="AR7" s="799" t="s">
        <v>7998</v>
      </c>
      <c r="AS7" s="1260"/>
      <c r="AT7" s="1266" t="s">
        <v>7955</v>
      </c>
      <c r="AU7" s="799" t="s">
        <v>7999</v>
      </c>
      <c r="AV7" s="1260"/>
      <c r="AW7" s="1267" t="s">
        <v>8000</v>
      </c>
      <c r="AX7" s="1260"/>
      <c r="AY7" s="1266" t="s">
        <v>8001</v>
      </c>
      <c r="AZ7" s="799" t="s">
        <v>4997</v>
      </c>
      <c r="BA7" s="1260"/>
      <c r="BB7" s="799" t="s">
        <v>8002</v>
      </c>
      <c r="BC7" s="1267" t="s">
        <v>8003</v>
      </c>
      <c r="BD7" s="1265" t="s">
        <v>8004</v>
      </c>
      <c r="BE7" s="1260"/>
      <c r="BF7" s="1260"/>
      <c r="BG7" s="1225"/>
      <c r="BH7" s="1225"/>
      <c r="BI7" s="1258"/>
      <c r="BJ7" s="1258"/>
      <c r="BK7" s="1258"/>
      <c r="BL7" s="1225"/>
      <c r="BM7" s="1258"/>
      <c r="BN7" s="1258"/>
      <c r="BO7" s="1258"/>
      <c r="BP7" s="1258"/>
      <c r="BQ7" s="1258"/>
      <c r="BR7" s="1258"/>
      <c r="BS7" s="1258"/>
      <c r="BT7" s="1258"/>
      <c r="BU7" s="1258"/>
      <c r="BV7" s="1319" t="s">
        <v>2462</v>
      </c>
      <c r="BW7" s="1266" t="s">
        <v>2472</v>
      </c>
      <c r="BX7" s="1265" t="s">
        <v>2484</v>
      </c>
      <c r="BY7" s="1259" t="s">
        <v>8005</v>
      </c>
      <c r="BZ7" s="1266" t="s">
        <v>8006</v>
      </c>
      <c r="CA7" s="1259" t="s">
        <v>1346</v>
      </c>
      <c r="CB7" s="1259" t="s">
        <v>8007</v>
      </c>
      <c r="CC7" s="1259" t="s">
        <v>475</v>
      </c>
      <c r="CD7" s="1320" t="s">
        <v>2512</v>
      </c>
      <c r="CE7" s="1258"/>
      <c r="CF7" s="1225"/>
      <c r="CG7" s="1258"/>
      <c r="CH7" s="1258"/>
      <c r="CI7" s="1258"/>
      <c r="CJ7" s="1258"/>
      <c r="CK7" s="1258"/>
      <c r="CL7" s="1258"/>
      <c r="CM7" s="1258"/>
      <c r="CN7" s="1225"/>
      <c r="CO7" s="1258"/>
      <c r="CP7" s="1258"/>
      <c r="CQ7" s="1258"/>
      <c r="CR7" s="1258"/>
      <c r="CS7" s="1258"/>
      <c r="CT7" s="812" t="s">
        <v>8008</v>
      </c>
    </row>
    <row r="8">
      <c r="A8" s="1321" t="s">
        <v>8009</v>
      </c>
      <c r="B8" s="1055" t="s">
        <v>8010</v>
      </c>
      <c r="C8" s="1056" t="s">
        <v>738</v>
      </c>
      <c r="D8" s="1057" t="s">
        <v>828</v>
      </c>
      <c r="E8" s="1058" t="s">
        <v>332</v>
      </c>
      <c r="F8" s="1059" t="s">
        <v>5687</v>
      </c>
      <c r="G8" s="1055" t="s">
        <v>7275</v>
      </c>
      <c r="H8" s="799" t="s">
        <v>8011</v>
      </c>
      <c r="I8" s="799" t="s">
        <v>8012</v>
      </c>
      <c r="J8" s="1260"/>
      <c r="K8" s="1225"/>
      <c r="L8" s="1258"/>
      <c r="M8" s="1225"/>
      <c r="N8" s="1225"/>
      <c r="O8" s="1225"/>
      <c r="P8" s="812" t="s">
        <v>8013</v>
      </c>
      <c r="Q8" s="1258"/>
      <c r="R8" s="1265" t="s">
        <v>8014</v>
      </c>
      <c r="S8" s="1225"/>
      <c r="T8" s="1225"/>
      <c r="U8" s="1318" t="s">
        <v>8015</v>
      </c>
      <c r="V8" s="1254"/>
      <c r="W8" s="1303" t="s">
        <v>783</v>
      </c>
      <c r="X8" s="1254" t="s">
        <v>3742</v>
      </c>
      <c r="Y8" s="1322" t="s">
        <v>4968</v>
      </c>
      <c r="Z8" s="1260"/>
      <c r="AA8" s="1260" t="s">
        <v>8016</v>
      </c>
      <c r="AB8" s="1254"/>
      <c r="AC8" s="1265" t="s">
        <v>8017</v>
      </c>
      <c r="AD8" s="799" t="s">
        <v>818</v>
      </c>
      <c r="AE8" s="1260"/>
      <c r="AF8" s="1260"/>
      <c r="AG8" s="1254"/>
      <c r="AH8" s="1258"/>
      <c r="AI8" s="1258"/>
      <c r="AJ8" s="1258"/>
      <c r="AK8" s="1268" t="s">
        <v>325</v>
      </c>
      <c r="AL8" s="812"/>
      <c r="AM8" s="1259" t="s">
        <v>8018</v>
      </c>
      <c r="AN8" s="1268" t="s">
        <v>8019</v>
      </c>
      <c r="AO8" s="1225"/>
      <c r="AP8" s="799" t="s">
        <v>7995</v>
      </c>
      <c r="AQ8" s="1260"/>
      <c r="AR8" s="1225"/>
      <c r="AS8" s="1225"/>
      <c r="AT8" s="799" t="s">
        <v>8020</v>
      </c>
      <c r="AU8" s="812"/>
      <c r="AV8" s="812"/>
      <c r="AW8" s="799" t="s">
        <v>8021</v>
      </c>
      <c r="AX8" s="1225"/>
      <c r="AY8" s="1225"/>
      <c r="AZ8" s="1225"/>
      <c r="BA8" s="1225"/>
      <c r="BB8" s="799" t="s">
        <v>8022</v>
      </c>
      <c r="BC8" s="1268" t="s">
        <v>8023</v>
      </c>
      <c r="BD8" s="1225"/>
      <c r="BE8" s="1258"/>
      <c r="BF8" s="1225"/>
      <c r="BG8" s="1167"/>
      <c r="BH8" s="1116" t="s">
        <v>8024</v>
      </c>
      <c r="BI8" s="1167"/>
      <c r="BJ8" s="1167"/>
      <c r="BK8" s="1167"/>
      <c r="BL8" s="1166"/>
      <c r="BM8" s="1167"/>
      <c r="BN8" s="1167"/>
      <c r="BO8" s="1167"/>
      <c r="BP8" s="1167"/>
      <c r="BQ8" s="1258"/>
      <c r="BR8" s="1258"/>
      <c r="BS8" s="1266" t="s">
        <v>8025</v>
      </c>
      <c r="BT8" s="1258"/>
      <c r="BU8" s="1258"/>
      <c r="BV8" s="1323" t="s">
        <v>1138</v>
      </c>
      <c r="BW8" s="1265" t="s">
        <v>3493</v>
      </c>
      <c r="BX8" s="1266" t="s">
        <v>2304</v>
      </c>
      <c r="BY8" s="1318" t="s">
        <v>3701</v>
      </c>
      <c r="BZ8" s="1260"/>
      <c r="CA8" s="1266" t="s">
        <v>1962</v>
      </c>
      <c r="CB8" s="1318" t="s">
        <v>2853</v>
      </c>
      <c r="CC8" s="1324" t="s">
        <v>3359</v>
      </c>
      <c r="CD8" s="1270"/>
      <c r="CE8" s="1325"/>
      <c r="CF8" s="1314"/>
      <c r="CG8" s="1325"/>
      <c r="CH8" s="1325"/>
      <c r="CI8" s="1325"/>
      <c r="CJ8" s="1325"/>
      <c r="CK8" s="1325"/>
      <c r="CL8" s="1325"/>
      <c r="CM8" s="1326" t="s">
        <v>3651</v>
      </c>
      <c r="CN8" s="1314"/>
      <c r="CO8" s="1325"/>
      <c r="CP8" s="1325"/>
      <c r="CQ8" s="1327" t="s">
        <v>8000</v>
      </c>
      <c r="CR8" s="1325"/>
      <c r="CS8" s="1325"/>
      <c r="CT8" s="1328"/>
    </row>
    <row r="9">
      <c r="A9" s="1329" t="s">
        <v>2902</v>
      </c>
      <c r="B9" s="1055" t="s">
        <v>6120</v>
      </c>
      <c r="C9" s="1056" t="s">
        <v>438</v>
      </c>
      <c r="D9" s="1057" t="s">
        <v>438</v>
      </c>
      <c r="E9" s="1058" t="s">
        <v>1415</v>
      </c>
      <c r="F9" s="1059" t="s">
        <v>334</v>
      </c>
      <c r="G9" s="1055" t="s">
        <v>5165</v>
      </c>
      <c r="H9" s="1330"/>
      <c r="I9" s="1330" t="s">
        <v>8026</v>
      </c>
      <c r="J9" s="1225"/>
      <c r="K9" s="812" t="s">
        <v>8027</v>
      </c>
      <c r="L9" s="799" t="s">
        <v>8028</v>
      </c>
      <c r="M9" s="812" t="s">
        <v>8029</v>
      </c>
      <c r="N9" s="1225"/>
      <c r="O9" s="812" t="s">
        <v>8030</v>
      </c>
      <c r="P9" s="812" t="s">
        <v>8031</v>
      </c>
      <c r="Q9" s="812" t="s">
        <v>8032</v>
      </c>
      <c r="R9" s="812" t="s">
        <v>8033</v>
      </c>
      <c r="S9" s="1266" t="s">
        <v>2940</v>
      </c>
      <c r="T9" s="1225"/>
      <c r="U9" s="812" t="s">
        <v>3890</v>
      </c>
      <c r="V9" s="1258"/>
      <c r="W9" s="812" t="s">
        <v>4924</v>
      </c>
      <c r="X9" s="799" t="s">
        <v>3522</v>
      </c>
      <c r="Y9" s="799" t="s">
        <v>8034</v>
      </c>
      <c r="Z9" s="1225"/>
      <c r="AA9" s="1259" t="s">
        <v>5602</v>
      </c>
      <c r="AB9" s="1258"/>
      <c r="AC9" s="812" t="s">
        <v>5714</v>
      </c>
      <c r="AD9" s="812" t="s">
        <v>1978</v>
      </c>
      <c r="AE9" s="812"/>
      <c r="AF9" s="812" t="s">
        <v>5576</v>
      </c>
      <c r="AG9" s="1258"/>
      <c r="AH9" s="1258"/>
      <c r="AI9" s="1258"/>
      <c r="AJ9" s="1258"/>
      <c r="AK9" s="1225"/>
      <c r="AL9" s="1225"/>
      <c r="AM9" s="1268" t="s">
        <v>8000</v>
      </c>
      <c r="AN9" s="1225"/>
      <c r="AO9" s="1225"/>
      <c r="AP9" s="812" t="s">
        <v>8035</v>
      </c>
      <c r="AQ9" s="812" t="s">
        <v>8035</v>
      </c>
      <c r="AR9" s="812" t="s">
        <v>8036</v>
      </c>
      <c r="AS9" s="812" t="s">
        <v>8037</v>
      </c>
      <c r="AT9" s="812" t="s">
        <v>8037</v>
      </c>
      <c r="AU9" s="1266" t="s">
        <v>8038</v>
      </c>
      <c r="AV9" s="812" t="s">
        <v>8020</v>
      </c>
      <c r="AW9" s="812" t="s">
        <v>7994</v>
      </c>
      <c r="AX9" s="1225"/>
      <c r="AY9" s="1259" t="s">
        <v>8039</v>
      </c>
      <c r="AZ9" s="812" t="s">
        <v>5083</v>
      </c>
      <c r="BA9" s="812"/>
      <c r="BB9" s="812" t="s">
        <v>8004</v>
      </c>
      <c r="BC9" s="1268" t="s">
        <v>8040</v>
      </c>
      <c r="BD9" s="1268" t="s">
        <v>8041</v>
      </c>
      <c r="BE9" s="1268"/>
      <c r="BF9" s="812"/>
      <c r="BG9" s="1166"/>
      <c r="BH9" s="1166"/>
      <c r="BI9" s="1167"/>
      <c r="BJ9" s="1167"/>
      <c r="BK9" s="1167"/>
      <c r="BL9" s="1166"/>
      <c r="BM9" s="1166"/>
      <c r="BN9" s="1167"/>
      <c r="BO9" s="1167"/>
      <c r="BP9" s="1167"/>
      <c r="BQ9" s="1258"/>
      <c r="BR9" s="1258"/>
      <c r="BS9" s="1258"/>
      <c r="BT9" s="1258"/>
      <c r="BU9" s="1258"/>
      <c r="BV9" s="1331" t="s">
        <v>1371</v>
      </c>
      <c r="BW9" s="1258"/>
      <c r="BX9" s="812" t="s">
        <v>1521</v>
      </c>
      <c r="BY9" s="812" t="s">
        <v>3461</v>
      </c>
      <c r="BZ9" s="1225"/>
      <c r="CA9" s="1258"/>
      <c r="CB9" s="812" t="s">
        <v>3500</v>
      </c>
      <c r="CC9" s="1258"/>
      <c r="CD9" s="1258"/>
      <c r="CE9" s="1325"/>
      <c r="CF9" s="1314"/>
      <c r="CG9" s="1325"/>
      <c r="CH9" s="1325"/>
      <c r="CI9" s="1325"/>
      <c r="CJ9" s="1325"/>
      <c r="CK9" s="1325"/>
      <c r="CL9" s="1325"/>
      <c r="CM9" s="1325"/>
      <c r="CN9" s="1314"/>
      <c r="CO9" s="1325"/>
      <c r="CP9" s="1325"/>
      <c r="CQ9" s="1325"/>
      <c r="CR9" s="1325"/>
      <c r="CS9" s="1313" t="s">
        <v>8042</v>
      </c>
      <c r="CT9" s="1225"/>
    </row>
    <row r="10">
      <c r="A10" s="1332" t="s">
        <v>2139</v>
      </c>
      <c r="B10" s="1055" t="s">
        <v>8043</v>
      </c>
      <c r="C10" s="1056" t="s">
        <v>1415</v>
      </c>
      <c r="D10" s="1057" t="s">
        <v>438</v>
      </c>
      <c r="E10" s="1058" t="s">
        <v>438</v>
      </c>
      <c r="F10" s="1059" t="s">
        <v>828</v>
      </c>
      <c r="G10" s="1055" t="s">
        <v>4578</v>
      </c>
      <c r="H10" s="1330" t="s">
        <v>8044</v>
      </c>
      <c r="I10" s="1333" t="s">
        <v>2152</v>
      </c>
      <c r="J10" s="812" t="s">
        <v>8045</v>
      </c>
      <c r="K10" s="812" t="s">
        <v>8046</v>
      </c>
      <c r="L10" s="812" t="s">
        <v>8047</v>
      </c>
      <c r="M10" s="812" t="s">
        <v>8048</v>
      </c>
      <c r="N10" s="812" t="s">
        <v>8049</v>
      </c>
      <c r="O10" s="812" t="s">
        <v>8050</v>
      </c>
      <c r="P10" s="812" t="s">
        <v>8051</v>
      </c>
      <c r="Q10" s="812" t="s">
        <v>8052</v>
      </c>
      <c r="R10" s="812" t="s">
        <v>8053</v>
      </c>
      <c r="S10" s="1265" t="s">
        <v>8054</v>
      </c>
      <c r="T10" s="812" t="s">
        <v>8055</v>
      </c>
      <c r="U10" s="812" t="s">
        <v>8056</v>
      </c>
      <c r="V10" s="1265" t="s">
        <v>8057</v>
      </c>
      <c r="W10" s="812" t="s">
        <v>3889</v>
      </c>
      <c r="X10" s="812" t="s">
        <v>8058</v>
      </c>
      <c r="Y10" s="1268" t="s">
        <v>1978</v>
      </c>
      <c r="Z10" s="1225"/>
      <c r="AA10" s="1225"/>
      <c r="AB10" s="1258"/>
      <c r="AC10" s="1268" t="s">
        <v>8059</v>
      </c>
      <c r="AD10" s="1268" t="s">
        <v>5319</v>
      </c>
      <c r="AE10" s="1266" t="s">
        <v>2522</v>
      </c>
      <c r="AF10" s="1268" t="s">
        <v>8060</v>
      </c>
      <c r="AG10" s="812" t="s">
        <v>8061</v>
      </c>
      <c r="AH10" s="1258"/>
      <c r="AI10" s="1258"/>
      <c r="AJ10" s="1258"/>
      <c r="AK10" s="812" t="s">
        <v>8062</v>
      </c>
      <c r="AL10" s="812" t="s">
        <v>2750</v>
      </c>
      <c r="AM10" s="1225"/>
      <c r="AN10" s="1225"/>
      <c r="AO10" s="1225"/>
      <c r="AP10" s="1225"/>
      <c r="AQ10" s="1225"/>
      <c r="AR10" s="1225"/>
      <c r="AS10" s="1225"/>
      <c r="AT10" s="812" t="s">
        <v>8063</v>
      </c>
      <c r="AU10" s="812" t="s">
        <v>8004</v>
      </c>
      <c r="AV10" s="1225"/>
      <c r="AW10" s="812" t="s">
        <v>8002</v>
      </c>
      <c r="AX10" s="812" t="s">
        <v>8064</v>
      </c>
      <c r="AY10" s="1225"/>
      <c r="AZ10" s="812"/>
      <c r="BA10" s="812"/>
      <c r="BB10" s="1260"/>
      <c r="BC10" s="812" t="s">
        <v>8040</v>
      </c>
      <c r="BD10" s="812" t="s">
        <v>8065</v>
      </c>
      <c r="BE10" s="812"/>
      <c r="BF10" s="812" t="s">
        <v>8066</v>
      </c>
      <c r="BG10" s="1258"/>
      <c r="BH10" s="1258"/>
      <c r="BI10" s="1258"/>
      <c r="BJ10" s="1258"/>
      <c r="BK10" s="1258"/>
      <c r="BL10" s="1225"/>
      <c r="BM10" s="1258"/>
      <c r="BN10" s="1258"/>
      <c r="BO10" s="1258"/>
      <c r="BP10" s="1258"/>
      <c r="BQ10" s="1258"/>
      <c r="BR10" s="1258"/>
      <c r="BS10" s="1258"/>
      <c r="BT10" s="1258"/>
      <c r="BU10" s="1258"/>
      <c r="BV10" s="812"/>
      <c r="BW10" s="1268" t="s">
        <v>879</v>
      </c>
      <c r="BX10" s="1268" t="s">
        <v>2169</v>
      </c>
      <c r="BY10" s="1268" t="s">
        <v>5807</v>
      </c>
      <c r="BZ10" s="812"/>
      <c r="CA10" s="1268" t="s">
        <v>3437</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8067</v>
      </c>
    </row>
    <row r="11">
      <c r="A11" s="1334" t="s">
        <v>8068</v>
      </c>
      <c r="B11" s="1055" t="s">
        <v>8069</v>
      </c>
      <c r="C11" s="1056" t="s">
        <v>738</v>
      </c>
      <c r="D11" s="1057" t="s">
        <v>828</v>
      </c>
      <c r="E11" s="1058" t="s">
        <v>543</v>
      </c>
      <c r="F11" s="1059" t="s">
        <v>5687</v>
      </c>
      <c r="G11" s="1055" t="s">
        <v>3303</v>
      </c>
      <c r="H11" s="1330" t="s">
        <v>8070</v>
      </c>
      <c r="I11" s="1330" t="s">
        <v>8071</v>
      </c>
      <c r="J11" s="1225"/>
      <c r="K11" s="812" t="s">
        <v>8072</v>
      </c>
      <c r="L11" s="1258"/>
      <c r="M11" s="1225"/>
      <c r="N11" s="1225"/>
      <c r="O11" s="1225"/>
      <c r="P11" s="812" t="s">
        <v>8073</v>
      </c>
      <c r="Q11" s="1258"/>
      <c r="R11" s="1225"/>
      <c r="S11" s="1225"/>
      <c r="T11" s="812" t="s">
        <v>8074</v>
      </c>
      <c r="U11" s="812" t="s">
        <v>759</v>
      </c>
      <c r="V11" s="1258"/>
      <c r="W11" s="1225"/>
      <c r="X11" s="799" t="s">
        <v>2497</v>
      </c>
      <c r="Y11" s="799" t="s">
        <v>4196</v>
      </c>
      <c r="Z11" s="1225"/>
      <c r="AA11" s="1266" t="s">
        <v>1565</v>
      </c>
      <c r="AB11" s="1258"/>
      <c r="AC11" s="799" t="s">
        <v>2208</v>
      </c>
      <c r="AD11" s="799" t="s">
        <v>2286</v>
      </c>
      <c r="AE11" s="799" t="s">
        <v>5948</v>
      </c>
      <c r="AF11" s="1225"/>
      <c r="AG11" s="1258"/>
      <c r="AH11" s="1258"/>
      <c r="AI11" s="1258"/>
      <c r="AJ11" s="1258"/>
      <c r="AK11" s="1258"/>
      <c r="AL11" s="1225"/>
      <c r="AM11" s="812" t="s">
        <v>7904</v>
      </c>
      <c r="AN11" s="1266" t="s">
        <v>7973</v>
      </c>
      <c r="AO11" s="1225"/>
      <c r="AP11" s="907" t="s">
        <v>7904</v>
      </c>
      <c r="AQ11" s="1265" t="s">
        <v>8075</v>
      </c>
      <c r="AR11" s="1265" t="s">
        <v>8065</v>
      </c>
      <c r="AS11" s="1225"/>
      <c r="AT11" s="799" t="s">
        <v>8076</v>
      </c>
      <c r="AU11" s="799" t="s">
        <v>8077</v>
      </c>
      <c r="AV11" s="1265" t="s">
        <v>8078</v>
      </c>
      <c r="AW11" s="799" t="s">
        <v>8035</v>
      </c>
      <c r="AX11" s="1266" t="s">
        <v>8079</v>
      </c>
      <c r="AY11" s="1225"/>
      <c r="AZ11" s="1225"/>
      <c r="BA11" s="1225"/>
      <c r="BB11" s="799" t="s">
        <v>8077</v>
      </c>
      <c r="BC11" s="1225"/>
      <c r="BD11" s="1266" t="s">
        <v>8080</v>
      </c>
      <c r="BE11" s="1335" t="s">
        <v>8081</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6352</v>
      </c>
      <c r="B12" s="1055" t="s">
        <v>8082</v>
      </c>
      <c r="C12" s="1056" t="s">
        <v>828</v>
      </c>
      <c r="D12" s="1057" t="s">
        <v>334</v>
      </c>
      <c r="E12" s="1058" t="s">
        <v>738</v>
      </c>
      <c r="F12" s="1059" t="s">
        <v>5687</v>
      </c>
      <c r="G12" s="1055" t="s">
        <v>4915</v>
      </c>
      <c r="H12" s="1339" t="str">
        <f>HYPERLINK("https://www.twitch.tv/videos/990301696","3:46.19")</f>
        <v>3:46.19</v>
      </c>
      <c r="I12" s="1330" t="s">
        <v>8083</v>
      </c>
      <c r="J12" s="812"/>
      <c r="K12" s="812" t="s">
        <v>8084</v>
      </c>
      <c r="L12" s="1258"/>
      <c r="M12" s="1340" t="str">
        <f>HYPERLINK("https://youtu.be/muKa7MrNAp8","2:59.41")</f>
        <v>2:59.41</v>
      </c>
      <c r="N12" s="1303"/>
      <c r="O12" s="114" t="s">
        <v>8085</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2" t="s">
        <v>8086</v>
      </c>
      <c r="X12" s="812"/>
      <c r="Y12" s="812" t="s">
        <v>8087</v>
      </c>
      <c r="Z12" s="1225"/>
      <c r="AA12" s="1225"/>
      <c r="AB12" s="1258"/>
      <c r="AC12" s="1225"/>
      <c r="AD12" s="812" t="s">
        <v>193</v>
      </c>
      <c r="AE12" s="1225"/>
      <c r="AF12" s="1225"/>
      <c r="AG12" s="1258"/>
      <c r="AH12" s="812" t="s">
        <v>5902</v>
      </c>
      <c r="AI12" s="1268"/>
      <c r="AJ12" s="1268"/>
      <c r="AK12" s="1265" t="s">
        <v>8088</v>
      </c>
      <c r="AL12" s="1260"/>
      <c r="AM12" s="1268" t="s">
        <v>8035</v>
      </c>
      <c r="AN12" s="1225"/>
      <c r="AO12" s="1225"/>
      <c r="AP12" s="1225"/>
      <c r="AQ12" s="1225"/>
      <c r="AR12" s="1225"/>
      <c r="AS12" s="1225"/>
      <c r="AT12" s="812" t="s">
        <v>8089</v>
      </c>
      <c r="AU12" s="812" t="s">
        <v>8090</v>
      </c>
      <c r="AV12" s="1225"/>
      <c r="AW12" s="1225"/>
      <c r="AX12" s="1225"/>
      <c r="AY12" s="1225"/>
      <c r="AZ12" s="812" t="s">
        <v>2868</v>
      </c>
      <c r="BA12" s="812"/>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3918</v>
      </c>
      <c r="B13" s="1055" t="s">
        <v>8091</v>
      </c>
      <c r="C13" s="1056" t="s">
        <v>1415</v>
      </c>
      <c r="D13" s="1057" t="s">
        <v>738</v>
      </c>
      <c r="E13" s="1058" t="s">
        <v>1415</v>
      </c>
      <c r="F13" s="1059" t="s">
        <v>738</v>
      </c>
      <c r="G13" s="1055" t="s">
        <v>3841</v>
      </c>
      <c r="H13" s="1330"/>
      <c r="I13" s="1330" t="s">
        <v>8092</v>
      </c>
      <c r="J13" s="812" t="s">
        <v>8093</v>
      </c>
      <c r="K13" s="812" t="s">
        <v>8094</v>
      </c>
      <c r="L13" s="1258"/>
      <c r="M13" s="812" t="s">
        <v>8095</v>
      </c>
      <c r="N13" s="812" t="s">
        <v>8096</v>
      </c>
      <c r="O13" s="1225"/>
      <c r="P13" s="812" t="s">
        <v>8097</v>
      </c>
      <c r="Q13" s="1258"/>
      <c r="R13" s="1268" t="s">
        <v>8098</v>
      </c>
      <c r="S13" s="812" t="s">
        <v>8099</v>
      </c>
      <c r="T13" s="812" t="s">
        <v>7977</v>
      </c>
      <c r="U13" s="812" t="s">
        <v>8100</v>
      </c>
      <c r="V13" s="812" t="s">
        <v>8101</v>
      </c>
      <c r="W13" s="812" t="s">
        <v>8102</v>
      </c>
      <c r="X13" s="812" t="s">
        <v>4817</v>
      </c>
      <c r="Y13" s="812" t="s">
        <v>377</v>
      </c>
      <c r="Z13" s="1268" t="s">
        <v>4786</v>
      </c>
      <c r="AA13" s="812" t="s">
        <v>8103</v>
      </c>
      <c r="AB13" s="1268"/>
      <c r="AC13" s="1268" t="s">
        <v>2204</v>
      </c>
      <c r="AD13" s="1268" t="s">
        <v>8104</v>
      </c>
      <c r="AE13" s="812" t="s">
        <v>5111</v>
      </c>
      <c r="AF13" s="812" t="s">
        <v>8105</v>
      </c>
      <c r="AG13" s="1258"/>
      <c r="AH13" s="1258"/>
      <c r="AI13" s="1258"/>
      <c r="AJ13" s="1258"/>
      <c r="AK13" s="1258"/>
      <c r="AL13" s="812" t="s">
        <v>5485</v>
      </c>
      <c r="AM13" s="1268" t="s">
        <v>8022</v>
      </c>
      <c r="AN13" s="1268" t="s">
        <v>8106</v>
      </c>
      <c r="AO13" s="1225"/>
      <c r="AP13" s="812" t="s">
        <v>8107</v>
      </c>
      <c r="AQ13" s="812" t="s">
        <v>7904</v>
      </c>
      <c r="AR13" s="1268" t="s">
        <v>8108</v>
      </c>
      <c r="AS13" s="812" t="s">
        <v>8109</v>
      </c>
      <c r="AT13" s="812" t="s">
        <v>8110</v>
      </c>
      <c r="AU13" s="812" t="s">
        <v>8111</v>
      </c>
      <c r="AV13" s="114" t="s">
        <v>8112</v>
      </c>
      <c r="AW13" s="812" t="s">
        <v>8113</v>
      </c>
      <c r="AX13" s="812" t="s">
        <v>8089</v>
      </c>
      <c r="AY13" s="1225"/>
      <c r="AZ13" s="1268" t="s">
        <v>1724</v>
      </c>
      <c r="BA13" s="812"/>
      <c r="BB13" s="1268" t="s">
        <v>8114</v>
      </c>
      <c r="BC13" s="1268" t="s">
        <v>8115</v>
      </c>
      <c r="BD13" s="812" t="s">
        <v>8116</v>
      </c>
      <c r="BE13" s="812"/>
      <c r="BF13" s="1225"/>
      <c r="BG13" s="1336"/>
      <c r="BH13" s="1336"/>
      <c r="BI13" s="1336"/>
      <c r="BJ13" s="1336"/>
      <c r="BK13" s="1336"/>
      <c r="BL13" s="1337"/>
      <c r="BM13" s="1336"/>
      <c r="BN13" s="1336"/>
      <c r="BO13" s="1336"/>
      <c r="BP13" s="1336"/>
      <c r="BQ13" s="1258"/>
      <c r="BR13" s="1258"/>
      <c r="BS13" s="1258"/>
      <c r="BT13" s="1258"/>
      <c r="BU13" s="1258"/>
      <c r="BV13" s="812" t="s">
        <v>8117</v>
      </c>
      <c r="BW13" s="1258"/>
      <c r="BX13" s="812" t="s">
        <v>4575</v>
      </c>
      <c r="BY13" s="812" t="s">
        <v>2881</v>
      </c>
      <c r="BZ13" s="1225"/>
      <c r="CA13" s="1258"/>
      <c r="CB13" s="812" t="s">
        <v>1664</v>
      </c>
      <c r="CC13" s="1258"/>
      <c r="CD13" s="1258"/>
      <c r="CE13" s="1325"/>
      <c r="CF13" s="1225"/>
      <c r="CG13" s="1258"/>
      <c r="CH13" s="1325"/>
      <c r="CI13" s="1325"/>
      <c r="CJ13" s="1313" t="s">
        <v>8118</v>
      </c>
      <c r="CK13" s="1313"/>
      <c r="CL13" s="1326" t="s">
        <v>7908</v>
      </c>
      <c r="CM13" s="1313" t="s">
        <v>8119</v>
      </c>
      <c r="CN13" s="1313" t="s">
        <v>6005</v>
      </c>
      <c r="CO13" s="1313" t="s">
        <v>1881</v>
      </c>
      <c r="CP13" s="1313" t="s">
        <v>7999</v>
      </c>
      <c r="CQ13" s="1313" t="s">
        <v>7996</v>
      </c>
      <c r="CR13" s="1325"/>
      <c r="CS13" s="1325"/>
      <c r="CT13" s="92"/>
    </row>
    <row r="14">
      <c r="A14" s="1350" t="s">
        <v>4829</v>
      </c>
      <c r="B14" s="1055" t="s">
        <v>8120</v>
      </c>
      <c r="C14" s="1056" t="s">
        <v>543</v>
      </c>
      <c r="D14" s="1057" t="s">
        <v>543</v>
      </c>
      <c r="E14" s="1058" t="s">
        <v>1415</v>
      </c>
      <c r="F14" s="1059" t="s">
        <v>3650</v>
      </c>
      <c r="G14" s="1055" t="s">
        <v>3988</v>
      </c>
      <c r="H14" s="1330"/>
      <c r="I14" s="1330" t="s">
        <v>7998</v>
      </c>
      <c r="J14" s="1225"/>
      <c r="K14" s="799" t="s">
        <v>8121</v>
      </c>
      <c r="L14" s="1258"/>
      <c r="M14" s="799" t="s">
        <v>8122</v>
      </c>
      <c r="N14" s="1225"/>
      <c r="O14" s="799" t="s">
        <v>8123</v>
      </c>
      <c r="P14" s="799" t="s">
        <v>8124</v>
      </c>
      <c r="Q14" s="1258"/>
      <c r="R14" s="1268" t="s">
        <v>8125</v>
      </c>
      <c r="S14" s="799" t="s">
        <v>8126</v>
      </c>
      <c r="T14" s="1225"/>
      <c r="U14" s="799" t="s">
        <v>8127</v>
      </c>
      <c r="V14" s="1260"/>
      <c r="W14" s="812" t="s">
        <v>5003</v>
      </c>
      <c r="X14" s="799" t="s">
        <v>3112</v>
      </c>
      <c r="Y14" s="1268" t="s">
        <v>2677</v>
      </c>
      <c r="Z14" s="1225"/>
      <c r="AA14" s="1225"/>
      <c r="AB14" s="1258"/>
      <c r="AC14" s="812" t="s">
        <v>8128</v>
      </c>
      <c r="AD14" s="786" t="s">
        <v>193</v>
      </c>
      <c r="AE14" s="1225"/>
      <c r="AF14" s="1225"/>
      <c r="AG14" s="1258"/>
      <c r="AH14" s="1268" t="s">
        <v>5337</v>
      </c>
      <c r="AI14" s="1258"/>
      <c r="AJ14" s="1258"/>
      <c r="AK14" s="1268" t="s">
        <v>4736</v>
      </c>
      <c r="AL14" s="812"/>
      <c r="AM14" s="799" t="s">
        <v>8019</v>
      </c>
      <c r="AN14" s="1225"/>
      <c r="AO14" s="1225"/>
      <c r="AP14" s="799" t="s">
        <v>8129</v>
      </c>
      <c r="AQ14" s="1225"/>
      <c r="AR14" s="1225"/>
      <c r="AS14" s="1225"/>
      <c r="AT14" s="812" t="s">
        <v>8130</v>
      </c>
      <c r="AU14" s="1225"/>
      <c r="AV14" s="1225"/>
      <c r="AW14" s="1225"/>
      <c r="AX14" s="1225"/>
      <c r="AY14" s="1225"/>
      <c r="AZ14" s="1266" t="s">
        <v>8131</v>
      </c>
      <c r="BA14" s="1260"/>
      <c r="BB14" s="799" t="s">
        <v>8132</v>
      </c>
      <c r="BC14" s="1318" t="s">
        <v>8115</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8133</v>
      </c>
      <c r="CF14" s="1315" t="s">
        <v>8134</v>
      </c>
      <c r="CG14" s="1351" t="s">
        <v>8135</v>
      </c>
      <c r="CH14" s="1325"/>
      <c r="CI14" s="1325"/>
      <c r="CJ14" s="1325"/>
      <c r="CK14" s="1325"/>
      <c r="CL14" s="1325"/>
      <c r="CM14" s="1325"/>
      <c r="CN14" s="1326" t="s">
        <v>6005</v>
      </c>
      <c r="CO14" s="1325"/>
      <c r="CP14" s="1325"/>
      <c r="CQ14" s="1325"/>
      <c r="CR14" s="1351" t="s">
        <v>7275</v>
      </c>
      <c r="CS14" s="1325"/>
      <c r="CT14" s="1258"/>
    </row>
    <row r="15">
      <c r="A15" s="1308" t="s">
        <v>1879</v>
      </c>
      <c r="B15" s="1055" t="s">
        <v>8136</v>
      </c>
      <c r="C15" s="1056" t="s">
        <v>543</v>
      </c>
      <c r="D15" s="1057" t="s">
        <v>738</v>
      </c>
      <c r="E15" s="1058" t="s">
        <v>738</v>
      </c>
      <c r="F15" s="1059" t="s">
        <v>1064</v>
      </c>
      <c r="G15" s="1055" t="s">
        <v>219</v>
      </c>
      <c r="H15" s="1330"/>
      <c r="I15" s="1330"/>
      <c r="J15" s="1225"/>
      <c r="K15" s="1225"/>
      <c r="L15" s="1258"/>
      <c r="M15" s="1268" t="s">
        <v>8137</v>
      </c>
      <c r="N15" s="1225"/>
      <c r="O15" s="1225"/>
      <c r="P15" s="1225"/>
      <c r="Q15" s="1259" t="s">
        <v>8138</v>
      </c>
      <c r="R15" s="1225"/>
      <c r="S15" s="1225"/>
      <c r="T15" s="1225"/>
      <c r="U15" s="1225"/>
      <c r="V15" s="1258"/>
      <c r="W15" s="1268" t="s">
        <v>6359</v>
      </c>
      <c r="X15" s="812"/>
      <c r="Y15" s="799" t="s">
        <v>1154</v>
      </c>
      <c r="Z15" s="1225"/>
      <c r="AA15" s="1225"/>
      <c r="AB15" s="1258"/>
      <c r="AC15" s="1268" t="s">
        <v>5461</v>
      </c>
      <c r="AD15" s="1266" t="s">
        <v>607</v>
      </c>
      <c r="AE15" s="1225"/>
      <c r="AF15" s="1225"/>
      <c r="AG15" s="1258"/>
      <c r="AH15" s="1258"/>
      <c r="AI15" s="1258"/>
      <c r="AJ15" s="1258"/>
      <c r="AK15" s="1258"/>
      <c r="AL15" s="1225"/>
      <c r="AM15" s="1225"/>
      <c r="AN15" s="1225"/>
      <c r="AO15" s="1225"/>
      <c r="AP15" s="1268" t="s">
        <v>7995</v>
      </c>
      <c r="AQ15" s="812"/>
      <c r="AR15" s="1268" t="s">
        <v>8139</v>
      </c>
      <c r="AS15" s="812"/>
      <c r="AT15" s="1225"/>
      <c r="AU15" s="1268" t="s">
        <v>8077</v>
      </c>
      <c r="AV15" s="812"/>
      <c r="AW15" s="1268" t="s">
        <v>8140</v>
      </c>
      <c r="AX15" s="1225"/>
      <c r="AY15" s="1225"/>
      <c r="AZ15" s="1225"/>
      <c r="BA15" s="1225"/>
      <c r="BB15" s="1259" t="s">
        <v>8141</v>
      </c>
      <c r="BC15" s="1265" t="s">
        <v>7902</v>
      </c>
      <c r="BD15" s="1225"/>
      <c r="BE15" s="1258"/>
      <c r="BF15" s="1225"/>
      <c r="BG15" s="1258"/>
      <c r="BH15" s="1258"/>
      <c r="BI15" s="1258"/>
      <c r="BJ15" s="1258"/>
      <c r="BK15" s="1258"/>
      <c r="BL15" s="1225"/>
      <c r="BM15" s="1259" t="s">
        <v>8142</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2760</v>
      </c>
      <c r="B16" s="1055" t="s">
        <v>8143</v>
      </c>
      <c r="C16" s="1056" t="s">
        <v>334</v>
      </c>
      <c r="D16" s="1057" t="s">
        <v>738</v>
      </c>
      <c r="E16" s="1058" t="s">
        <v>1415</v>
      </c>
      <c r="F16" s="1059" t="s">
        <v>3389</v>
      </c>
      <c r="G16" s="1055" t="s">
        <v>219</v>
      </c>
      <c r="H16" s="1353" t="s">
        <v>8144</v>
      </c>
      <c r="I16" s="1353" t="s">
        <v>8127</v>
      </c>
      <c r="J16" s="1259" t="s">
        <v>8145</v>
      </c>
      <c r="K16" s="1259" t="s">
        <v>8146</v>
      </c>
      <c r="L16" s="812" t="s">
        <v>8147</v>
      </c>
      <c r="M16" s="1225"/>
      <c r="N16" s="1259" t="s">
        <v>3551</v>
      </c>
      <c r="O16" s="1266" t="s">
        <v>8148</v>
      </c>
      <c r="P16" s="1225"/>
      <c r="Q16" s="812" t="s">
        <v>8149</v>
      </c>
      <c r="R16" s="812" t="s">
        <v>8150</v>
      </c>
      <c r="S16" s="1259" t="s">
        <v>8151</v>
      </c>
      <c r="T16" s="1259" t="s">
        <v>8152</v>
      </c>
      <c r="U16" s="812" t="s">
        <v>8153</v>
      </c>
      <c r="V16" s="812" t="s">
        <v>8154</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7754</v>
      </c>
      <c r="B17" s="1055" t="s">
        <v>8155</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8156</v>
      </c>
      <c r="X17" s="1266" t="s">
        <v>1738</v>
      </c>
      <c r="Y17" s="1225"/>
      <c r="Z17" s="1225"/>
      <c r="AA17" s="1225"/>
      <c r="AB17" s="1259" t="s">
        <v>8157</v>
      </c>
      <c r="AC17" s="1266" t="s">
        <v>2455</v>
      </c>
      <c r="AD17" s="799" t="s">
        <v>3606</v>
      </c>
      <c r="AE17" s="1260"/>
      <c r="AF17" s="1259" t="s">
        <v>8158</v>
      </c>
      <c r="AG17" s="1258"/>
      <c r="AH17" s="1259" t="s">
        <v>1699</v>
      </c>
      <c r="AI17" s="1259" t="s">
        <v>3025</v>
      </c>
      <c r="AJ17" s="1258"/>
      <c r="AK17" s="812" t="s">
        <v>4250</v>
      </c>
      <c r="AL17" s="1225"/>
      <c r="AM17" s="1225"/>
      <c r="AN17" s="1225"/>
      <c r="AO17" s="1225"/>
      <c r="AP17" s="799" t="s">
        <v>8159</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3394</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3986</v>
      </c>
      <c r="B18" s="1055" t="s">
        <v>8160</v>
      </c>
      <c r="C18" s="1056" t="s">
        <v>738</v>
      </c>
      <c r="D18" s="1057" t="s">
        <v>1415</v>
      </c>
      <c r="E18" s="1058" t="s">
        <v>738</v>
      </c>
      <c r="F18" s="1059" t="s">
        <v>438</v>
      </c>
      <c r="G18" s="1055" t="s">
        <v>2868</v>
      </c>
      <c r="H18" s="1330"/>
      <c r="I18" s="1330" t="s">
        <v>8161</v>
      </c>
      <c r="J18" s="812"/>
      <c r="K18" s="1268" t="s">
        <v>8162</v>
      </c>
      <c r="L18" s="1268"/>
      <c r="M18" s="1268" t="s">
        <v>8163</v>
      </c>
      <c r="N18" s="1225"/>
      <c r="O18" s="1268" t="s">
        <v>8164</v>
      </c>
      <c r="P18" s="1225"/>
      <c r="Q18" s="1258"/>
      <c r="R18" s="812" t="s">
        <v>8165</v>
      </c>
      <c r="S18" s="1303" t="s">
        <v>4020</v>
      </c>
      <c r="T18" s="1268" t="s">
        <v>8166</v>
      </c>
      <c r="U18" s="812" t="s">
        <v>3753</v>
      </c>
      <c r="V18" s="1268"/>
      <c r="W18" s="1268" t="s">
        <v>4441</v>
      </c>
      <c r="X18" s="812" t="s">
        <v>3655</v>
      </c>
      <c r="Y18" s="1268" t="s">
        <v>2829</v>
      </c>
      <c r="Z18" s="1225"/>
      <c r="AA18" s="1225"/>
      <c r="AB18" s="1258"/>
      <c r="AC18" s="1268" t="s">
        <v>8167</v>
      </c>
      <c r="AD18" s="812" t="s">
        <v>2031</v>
      </c>
      <c r="AE18" s="812"/>
      <c r="AF18" s="1268" t="s">
        <v>8168</v>
      </c>
      <c r="AG18" s="1259" t="s">
        <v>8169</v>
      </c>
      <c r="AH18" s="1265" t="s">
        <v>1333</v>
      </c>
      <c r="AI18" s="1258"/>
      <c r="AJ18" s="1258"/>
      <c r="AK18" s="1268" t="s">
        <v>704</v>
      </c>
      <c r="AL18" s="1225"/>
      <c r="AM18" s="1268" t="s">
        <v>8080</v>
      </c>
      <c r="AN18" s="1225"/>
      <c r="AO18" s="1225"/>
      <c r="AP18" s="812" t="s">
        <v>7922</v>
      </c>
      <c r="AQ18" s="812"/>
      <c r="AR18" s="812" t="s">
        <v>7948</v>
      </c>
      <c r="AS18" s="812" t="s">
        <v>8170</v>
      </c>
      <c r="AT18" s="812" t="s">
        <v>8171</v>
      </c>
      <c r="AU18" s="812" t="s">
        <v>8172</v>
      </c>
      <c r="AV18" s="812"/>
      <c r="AW18" s="1225"/>
      <c r="AX18" s="1225"/>
      <c r="AY18" s="1225"/>
      <c r="AZ18" s="1268" t="s">
        <v>4831</v>
      </c>
      <c r="BA18" s="812"/>
      <c r="BB18" s="1268" t="s">
        <v>8077</v>
      </c>
      <c r="BC18" s="1268" t="s">
        <v>8173</v>
      </c>
      <c r="BD18" s="1268" t="s">
        <v>7977</v>
      </c>
      <c r="BE18" s="1268"/>
      <c r="BF18" s="812"/>
      <c r="BG18" s="1258"/>
      <c r="BH18" s="1258"/>
      <c r="BI18" s="1258"/>
      <c r="BJ18" s="1258"/>
      <c r="BK18" s="1258"/>
      <c r="BL18" s="1225"/>
      <c r="BM18" s="1258"/>
      <c r="BN18" s="1268" t="s">
        <v>8174</v>
      </c>
      <c r="BO18" s="1268" t="s">
        <v>8175</v>
      </c>
      <c r="BP18" s="1268"/>
      <c r="BQ18" s="1258"/>
      <c r="BR18" s="1258"/>
      <c r="BS18" s="1258"/>
      <c r="BT18" s="1258"/>
      <c r="BU18" s="1258"/>
      <c r="BV18" s="1331" t="s">
        <v>2076</v>
      </c>
      <c r="BW18" s="1258"/>
      <c r="BX18" s="1225"/>
      <c r="BY18" s="812" t="s">
        <v>2180</v>
      </c>
      <c r="BZ18" s="1225"/>
      <c r="CA18" s="1258"/>
      <c r="CB18" s="812" t="s">
        <v>4570</v>
      </c>
      <c r="CC18" s="1268" t="s">
        <v>8176</v>
      </c>
      <c r="CD18" s="1268"/>
      <c r="CE18" s="1258"/>
      <c r="CF18" s="1225"/>
      <c r="CG18" s="1258"/>
      <c r="CH18" s="1258"/>
      <c r="CI18" s="1258"/>
      <c r="CJ18" s="1258"/>
      <c r="CK18" s="1258"/>
      <c r="CL18" s="1258"/>
      <c r="CM18" s="1268" t="s">
        <v>8177</v>
      </c>
      <c r="CN18" s="1268" t="s">
        <v>218</v>
      </c>
      <c r="CO18" s="1268" t="s">
        <v>5015</v>
      </c>
      <c r="CP18" s="1268" t="s">
        <v>8178</v>
      </c>
      <c r="CQ18" s="812" t="s">
        <v>8179</v>
      </c>
      <c r="CR18" s="1268" t="s">
        <v>3124</v>
      </c>
      <c r="CS18" s="812" t="s">
        <v>8180</v>
      </c>
      <c r="CT18" s="92"/>
    </row>
    <row r="19">
      <c r="A19" s="1356" t="s">
        <v>4703</v>
      </c>
      <c r="B19" s="1055" t="s">
        <v>8181</v>
      </c>
      <c r="C19" s="1056" t="s">
        <v>1415</v>
      </c>
      <c r="D19" s="1057" t="s">
        <v>1415</v>
      </c>
      <c r="E19" s="1058" t="s">
        <v>1415</v>
      </c>
      <c r="F19" s="1059" t="s">
        <v>738</v>
      </c>
      <c r="G19" s="1055" t="s">
        <v>220</v>
      </c>
      <c r="H19" s="1330"/>
      <c r="I19" s="1330" t="s">
        <v>8182</v>
      </c>
      <c r="J19" s="812"/>
      <c r="K19" s="812" t="s">
        <v>7109</v>
      </c>
      <c r="L19" s="1268"/>
      <c r="M19" s="1225"/>
      <c r="N19" s="1225"/>
      <c r="O19" s="1225"/>
      <c r="P19" s="1225"/>
      <c r="Q19" s="1258"/>
      <c r="R19" s="1268" t="s">
        <v>8183</v>
      </c>
      <c r="S19" s="1225"/>
      <c r="T19" s="1268" t="s">
        <v>8184</v>
      </c>
      <c r="U19" s="1268" t="s">
        <v>8185</v>
      </c>
      <c r="V19" s="1268" t="s">
        <v>8186</v>
      </c>
      <c r="W19" s="1268" t="s">
        <v>3450</v>
      </c>
      <c r="X19" s="812" t="s">
        <v>2614</v>
      </c>
      <c r="Y19" s="1268" t="s">
        <v>8187</v>
      </c>
      <c r="Z19" s="1225"/>
      <c r="AA19" s="1225"/>
      <c r="AB19" s="1258"/>
      <c r="AC19" s="799" t="s">
        <v>344</v>
      </c>
      <c r="AD19" s="1268" t="s">
        <v>3815</v>
      </c>
      <c r="AE19" s="812"/>
      <c r="AF19" s="1268" t="s">
        <v>8188</v>
      </c>
      <c r="AG19" s="1268"/>
      <c r="AH19" s="1268" t="s">
        <v>8189</v>
      </c>
      <c r="AI19" s="1258"/>
      <c r="AJ19" s="1258"/>
      <c r="AK19" s="1258"/>
      <c r="AL19" s="1225"/>
      <c r="AM19" s="1225"/>
      <c r="AN19" s="1225"/>
      <c r="AO19" s="1225"/>
      <c r="AP19" s="812" t="s">
        <v>7922</v>
      </c>
      <c r="AQ19" s="1225"/>
      <c r="AR19" s="812" t="s">
        <v>8190</v>
      </c>
      <c r="AS19" s="1225"/>
      <c r="AT19" s="1225"/>
      <c r="AU19" s="812" t="s">
        <v>8191</v>
      </c>
      <c r="AV19" s="812"/>
      <c r="AW19" s="812" t="s">
        <v>7953</v>
      </c>
      <c r="AX19" s="1225"/>
      <c r="AY19" s="1225"/>
      <c r="AZ19" s="1268" t="s">
        <v>2218</v>
      </c>
      <c r="BA19" s="812"/>
      <c r="BB19" s="1225"/>
      <c r="BC19" s="1268" t="s">
        <v>8192</v>
      </c>
      <c r="BD19" s="812" t="s">
        <v>8193</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4434</v>
      </c>
      <c r="B20" s="1055" t="s">
        <v>8194</v>
      </c>
      <c r="C20" s="1056" t="s">
        <v>1415</v>
      </c>
      <c r="D20" s="1057" t="s">
        <v>1415</v>
      </c>
      <c r="E20" s="1058" t="s">
        <v>1415</v>
      </c>
      <c r="F20" s="1059" t="s">
        <v>1415</v>
      </c>
      <c r="G20" s="1055" t="s">
        <v>220</v>
      </c>
      <c r="H20" s="1330" t="s">
        <v>8195</v>
      </c>
      <c r="I20" s="1330" t="s">
        <v>8196</v>
      </c>
      <c r="J20" s="812" t="s">
        <v>8197</v>
      </c>
      <c r="K20" s="1330" t="s">
        <v>8198</v>
      </c>
      <c r="L20" s="812" t="s">
        <v>8199</v>
      </c>
      <c r="M20" s="812" t="s">
        <v>7984</v>
      </c>
      <c r="N20" s="812" t="s">
        <v>8200</v>
      </c>
      <c r="O20" s="812" t="s">
        <v>8201</v>
      </c>
      <c r="P20" s="812" t="s">
        <v>8202</v>
      </c>
      <c r="Q20" s="1258"/>
      <c r="R20" s="812" t="s">
        <v>8085</v>
      </c>
      <c r="S20" s="114" t="s">
        <v>8203</v>
      </c>
      <c r="T20" s="1225"/>
      <c r="U20" s="1357" t="s">
        <v>8204</v>
      </c>
      <c r="V20" s="812" t="s">
        <v>8205</v>
      </c>
      <c r="W20" s="1268" t="s">
        <v>8206</v>
      </c>
      <c r="X20" s="812" t="s">
        <v>8207</v>
      </c>
      <c r="Y20" s="812" t="s">
        <v>246</v>
      </c>
      <c r="Z20" s="1225"/>
      <c r="AA20" s="1225"/>
      <c r="AB20" s="1258"/>
      <c r="AC20" s="1268" t="s">
        <v>8208</v>
      </c>
      <c r="AD20" s="812" t="s">
        <v>4158</v>
      </c>
      <c r="AE20" s="1225"/>
      <c r="AF20" s="1225"/>
      <c r="AG20" s="1258"/>
      <c r="AH20" s="1258"/>
      <c r="AI20" s="1258"/>
      <c r="AJ20" s="1258"/>
      <c r="AK20" s="1258"/>
      <c r="AL20" s="1225"/>
      <c r="AM20" s="812"/>
      <c r="AN20" s="1225"/>
      <c r="AO20" s="1225"/>
      <c r="AP20" s="812" t="s">
        <v>7997</v>
      </c>
      <c r="AQ20" s="812" t="s">
        <v>8209</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6298</v>
      </c>
      <c r="B21" s="1055" t="s">
        <v>8210</v>
      </c>
      <c r="C21" s="1056" t="s">
        <v>1415</v>
      </c>
      <c r="D21" s="1057" t="s">
        <v>1415</v>
      </c>
      <c r="E21" s="1058" t="s">
        <v>1415</v>
      </c>
      <c r="F21" s="1059" t="s">
        <v>1415</v>
      </c>
      <c r="G21" s="1055" t="s">
        <v>5687</v>
      </c>
      <c r="H21" s="1330"/>
      <c r="I21" s="1330" t="s">
        <v>8211</v>
      </c>
      <c r="J21" s="812"/>
      <c r="K21" s="1268" t="s">
        <v>8212</v>
      </c>
      <c r="L21" s="1268"/>
      <c r="M21" s="812"/>
      <c r="N21" s="812"/>
      <c r="O21" s="1268" t="s">
        <v>8213</v>
      </c>
      <c r="P21" s="812"/>
      <c r="Q21" s="1258"/>
      <c r="R21" s="1225"/>
      <c r="S21" s="1225"/>
      <c r="T21" s="812"/>
      <c r="U21" s="1268" t="s">
        <v>8214</v>
      </c>
      <c r="V21" s="1268"/>
      <c r="W21" s="1268" t="s">
        <v>2294</v>
      </c>
      <c r="X21" s="812"/>
      <c r="Y21" s="1268" t="s">
        <v>3284</v>
      </c>
      <c r="Z21" s="812"/>
      <c r="AA21" s="812"/>
      <c r="AB21" s="1268"/>
      <c r="AC21" s="1268" t="s">
        <v>8215</v>
      </c>
      <c r="AD21" s="1268" t="s">
        <v>4802</v>
      </c>
      <c r="AE21" s="812"/>
      <c r="AF21" s="812"/>
      <c r="AG21" s="1268"/>
      <c r="AH21" s="1258"/>
      <c r="AI21" s="1258"/>
      <c r="AJ21" s="1258"/>
      <c r="AK21" s="1258"/>
      <c r="AL21" s="1225"/>
      <c r="AM21" s="1268" t="s">
        <v>8129</v>
      </c>
      <c r="AN21" s="1225"/>
      <c r="AO21" s="1225"/>
      <c r="AP21" s="1268" t="s">
        <v>8216</v>
      </c>
      <c r="AQ21" s="812"/>
      <c r="AR21" s="1268" t="s">
        <v>8217</v>
      </c>
      <c r="AS21" s="812"/>
      <c r="AT21" s="1268" t="s">
        <v>8218</v>
      </c>
      <c r="AU21" s="1268" t="s">
        <v>8219</v>
      </c>
      <c r="AV21" s="812"/>
      <c r="AW21" s="812"/>
      <c r="AX21" s="1225"/>
      <c r="AY21" s="1225"/>
      <c r="AZ21" s="1268" t="s">
        <v>5083</v>
      </c>
      <c r="BA21" s="812"/>
      <c r="BB21" s="1268" t="s">
        <v>7954</v>
      </c>
      <c r="BC21" s="1268" t="s">
        <v>8075</v>
      </c>
      <c r="BD21" s="1268" t="s">
        <v>8116</v>
      </c>
      <c r="BE21" s="1268"/>
      <c r="BF21" s="812"/>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7725</v>
      </c>
      <c r="B22" s="1055" t="s">
        <v>6217</v>
      </c>
      <c r="C22" s="1056" t="s">
        <v>1415</v>
      </c>
      <c r="D22" s="1057" t="s">
        <v>1415</v>
      </c>
      <c r="E22" s="1058" t="s">
        <v>738</v>
      </c>
      <c r="F22" s="1059" t="s">
        <v>438</v>
      </c>
      <c r="G22" s="1055" t="s">
        <v>5687</v>
      </c>
      <c r="H22" s="1330" t="s">
        <v>8220</v>
      </c>
      <c r="I22" s="1330"/>
      <c r="J22" s="1225"/>
      <c r="K22" s="1268" t="s">
        <v>8221</v>
      </c>
      <c r="L22" s="1268"/>
      <c r="M22" s="1225"/>
      <c r="N22" s="1225"/>
      <c r="O22" s="1225"/>
      <c r="P22" s="1225"/>
      <c r="Q22" s="1268" t="s">
        <v>8222</v>
      </c>
      <c r="R22" s="1268" t="s">
        <v>8223</v>
      </c>
      <c r="S22" s="1225"/>
      <c r="T22" s="1268" t="s">
        <v>8224</v>
      </c>
      <c r="U22" s="1359" t="s">
        <v>3100</v>
      </c>
      <c r="V22" s="1359"/>
      <c r="W22" s="1268" t="s">
        <v>369</v>
      </c>
      <c r="X22" s="812"/>
      <c r="Y22" s="1268" t="s">
        <v>4823</v>
      </c>
      <c r="Z22" s="1225"/>
      <c r="AA22" s="1225"/>
      <c r="AB22" s="1258"/>
      <c r="AC22" s="1268" t="s">
        <v>8225</v>
      </c>
      <c r="AD22" s="1268" t="s">
        <v>4048</v>
      </c>
      <c r="AE22" s="1260"/>
      <c r="AF22" s="799" t="s">
        <v>721</v>
      </c>
      <c r="AG22" s="1254"/>
      <c r="AH22" s="1268" t="s">
        <v>4815</v>
      </c>
      <c r="AI22" s="1268" t="s">
        <v>5489</v>
      </c>
      <c r="AJ22" s="1258"/>
      <c r="AK22" s="1258"/>
      <c r="AL22" s="1225"/>
      <c r="AM22" s="1225"/>
      <c r="AN22" s="1225"/>
      <c r="AO22" s="1225"/>
      <c r="AP22" s="1225"/>
      <c r="AQ22" s="1225"/>
      <c r="AR22" s="1225"/>
      <c r="AS22" s="1225"/>
      <c r="AT22" s="1225"/>
      <c r="AU22" s="1225"/>
      <c r="AV22" s="1225"/>
      <c r="AW22" s="1225"/>
      <c r="AX22" s="812"/>
      <c r="AY22" s="1268" t="s">
        <v>8115</v>
      </c>
      <c r="AZ22" s="1225"/>
      <c r="BA22" s="1225"/>
      <c r="BB22" s="1268" t="s">
        <v>8081</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2"/>
      <c r="BW22" s="1268" t="s">
        <v>5377</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8226</v>
      </c>
    </row>
    <row r="23">
      <c r="A23" s="1362" t="s">
        <v>7716</v>
      </c>
      <c r="B23" s="1055" t="s">
        <v>8227</v>
      </c>
      <c r="C23" s="1056" t="s">
        <v>1415</v>
      </c>
      <c r="D23" s="1057" t="s">
        <v>1415</v>
      </c>
      <c r="E23" s="1058" t="s">
        <v>1415</v>
      </c>
      <c r="F23" s="1059" t="s">
        <v>1415</v>
      </c>
      <c r="G23" s="1055" t="s">
        <v>2692</v>
      </c>
      <c r="H23" s="1330"/>
      <c r="I23" s="1330" t="s">
        <v>8228</v>
      </c>
      <c r="J23" s="812"/>
      <c r="K23" s="812" t="s">
        <v>8229</v>
      </c>
      <c r="L23" s="1268"/>
      <c r="M23" s="1225"/>
      <c r="N23" s="1258" t="s">
        <v>8230</v>
      </c>
      <c r="O23" s="1225"/>
      <c r="P23" s="1225"/>
      <c r="Q23" s="1258"/>
      <c r="R23" s="1268" t="s">
        <v>8231</v>
      </c>
      <c r="S23" s="1225"/>
      <c r="T23" s="1268" t="s">
        <v>8232</v>
      </c>
      <c r="U23" s="1268" t="s">
        <v>8233</v>
      </c>
      <c r="V23" s="1268"/>
      <c r="W23" s="1268" t="s">
        <v>5225</v>
      </c>
      <c r="X23" s="812"/>
      <c r="Y23" s="1268" t="s">
        <v>1016</v>
      </c>
      <c r="Z23" s="1258" t="s">
        <v>8234</v>
      </c>
      <c r="AA23" s="1225"/>
      <c r="AB23" s="1258"/>
      <c r="AC23" s="812"/>
      <c r="AD23" s="1268" t="s">
        <v>1831</v>
      </c>
      <c r="AE23" s="812"/>
      <c r="AF23" s="812"/>
      <c r="AG23" s="1268"/>
      <c r="AH23" s="1268"/>
      <c r="AI23" s="1258" t="s">
        <v>8235</v>
      </c>
      <c r="AJ23" s="1258"/>
      <c r="AK23" s="1258"/>
      <c r="AL23" s="1225"/>
      <c r="AM23" s="1258" t="s">
        <v>8236</v>
      </c>
      <c r="AN23" s="1225"/>
      <c r="AO23" s="1225"/>
      <c r="AP23" s="812" t="s">
        <v>8237</v>
      </c>
      <c r="AQ23" s="1225"/>
      <c r="AR23" s="1258" t="s">
        <v>8238</v>
      </c>
      <c r="AS23" s="1225"/>
      <c r="AT23" s="1258" t="s">
        <v>8239</v>
      </c>
      <c r="AU23" s="812" t="s">
        <v>8240</v>
      </c>
      <c r="AV23" s="812"/>
      <c r="AW23" s="812" t="s">
        <v>8129</v>
      </c>
      <c r="AX23" s="1225"/>
      <c r="AY23" s="1258" t="s">
        <v>8133</v>
      </c>
      <c r="AZ23" s="812"/>
      <c r="BA23" s="812"/>
      <c r="BB23" s="1258" t="s">
        <v>8241</v>
      </c>
      <c r="BC23" s="812"/>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5198</v>
      </c>
      <c r="B24" s="1055" t="s">
        <v>8242</v>
      </c>
      <c r="C24" s="1056" t="s">
        <v>1415</v>
      </c>
      <c r="D24" s="1057" t="s">
        <v>738</v>
      </c>
      <c r="E24" s="1058" t="s">
        <v>438</v>
      </c>
      <c r="F24" s="1059" t="s">
        <v>1064</v>
      </c>
      <c r="G24" s="1055" t="s">
        <v>5083</v>
      </c>
      <c r="H24" s="1339" t="s">
        <v>8243</v>
      </c>
      <c r="I24" s="1339" t="s">
        <v>5205</v>
      </c>
      <c r="J24" s="1260"/>
      <c r="K24" s="1268" t="s">
        <v>8244</v>
      </c>
      <c r="L24" s="1268"/>
      <c r="M24" s="812"/>
      <c r="N24" s="1268" t="s">
        <v>8245</v>
      </c>
      <c r="O24" s="1268" t="s">
        <v>8246</v>
      </c>
      <c r="P24" s="1268" t="s">
        <v>8247</v>
      </c>
      <c r="Q24" s="1268" t="s">
        <v>8248</v>
      </c>
      <c r="R24" s="1268" t="s">
        <v>8249</v>
      </c>
      <c r="S24" s="1268" t="s">
        <v>5224</v>
      </c>
      <c r="T24" s="1268" t="s">
        <v>8250</v>
      </c>
      <c r="U24" s="1268" t="s">
        <v>8251</v>
      </c>
      <c r="V24" s="1268"/>
      <c r="W24" s="1268" t="s">
        <v>5873</v>
      </c>
      <c r="X24" s="812"/>
      <c r="Y24" s="1225"/>
      <c r="Z24" s="1225"/>
      <c r="AA24" s="1225"/>
      <c r="AB24" s="1258"/>
      <c r="AC24" s="1268" t="s">
        <v>8252</v>
      </c>
      <c r="AD24" s="1268" t="s">
        <v>5722</v>
      </c>
      <c r="AE24" s="812"/>
      <c r="AF24" s="1268" t="s">
        <v>7338</v>
      </c>
      <c r="AG24" s="1268"/>
      <c r="AH24" s="1268" t="s">
        <v>3199</v>
      </c>
      <c r="AI24" s="1268"/>
      <c r="AJ24" s="1268"/>
      <c r="AK24" s="1258"/>
      <c r="AL24" s="1225"/>
      <c r="AM24" s="1268" t="s">
        <v>8253</v>
      </c>
      <c r="AN24" s="1268" t="s">
        <v>8090</v>
      </c>
      <c r="AO24" s="1268" t="s">
        <v>8020</v>
      </c>
      <c r="AP24" s="1268" t="s">
        <v>8254</v>
      </c>
      <c r="AQ24" s="812"/>
      <c r="AR24" s="1268" t="s">
        <v>8170</v>
      </c>
      <c r="AS24" s="812"/>
      <c r="AT24" s="1268" t="s">
        <v>8255</v>
      </c>
      <c r="AU24" s="1268" t="s">
        <v>8256</v>
      </c>
      <c r="AV24" s="812"/>
      <c r="AW24" s="1268" t="s">
        <v>8080</v>
      </c>
      <c r="AX24" s="812"/>
      <c r="AY24" s="1268" t="s">
        <v>8159</v>
      </c>
      <c r="AZ24" s="1225"/>
      <c r="BA24" s="1225"/>
      <c r="BB24" s="1268" t="s">
        <v>8106</v>
      </c>
      <c r="BC24" s="812" t="s">
        <v>8159</v>
      </c>
      <c r="BD24" s="1268" t="s">
        <v>8172</v>
      </c>
      <c r="BE24" s="1268"/>
      <c r="BF24" s="812"/>
      <c r="BG24" s="1364" t="s">
        <v>8257</v>
      </c>
      <c r="BH24" s="1365" t="s">
        <v>8258</v>
      </c>
      <c r="BI24" s="1167"/>
      <c r="BJ24" s="1167"/>
      <c r="BK24" s="1167"/>
      <c r="BL24" s="1167" t="s">
        <v>8259</v>
      </c>
      <c r="BM24" s="1167" t="s">
        <v>8260</v>
      </c>
      <c r="BN24" s="1167"/>
      <c r="BO24" s="1167"/>
      <c r="BP24" s="1167"/>
      <c r="BQ24" s="1258"/>
      <c r="BR24" s="1366" t="s">
        <v>8261</v>
      </c>
      <c r="BS24" s="1258"/>
      <c r="BT24" s="1258"/>
      <c r="BU24" s="1258"/>
      <c r="BV24" s="1367" t="s">
        <v>2061</v>
      </c>
      <c r="BW24" s="1268" t="s">
        <v>1775</v>
      </c>
      <c r="BX24" s="1268" t="s">
        <v>1627</v>
      </c>
      <c r="BY24" s="1265" t="s">
        <v>4889</v>
      </c>
      <c r="BZ24" s="1268" t="s">
        <v>2204</v>
      </c>
      <c r="CA24" s="1268" t="s">
        <v>5420</v>
      </c>
      <c r="CB24" s="1268" t="s">
        <v>2121</v>
      </c>
      <c r="CC24" s="1268" t="s">
        <v>8262</v>
      </c>
      <c r="CD24" s="1268"/>
      <c r="CE24" s="1327" t="s">
        <v>8192</v>
      </c>
      <c r="CF24" s="1327" t="s">
        <v>7891</v>
      </c>
      <c r="CG24" s="1327" t="s">
        <v>8263</v>
      </c>
      <c r="CH24" s="1327"/>
      <c r="CI24" s="1325"/>
      <c r="CJ24" s="1325"/>
      <c r="CK24" s="1325"/>
      <c r="CL24" s="1325"/>
      <c r="CM24" s="1325"/>
      <c r="CN24" s="1314"/>
      <c r="CO24" s="1325"/>
      <c r="CP24" s="1325"/>
      <c r="CQ24" s="1325"/>
      <c r="CR24" s="1325"/>
      <c r="CS24" s="1325"/>
      <c r="CT24" s="1273" t="s">
        <v>4798</v>
      </c>
    </row>
    <row r="25">
      <c r="A25" s="1321" t="s">
        <v>6342</v>
      </c>
      <c r="B25" s="1055" t="s">
        <v>440</v>
      </c>
      <c r="C25" s="1056" t="s">
        <v>1415</v>
      </c>
      <c r="D25" s="1057" t="s">
        <v>738</v>
      </c>
      <c r="E25" s="1058" t="s">
        <v>1415</v>
      </c>
      <c r="F25" s="1059" t="s">
        <v>828</v>
      </c>
      <c r="G25" s="1055" t="s">
        <v>220</v>
      </c>
      <c r="H25" s="1330"/>
      <c r="I25" s="1330" t="s">
        <v>8264</v>
      </c>
      <c r="J25" s="812"/>
      <c r="K25" s="812" t="s">
        <v>8265</v>
      </c>
      <c r="L25" s="1266" t="s">
        <v>3731</v>
      </c>
      <c r="M25" s="1225"/>
      <c r="N25" s="1225"/>
      <c r="O25" s="1225"/>
      <c r="P25" s="812" t="s">
        <v>8266</v>
      </c>
      <c r="Q25" s="1258"/>
      <c r="R25" s="799" t="s">
        <v>8267</v>
      </c>
      <c r="S25" s="1225"/>
      <c r="T25" s="1225"/>
      <c r="U25" s="812" t="s">
        <v>750</v>
      </c>
      <c r="V25" s="1268"/>
      <c r="W25" s="1268" t="s">
        <v>4365</v>
      </c>
      <c r="X25" s="812" t="s">
        <v>3456</v>
      </c>
      <c r="Y25" s="799" t="s">
        <v>8268</v>
      </c>
      <c r="Z25" s="1225"/>
      <c r="AA25" s="1225"/>
      <c r="AB25" s="1258"/>
      <c r="AC25" s="1268" t="s">
        <v>8269</v>
      </c>
      <c r="AD25" s="1268" t="s">
        <v>8270</v>
      </c>
      <c r="AE25" s="812"/>
      <c r="AF25" s="1268" t="s">
        <v>8271</v>
      </c>
      <c r="AG25" s="1268"/>
      <c r="AH25" s="1268" t="s">
        <v>8272</v>
      </c>
      <c r="AI25" s="1258"/>
      <c r="AJ25" s="1258"/>
      <c r="AK25" s="1273" t="s">
        <v>3778</v>
      </c>
      <c r="AL25" s="1317"/>
      <c r="AM25" s="1225"/>
      <c r="AN25" s="1225"/>
      <c r="AO25" s="1225"/>
      <c r="AP25" s="1225"/>
      <c r="AQ25" s="1225"/>
      <c r="AR25" s="1268" t="s">
        <v>8273</v>
      </c>
      <c r="AS25" s="812"/>
      <c r="AT25" s="1225"/>
      <c r="AU25" s="1225"/>
      <c r="AV25" s="1225"/>
      <c r="AW25" s="1268" t="s">
        <v>7929</v>
      </c>
      <c r="AX25" s="1225"/>
      <c r="AY25" s="1225"/>
      <c r="AZ25" s="1225"/>
      <c r="BA25" s="1225"/>
      <c r="BB25" s="1268" t="s">
        <v>8004</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3988</v>
      </c>
      <c r="CN25" s="1268" t="s">
        <v>7177</v>
      </c>
      <c r="CO25" s="1268" t="s">
        <v>4997</v>
      </c>
      <c r="CP25" s="1258"/>
      <c r="CQ25" s="1258"/>
      <c r="CR25" s="1258"/>
      <c r="CS25" s="1258"/>
      <c r="CT25" s="92"/>
    </row>
    <row r="26">
      <c r="A26" s="1354" t="s">
        <v>6355</v>
      </c>
      <c r="B26" s="1055" t="s">
        <v>4323</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2809</v>
      </c>
      <c r="Y26" s="1259" t="s">
        <v>8088</v>
      </c>
      <c r="Z26" s="1225"/>
      <c r="AA26" s="1225"/>
      <c r="AB26" s="1258"/>
      <c r="AC26" s="1259" t="s">
        <v>4676</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3893</v>
      </c>
      <c r="BW26" s="1258"/>
      <c r="BX26" s="1259" t="s">
        <v>1662</v>
      </c>
      <c r="BY26" s="1258"/>
      <c r="BZ26" s="1259" t="s">
        <v>8274</v>
      </c>
      <c r="CA26" s="1258"/>
      <c r="CB26" s="1258"/>
      <c r="CC26" s="1258"/>
      <c r="CD26" s="1335" t="s">
        <v>1990</v>
      </c>
      <c r="CE26" s="1258"/>
      <c r="CF26" s="1225"/>
      <c r="CG26" s="1258"/>
      <c r="CH26" s="1258"/>
      <c r="CI26" s="1258"/>
      <c r="CJ26" s="1258"/>
      <c r="CK26" s="1258"/>
      <c r="CL26" s="1258"/>
      <c r="CM26" s="1258"/>
      <c r="CN26" s="1225"/>
      <c r="CO26" s="1258"/>
      <c r="CP26" s="1258"/>
      <c r="CQ26" s="1258"/>
      <c r="CR26" s="1258"/>
      <c r="CS26" s="1258"/>
      <c r="CT26" s="1258"/>
    </row>
    <row r="27">
      <c r="A27" s="1302" t="s">
        <v>7727</v>
      </c>
      <c r="B27" s="1055" t="s">
        <v>439</v>
      </c>
      <c r="C27" s="1056" t="s">
        <v>1415</v>
      </c>
      <c r="D27" s="1057" t="s">
        <v>1415</v>
      </c>
      <c r="E27" s="1058" t="s">
        <v>738</v>
      </c>
      <c r="F27" s="1059" t="s">
        <v>438</v>
      </c>
      <c r="G27" s="1055" t="s">
        <v>333</v>
      </c>
      <c r="H27" s="1330"/>
      <c r="I27" s="1330" t="s">
        <v>8275</v>
      </c>
      <c r="J27" s="1225"/>
      <c r="K27" s="812" t="s">
        <v>8276</v>
      </c>
      <c r="L27" s="1258"/>
      <c r="M27" s="1225"/>
      <c r="N27" s="1225"/>
      <c r="O27" s="1225"/>
      <c r="P27" s="812" t="s">
        <v>8277</v>
      </c>
      <c r="Q27" s="1258"/>
      <c r="R27" s="1225"/>
      <c r="S27" s="1225"/>
      <c r="T27" s="1225"/>
      <c r="U27" s="786" t="s">
        <v>8278</v>
      </c>
      <c r="V27" s="1258"/>
      <c r="W27" s="1225"/>
      <c r="X27" s="812" t="s">
        <v>6523</v>
      </c>
      <c r="Y27" s="799" t="s">
        <v>6614</v>
      </c>
      <c r="Z27" s="1225"/>
      <c r="AA27" s="812" t="s">
        <v>8279</v>
      </c>
      <c r="AB27" s="1258"/>
      <c r="AC27" s="812" t="s">
        <v>8280</v>
      </c>
      <c r="AD27" s="812" t="s">
        <v>1950</v>
      </c>
      <c r="AE27" s="1265" t="s">
        <v>4993</v>
      </c>
      <c r="AF27" s="812" t="s">
        <v>1335</v>
      </c>
      <c r="AG27" s="812"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3234</v>
      </c>
      <c r="B28" s="1055" t="s">
        <v>2141</v>
      </c>
      <c r="C28" s="1056" t="s">
        <v>738</v>
      </c>
      <c r="D28" s="1057" t="s">
        <v>1415</v>
      </c>
      <c r="E28" s="1058" t="s">
        <v>1415</v>
      </c>
      <c r="F28" s="1059" t="s">
        <v>438</v>
      </c>
      <c r="G28" s="1055" t="s">
        <v>2692</v>
      </c>
      <c r="H28" s="1330"/>
      <c r="I28" s="1306" t="s">
        <v>8281</v>
      </c>
      <c r="J28" s="1225"/>
      <c r="K28" s="812" t="s">
        <v>8282</v>
      </c>
      <c r="L28" s="1258"/>
      <c r="M28" s="812" t="s">
        <v>8283</v>
      </c>
      <c r="N28" s="1225"/>
      <c r="O28" s="1225"/>
      <c r="P28" s="1268" t="s">
        <v>5788</v>
      </c>
      <c r="Q28" s="1258"/>
      <c r="R28" s="1225"/>
      <c r="S28" s="812" t="s">
        <v>3273</v>
      </c>
      <c r="T28" s="812"/>
      <c r="U28" s="1268" t="s">
        <v>3719</v>
      </c>
      <c r="V28" s="1258"/>
      <c r="W28" s="1225"/>
      <c r="X28" s="812" t="s">
        <v>8284</v>
      </c>
      <c r="Y28" s="812" t="s">
        <v>5051</v>
      </c>
      <c r="Z28" s="1225"/>
      <c r="AA28" s="812" t="s">
        <v>8285</v>
      </c>
      <c r="AB28" s="1258"/>
      <c r="AC28" s="812" t="s">
        <v>8286</v>
      </c>
      <c r="AD28" s="812" t="s">
        <v>5320</v>
      </c>
      <c r="AE28" s="812" t="s">
        <v>8287</v>
      </c>
      <c r="AF28" s="812" t="s">
        <v>7606</v>
      </c>
      <c r="AG28" s="1258"/>
      <c r="AH28" s="1258"/>
      <c r="AI28" s="1258"/>
      <c r="AJ28" s="1258"/>
      <c r="AK28" s="1258"/>
      <c r="AL28" s="1225"/>
      <c r="AM28" s="1225"/>
      <c r="AN28" s="812" t="s">
        <v>8288</v>
      </c>
      <c r="AO28" s="1268" t="s">
        <v>8289</v>
      </c>
      <c r="AP28" s="1225"/>
      <c r="AQ28" s="812" t="s">
        <v>8019</v>
      </c>
      <c r="AR28" s="1225"/>
      <c r="AS28" s="1225"/>
      <c r="AT28" s="1225"/>
      <c r="AU28" s="812" t="s">
        <v>8240</v>
      </c>
      <c r="AV28" s="1225"/>
      <c r="AW28" s="1225"/>
      <c r="AX28" s="1225"/>
      <c r="AY28" s="1225"/>
      <c r="AZ28" s="1225"/>
      <c r="BA28" s="1225"/>
      <c r="BB28" s="1225"/>
      <c r="BC28" s="1225"/>
      <c r="BD28" s="1225"/>
      <c r="BE28" s="1258"/>
      <c r="BF28" s="1225"/>
      <c r="BG28" s="1336"/>
      <c r="BH28" s="1336"/>
      <c r="BI28" s="1336"/>
      <c r="BJ28" s="1336"/>
      <c r="BK28" s="1336"/>
      <c r="BL28" s="1370" t="s">
        <v>8290</v>
      </c>
      <c r="BM28" s="1336"/>
      <c r="BN28" s="1336"/>
      <c r="BO28" s="1336"/>
      <c r="BP28" s="1336"/>
      <c r="BQ28" s="1258"/>
      <c r="BR28" s="1258"/>
      <c r="BS28" s="1258"/>
      <c r="BT28" s="1258"/>
      <c r="BU28" s="1258"/>
      <c r="BV28" s="812"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4384</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3708</v>
      </c>
      <c r="Y29" s="1265" t="s">
        <v>5400</v>
      </c>
      <c r="Z29" s="1225"/>
      <c r="AA29" s="1225"/>
      <c r="AB29" s="1258"/>
      <c r="AC29" s="1225"/>
      <c r="AD29" s="1225"/>
      <c r="AE29" s="1260"/>
      <c r="AF29" s="1266" t="s">
        <v>5616</v>
      </c>
      <c r="AG29" s="1258"/>
      <c r="AH29" s="1258"/>
      <c r="AI29" s="1258"/>
      <c r="AJ29" s="1258"/>
      <c r="AK29" s="1258"/>
      <c r="AL29" s="1225"/>
      <c r="AM29" s="1225"/>
      <c r="AN29" s="1225"/>
      <c r="AO29" s="1225"/>
      <c r="AP29" s="1225"/>
      <c r="AQ29" s="1225"/>
      <c r="AR29" s="1225"/>
      <c r="AS29" s="1225"/>
      <c r="AT29" s="1225"/>
      <c r="AU29" s="1225"/>
      <c r="AV29" s="1225"/>
      <c r="AW29" s="1225"/>
      <c r="AX29" s="812" t="s">
        <v>6415</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2"/>
      <c r="BW29" s="1268"/>
      <c r="BX29" s="812"/>
      <c r="BY29" s="1268"/>
      <c r="BZ29" s="812"/>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7138</v>
      </c>
      <c r="C30" s="1056" t="s">
        <v>1415</v>
      </c>
      <c r="D30" s="1057" t="s">
        <v>1415</v>
      </c>
      <c r="E30" s="1058" t="s">
        <v>1415</v>
      </c>
      <c r="F30" s="1059" t="s">
        <v>438</v>
      </c>
      <c r="G30" s="1055" t="s">
        <v>543</v>
      </c>
      <c r="H30" s="1330"/>
      <c r="I30" s="1330"/>
      <c r="J30" s="101"/>
      <c r="K30" s="101"/>
      <c r="L30" s="92"/>
      <c r="M30" s="101"/>
      <c r="N30" s="101"/>
      <c r="O30" s="101"/>
      <c r="P30" s="101"/>
      <c r="Q30" s="92"/>
      <c r="R30" s="114" t="s">
        <v>8291</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8292</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2"/>
      <c r="CS30" s="1258"/>
      <c r="CT30" s="92"/>
    </row>
    <row r="31">
      <c r="A31" s="1321" t="s">
        <v>4871</v>
      </c>
      <c r="B31" s="1055" t="s">
        <v>1498</v>
      </c>
      <c r="C31" s="1056" t="s">
        <v>1415</v>
      </c>
      <c r="D31" s="1057" t="s">
        <v>1415</v>
      </c>
      <c r="E31" s="1058" t="s">
        <v>1415</v>
      </c>
      <c r="F31" s="1059" t="s">
        <v>1415</v>
      </c>
      <c r="G31" s="1055" t="s">
        <v>219</v>
      </c>
      <c r="H31" s="1330"/>
      <c r="I31" s="1330" t="s">
        <v>6415</v>
      </c>
      <c r="J31" s="1225"/>
      <c r="K31" s="812" t="s">
        <v>8293</v>
      </c>
      <c r="L31" s="1258"/>
      <c r="M31" s="1225"/>
      <c r="N31" s="1225"/>
      <c r="O31" s="1225"/>
      <c r="P31" s="812" t="s">
        <v>8294</v>
      </c>
      <c r="Q31" s="1258"/>
      <c r="R31" s="1225"/>
      <c r="S31" s="1225"/>
      <c r="T31" s="812" t="s">
        <v>8295</v>
      </c>
      <c r="U31" s="812" t="s">
        <v>8296</v>
      </c>
      <c r="V31" s="1258"/>
      <c r="W31" s="812" t="s">
        <v>247</v>
      </c>
      <c r="X31" s="812" t="s">
        <v>8297</v>
      </c>
      <c r="Y31" s="812" t="s">
        <v>366</v>
      </c>
      <c r="Z31" s="1225"/>
      <c r="AA31" s="1225"/>
      <c r="AB31" s="1258"/>
      <c r="AC31" s="1225"/>
      <c r="AD31" s="1225"/>
      <c r="AE31" s="1225"/>
      <c r="AF31" s="1225"/>
      <c r="AG31" s="1258"/>
      <c r="AH31" s="1258"/>
      <c r="AI31" s="1258"/>
      <c r="AJ31" s="1258"/>
      <c r="AK31" s="1258"/>
      <c r="AL31" s="1225"/>
      <c r="AM31" s="1225"/>
      <c r="AN31" s="1225"/>
      <c r="AO31" s="1225"/>
      <c r="AP31" s="786" t="s">
        <v>7994</v>
      </c>
      <c r="AQ31" s="786"/>
      <c r="AR31" s="1225"/>
      <c r="AS31" s="812" t="s">
        <v>8171</v>
      </c>
      <c r="AT31" s="1225"/>
      <c r="AU31" s="812" t="s">
        <v>8273</v>
      </c>
      <c r="AV31" s="1225"/>
      <c r="AW31" s="1225"/>
      <c r="AX31" s="1225"/>
      <c r="AY31" s="1225"/>
      <c r="AZ31" s="812" t="s">
        <v>2400</v>
      </c>
      <c r="BA31" s="1225"/>
      <c r="BB31" s="786" t="s">
        <v>8298</v>
      </c>
      <c r="BC31" s="812" t="s">
        <v>7921</v>
      </c>
      <c r="BD31" s="812"/>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4492</v>
      </c>
      <c r="B32" s="1055" t="s">
        <v>2029</v>
      </c>
      <c r="C32" s="1056" t="s">
        <v>1415</v>
      </c>
      <c r="D32" s="1057" t="s">
        <v>1415</v>
      </c>
      <c r="E32" s="1058" t="s">
        <v>1415</v>
      </c>
      <c r="F32" s="1059" t="s">
        <v>1415</v>
      </c>
      <c r="G32" s="1055" t="s">
        <v>2253</v>
      </c>
      <c r="H32" s="1330"/>
      <c r="I32" s="1330"/>
      <c r="J32" s="1225"/>
      <c r="K32" s="1225"/>
      <c r="L32" s="1258"/>
      <c r="M32" s="1225"/>
      <c r="N32" s="1225"/>
      <c r="O32" s="1225"/>
      <c r="P32" s="1225"/>
      <c r="Q32" s="1258"/>
      <c r="R32" s="1225"/>
      <c r="S32" s="1225"/>
      <c r="T32" s="1225"/>
      <c r="U32" s="1225"/>
      <c r="V32" s="1258"/>
      <c r="W32" s="1268" t="s">
        <v>664</v>
      </c>
      <c r="X32" s="812"/>
      <c r="Y32" s="1268" t="s">
        <v>5862</v>
      </c>
      <c r="Z32" s="1225"/>
      <c r="AA32" s="1225"/>
      <c r="AB32" s="1258"/>
      <c r="AC32" s="1268" t="s">
        <v>8299</v>
      </c>
      <c r="AD32" s="812" t="s">
        <v>2115</v>
      </c>
      <c r="AE32" s="812"/>
      <c r="AF32" s="1268" t="s">
        <v>7531</v>
      </c>
      <c r="AG32" s="1268"/>
      <c r="AH32" s="1268" t="s">
        <v>4449</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8090</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4109</v>
      </c>
      <c r="BY32" s="1268" t="s">
        <v>4427</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5944</v>
      </c>
      <c r="B33" s="1055" t="s">
        <v>5730</v>
      </c>
      <c r="C33" s="1056" t="s">
        <v>1415</v>
      </c>
      <c r="D33" s="1057" t="s">
        <v>1415</v>
      </c>
      <c r="E33" s="1058" t="s">
        <v>738</v>
      </c>
      <c r="F33" s="1059" t="s">
        <v>543</v>
      </c>
      <c r="G33" s="1055" t="s">
        <v>333</v>
      </c>
      <c r="H33" s="1330" t="s">
        <v>8300</v>
      </c>
      <c r="I33" s="1330"/>
      <c r="J33" s="1225"/>
      <c r="K33" s="1225"/>
      <c r="L33" s="1258"/>
      <c r="M33" s="1225"/>
      <c r="N33" s="1225"/>
      <c r="O33" s="1225"/>
      <c r="P33" s="1225"/>
      <c r="Q33" s="1258"/>
      <c r="R33" s="1225"/>
      <c r="S33" s="1225"/>
      <c r="T33" s="799" t="s">
        <v>8301</v>
      </c>
      <c r="U33" s="812" t="s">
        <v>8302</v>
      </c>
      <c r="V33" s="812" t="s">
        <v>8303</v>
      </c>
      <c r="W33" s="1225"/>
      <c r="X33" s="812" t="s">
        <v>8304</v>
      </c>
      <c r="Y33" s="812" t="s">
        <v>8305</v>
      </c>
      <c r="Z33" s="1225"/>
      <c r="AA33" s="1225"/>
      <c r="AB33" s="1258"/>
      <c r="AC33" s="799" t="s">
        <v>1650</v>
      </c>
      <c r="AD33" s="812" t="s">
        <v>5440</v>
      </c>
      <c r="AE33" s="1225"/>
      <c r="AF33" s="1225"/>
      <c r="AG33" s="1258"/>
      <c r="AH33" s="1258"/>
      <c r="AI33" s="1258"/>
      <c r="AJ33" s="1258"/>
      <c r="AK33" s="1258"/>
      <c r="AL33" s="1225"/>
      <c r="AM33" s="812" t="s">
        <v>8306</v>
      </c>
      <c r="AN33" s="1225"/>
      <c r="AO33" s="1225"/>
      <c r="AP33" s="812" t="s">
        <v>7976</v>
      </c>
      <c r="AQ33" s="1225"/>
      <c r="AR33" s="1225"/>
      <c r="AS33" s="1225"/>
      <c r="AT33" s="1225"/>
      <c r="AU33" s="812" t="s">
        <v>8037</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8307</v>
      </c>
      <c r="CF33" s="1225"/>
      <c r="CG33" s="1258"/>
      <c r="CH33" s="1258"/>
      <c r="CI33" s="1258"/>
      <c r="CJ33" s="1258"/>
      <c r="CK33" s="1258"/>
      <c r="CL33" s="1258"/>
      <c r="CM33" s="1258"/>
      <c r="CN33" s="1225"/>
      <c r="CO33" s="1258"/>
      <c r="CP33" s="1258"/>
      <c r="CQ33" s="1258"/>
      <c r="CR33" s="1258"/>
      <c r="CS33" s="1258"/>
      <c r="CT33" s="1258"/>
    </row>
    <row r="34">
      <c r="A34" s="1304" t="s">
        <v>8308</v>
      </c>
      <c r="B34" s="1055" t="s">
        <v>5550</v>
      </c>
      <c r="C34" s="1056" t="s">
        <v>1415</v>
      </c>
      <c r="D34" s="1057" t="s">
        <v>1415</v>
      </c>
      <c r="E34" s="1058" t="s">
        <v>1415</v>
      </c>
      <c r="F34" s="1059" t="s">
        <v>1415</v>
      </c>
      <c r="G34" s="1055" t="s">
        <v>332</v>
      </c>
      <c r="H34" s="1330"/>
      <c r="I34" s="1330"/>
      <c r="J34" s="1225"/>
      <c r="K34" s="1225"/>
      <c r="L34" s="1258"/>
      <c r="M34" s="1225"/>
      <c r="N34" s="1225"/>
      <c r="O34" s="1225"/>
      <c r="P34" s="1225"/>
      <c r="Q34" s="1258"/>
      <c r="R34" s="812"/>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2304</v>
      </c>
      <c r="BY34" s="1318" t="s">
        <v>3721</v>
      </c>
      <c r="BZ34" s="1318" t="s">
        <v>8309</v>
      </c>
      <c r="CA34" s="1258"/>
      <c r="CB34" s="1318" t="s">
        <v>1081</v>
      </c>
      <c r="CC34" s="1318" t="s">
        <v>2701</v>
      </c>
      <c r="CD34" s="1318"/>
      <c r="CE34" s="1325"/>
      <c r="CF34" s="1314"/>
      <c r="CG34" s="1325"/>
      <c r="CH34" s="1325"/>
      <c r="CI34" s="1325"/>
      <c r="CJ34" s="1325"/>
      <c r="CK34" s="1325"/>
      <c r="CL34" s="1325"/>
      <c r="CM34" s="1325"/>
      <c r="CN34" s="1314"/>
      <c r="CO34" s="1325"/>
      <c r="CP34" s="1325"/>
      <c r="CQ34" s="1325"/>
      <c r="CR34" s="1325"/>
      <c r="CS34" s="1325"/>
      <c r="CT34" s="92"/>
    </row>
    <row r="35">
      <c r="A35" s="1354" t="s">
        <v>6347</v>
      </c>
      <c r="B35" s="1055" t="s">
        <v>2904</v>
      </c>
      <c r="C35" s="1056" t="s">
        <v>438</v>
      </c>
      <c r="D35" s="1057" t="s">
        <v>1415</v>
      </c>
      <c r="E35" s="1058" t="s">
        <v>1415</v>
      </c>
      <c r="F35" s="1059" t="s">
        <v>438</v>
      </c>
      <c r="G35" s="1055" t="s">
        <v>438</v>
      </c>
      <c r="H35" s="1057"/>
      <c r="I35" s="1330"/>
      <c r="J35" s="1225"/>
      <c r="K35" s="1225"/>
      <c r="L35" s="1258"/>
      <c r="M35" s="1225"/>
      <c r="N35" s="1225"/>
      <c r="O35" s="1259" t="s">
        <v>8310</v>
      </c>
      <c r="P35" s="1259" t="s">
        <v>8311</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3009</v>
      </c>
      <c r="B37" s="1055" t="s">
        <v>2762</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2"/>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5490</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4631</v>
      </c>
      <c r="B39" s="1055" t="s">
        <v>3680</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8312</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7945</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6339</v>
      </c>
      <c r="B41" s="1055" t="s">
        <v>2692</v>
      </c>
      <c r="C41" s="1056" t="s">
        <v>1415</v>
      </c>
      <c r="D41" s="1057" t="s">
        <v>1415</v>
      </c>
      <c r="E41" s="1058" t="s">
        <v>1415</v>
      </c>
      <c r="F41" s="1059" t="s">
        <v>1415</v>
      </c>
      <c r="G41" s="1055" t="s">
        <v>438</v>
      </c>
      <c r="H41" s="1368"/>
      <c r="I41" s="1368"/>
      <c r="J41" s="1225"/>
      <c r="K41" s="1225"/>
      <c r="L41" s="1258"/>
      <c r="M41" s="1225"/>
      <c r="N41" s="1225"/>
      <c r="O41" s="1225"/>
      <c r="P41" s="1225"/>
      <c r="Q41" s="1258"/>
      <c r="R41" s="812" t="s">
        <v>8313</v>
      </c>
      <c r="S41" s="1225"/>
      <c r="T41" s="1225"/>
      <c r="U41" s="812" t="s">
        <v>8314</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8315</v>
      </c>
      <c r="S42" s="1225"/>
      <c r="T42" s="1225"/>
      <c r="U42" s="1225"/>
      <c r="V42" s="1258"/>
      <c r="W42" s="1225"/>
      <c r="X42" s="1225"/>
      <c r="Y42" s="1225"/>
      <c r="Z42" s="1225"/>
      <c r="AA42" s="1225"/>
      <c r="AB42" s="1258"/>
      <c r="AC42" s="1225"/>
      <c r="AD42" s="1225"/>
      <c r="AE42" s="1225"/>
      <c r="AF42" s="1225"/>
      <c r="AG42" s="1258"/>
      <c r="AH42" s="1258"/>
      <c r="AI42" s="1258"/>
      <c r="AJ42" s="1258"/>
      <c r="AK42" s="1268"/>
      <c r="AL42" s="812"/>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5973</v>
      </c>
      <c r="B43" s="1055" t="s">
        <v>1063</v>
      </c>
      <c r="C43" s="1056" t="s">
        <v>1415</v>
      </c>
      <c r="D43" s="1057" t="s">
        <v>1415</v>
      </c>
      <c r="E43" s="1058" t="s">
        <v>1415</v>
      </c>
      <c r="F43" s="1059" t="s">
        <v>1415</v>
      </c>
      <c r="G43" s="1055" t="s">
        <v>332</v>
      </c>
      <c r="H43" s="1330"/>
      <c r="I43" s="1330"/>
      <c r="J43" s="1225"/>
      <c r="K43" s="812" t="s">
        <v>8316</v>
      </c>
      <c r="L43" s="1258"/>
      <c r="M43" s="1225"/>
      <c r="N43" s="1225"/>
      <c r="O43" s="1225"/>
      <c r="P43" s="1225"/>
      <c r="Q43" s="1258"/>
      <c r="R43" s="1225"/>
      <c r="S43" s="1225"/>
      <c r="T43" s="1225"/>
      <c r="U43" s="1225"/>
      <c r="V43" s="1258"/>
      <c r="W43" s="1268" t="s">
        <v>6243</v>
      </c>
      <c r="X43" s="812"/>
      <c r="Y43" s="1225"/>
      <c r="Z43" s="1225"/>
      <c r="AA43" s="1225"/>
      <c r="AB43" s="1258"/>
      <c r="AC43" s="1225"/>
      <c r="AD43" s="1268" t="s">
        <v>2988</v>
      </c>
      <c r="AE43" s="101"/>
      <c r="AF43" s="101"/>
      <c r="AG43" s="92"/>
      <c r="AH43" s="1258"/>
      <c r="AI43" s="1258"/>
      <c r="AJ43" s="1258"/>
      <c r="AK43" s="1258"/>
      <c r="AL43" s="1225"/>
      <c r="AM43" s="1225"/>
      <c r="AN43" s="1225"/>
      <c r="AO43" s="1225"/>
      <c r="AP43" s="1225"/>
      <c r="AQ43" s="1225"/>
      <c r="AR43" s="1225"/>
      <c r="AS43" s="1225"/>
      <c r="AT43" s="1225"/>
      <c r="AU43" s="812" t="s">
        <v>7948</v>
      </c>
      <c r="AV43" s="812"/>
      <c r="AW43" s="1225"/>
      <c r="AX43" s="1225"/>
      <c r="AY43" s="1225"/>
      <c r="AZ43" s="1225"/>
      <c r="BA43" s="1225"/>
      <c r="BB43" s="1225"/>
      <c r="BC43" s="812" t="s">
        <v>8035</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3477</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2"/>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5081</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2" t="s">
        <v>5050</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6337</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8317</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8318</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5744</v>
      </c>
      <c r="B48" s="1055" t="s">
        <v>3389</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2" t="s">
        <v>4365</v>
      </c>
      <c r="X48" s="812"/>
      <c r="Y48" s="812" t="s">
        <v>3260</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4112</v>
      </c>
      <c r="B49" s="1055" t="s">
        <v>3389</v>
      </c>
      <c r="C49" s="1056" t="s">
        <v>1415</v>
      </c>
      <c r="D49" s="1057" t="s">
        <v>1415</v>
      </c>
      <c r="E49" s="1058" t="s">
        <v>1415</v>
      </c>
      <c r="F49" s="1059" t="s">
        <v>1415</v>
      </c>
      <c r="G49" s="1055" t="s">
        <v>438</v>
      </c>
      <c r="H49" s="1330"/>
      <c r="I49" s="1330"/>
      <c r="J49" s="1225"/>
      <c r="K49" s="1225"/>
      <c r="L49" s="1258"/>
      <c r="M49" s="1225"/>
      <c r="N49" s="1225"/>
      <c r="O49" s="1225"/>
      <c r="P49" s="1225"/>
      <c r="Q49" s="1258"/>
      <c r="R49" s="812" t="s">
        <v>8319</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2" t="s">
        <v>8320</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8321</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4159</v>
      </c>
    </row>
    <row r="51">
      <c r="A51" s="1383" t="s">
        <v>6292</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8322</v>
      </c>
      <c r="S51" s="1225"/>
      <c r="T51" s="1225"/>
      <c r="U51" s="799" t="s">
        <v>8323</v>
      </c>
      <c r="V51" s="1258"/>
      <c r="W51" s="812" t="s">
        <v>8324</v>
      </c>
      <c r="X51" s="812" t="s">
        <v>8324</v>
      </c>
      <c r="Y51" s="1225"/>
      <c r="Z51" s="1225"/>
      <c r="AA51" s="1225"/>
      <c r="AB51" s="1258"/>
      <c r="AC51" s="1225"/>
      <c r="AD51" s="1225"/>
      <c r="AE51" s="1225"/>
      <c r="AF51" s="1225"/>
      <c r="AG51" s="1258"/>
      <c r="AH51" s="1258"/>
      <c r="AI51" s="1258"/>
      <c r="AJ51" s="1258"/>
      <c r="AK51" s="1258"/>
      <c r="AL51" s="1225"/>
      <c r="AM51" s="1225"/>
      <c r="AN51" s="1225"/>
      <c r="AO51" s="1225"/>
      <c r="AP51" s="812" t="s">
        <v>8325</v>
      </c>
      <c r="AQ51" s="799" t="s">
        <v>8326</v>
      </c>
      <c r="AR51" s="799" t="s">
        <v>8327</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8328</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3036</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2866</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7879</v>
      </c>
      <c r="BD53" s="1268" t="s">
        <v>8273</v>
      </c>
      <c r="BE53" s="1268"/>
      <c r="BF53" s="812"/>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8329</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2" t="s">
        <v>3731</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3859</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2"/>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2"/>
      <c r="BD55" s="1225"/>
      <c r="BE55" s="1258"/>
      <c r="BF55" s="1225"/>
      <c r="BG55" s="1258"/>
      <c r="BH55" s="1258"/>
      <c r="BI55" s="1258"/>
      <c r="BJ55" s="1258"/>
      <c r="BK55" s="1258"/>
      <c r="BL55" s="1225"/>
      <c r="BM55" s="1258"/>
      <c r="BN55" s="1258"/>
      <c r="BO55" s="1258"/>
      <c r="BP55" s="1258"/>
      <c r="BQ55" s="1258"/>
      <c r="BR55" s="1258"/>
      <c r="BS55" s="1258"/>
      <c r="BT55" s="1258"/>
      <c r="BU55" s="1258"/>
      <c r="BV55" s="812"/>
      <c r="BW55" s="812" t="s">
        <v>8330</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8331</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8029</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2"/>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8332</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2" t="s">
        <v>8333</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5728</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8334</v>
      </c>
      <c r="C1" s="1389" t="s">
        <v>8335</v>
      </c>
      <c r="D1" s="1390" t="s">
        <v>8336</v>
      </c>
      <c r="E1" s="1390" t="s">
        <v>7775</v>
      </c>
      <c r="F1" s="1390" t="s">
        <v>7776</v>
      </c>
      <c r="G1" s="1390" t="s">
        <v>8337</v>
      </c>
      <c r="H1" s="1391" t="s">
        <v>8338</v>
      </c>
      <c r="I1" s="1391" t="s">
        <v>8339</v>
      </c>
      <c r="J1" s="1392" t="s">
        <v>7787</v>
      </c>
      <c r="K1" s="1392" t="s">
        <v>8340</v>
      </c>
      <c r="L1" s="1392" t="s">
        <v>8341</v>
      </c>
      <c r="M1" s="1392" t="s">
        <v>8342</v>
      </c>
      <c r="N1" s="1392" t="s">
        <v>7850</v>
      </c>
      <c r="O1" s="1392" t="s">
        <v>8343</v>
      </c>
      <c r="P1" s="1392" t="s">
        <v>8344</v>
      </c>
      <c r="Q1" s="1393" t="s">
        <v>8345</v>
      </c>
      <c r="R1" s="1393" t="s">
        <v>7783</v>
      </c>
      <c r="S1" s="1393" t="s">
        <v>8346</v>
      </c>
      <c r="T1" s="1393" t="s">
        <v>8347</v>
      </c>
      <c r="U1" s="1393" t="s">
        <v>8348</v>
      </c>
      <c r="V1" s="1393" t="s">
        <v>8349</v>
      </c>
      <c r="W1" s="1394" t="s">
        <v>7777</v>
      </c>
      <c r="X1" s="1394" t="s">
        <v>7778</v>
      </c>
      <c r="Y1" s="1394" t="s">
        <v>8350</v>
      </c>
      <c r="Z1" s="1394" t="s">
        <v>8351</v>
      </c>
      <c r="AA1" s="1394" t="s">
        <v>7780</v>
      </c>
      <c r="AB1" s="1394" t="s">
        <v>8352</v>
      </c>
      <c r="AC1" s="1394" t="s">
        <v>8353</v>
      </c>
      <c r="AD1" s="1390" t="s">
        <v>8354</v>
      </c>
      <c r="AE1" s="1390" t="s">
        <v>8355</v>
      </c>
      <c r="AF1" s="1395" t="s">
        <v>7784</v>
      </c>
      <c r="AG1" s="1395" t="s">
        <v>8356</v>
      </c>
      <c r="AH1" s="1395" t="s">
        <v>8357</v>
      </c>
      <c r="AI1" s="1395" t="s">
        <v>7785</v>
      </c>
      <c r="AJ1" s="1395" t="s">
        <v>8358</v>
      </c>
      <c r="AK1" s="1395" t="s">
        <v>8359</v>
      </c>
      <c r="AL1" s="1395" t="s">
        <v>8360</v>
      </c>
      <c r="AM1" s="1396" t="s">
        <v>7786</v>
      </c>
      <c r="AN1" s="1396" t="s">
        <v>8361</v>
      </c>
      <c r="AO1" s="1396" t="s">
        <v>8362</v>
      </c>
      <c r="AP1" s="1396" t="s">
        <v>8363</v>
      </c>
      <c r="AQ1" s="1396" t="s">
        <v>8364</v>
      </c>
      <c r="AR1" s="1396" t="s">
        <v>8365</v>
      </c>
      <c r="AS1" s="1396" t="s">
        <v>8366</v>
      </c>
      <c r="AT1" s="1397" t="s">
        <v>8367</v>
      </c>
      <c r="AU1" s="1387" t="s">
        <v>8368</v>
      </c>
      <c r="AV1" s="1398" t="s">
        <v>8369</v>
      </c>
      <c r="AW1" s="1399" t="s">
        <v>8370</v>
      </c>
    </row>
    <row r="2" ht="15.75" customHeight="1">
      <c r="A2" s="1400" t="s">
        <v>8371</v>
      </c>
      <c r="B2" s="1401" t="s">
        <v>8372</v>
      </c>
      <c r="C2" s="1402" t="s">
        <v>8373</v>
      </c>
      <c r="D2" s="1403" t="s">
        <v>8374</v>
      </c>
      <c r="E2" s="1403" t="s">
        <v>8375</v>
      </c>
      <c r="F2" s="1404" t="s">
        <v>8376</v>
      </c>
      <c r="G2" s="1403" t="s">
        <v>8377</v>
      </c>
      <c r="H2" s="1405" t="s">
        <v>6023</v>
      </c>
      <c r="I2" s="1406" t="s">
        <v>3763</v>
      </c>
      <c r="J2" s="1407" t="s">
        <v>8378</v>
      </c>
      <c r="K2" s="1408" t="s">
        <v>4192</v>
      </c>
      <c r="L2" s="1408" t="s">
        <v>232</v>
      </c>
      <c r="M2" s="1409" t="s">
        <v>8379</v>
      </c>
      <c r="N2" s="1409" t="s">
        <v>8380</v>
      </c>
      <c r="O2" s="1409" t="s">
        <v>8381</v>
      </c>
      <c r="P2" s="1408" t="s">
        <v>1351</v>
      </c>
      <c r="Q2" s="1410" t="s">
        <v>8382</v>
      </c>
      <c r="R2" s="1411" t="s">
        <v>4449</v>
      </c>
      <c r="S2" s="1410" t="s">
        <v>815</v>
      </c>
      <c r="T2" s="1411" t="s">
        <v>8383</v>
      </c>
      <c r="U2" s="1410" t="s">
        <v>8384</v>
      </c>
      <c r="V2" s="1412">
        <v>58.55</v>
      </c>
      <c r="W2" s="1413" t="s">
        <v>8385</v>
      </c>
      <c r="X2" s="1414" t="s">
        <v>8386</v>
      </c>
      <c r="Y2" s="1414">
        <v>46.63</v>
      </c>
      <c r="Z2" s="1415" t="s">
        <v>8387</v>
      </c>
      <c r="AA2" s="1414" t="s">
        <v>3566</v>
      </c>
      <c r="AB2" s="1414" t="s">
        <v>8388</v>
      </c>
      <c r="AC2" s="1415" t="s">
        <v>4028</v>
      </c>
      <c r="AD2" s="1403" t="s">
        <v>762</v>
      </c>
      <c r="AE2" s="1404" t="s">
        <v>4706</v>
      </c>
      <c r="AF2" s="1416" t="s">
        <v>8389</v>
      </c>
      <c r="AG2" s="1416" t="s">
        <v>8390</v>
      </c>
      <c r="AH2" s="1416" t="s">
        <v>3790</v>
      </c>
      <c r="AI2" s="1417" t="s">
        <v>8391</v>
      </c>
      <c r="AJ2" s="1417" t="s">
        <v>8392</v>
      </c>
      <c r="AK2" s="1417" t="s">
        <v>8393</v>
      </c>
      <c r="AL2" s="1418" t="s">
        <v>6012</v>
      </c>
      <c r="AM2" s="1419" t="s">
        <v>3710</v>
      </c>
      <c r="AN2" s="1420" t="s">
        <v>8394</v>
      </c>
      <c r="AO2" s="1421" t="s">
        <v>6236</v>
      </c>
      <c r="AP2" s="1422" t="s">
        <v>8395</v>
      </c>
      <c r="AQ2" s="1419" t="s">
        <v>8396</v>
      </c>
      <c r="AR2" s="1421" t="s">
        <v>416</v>
      </c>
      <c r="AS2" s="1419">
        <v>42.83</v>
      </c>
      <c r="AT2" s="1423" t="s">
        <v>8397</v>
      </c>
      <c r="AU2" s="1402" t="s">
        <v>8398</v>
      </c>
      <c r="AV2" s="1402" t="str">
        <f t="shared" ref="AV2:AV74" si="1">TEXT(AU2-C2,"m:ss")</f>
        <v>2:23</v>
      </c>
      <c r="AW2" s="1424"/>
    </row>
    <row r="3" ht="15.75" customHeight="1">
      <c r="A3" s="1425" t="s">
        <v>8399</v>
      </c>
      <c r="B3" s="1426" t="s">
        <v>8400</v>
      </c>
      <c r="C3" s="1427">
        <v>0.049433796296296295</v>
      </c>
      <c r="D3" s="1428" t="s">
        <v>8401</v>
      </c>
      <c r="E3" s="1428" t="s">
        <v>8402</v>
      </c>
      <c r="F3" s="1428" t="s">
        <v>8403</v>
      </c>
      <c r="G3" s="1428" t="s">
        <v>8404</v>
      </c>
      <c r="H3" s="1429" t="s">
        <v>8405</v>
      </c>
      <c r="I3" s="1429" t="s">
        <v>8406</v>
      </c>
      <c r="J3" s="1430" t="s">
        <v>8407</v>
      </c>
      <c r="K3" s="1430" t="s">
        <v>1095</v>
      </c>
      <c r="L3" s="1430" t="s">
        <v>2774</v>
      </c>
      <c r="M3" s="1430" t="s">
        <v>8408</v>
      </c>
      <c r="N3" s="1430" t="s">
        <v>2493</v>
      </c>
      <c r="O3" s="1430" t="s">
        <v>8409</v>
      </c>
      <c r="P3" s="1430" t="s">
        <v>5463</v>
      </c>
      <c r="Q3" s="1431" t="s">
        <v>8410</v>
      </c>
      <c r="R3" s="1431" t="s">
        <v>7141</v>
      </c>
      <c r="S3" s="1431" t="s">
        <v>8380</v>
      </c>
      <c r="T3" s="1431" t="s">
        <v>8411</v>
      </c>
      <c r="U3" s="1432" t="s">
        <v>7696</v>
      </c>
      <c r="V3" s="1431" t="s">
        <v>4103</v>
      </c>
      <c r="W3" s="1433" t="s">
        <v>4133</v>
      </c>
      <c r="X3" s="1434" t="s">
        <v>2602</v>
      </c>
      <c r="Y3" s="1434" t="s">
        <v>5540</v>
      </c>
      <c r="Z3" s="1434" t="s">
        <v>442</v>
      </c>
      <c r="AA3" s="1434" t="s">
        <v>8412</v>
      </c>
      <c r="AB3" s="1433" t="s">
        <v>2813</v>
      </c>
      <c r="AC3" s="1434" t="s">
        <v>5032</v>
      </c>
      <c r="AD3" s="1428" t="s">
        <v>8413</v>
      </c>
      <c r="AE3" s="1428" t="s">
        <v>8414</v>
      </c>
      <c r="AF3" s="1435" t="s">
        <v>8415</v>
      </c>
      <c r="AG3" s="1436" t="s">
        <v>3885</v>
      </c>
      <c r="AH3" s="1436" t="s">
        <v>2788</v>
      </c>
      <c r="AI3" s="1436" t="s">
        <v>4148</v>
      </c>
      <c r="AJ3" s="1435" t="s">
        <v>8416</v>
      </c>
      <c r="AK3" s="1436" t="s">
        <v>8417</v>
      </c>
      <c r="AL3" s="1436" t="s">
        <v>5969</v>
      </c>
      <c r="AM3" s="1437" t="s">
        <v>2425</v>
      </c>
      <c r="AN3" s="1437" t="s">
        <v>3265</v>
      </c>
      <c r="AO3" s="1438" t="s">
        <v>7584</v>
      </c>
      <c r="AP3" s="1438" t="s">
        <v>8418</v>
      </c>
      <c r="AQ3" s="1438" t="s">
        <v>8419</v>
      </c>
      <c r="AR3" s="1438" t="s">
        <v>7360</v>
      </c>
      <c r="AS3" s="1437" t="s">
        <v>5168</v>
      </c>
      <c r="AT3" s="1439" t="s">
        <v>8420</v>
      </c>
      <c r="AU3" s="1440" t="s">
        <v>8421</v>
      </c>
      <c r="AV3" s="1440" t="str">
        <f t="shared" si="1"/>
        <v>3:56</v>
      </c>
    </row>
    <row r="4" ht="15.75" customHeight="1">
      <c r="A4" s="1441" t="s">
        <v>8422</v>
      </c>
      <c r="B4" s="1442" t="s">
        <v>8423</v>
      </c>
      <c r="C4" s="1443">
        <v>0.050637731481481485</v>
      </c>
      <c r="D4" s="1444" t="s">
        <v>8424</v>
      </c>
      <c r="E4" s="1444" t="s">
        <v>8425</v>
      </c>
      <c r="F4" s="1444" t="s">
        <v>8426</v>
      </c>
      <c r="G4" s="1444" t="s">
        <v>8427</v>
      </c>
      <c r="H4" s="1445" t="s">
        <v>8428</v>
      </c>
      <c r="I4" s="1445" t="s">
        <v>350</v>
      </c>
      <c r="J4" s="1446" t="s">
        <v>8429</v>
      </c>
      <c r="K4" s="1446" t="s">
        <v>6055</v>
      </c>
      <c r="L4" s="1446" t="s">
        <v>3777</v>
      </c>
      <c r="M4" s="1446" t="s">
        <v>8430</v>
      </c>
      <c r="N4" s="1446" t="s">
        <v>8431</v>
      </c>
      <c r="O4" s="1446" t="s">
        <v>8432</v>
      </c>
      <c r="P4" s="1446" t="s">
        <v>8433</v>
      </c>
      <c r="Q4" s="1447" t="s">
        <v>8434</v>
      </c>
      <c r="R4" s="1447" t="s">
        <v>8435</v>
      </c>
      <c r="S4" s="1447" t="s">
        <v>2255</v>
      </c>
      <c r="T4" s="1447" t="s">
        <v>8436</v>
      </c>
      <c r="U4" s="1447" t="s">
        <v>8437</v>
      </c>
      <c r="V4" s="1447" t="s">
        <v>8438</v>
      </c>
      <c r="W4" s="1448" t="s">
        <v>8439</v>
      </c>
      <c r="X4" s="1448" t="s">
        <v>8440</v>
      </c>
      <c r="Y4" s="1448">
        <v>47.93</v>
      </c>
      <c r="Z4" s="1448" t="s">
        <v>8441</v>
      </c>
      <c r="AA4" s="1448" t="s">
        <v>8442</v>
      </c>
      <c r="AB4" s="1448" t="s">
        <v>8443</v>
      </c>
      <c r="AC4" s="1448">
        <v>49.24</v>
      </c>
      <c r="AD4" s="1449" t="s">
        <v>8444</v>
      </c>
      <c r="AE4" s="1444" t="s">
        <v>8445</v>
      </c>
      <c r="AF4" s="1450" t="s">
        <v>2670</v>
      </c>
      <c r="AG4" s="1450" t="s">
        <v>4603</v>
      </c>
      <c r="AH4" s="1450" t="s">
        <v>5170</v>
      </c>
      <c r="AI4" s="1450" t="s">
        <v>8446</v>
      </c>
      <c r="AJ4" s="1450" t="s">
        <v>8447</v>
      </c>
      <c r="AK4" s="1450" t="s">
        <v>8448</v>
      </c>
      <c r="AL4" s="1450" t="s">
        <v>8449</v>
      </c>
      <c r="AM4" s="1451" t="s">
        <v>8450</v>
      </c>
      <c r="AN4" s="1452" t="s">
        <v>8451</v>
      </c>
      <c r="AO4" s="1451" t="s">
        <v>8452</v>
      </c>
      <c r="AP4" s="1452" t="s">
        <v>8453</v>
      </c>
      <c r="AQ4" s="1451" t="s">
        <v>8454</v>
      </c>
      <c r="AR4" s="1451" t="s">
        <v>6365</v>
      </c>
      <c r="AS4" s="1451" t="s">
        <v>753</v>
      </c>
      <c r="AT4" s="1453" t="s">
        <v>8455</v>
      </c>
      <c r="AU4" s="1454" t="s">
        <v>8456</v>
      </c>
      <c r="AV4" s="1455" t="str">
        <f t="shared" si="1"/>
        <v>2:38</v>
      </c>
    </row>
    <row r="5" ht="15.75" customHeight="1">
      <c r="A5" s="1456" t="s">
        <v>1060</v>
      </c>
      <c r="B5" s="1457" t="s">
        <v>8372</v>
      </c>
      <c r="C5" s="1458">
        <v>0.049166666666666664</v>
      </c>
      <c r="D5" s="1459" t="s">
        <v>8374</v>
      </c>
      <c r="E5" s="1459" t="s">
        <v>8375</v>
      </c>
      <c r="F5" s="1460" t="s">
        <v>8457</v>
      </c>
      <c r="G5" s="1460" t="s">
        <v>8458</v>
      </c>
      <c r="H5" s="1459" t="s">
        <v>6023</v>
      </c>
      <c r="I5" s="1459" t="s">
        <v>3763</v>
      </c>
      <c r="J5" s="1460" t="s">
        <v>5491</v>
      </c>
      <c r="K5" s="1461" t="s">
        <v>2080</v>
      </c>
      <c r="L5" s="1460" t="s">
        <v>8459</v>
      </c>
      <c r="M5" s="1462" t="s">
        <v>8379</v>
      </c>
      <c r="N5" s="1462" t="s">
        <v>8380</v>
      </c>
      <c r="O5" s="1460" t="s">
        <v>8460</v>
      </c>
      <c r="P5" s="1461" t="s">
        <v>4174</v>
      </c>
      <c r="Q5" s="1462" t="s">
        <v>8382</v>
      </c>
      <c r="R5" s="1460" t="s">
        <v>5017</v>
      </c>
      <c r="S5" s="1462" t="s">
        <v>815</v>
      </c>
      <c r="T5" s="1460" t="s">
        <v>8461</v>
      </c>
      <c r="U5" s="1462" t="s">
        <v>8384</v>
      </c>
      <c r="V5" s="1461" t="s">
        <v>8462</v>
      </c>
      <c r="W5" s="1459" t="s">
        <v>8385</v>
      </c>
      <c r="X5" s="1460" t="s">
        <v>8463</v>
      </c>
      <c r="Y5" s="1460" t="s">
        <v>7363</v>
      </c>
      <c r="Z5" s="1460" t="s">
        <v>5034</v>
      </c>
      <c r="AA5" s="1463" t="s">
        <v>5481</v>
      </c>
      <c r="AB5" s="1460" t="s">
        <v>520</v>
      </c>
      <c r="AC5" s="1462" t="s">
        <v>4028</v>
      </c>
      <c r="AD5" s="1460" t="s">
        <v>8464</v>
      </c>
      <c r="AE5" s="1464" t="s">
        <v>8465</v>
      </c>
      <c r="AF5" s="1464" t="s">
        <v>8466</v>
      </c>
      <c r="AG5" s="1465" t="s">
        <v>2320</v>
      </c>
      <c r="AH5" s="1460" t="s">
        <v>8467</v>
      </c>
      <c r="AI5" s="1462" t="s">
        <v>8391</v>
      </c>
      <c r="AJ5" s="1460" t="s">
        <v>8468</v>
      </c>
      <c r="AK5" s="1462" t="s">
        <v>8393</v>
      </c>
      <c r="AL5" s="1460" t="s">
        <v>4524</v>
      </c>
      <c r="AM5" s="1460" t="s">
        <v>8157</v>
      </c>
      <c r="AN5" s="1460" t="s">
        <v>5243</v>
      </c>
      <c r="AO5" s="1466" t="s">
        <v>8469</v>
      </c>
      <c r="AP5" s="1463" t="s">
        <v>8470</v>
      </c>
      <c r="AQ5" s="1463" t="s">
        <v>7539</v>
      </c>
      <c r="AR5" s="1467" t="s">
        <v>8471</v>
      </c>
      <c r="AS5" s="1460" t="s">
        <v>4422</v>
      </c>
      <c r="AT5" s="1463" t="s">
        <v>8472</v>
      </c>
      <c r="AU5" s="1468" t="s">
        <v>8398</v>
      </c>
      <c r="AV5" s="1464" t="str">
        <f t="shared" si="1"/>
        <v>2:03</v>
      </c>
      <c r="AW5" s="1469" t="s">
        <v>8473</v>
      </c>
    </row>
    <row r="6" ht="15.75" customHeight="1">
      <c r="A6" s="1470" t="s">
        <v>436</v>
      </c>
      <c r="B6" s="1457" t="s">
        <v>8372</v>
      </c>
      <c r="C6" s="1458">
        <v>0.0493287037037037</v>
      </c>
      <c r="D6" s="1471" t="s">
        <v>8474</v>
      </c>
      <c r="E6" s="1472" t="s">
        <v>8475</v>
      </c>
      <c r="F6" s="1472" t="s">
        <v>8476</v>
      </c>
      <c r="G6" s="1472" t="s">
        <v>8477</v>
      </c>
      <c r="H6" s="1472" t="s">
        <v>8478</v>
      </c>
      <c r="I6" s="1466" t="s">
        <v>8479</v>
      </c>
      <c r="J6" s="1473" t="s">
        <v>8378</v>
      </c>
      <c r="K6" s="1472" t="s">
        <v>781</v>
      </c>
      <c r="L6" s="1472" t="s">
        <v>8480</v>
      </c>
      <c r="M6" s="1472" t="s">
        <v>8481</v>
      </c>
      <c r="N6" s="1472" t="s">
        <v>8482</v>
      </c>
      <c r="O6" s="1472" t="s">
        <v>8483</v>
      </c>
      <c r="P6" s="1473" t="s">
        <v>1351</v>
      </c>
      <c r="Q6" s="1461" t="s">
        <v>8484</v>
      </c>
      <c r="R6" s="1473" t="s">
        <v>4449</v>
      </c>
      <c r="S6" s="1472" t="s">
        <v>8378</v>
      </c>
      <c r="T6" s="1473" t="s">
        <v>8383</v>
      </c>
      <c r="U6" s="1461" t="s">
        <v>8395</v>
      </c>
      <c r="V6" s="1474" t="s">
        <v>8225</v>
      </c>
      <c r="W6" s="1472" t="s">
        <v>8485</v>
      </c>
      <c r="X6" s="1473" t="s">
        <v>8386</v>
      </c>
      <c r="Y6" s="1475">
        <v>46.72</v>
      </c>
      <c r="Z6" s="1475" t="s">
        <v>3553</v>
      </c>
      <c r="AA6" s="1473" t="s">
        <v>3566</v>
      </c>
      <c r="AB6" s="1473" t="s">
        <v>8388</v>
      </c>
      <c r="AC6" s="1472" t="s">
        <v>5444</v>
      </c>
      <c r="AD6" s="1472" t="s">
        <v>7286</v>
      </c>
      <c r="AE6" s="1476" t="s">
        <v>4706</v>
      </c>
      <c r="AF6" s="1475" t="s">
        <v>8486</v>
      </c>
      <c r="AG6" s="1474" t="s">
        <v>8487</v>
      </c>
      <c r="AH6" s="1473" t="s">
        <v>3790</v>
      </c>
      <c r="AI6" s="1472" t="s">
        <v>5850</v>
      </c>
      <c r="AJ6" s="1475" t="s">
        <v>8488</v>
      </c>
      <c r="AK6" s="1475" t="s">
        <v>5732</v>
      </c>
      <c r="AL6" s="1476" t="s">
        <v>6012</v>
      </c>
      <c r="AM6" s="1473" t="s">
        <v>3710</v>
      </c>
      <c r="AN6" s="1474" t="s">
        <v>3249</v>
      </c>
      <c r="AO6" s="1474" t="s">
        <v>155</v>
      </c>
      <c r="AP6" s="1474" t="s">
        <v>8489</v>
      </c>
      <c r="AQ6" s="1464" t="s">
        <v>8490</v>
      </c>
      <c r="AR6" s="1474" t="s">
        <v>8491</v>
      </c>
      <c r="AS6" s="1474" t="s">
        <v>8492</v>
      </c>
      <c r="AT6" s="1474" t="s">
        <v>8472</v>
      </c>
      <c r="AU6" s="1477" t="s">
        <v>8493</v>
      </c>
      <c r="AV6" s="1464" t="str">
        <f t="shared" si="1"/>
        <v>2:15</v>
      </c>
      <c r="AW6" s="1469"/>
    </row>
    <row r="7" ht="15.75" customHeight="1">
      <c r="A7" s="1456" t="s">
        <v>6338</v>
      </c>
      <c r="B7" s="1457" t="s">
        <v>8372</v>
      </c>
      <c r="C7" s="1458">
        <v>0.049444444444444444</v>
      </c>
      <c r="D7" s="1460" t="s">
        <v>8494</v>
      </c>
      <c r="E7" s="1460" t="s">
        <v>8495</v>
      </c>
      <c r="F7" s="1466" t="s">
        <v>8496</v>
      </c>
      <c r="G7" s="1462" t="s">
        <v>8377</v>
      </c>
      <c r="H7" s="1466" t="s">
        <v>8497</v>
      </c>
      <c r="I7" s="1466" t="s">
        <v>2780</v>
      </c>
      <c r="J7" s="1460" t="s">
        <v>8498</v>
      </c>
      <c r="K7" s="1466" t="s">
        <v>3381</v>
      </c>
      <c r="L7" s="1466" t="s">
        <v>4176</v>
      </c>
      <c r="M7" s="1466" t="s">
        <v>6279</v>
      </c>
      <c r="N7" s="1460" t="s">
        <v>8499</v>
      </c>
      <c r="O7" s="1466" t="s">
        <v>8500</v>
      </c>
      <c r="P7" s="1464" t="s">
        <v>6870</v>
      </c>
      <c r="Q7" s="1460" t="s">
        <v>8501</v>
      </c>
      <c r="R7" s="1466" t="s">
        <v>7175</v>
      </c>
      <c r="S7" s="1466" t="s">
        <v>3337</v>
      </c>
      <c r="T7" s="1464" t="s">
        <v>4931</v>
      </c>
      <c r="U7" s="1466" t="s">
        <v>8502</v>
      </c>
      <c r="V7" s="1466" t="s">
        <v>5161</v>
      </c>
      <c r="W7" s="1478" t="s">
        <v>8503</v>
      </c>
      <c r="X7" s="1464" t="s">
        <v>8504</v>
      </c>
      <c r="Y7" s="1479" t="s">
        <v>8505</v>
      </c>
      <c r="Z7" s="1466" t="s">
        <v>7531</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8506</v>
      </c>
      <c r="AF7" s="1464" t="s">
        <v>8507</v>
      </c>
      <c r="AG7" s="1480" t="str">
        <f>HYPERLINK("https://www.twitch.tv/videos/566334947","1:28.73")</f>
        <v>1:28.73</v>
      </c>
      <c r="AH7" s="1466" t="s">
        <v>8508</v>
      </c>
      <c r="AI7" s="1482" t="str">
        <f>HYPERLINK("https://www.twitch.tv/videos/584107631","1:27.68")</f>
        <v>1:27.68</v>
      </c>
      <c r="AJ7" s="1464" t="s">
        <v>8509</v>
      </c>
      <c r="AK7" s="1466" t="s">
        <v>7104</v>
      </c>
      <c r="AL7" s="1466" t="s">
        <v>8510</v>
      </c>
      <c r="AM7" s="1460" t="s">
        <v>4495</v>
      </c>
      <c r="AN7" s="1460" t="s">
        <v>2651</v>
      </c>
      <c r="AO7" s="1460" t="s">
        <v>5785</v>
      </c>
      <c r="AP7" s="1466" t="s">
        <v>8511</v>
      </c>
      <c r="AQ7" s="1464" t="s">
        <v>8512</v>
      </c>
      <c r="AR7" s="1460" t="s">
        <v>8513</v>
      </c>
      <c r="AS7" s="1481" t="str">
        <f>HYPERLINK("https://www.twitch.tv/videos/571767101","42.91")</f>
        <v>42.91</v>
      </c>
      <c r="AT7" s="1463" t="s">
        <v>8514</v>
      </c>
      <c r="AU7" s="1477" t="s">
        <v>8515</v>
      </c>
      <c r="AV7" s="1464" t="str">
        <f t="shared" si="1"/>
        <v>2:32</v>
      </c>
      <c r="AW7" s="1483" t="s">
        <v>8516</v>
      </c>
    </row>
    <row r="8" ht="15.75" customHeight="1">
      <c r="A8" s="1456" t="s">
        <v>1879</v>
      </c>
      <c r="B8" s="1457" t="s">
        <v>8372</v>
      </c>
      <c r="C8" s="1458">
        <v>0.04949074074074074</v>
      </c>
      <c r="D8" s="1479" t="s">
        <v>8517</v>
      </c>
      <c r="E8" s="1479" t="s">
        <v>8518</v>
      </c>
      <c r="F8" s="1479" t="s">
        <v>2123</v>
      </c>
      <c r="G8" s="1479" t="s">
        <v>8519</v>
      </c>
      <c r="H8" s="1460" t="s">
        <v>8520</v>
      </c>
      <c r="I8" s="1472">
        <v>47.34</v>
      </c>
      <c r="J8" s="1479" t="s">
        <v>645</v>
      </c>
      <c r="K8" s="1479" t="s">
        <v>8521</v>
      </c>
      <c r="L8" s="1479">
        <v>55.97</v>
      </c>
      <c r="M8" s="1479" t="s">
        <v>1969</v>
      </c>
      <c r="N8" s="1479" t="s">
        <v>8522</v>
      </c>
      <c r="O8" s="1484" t="s">
        <v>8381</v>
      </c>
      <c r="P8" s="1479">
        <v>47.49</v>
      </c>
      <c r="Q8" s="1479" t="s">
        <v>8523</v>
      </c>
      <c r="R8" s="1479" t="s">
        <v>1226</v>
      </c>
      <c r="S8" s="1485" t="s">
        <v>1899</v>
      </c>
      <c r="T8" s="1479" t="s">
        <v>8524</v>
      </c>
      <c r="U8" s="1460" t="s">
        <v>8525</v>
      </c>
      <c r="V8" s="1479">
        <v>59.32</v>
      </c>
      <c r="W8" s="1486" t="s">
        <v>8526</v>
      </c>
      <c r="X8" s="1479" t="s">
        <v>6798</v>
      </c>
      <c r="Y8" s="1479">
        <v>46.65</v>
      </c>
      <c r="Z8" s="1479" t="s">
        <v>8527</v>
      </c>
      <c r="AA8" s="1479" t="s">
        <v>2490</v>
      </c>
      <c r="AB8" s="1479" t="s">
        <v>8528</v>
      </c>
      <c r="AC8" s="1479">
        <v>47.89</v>
      </c>
      <c r="AD8" s="1479" t="s">
        <v>1898</v>
      </c>
      <c r="AE8" s="1479">
        <v>47.98</v>
      </c>
      <c r="AF8" s="1479" t="s">
        <v>8529</v>
      </c>
      <c r="AG8" s="1479" t="s">
        <v>8530</v>
      </c>
      <c r="AH8" s="1479">
        <v>57.45</v>
      </c>
      <c r="AI8" s="1475" t="s">
        <v>7042</v>
      </c>
      <c r="AJ8" s="1487" t="s">
        <v>8531</v>
      </c>
      <c r="AK8" s="1479" t="s">
        <v>5412</v>
      </c>
      <c r="AL8" s="1479">
        <v>56.23</v>
      </c>
      <c r="AM8" s="1486" t="s">
        <v>3910</v>
      </c>
      <c r="AN8" s="1486" t="s">
        <v>8532</v>
      </c>
      <c r="AO8" s="1479" t="s">
        <v>3644</v>
      </c>
      <c r="AP8" s="1479" t="s">
        <v>8533</v>
      </c>
      <c r="AQ8" s="1479" t="s">
        <v>8534</v>
      </c>
      <c r="AR8" s="1479" t="s">
        <v>4433</v>
      </c>
      <c r="AS8" s="1479">
        <v>46.19</v>
      </c>
      <c r="AT8" s="1488" t="s">
        <v>8397</v>
      </c>
      <c r="AU8" s="1479" t="s">
        <v>8535</v>
      </c>
      <c r="AV8" s="1464" t="str">
        <f t="shared" si="1"/>
        <v>1:52</v>
      </c>
      <c r="AW8" s="1483" t="s">
        <v>8536</v>
      </c>
    </row>
    <row r="9" ht="15.75" customHeight="1">
      <c r="A9" s="1470" t="s">
        <v>330</v>
      </c>
      <c r="B9" s="1457" t="s">
        <v>8372</v>
      </c>
      <c r="C9" s="1458">
        <v>0.04957175925925926</v>
      </c>
      <c r="D9" s="1489" t="s">
        <v>8537</v>
      </c>
      <c r="E9" s="1472" t="s">
        <v>8538</v>
      </c>
      <c r="F9" s="1490" t="s">
        <v>8376</v>
      </c>
      <c r="G9" s="1474" t="s">
        <v>8539</v>
      </c>
      <c r="H9" s="1491" t="s">
        <v>5349</v>
      </c>
      <c r="I9" s="1474" t="s">
        <v>1296</v>
      </c>
      <c r="J9" s="1492" t="s">
        <v>8540</v>
      </c>
      <c r="K9" s="1474" t="s">
        <v>6639</v>
      </c>
      <c r="L9" s="1473" t="s">
        <v>232</v>
      </c>
      <c r="M9" s="1492" t="s">
        <v>8541</v>
      </c>
      <c r="N9" s="1472" t="s">
        <v>8542</v>
      </c>
      <c r="O9" s="1492" t="s">
        <v>8543</v>
      </c>
      <c r="P9" s="1474" t="s">
        <v>6272</v>
      </c>
      <c r="Q9" s="1474" t="s">
        <v>8523</v>
      </c>
      <c r="R9" s="1474" t="s">
        <v>5571</v>
      </c>
      <c r="S9" s="1474" t="s">
        <v>2085</v>
      </c>
      <c r="T9" s="1474" t="s">
        <v>4013</v>
      </c>
      <c r="U9" s="1474" t="s">
        <v>8544</v>
      </c>
      <c r="V9" s="1271" t="s">
        <v>8545</v>
      </c>
      <c r="W9" s="1493" t="s">
        <v>8546</v>
      </c>
      <c r="X9" s="1474" t="s">
        <v>8547</v>
      </c>
      <c r="Y9" s="1473">
        <v>46.63</v>
      </c>
      <c r="Z9" s="1494" t="s">
        <v>306</v>
      </c>
      <c r="AA9" s="1472" t="s">
        <v>8548</v>
      </c>
      <c r="AB9" s="1473" t="s">
        <v>8388</v>
      </c>
      <c r="AC9" s="1474" t="s">
        <v>5442</v>
      </c>
      <c r="AD9" s="1474" t="s">
        <v>8549</v>
      </c>
      <c r="AE9" s="1475" t="s">
        <v>8550</v>
      </c>
      <c r="AF9" s="1472" t="s">
        <v>8551</v>
      </c>
      <c r="AG9" s="1479" t="s">
        <v>8552</v>
      </c>
      <c r="AH9" s="1474" t="s">
        <v>8467</v>
      </c>
      <c r="AI9" s="1271" t="s">
        <v>8553</v>
      </c>
      <c r="AJ9" s="1475" t="s">
        <v>8554</v>
      </c>
      <c r="AK9" s="1474" t="s">
        <v>1364</v>
      </c>
      <c r="AL9" s="1474" t="s">
        <v>5111</v>
      </c>
      <c r="AM9" s="1474" t="s">
        <v>4013</v>
      </c>
      <c r="AN9" s="1492" t="s">
        <v>8555</v>
      </c>
      <c r="AO9" s="1474" t="s">
        <v>8491</v>
      </c>
      <c r="AP9" s="1474" t="s">
        <v>8556</v>
      </c>
      <c r="AQ9" s="1474" t="s">
        <v>8557</v>
      </c>
      <c r="AR9" s="1474" t="s">
        <v>4579</v>
      </c>
      <c r="AS9" s="1474" t="s">
        <v>8558</v>
      </c>
      <c r="AT9" s="1468" t="s">
        <v>8559</v>
      </c>
      <c r="AU9" s="1495" t="s">
        <v>8560</v>
      </c>
      <c r="AV9" s="1464" t="str">
        <f t="shared" si="1"/>
        <v>2:59</v>
      </c>
      <c r="AW9" s="1496"/>
    </row>
    <row r="10">
      <c r="A10" s="1470" t="s">
        <v>6262</v>
      </c>
      <c r="B10" s="1497" t="s">
        <v>8372</v>
      </c>
      <c r="C10" s="1458">
        <v>0.04958333333333333</v>
      </c>
      <c r="D10" s="1271" t="s">
        <v>8561</v>
      </c>
      <c r="E10" s="1479" t="s">
        <v>6234</v>
      </c>
      <c r="F10" s="1479" t="s">
        <v>8562</v>
      </c>
      <c r="G10" s="1479" t="s">
        <v>8563</v>
      </c>
      <c r="H10" s="1486" t="s">
        <v>8564</v>
      </c>
      <c r="I10" s="1486" t="s">
        <v>5610</v>
      </c>
      <c r="J10" s="1486" t="s">
        <v>149</v>
      </c>
      <c r="K10" s="1486" t="s">
        <v>7276</v>
      </c>
      <c r="L10" s="1479">
        <v>56.42</v>
      </c>
      <c r="M10" s="1479" t="s">
        <v>5185</v>
      </c>
      <c r="N10" s="1479" t="s">
        <v>8565</v>
      </c>
      <c r="O10" s="1486" t="s">
        <v>8566</v>
      </c>
      <c r="P10" s="1486" t="s">
        <v>278</v>
      </c>
      <c r="Q10" s="1486" t="s">
        <v>8567</v>
      </c>
      <c r="R10" s="1479" t="s">
        <v>8568</v>
      </c>
      <c r="S10" s="1486" t="s">
        <v>8569</v>
      </c>
      <c r="T10" s="1486" t="s">
        <v>4950</v>
      </c>
      <c r="U10" s="1486" t="s">
        <v>8570</v>
      </c>
      <c r="V10" s="1479">
        <v>59.45</v>
      </c>
      <c r="W10" s="1486" t="s">
        <v>8571</v>
      </c>
      <c r="X10" s="1486" t="s">
        <v>8572</v>
      </c>
      <c r="Y10" s="1486" t="s">
        <v>5008</v>
      </c>
      <c r="Z10" s="1479" t="s">
        <v>4170</v>
      </c>
      <c r="AA10" s="1479" t="s">
        <v>8573</v>
      </c>
      <c r="AB10" s="1479" t="s">
        <v>4596</v>
      </c>
      <c r="AC10" s="1486" t="s">
        <v>4801</v>
      </c>
      <c r="AD10" s="1486" t="s">
        <v>8574</v>
      </c>
      <c r="AE10" s="1479">
        <v>47.89</v>
      </c>
      <c r="AF10" s="1479" t="s">
        <v>8575</v>
      </c>
      <c r="AG10" s="1476" t="s">
        <v>8390</v>
      </c>
      <c r="AH10" s="1479">
        <v>57.71</v>
      </c>
      <c r="AI10" s="1486" t="s">
        <v>2179</v>
      </c>
      <c r="AJ10" s="1479" t="s">
        <v>8531</v>
      </c>
      <c r="AK10" s="1486" t="s">
        <v>7112</v>
      </c>
      <c r="AL10" s="1479">
        <v>56.69</v>
      </c>
      <c r="AM10" s="1486" t="s">
        <v>8576</v>
      </c>
      <c r="AN10" s="1486" t="s">
        <v>4128</v>
      </c>
      <c r="AO10" s="1486" t="s">
        <v>2763</v>
      </c>
      <c r="AP10" s="1479" t="s">
        <v>8577</v>
      </c>
      <c r="AQ10" s="1498" t="s">
        <v>8396</v>
      </c>
      <c r="AR10" s="1486" t="s">
        <v>8578</v>
      </c>
      <c r="AS10" s="1479">
        <v>43.65</v>
      </c>
      <c r="AT10" s="1486" t="s">
        <v>8579</v>
      </c>
      <c r="AU10" s="1477" t="s">
        <v>8580</v>
      </c>
      <c r="AV10" s="1464" t="str">
        <f t="shared" si="1"/>
        <v>1:34</v>
      </c>
      <c r="AW10" s="1499" t="s">
        <v>8581</v>
      </c>
    </row>
    <row r="11">
      <c r="A11" s="1500" t="s">
        <v>912</v>
      </c>
      <c r="B11" s="1501" t="s">
        <v>8372</v>
      </c>
      <c r="C11" s="1458">
        <v>0.049652777777777775</v>
      </c>
      <c r="D11" s="1474" t="s">
        <v>8582</v>
      </c>
      <c r="E11" s="1474" t="s">
        <v>8583</v>
      </c>
      <c r="F11" s="1474" t="s">
        <v>8584</v>
      </c>
      <c r="G11" s="1475" t="s">
        <v>8585</v>
      </c>
      <c r="H11" s="1474" t="s">
        <v>7496</v>
      </c>
      <c r="I11" s="1474" t="s">
        <v>8330</v>
      </c>
      <c r="J11" s="1472" t="s">
        <v>8586</v>
      </c>
      <c r="K11" s="1474" t="s">
        <v>8587</v>
      </c>
      <c r="L11" s="1474" t="s">
        <v>3219</v>
      </c>
      <c r="M11" s="1474" t="s">
        <v>8588</v>
      </c>
      <c r="N11" s="1474" t="s">
        <v>8589</v>
      </c>
      <c r="O11" s="1474" t="s">
        <v>8590</v>
      </c>
      <c r="P11" s="1474" t="s">
        <v>5948</v>
      </c>
      <c r="Q11" s="1474" t="s">
        <v>4945</v>
      </c>
      <c r="R11" s="1474" t="s">
        <v>8591</v>
      </c>
      <c r="S11" s="1460" t="s">
        <v>2725</v>
      </c>
      <c r="T11" s="1474" t="s">
        <v>8592</v>
      </c>
      <c r="U11" s="1474" t="s">
        <v>8593</v>
      </c>
      <c r="V11" s="1474" t="s">
        <v>5346</v>
      </c>
      <c r="W11" s="1474" t="s">
        <v>1926</v>
      </c>
      <c r="X11" s="1460" t="s">
        <v>8594</v>
      </c>
      <c r="Y11" s="1474" t="s">
        <v>8595</v>
      </c>
      <c r="Z11" s="1484" t="s">
        <v>8387</v>
      </c>
      <c r="AA11" s="1460" t="s">
        <v>8596</v>
      </c>
      <c r="AB11" s="1474" t="s">
        <v>8597</v>
      </c>
      <c r="AC11" s="1474" t="s">
        <v>4943</v>
      </c>
      <c r="AD11" s="1474" t="s">
        <v>5614</v>
      </c>
      <c r="AE11" s="1475">
        <v>47.81</v>
      </c>
      <c r="AF11" s="1474" t="s">
        <v>8598</v>
      </c>
      <c r="AG11" s="1474" t="s">
        <v>8599</v>
      </c>
      <c r="AH11" s="1474" t="s">
        <v>747</v>
      </c>
      <c r="AI11" s="1474" t="s">
        <v>864</v>
      </c>
      <c r="AJ11" s="1474" t="s">
        <v>8600</v>
      </c>
      <c r="AK11" s="1474" t="s">
        <v>8411</v>
      </c>
      <c r="AL11" s="1474" t="s">
        <v>8601</v>
      </c>
      <c r="AM11" s="1474" t="s">
        <v>4495</v>
      </c>
      <c r="AN11" s="1484" t="s">
        <v>8394</v>
      </c>
      <c r="AO11" s="1484" t="s">
        <v>6236</v>
      </c>
      <c r="AP11" s="1474" t="s">
        <v>8602</v>
      </c>
      <c r="AQ11" s="1474" t="s">
        <v>3698</v>
      </c>
      <c r="AR11" s="1484" t="s">
        <v>416</v>
      </c>
      <c r="AS11" s="1474" t="s">
        <v>3188</v>
      </c>
      <c r="AT11" s="1474" t="s">
        <v>3527</v>
      </c>
      <c r="AU11" s="1495" t="s">
        <v>8603</v>
      </c>
      <c r="AV11" s="1464" t="str">
        <f t="shared" si="1"/>
        <v>2:27</v>
      </c>
      <c r="AW11" s="1502" t="s">
        <v>8604</v>
      </c>
    </row>
    <row r="12" ht="15.75" customHeight="1">
      <c r="A12" s="1503" t="s">
        <v>6336</v>
      </c>
      <c r="B12" s="1457" t="s">
        <v>8372</v>
      </c>
      <c r="C12" s="1458">
        <v>0.04967592592592593</v>
      </c>
      <c r="D12" s="1271" t="s">
        <v>8605</v>
      </c>
      <c r="E12" s="1466" t="s">
        <v>885</v>
      </c>
      <c r="F12" s="1466" t="s">
        <v>8606</v>
      </c>
      <c r="G12" s="1466" t="s">
        <v>8607</v>
      </c>
      <c r="H12" s="1271" t="s">
        <v>8608</v>
      </c>
      <c r="I12" s="1466" t="s">
        <v>8609</v>
      </c>
      <c r="J12" s="1466" t="s">
        <v>8610</v>
      </c>
      <c r="K12" s="1466" t="s">
        <v>8611</v>
      </c>
      <c r="L12" s="1466" t="s">
        <v>4428</v>
      </c>
      <c r="M12" s="1466" t="s">
        <v>8188</v>
      </c>
      <c r="N12" s="1466" t="s">
        <v>2175</v>
      </c>
      <c r="O12" s="1466" t="s">
        <v>3202</v>
      </c>
      <c r="P12" s="1466" t="s">
        <v>8609</v>
      </c>
      <c r="Q12" s="1466" t="s">
        <v>8612</v>
      </c>
      <c r="R12" s="1466" t="s">
        <v>1226</v>
      </c>
      <c r="S12" s="1504" t="s">
        <v>8613</v>
      </c>
      <c r="T12" s="1466" t="s">
        <v>4859</v>
      </c>
      <c r="U12" s="1466" t="s">
        <v>8614</v>
      </c>
      <c r="V12" s="1466" t="s">
        <v>8462</v>
      </c>
      <c r="W12" s="1466" t="s">
        <v>8615</v>
      </c>
      <c r="X12" s="1466" t="s">
        <v>961</v>
      </c>
      <c r="Y12" s="1466" t="s">
        <v>4313</v>
      </c>
      <c r="Z12" s="1466" t="s">
        <v>8616</v>
      </c>
      <c r="AA12" s="1466" t="s">
        <v>8617</v>
      </c>
      <c r="AB12" s="1466" t="s">
        <v>1907</v>
      </c>
      <c r="AC12" s="1466" t="s">
        <v>758</v>
      </c>
      <c r="AD12" s="1466" t="s">
        <v>8618</v>
      </c>
      <c r="AE12" s="1466" t="s">
        <v>6283</v>
      </c>
      <c r="AF12" s="1460" t="s">
        <v>8619</v>
      </c>
      <c r="AG12" s="1466" t="s">
        <v>8620</v>
      </c>
      <c r="AH12" s="1466" t="s">
        <v>4725</v>
      </c>
      <c r="AI12" s="1466" t="s">
        <v>2930</v>
      </c>
      <c r="AJ12" s="1466" t="s">
        <v>8621</v>
      </c>
      <c r="AK12" s="1466" t="s">
        <v>4178</v>
      </c>
      <c r="AL12" s="1466" t="s">
        <v>8622</v>
      </c>
      <c r="AM12" s="1466" t="s">
        <v>8623</v>
      </c>
      <c r="AN12" s="1271" t="s">
        <v>8480</v>
      </c>
      <c r="AO12" s="1466" t="s">
        <v>8624</v>
      </c>
      <c r="AP12" s="1466" t="s">
        <v>8625</v>
      </c>
      <c r="AQ12" s="1460" t="s">
        <v>8626</v>
      </c>
      <c r="AR12" s="1466" t="s">
        <v>8627</v>
      </c>
      <c r="AS12" s="1466" t="s">
        <v>1572</v>
      </c>
      <c r="AT12" s="1466" t="s">
        <v>8628</v>
      </c>
      <c r="AU12" s="1466" t="s">
        <v>8629</v>
      </c>
      <c r="AV12" s="1464" t="str">
        <f t="shared" si="1"/>
        <v>2:47</v>
      </c>
      <c r="AW12" s="1469" t="s">
        <v>8630</v>
      </c>
    </row>
    <row r="13" ht="15.75" customHeight="1">
      <c r="A13" s="1505" t="s">
        <v>2639</v>
      </c>
      <c r="B13" s="1457" t="s">
        <v>8372</v>
      </c>
      <c r="C13" s="1506">
        <v>0.04971064814814815</v>
      </c>
      <c r="D13" s="1465" t="s">
        <v>8631</v>
      </c>
      <c r="E13" s="1507" t="s">
        <v>509</v>
      </c>
      <c r="F13" s="1507" t="s">
        <v>8632</v>
      </c>
      <c r="G13" s="1507" t="s">
        <v>8633</v>
      </c>
      <c r="H13" s="1460" t="s">
        <v>8634</v>
      </c>
      <c r="I13" s="1508" t="s">
        <v>5654</v>
      </c>
      <c r="J13" s="1509" t="s">
        <v>8635</v>
      </c>
      <c r="K13" s="1509" t="s">
        <v>4262</v>
      </c>
      <c r="L13" s="1509" t="s">
        <v>4657</v>
      </c>
      <c r="M13" s="1509" t="s">
        <v>8588</v>
      </c>
      <c r="N13" s="1509" t="s">
        <v>2555</v>
      </c>
      <c r="O13" s="1509" t="s">
        <v>8636</v>
      </c>
      <c r="P13" s="1509" t="s">
        <v>8637</v>
      </c>
      <c r="Q13" s="1460" t="s">
        <v>8638</v>
      </c>
      <c r="R13" s="1510" t="s">
        <v>8639</v>
      </c>
      <c r="S13" s="1460" t="s">
        <v>1899</v>
      </c>
      <c r="T13" s="1510" t="s">
        <v>8640</v>
      </c>
      <c r="U13" s="1460" t="s">
        <v>7164</v>
      </c>
      <c r="V13" s="1510" t="s">
        <v>3401</v>
      </c>
      <c r="W13" s="1511" t="s">
        <v>8641</v>
      </c>
      <c r="X13" s="1511" t="s">
        <v>4040</v>
      </c>
      <c r="Y13" s="1511" t="s">
        <v>6879</v>
      </c>
      <c r="Z13" s="1511" t="s">
        <v>8642</v>
      </c>
      <c r="AA13" s="1511" t="s">
        <v>8487</v>
      </c>
      <c r="AB13" s="1511" t="s">
        <v>4414</v>
      </c>
      <c r="AC13" s="1511" t="s">
        <v>1148</v>
      </c>
      <c r="AD13" s="1507" t="s">
        <v>8643</v>
      </c>
      <c r="AE13" s="1507" t="s">
        <v>5275</v>
      </c>
      <c r="AF13" s="1512" t="s">
        <v>8644</v>
      </c>
      <c r="AG13" s="1512" t="s">
        <v>7657</v>
      </c>
      <c r="AH13" s="1512" t="s">
        <v>5285</v>
      </c>
      <c r="AI13" s="1512" t="s">
        <v>8645</v>
      </c>
      <c r="AJ13" s="1512" t="s">
        <v>8646</v>
      </c>
      <c r="AK13" s="1512" t="s">
        <v>8647</v>
      </c>
      <c r="AL13" s="1512" t="s">
        <v>4071</v>
      </c>
      <c r="AM13" s="1513" t="s">
        <v>8648</v>
      </c>
      <c r="AN13" s="1514" t="s">
        <v>4657</v>
      </c>
      <c r="AO13" s="1514" t="s">
        <v>8649</v>
      </c>
      <c r="AP13" s="1513" t="s">
        <v>8650</v>
      </c>
      <c r="AQ13" s="1513" t="s">
        <v>8651</v>
      </c>
      <c r="AR13" s="1514" t="s">
        <v>8652</v>
      </c>
      <c r="AS13" s="1513" t="s">
        <v>271</v>
      </c>
      <c r="AT13" s="1477" t="s">
        <v>8653</v>
      </c>
      <c r="AU13" s="1495" t="s">
        <v>8654</v>
      </c>
      <c r="AV13" s="1464" t="str">
        <f t="shared" si="1"/>
        <v>2:35</v>
      </c>
      <c r="AW13" s="1515" t="s">
        <v>8655</v>
      </c>
    </row>
    <row r="14" ht="15.75" customHeight="1">
      <c r="A14" s="1456" t="s">
        <v>6097</v>
      </c>
      <c r="B14" s="1516" t="s">
        <v>8372</v>
      </c>
      <c r="C14" s="1458">
        <v>0.04982638888888889</v>
      </c>
      <c r="D14" s="1465" t="s">
        <v>8656</v>
      </c>
      <c r="E14" s="1465" t="s">
        <v>4748</v>
      </c>
      <c r="F14" s="1465" t="s">
        <v>8657</v>
      </c>
      <c r="G14" s="1465" t="s">
        <v>8658</v>
      </c>
      <c r="H14" s="1465" t="s">
        <v>8659</v>
      </c>
      <c r="I14" s="1465" t="s">
        <v>5627</v>
      </c>
      <c r="J14" s="1465" t="s">
        <v>8660</v>
      </c>
      <c r="K14" s="1271" t="s">
        <v>8661</v>
      </c>
      <c r="L14" s="1465" t="s">
        <v>8662</v>
      </c>
      <c r="M14" s="1465" t="s">
        <v>8663</v>
      </c>
      <c r="N14" s="1465" t="s">
        <v>2020</v>
      </c>
      <c r="O14" s="1465" t="s">
        <v>8664</v>
      </c>
      <c r="P14" s="1271" t="s">
        <v>4476</v>
      </c>
      <c r="Q14" s="1465" t="s">
        <v>8665</v>
      </c>
      <c r="R14" s="1465" t="s">
        <v>1938</v>
      </c>
      <c r="S14" s="1465" t="s">
        <v>3337</v>
      </c>
      <c r="T14" s="1465" t="s">
        <v>8666</v>
      </c>
      <c r="U14" s="1465" t="s">
        <v>8667</v>
      </c>
      <c r="V14" s="1465" t="s">
        <v>6522</v>
      </c>
      <c r="W14" s="1465" t="s">
        <v>5430</v>
      </c>
      <c r="X14" s="1465" t="s">
        <v>8390</v>
      </c>
      <c r="Y14" s="1465" t="s">
        <v>8479</v>
      </c>
      <c r="Z14" s="1465" t="s">
        <v>6647</v>
      </c>
      <c r="AA14" s="1517" t="s">
        <v>8668</v>
      </c>
      <c r="AB14" s="1465" t="s">
        <v>5750</v>
      </c>
      <c r="AC14" s="1465" t="s">
        <v>1030</v>
      </c>
      <c r="AD14" s="1465" t="s">
        <v>7316</v>
      </c>
      <c r="AE14" s="1465" t="s">
        <v>4891</v>
      </c>
      <c r="AF14" s="1465" t="s">
        <v>8669</v>
      </c>
      <c r="AG14" s="1465" t="s">
        <v>1529</v>
      </c>
      <c r="AH14" s="1271" t="s">
        <v>8670</v>
      </c>
      <c r="AI14" s="1465" t="s">
        <v>8067</v>
      </c>
      <c r="AJ14" s="1465" t="s">
        <v>8671</v>
      </c>
      <c r="AK14" s="1465" t="s">
        <v>8672</v>
      </c>
      <c r="AL14" s="1465" t="s">
        <v>4406</v>
      </c>
      <c r="AM14" s="1465" t="s">
        <v>3409</v>
      </c>
      <c r="AN14" s="1465" t="s">
        <v>8673</v>
      </c>
      <c r="AO14" s="1465" t="s">
        <v>8513</v>
      </c>
      <c r="AP14" s="1518" t="s">
        <v>8395</v>
      </c>
      <c r="AQ14" s="1465" t="s">
        <v>8674</v>
      </c>
      <c r="AR14" s="1465" t="s">
        <v>8675</v>
      </c>
      <c r="AS14" s="1465" t="s">
        <v>8676</v>
      </c>
      <c r="AT14" s="1465" t="s">
        <v>8677</v>
      </c>
      <c r="AU14" s="1519" t="s">
        <v>8678</v>
      </c>
      <c r="AV14" s="1464" t="str">
        <f t="shared" si="1"/>
        <v>2:18</v>
      </c>
      <c r="AW14" s="1520" t="s">
        <v>8679</v>
      </c>
    </row>
    <row r="15" ht="15.75" customHeight="1">
      <c r="A15" s="1456" t="s">
        <v>2008</v>
      </c>
      <c r="B15" s="1457" t="s">
        <v>8372</v>
      </c>
      <c r="C15" s="1458">
        <v>0.049895833333333334</v>
      </c>
      <c r="D15" s="1271" t="s">
        <v>8680</v>
      </c>
      <c r="E15" s="1521" t="s">
        <v>885</v>
      </c>
      <c r="F15" s="1507" t="s">
        <v>8681</v>
      </c>
      <c r="G15" s="1521" t="s">
        <v>8682</v>
      </c>
      <c r="H15" s="1522" t="s">
        <v>8683</v>
      </c>
      <c r="I15" s="1508" t="s">
        <v>5490</v>
      </c>
      <c r="J15" s="1509" t="s">
        <v>8684</v>
      </c>
      <c r="K15" s="1523" t="s">
        <v>8685</v>
      </c>
      <c r="L15" s="1509" t="s">
        <v>8686</v>
      </c>
      <c r="M15" s="1509" t="s">
        <v>5035</v>
      </c>
      <c r="N15" s="1509" t="s">
        <v>8687</v>
      </c>
      <c r="O15" s="1523" t="s">
        <v>8688</v>
      </c>
      <c r="P15" s="1271" t="s">
        <v>8689</v>
      </c>
      <c r="Q15" s="1510" t="s">
        <v>3363</v>
      </c>
      <c r="R15" s="1524" t="s">
        <v>8690</v>
      </c>
      <c r="S15" s="1524" t="s">
        <v>8691</v>
      </c>
      <c r="T15" s="1524" t="s">
        <v>8692</v>
      </c>
      <c r="U15" s="1524" t="s">
        <v>8693</v>
      </c>
      <c r="V15" s="1510" t="s">
        <v>4457</v>
      </c>
      <c r="W15" s="1511" t="s">
        <v>8694</v>
      </c>
      <c r="X15" s="1525" t="s">
        <v>8695</v>
      </c>
      <c r="Y15" s="1511" t="s">
        <v>8696</v>
      </c>
      <c r="Z15" s="1511" t="s">
        <v>8697</v>
      </c>
      <c r="AA15" s="1511" t="s">
        <v>3189</v>
      </c>
      <c r="AB15" s="1525" t="s">
        <v>7626</v>
      </c>
      <c r="AC15" s="1525" t="s">
        <v>1219</v>
      </c>
      <c r="AD15" s="1521" t="s">
        <v>8698</v>
      </c>
      <c r="AE15" s="1521" t="s">
        <v>8699</v>
      </c>
      <c r="AF15" s="1526" t="s">
        <v>8700</v>
      </c>
      <c r="AG15" s="1512" t="s">
        <v>8701</v>
      </c>
      <c r="AH15" s="1512" t="s">
        <v>8702</v>
      </c>
      <c r="AI15" s="1512" t="s">
        <v>8599</v>
      </c>
      <c r="AJ15" s="1526" t="s">
        <v>8703</v>
      </c>
      <c r="AK15" s="1526" t="s">
        <v>892</v>
      </c>
      <c r="AL15" s="1512" t="s">
        <v>8704</v>
      </c>
      <c r="AM15" s="1514" t="s">
        <v>8705</v>
      </c>
      <c r="AN15" s="1513" t="s">
        <v>3039</v>
      </c>
      <c r="AO15" s="1514" t="s">
        <v>8706</v>
      </c>
      <c r="AP15" s="1513" t="s">
        <v>5578</v>
      </c>
      <c r="AQ15" s="1514" t="s">
        <v>8707</v>
      </c>
      <c r="AR15" s="1513" t="s">
        <v>1163</v>
      </c>
      <c r="AS15" s="1513" t="s">
        <v>3967</v>
      </c>
      <c r="AT15" s="1523" t="s">
        <v>6255</v>
      </c>
      <c r="AU15" s="1527" t="s">
        <v>8708</v>
      </c>
      <c r="AV15" s="1464" t="str">
        <f t="shared" si="1"/>
        <v>2:22</v>
      </c>
      <c r="AW15" s="1496" t="s">
        <v>8709</v>
      </c>
    </row>
    <row r="16">
      <c r="A16" s="1503" t="s">
        <v>1551</v>
      </c>
      <c r="B16" s="1501" t="s">
        <v>8372</v>
      </c>
      <c r="C16" s="1458">
        <v>0.04991898148148148</v>
      </c>
      <c r="D16" s="1528" t="s">
        <v>8710</v>
      </c>
      <c r="E16" s="1529" t="s">
        <v>8711</v>
      </c>
      <c r="F16" s="1529" t="s">
        <v>8712</v>
      </c>
      <c r="G16" s="1529" t="s">
        <v>8713</v>
      </c>
      <c r="H16" s="1529" t="s">
        <v>8714</v>
      </c>
      <c r="I16" s="1529">
        <v>48.07</v>
      </c>
      <c r="J16" s="1529" t="s">
        <v>8715</v>
      </c>
      <c r="K16" s="1529" t="s">
        <v>1702</v>
      </c>
      <c r="L16" s="1529">
        <v>56.32</v>
      </c>
      <c r="M16" s="1529" t="s">
        <v>862</v>
      </c>
      <c r="N16" s="1529" t="s">
        <v>8716</v>
      </c>
      <c r="O16" s="1529" t="s">
        <v>8717</v>
      </c>
      <c r="P16" s="1529">
        <v>47.77</v>
      </c>
      <c r="Q16" s="1529" t="s">
        <v>8718</v>
      </c>
      <c r="R16" s="1529" t="s">
        <v>7202</v>
      </c>
      <c r="S16" s="1529" t="s">
        <v>8719</v>
      </c>
      <c r="T16" s="1529" t="s">
        <v>4541</v>
      </c>
      <c r="U16" s="1529" t="s">
        <v>8720</v>
      </c>
      <c r="V16" s="1529">
        <v>59.79</v>
      </c>
      <c r="W16" s="1529" t="s">
        <v>8721</v>
      </c>
      <c r="X16" s="1529" t="s">
        <v>2070</v>
      </c>
      <c r="Y16" s="1529">
        <v>47.0</v>
      </c>
      <c r="Z16" s="1529" t="s">
        <v>8722</v>
      </c>
      <c r="AA16" s="1529" t="s">
        <v>8723</v>
      </c>
      <c r="AB16" s="1529" t="s">
        <v>7168</v>
      </c>
      <c r="AC16" s="1529">
        <v>47.56</v>
      </c>
      <c r="AD16" s="1529" t="s">
        <v>8413</v>
      </c>
      <c r="AE16" s="1529">
        <v>47.95</v>
      </c>
      <c r="AF16" s="1529" t="s">
        <v>8724</v>
      </c>
      <c r="AG16" s="1529" t="s">
        <v>8725</v>
      </c>
      <c r="AH16" s="1529">
        <v>57.67</v>
      </c>
      <c r="AI16" s="1529" t="s">
        <v>961</v>
      </c>
      <c r="AJ16" s="1529" t="s">
        <v>8726</v>
      </c>
      <c r="AK16" s="1529" t="s">
        <v>7652</v>
      </c>
      <c r="AL16" s="1529">
        <v>56.37</v>
      </c>
      <c r="AM16" s="1529" t="s">
        <v>8727</v>
      </c>
      <c r="AN16" s="1529">
        <v>55.92</v>
      </c>
      <c r="AO16" s="1529" t="s">
        <v>4433</v>
      </c>
      <c r="AP16" s="1529" t="s">
        <v>8292</v>
      </c>
      <c r="AQ16" s="1529" t="s">
        <v>8728</v>
      </c>
      <c r="AR16" s="1529" t="s">
        <v>6364</v>
      </c>
      <c r="AS16" s="1529">
        <v>46.83</v>
      </c>
      <c r="AT16" s="1530" t="s">
        <v>8729</v>
      </c>
      <c r="AU16" s="1486" t="s">
        <v>8730</v>
      </c>
      <c r="AV16" s="1464" t="str">
        <f t="shared" si="1"/>
        <v>1:53</v>
      </c>
      <c r="AW16" s="1502" t="s">
        <v>8731</v>
      </c>
    </row>
    <row r="17">
      <c r="A17" s="1503" t="s">
        <v>2093</v>
      </c>
      <c r="B17" s="1501" t="s">
        <v>8372</v>
      </c>
      <c r="C17" s="1531">
        <v>0.049930555555555554</v>
      </c>
      <c r="D17" s="1532" t="s">
        <v>8732</v>
      </c>
      <c r="E17" s="1486" t="s">
        <v>8379</v>
      </c>
      <c r="F17" s="1486" t="s">
        <v>4256</v>
      </c>
      <c r="G17" s="1486" t="s">
        <v>8733</v>
      </c>
      <c r="H17" s="1486" t="s">
        <v>8734</v>
      </c>
      <c r="I17" s="1486" t="s">
        <v>5610</v>
      </c>
      <c r="J17" s="1486" t="s">
        <v>6143</v>
      </c>
      <c r="K17" s="1486" t="s">
        <v>8735</v>
      </c>
      <c r="L17" s="1486" t="s">
        <v>4071</v>
      </c>
      <c r="M17" s="1486" t="s">
        <v>1093</v>
      </c>
      <c r="N17" s="1486" t="s">
        <v>8736</v>
      </c>
      <c r="O17" s="1486" t="s">
        <v>798</v>
      </c>
      <c r="P17" s="1479">
        <v>47.54</v>
      </c>
      <c r="Q17" s="1533" t="s">
        <v>5617</v>
      </c>
      <c r="R17" s="1479" t="s">
        <v>8737</v>
      </c>
      <c r="S17" s="1533" t="s">
        <v>8613</v>
      </c>
      <c r="T17" s="1479" t="s">
        <v>8738</v>
      </c>
      <c r="U17" s="1533" t="s">
        <v>8739</v>
      </c>
      <c r="V17" s="1534">
        <v>58.55</v>
      </c>
      <c r="W17" s="1533" t="s">
        <v>8740</v>
      </c>
      <c r="X17" s="1533" t="s">
        <v>8741</v>
      </c>
      <c r="Y17" s="1460" t="s">
        <v>8505</v>
      </c>
      <c r="Z17" s="1533" t="s">
        <v>8742</v>
      </c>
      <c r="AA17" s="1486" t="s">
        <v>8743</v>
      </c>
      <c r="AB17" s="1533" t="s">
        <v>8744</v>
      </c>
      <c r="AC17" s="1464">
        <v>47.2</v>
      </c>
      <c r="AD17" s="1533" t="s">
        <v>8745</v>
      </c>
      <c r="AE17" s="1479">
        <v>47.88</v>
      </c>
      <c r="AF17" s="1533" t="s">
        <v>8746</v>
      </c>
      <c r="AG17" s="1533" t="s">
        <v>8747</v>
      </c>
      <c r="AH17" s="1533">
        <v>57.68</v>
      </c>
      <c r="AI17" s="1533" t="s">
        <v>2750</v>
      </c>
      <c r="AJ17" s="1479" t="s">
        <v>8748</v>
      </c>
      <c r="AK17" s="1460" t="s">
        <v>8749</v>
      </c>
      <c r="AL17" s="1533">
        <v>55.92</v>
      </c>
      <c r="AM17" s="1533" t="s">
        <v>2792</v>
      </c>
      <c r="AN17" s="1460" t="s">
        <v>5658</v>
      </c>
      <c r="AO17" s="1533" t="s">
        <v>6632</v>
      </c>
      <c r="AP17" s="1533" t="s">
        <v>8750</v>
      </c>
      <c r="AQ17" s="1533" t="s">
        <v>7285</v>
      </c>
      <c r="AR17" s="1533" t="s">
        <v>8751</v>
      </c>
      <c r="AS17" s="1535">
        <v>42.83</v>
      </c>
      <c r="AT17" s="1479" t="s">
        <v>7871</v>
      </c>
      <c r="AU17" s="1495" t="s">
        <v>8752</v>
      </c>
      <c r="AV17" s="1464" t="str">
        <f t="shared" si="1"/>
        <v>4:29</v>
      </c>
      <c r="AW17" s="1502" t="s">
        <v>8753</v>
      </c>
    </row>
    <row r="18" ht="15.75" customHeight="1">
      <c r="A18" s="1503" t="s">
        <v>2251</v>
      </c>
      <c r="B18" s="1457" t="s">
        <v>8372</v>
      </c>
      <c r="C18" s="1458">
        <v>0.0499537037037037</v>
      </c>
      <c r="D18" s="1466" t="s">
        <v>8754</v>
      </c>
      <c r="E18" s="1466" t="s">
        <v>2700</v>
      </c>
      <c r="F18" s="1466" t="s">
        <v>8755</v>
      </c>
      <c r="G18" s="1460" t="s">
        <v>8756</v>
      </c>
      <c r="H18" s="1466" t="s">
        <v>8757</v>
      </c>
      <c r="I18" s="1536" t="s">
        <v>8699</v>
      </c>
      <c r="J18" s="1466" t="s">
        <v>1418</v>
      </c>
      <c r="K18" s="1466" t="s">
        <v>5152</v>
      </c>
      <c r="L18" s="1466" t="s">
        <v>8758</v>
      </c>
      <c r="M18" s="1466" t="s">
        <v>8759</v>
      </c>
      <c r="N18" s="1466" t="s">
        <v>8760</v>
      </c>
      <c r="O18" s="1466" t="s">
        <v>8761</v>
      </c>
      <c r="P18" s="1466" t="s">
        <v>8762</v>
      </c>
      <c r="Q18" s="1466" t="s">
        <v>4622</v>
      </c>
      <c r="R18" s="1510" t="s">
        <v>8763</v>
      </c>
      <c r="S18" s="1466" t="s">
        <v>4004</v>
      </c>
      <c r="T18" s="1466" t="s">
        <v>8594</v>
      </c>
      <c r="U18" s="1466" t="s">
        <v>8764</v>
      </c>
      <c r="V18" s="1466" t="s">
        <v>8765</v>
      </c>
      <c r="W18" s="1466" t="s">
        <v>8766</v>
      </c>
      <c r="X18" s="1466" t="s">
        <v>7627</v>
      </c>
      <c r="Y18" s="1466" t="s">
        <v>4269</v>
      </c>
      <c r="Z18" s="1466" t="s">
        <v>8767</v>
      </c>
      <c r="AA18" s="1466" t="s">
        <v>7627</v>
      </c>
      <c r="AB18" s="1466" t="s">
        <v>8589</v>
      </c>
      <c r="AC18" s="1466" t="s">
        <v>5540</v>
      </c>
      <c r="AD18" s="1466" t="s">
        <v>7679</v>
      </c>
      <c r="AE18" s="1466" t="s">
        <v>8768</v>
      </c>
      <c r="AF18" s="1466" t="s">
        <v>8769</v>
      </c>
      <c r="AG18" s="1466" t="s">
        <v>5040</v>
      </c>
      <c r="AH18" s="1466" t="s">
        <v>5188</v>
      </c>
      <c r="AI18" s="1466" t="s">
        <v>8770</v>
      </c>
      <c r="AJ18" s="1462" t="s">
        <v>8392</v>
      </c>
      <c r="AK18" s="1466" t="s">
        <v>2523</v>
      </c>
      <c r="AL18" s="1466" t="s">
        <v>8771</v>
      </c>
      <c r="AM18" s="1466" t="s">
        <v>8772</v>
      </c>
      <c r="AN18" s="1466" t="s">
        <v>553</v>
      </c>
      <c r="AO18" s="1466" t="s">
        <v>8773</v>
      </c>
      <c r="AP18" s="1466" t="s">
        <v>8774</v>
      </c>
      <c r="AQ18" s="1466" t="s">
        <v>4734</v>
      </c>
      <c r="AR18" s="1466" t="s">
        <v>6365</v>
      </c>
      <c r="AS18" s="1466" t="s">
        <v>8775</v>
      </c>
      <c r="AT18" s="1466" t="s">
        <v>2890</v>
      </c>
      <c r="AU18" s="1466" t="s">
        <v>8776</v>
      </c>
      <c r="AV18" s="1464" t="str">
        <f t="shared" si="1"/>
        <v>3:21</v>
      </c>
      <c r="AW18" s="1520" t="s">
        <v>8777</v>
      </c>
    </row>
    <row r="19" ht="15.75" customHeight="1">
      <c r="A19" s="1456" t="s">
        <v>8778</v>
      </c>
      <c r="B19" s="1457" t="s">
        <v>8372</v>
      </c>
      <c r="C19" s="1458">
        <v>0.049965277777777775</v>
      </c>
      <c r="D19" s="1271" t="s">
        <v>8779</v>
      </c>
      <c r="E19" s="1466" t="s">
        <v>4294</v>
      </c>
      <c r="F19" s="1466" t="s">
        <v>8780</v>
      </c>
      <c r="G19" s="1466" t="s">
        <v>8781</v>
      </c>
      <c r="H19" s="1464" t="s">
        <v>2276</v>
      </c>
      <c r="I19" s="1466" t="s">
        <v>1296</v>
      </c>
      <c r="J19" s="1466" t="s">
        <v>382</v>
      </c>
      <c r="K19" s="1466" t="s">
        <v>8782</v>
      </c>
      <c r="L19" s="1466" t="s">
        <v>5355</v>
      </c>
      <c r="M19" s="1466" t="s">
        <v>6279</v>
      </c>
      <c r="N19" s="1466" t="s">
        <v>8783</v>
      </c>
      <c r="O19" s="1466" t="s">
        <v>2605</v>
      </c>
      <c r="P19" s="1464" t="s">
        <v>5388</v>
      </c>
      <c r="Q19" s="1466" t="s">
        <v>8784</v>
      </c>
      <c r="R19" s="1466" t="s">
        <v>3167</v>
      </c>
      <c r="S19" s="1466" t="s">
        <v>7542</v>
      </c>
      <c r="T19" s="1466" t="s">
        <v>8157</v>
      </c>
      <c r="U19" s="1466" t="s">
        <v>8785</v>
      </c>
      <c r="V19" s="1466" t="s">
        <v>4962</v>
      </c>
      <c r="W19" s="1466" t="s">
        <v>8786</v>
      </c>
      <c r="X19" s="1464" t="s">
        <v>6638</v>
      </c>
      <c r="Y19" s="1464" t="s">
        <v>5475</v>
      </c>
      <c r="Z19" s="1466" t="s">
        <v>8787</v>
      </c>
      <c r="AA19" s="1466" t="s">
        <v>2320</v>
      </c>
      <c r="AB19" s="1466" t="s">
        <v>8788</v>
      </c>
      <c r="AC19" s="1466" t="s">
        <v>785</v>
      </c>
      <c r="AD19" s="1466" t="s">
        <v>5399</v>
      </c>
      <c r="AE19" s="1466" t="s">
        <v>8789</v>
      </c>
      <c r="AF19" s="1466" t="s">
        <v>873</v>
      </c>
      <c r="AG19" s="1466" t="s">
        <v>8790</v>
      </c>
      <c r="AH19" s="1466" t="s">
        <v>8791</v>
      </c>
      <c r="AI19" s="1466" t="s">
        <v>687</v>
      </c>
      <c r="AJ19" s="1464" t="s">
        <v>8792</v>
      </c>
      <c r="AK19" s="1512" t="s">
        <v>7454</v>
      </c>
      <c r="AL19" s="1466" t="s">
        <v>4614</v>
      </c>
      <c r="AM19" s="1466" t="s">
        <v>3566</v>
      </c>
      <c r="AN19" s="1464" t="s">
        <v>6012</v>
      </c>
      <c r="AO19" s="1464" t="s">
        <v>6365</v>
      </c>
      <c r="AP19" s="1464" t="s">
        <v>8793</v>
      </c>
      <c r="AQ19" s="1464" t="s">
        <v>8490</v>
      </c>
      <c r="AR19" s="1464" t="s">
        <v>489</v>
      </c>
      <c r="AS19" s="1464" t="s">
        <v>5645</v>
      </c>
      <c r="AT19" s="1464" t="s">
        <v>8669</v>
      </c>
      <c r="AU19" s="1466" t="s">
        <v>8794</v>
      </c>
      <c r="AV19" s="1464" t="str">
        <f t="shared" si="1"/>
        <v>3:46</v>
      </c>
      <c r="AW19" s="1537" t="s">
        <v>7951</v>
      </c>
    </row>
    <row r="20">
      <c r="A20" s="1503" t="s">
        <v>2027</v>
      </c>
      <c r="B20" s="1497" t="s">
        <v>8372</v>
      </c>
      <c r="C20" s="1538">
        <v>0.04990740740740741</v>
      </c>
      <c r="D20" s="1486" t="s">
        <v>8795</v>
      </c>
      <c r="E20" s="1486" t="s">
        <v>8796</v>
      </c>
      <c r="F20" s="1486" t="s">
        <v>8667</v>
      </c>
      <c r="G20" s="1486" t="s">
        <v>8797</v>
      </c>
      <c r="H20" s="1486" t="s">
        <v>8798</v>
      </c>
      <c r="I20" s="1486" t="s">
        <v>3722</v>
      </c>
      <c r="J20" s="1486" t="s">
        <v>8799</v>
      </c>
      <c r="K20" s="1539" t="s">
        <v>4192</v>
      </c>
      <c r="L20" s="1486" t="s">
        <v>8771</v>
      </c>
      <c r="M20" s="1486" t="s">
        <v>8800</v>
      </c>
      <c r="N20" s="1486" t="s">
        <v>7059</v>
      </c>
      <c r="O20" s="1486" t="s">
        <v>8801</v>
      </c>
      <c r="P20" s="1486" t="s">
        <v>6272</v>
      </c>
      <c r="Q20" s="1486" t="s">
        <v>8802</v>
      </c>
      <c r="R20" s="1486" t="s">
        <v>8737</v>
      </c>
      <c r="S20" s="1486" t="s">
        <v>8803</v>
      </c>
      <c r="T20" s="1486" t="s">
        <v>5702</v>
      </c>
      <c r="U20" s="1486" t="s">
        <v>8804</v>
      </c>
      <c r="V20" s="1486" t="s">
        <v>8805</v>
      </c>
      <c r="W20" s="1486" t="s">
        <v>5415</v>
      </c>
      <c r="X20" s="1486" t="s">
        <v>8806</v>
      </c>
      <c r="Y20" s="1486" t="s">
        <v>8505</v>
      </c>
      <c r="Z20" s="1486" t="s">
        <v>8807</v>
      </c>
      <c r="AA20" s="1486" t="s">
        <v>8743</v>
      </c>
      <c r="AB20" s="1486" t="s">
        <v>8744</v>
      </c>
      <c r="AC20" s="1486" t="s">
        <v>593</v>
      </c>
      <c r="AD20" s="1486" t="s">
        <v>8808</v>
      </c>
      <c r="AE20" s="1486" t="s">
        <v>5488</v>
      </c>
      <c r="AF20" s="1486" t="s">
        <v>8809</v>
      </c>
      <c r="AG20" s="1486" t="s">
        <v>8810</v>
      </c>
      <c r="AH20" s="1486" t="s">
        <v>2835</v>
      </c>
      <c r="AI20" s="1486" t="s">
        <v>8573</v>
      </c>
      <c r="AJ20" s="1486" t="s">
        <v>8811</v>
      </c>
      <c r="AK20" s="1486" t="s">
        <v>8812</v>
      </c>
      <c r="AL20" s="1486" t="s">
        <v>344</v>
      </c>
      <c r="AM20" s="1486" t="s">
        <v>2177</v>
      </c>
      <c r="AN20" s="1486" t="s">
        <v>232</v>
      </c>
      <c r="AO20" s="1486" t="s">
        <v>8813</v>
      </c>
      <c r="AP20" s="1486" t="s">
        <v>8814</v>
      </c>
      <c r="AQ20" s="1460" t="s">
        <v>7539</v>
      </c>
      <c r="AR20" s="1486" t="s">
        <v>2633</v>
      </c>
      <c r="AS20" s="1486" t="s">
        <v>926</v>
      </c>
      <c r="AT20" s="1486" t="s">
        <v>2434</v>
      </c>
      <c r="AU20" s="1466" t="s">
        <v>8815</v>
      </c>
      <c r="AV20" s="1464" t="str">
        <f t="shared" si="1"/>
        <v>2:24</v>
      </c>
      <c r="AW20" s="1537"/>
    </row>
    <row r="21" ht="15.75" customHeight="1">
      <c r="A21" s="1540" t="s">
        <v>6033</v>
      </c>
      <c r="B21" s="1457" t="s">
        <v>8372</v>
      </c>
      <c r="C21" s="1458">
        <v>0.05</v>
      </c>
      <c r="D21" s="1271" t="s">
        <v>8816</v>
      </c>
      <c r="E21" s="1466" t="s">
        <v>8188</v>
      </c>
      <c r="F21" s="1466" t="s">
        <v>8755</v>
      </c>
      <c r="G21" s="1464" t="s">
        <v>8817</v>
      </c>
      <c r="H21" s="1466" t="s">
        <v>8818</v>
      </c>
      <c r="I21" s="1464" t="s">
        <v>1916</v>
      </c>
      <c r="J21" s="1466" t="s">
        <v>2864</v>
      </c>
      <c r="K21" s="1466" t="s">
        <v>8819</v>
      </c>
      <c r="L21" s="1466" t="s">
        <v>3187</v>
      </c>
      <c r="M21" s="1466" t="s">
        <v>8820</v>
      </c>
      <c r="N21" s="1466" t="s">
        <v>8821</v>
      </c>
      <c r="O21" s="1466" t="s">
        <v>8740</v>
      </c>
      <c r="P21" s="1464" t="s">
        <v>3904</v>
      </c>
      <c r="Q21" s="1466" t="s">
        <v>8822</v>
      </c>
      <c r="R21" s="1466" t="s">
        <v>6561</v>
      </c>
      <c r="S21" s="1466" t="s">
        <v>6799</v>
      </c>
      <c r="T21" s="1466" t="s">
        <v>7204</v>
      </c>
      <c r="U21" s="1466" t="s">
        <v>8823</v>
      </c>
      <c r="V21" s="1466" t="s">
        <v>8824</v>
      </c>
      <c r="W21" s="1466" t="s">
        <v>8825</v>
      </c>
      <c r="X21" s="1466" t="s">
        <v>8826</v>
      </c>
      <c r="Y21" s="1466" t="s">
        <v>8827</v>
      </c>
      <c r="Z21" s="1466" t="s">
        <v>8828</v>
      </c>
      <c r="AA21" s="1466" t="s">
        <v>8829</v>
      </c>
      <c r="AB21" s="1466" t="s">
        <v>8830</v>
      </c>
      <c r="AC21" s="1464" t="s">
        <v>4910</v>
      </c>
      <c r="AD21" s="1466" t="s">
        <v>8831</v>
      </c>
      <c r="AE21" s="1464" t="s">
        <v>5463</v>
      </c>
      <c r="AF21" s="1541" t="s">
        <v>8389</v>
      </c>
      <c r="AG21" s="1466" t="s">
        <v>604</v>
      </c>
      <c r="AH21" s="1466" t="s">
        <v>6784</v>
      </c>
      <c r="AI21" s="1466" t="s">
        <v>194</v>
      </c>
      <c r="AJ21" s="1464" t="s">
        <v>8832</v>
      </c>
      <c r="AK21" s="1466" t="s">
        <v>8833</v>
      </c>
      <c r="AL21" s="1464" t="s">
        <v>3692</v>
      </c>
      <c r="AM21" s="1466" t="s">
        <v>1977</v>
      </c>
      <c r="AN21" s="1464" t="s">
        <v>2624</v>
      </c>
      <c r="AO21" s="1466" t="s">
        <v>3438</v>
      </c>
      <c r="AP21" s="1466" t="s">
        <v>8834</v>
      </c>
      <c r="AQ21" s="1464" t="s">
        <v>8835</v>
      </c>
      <c r="AR21" s="1466" t="s">
        <v>1669</v>
      </c>
      <c r="AS21" s="1464" t="s">
        <v>8676</v>
      </c>
      <c r="AT21" s="1466" t="s">
        <v>8836</v>
      </c>
      <c r="AU21" s="1466" t="s">
        <v>8837</v>
      </c>
      <c r="AV21" s="1464" t="str">
        <f t="shared" si="1"/>
        <v>1:53</v>
      </c>
      <c r="AW21" s="1537"/>
    </row>
    <row r="22" ht="15.75" customHeight="1">
      <c r="A22" s="1503" t="s">
        <v>2216</v>
      </c>
      <c r="B22" s="1542" t="s">
        <v>8400</v>
      </c>
      <c r="C22" s="1458">
        <v>0.05009259259259259</v>
      </c>
      <c r="D22" s="1507" t="s">
        <v>8838</v>
      </c>
      <c r="E22" s="1271" t="s">
        <v>7756</v>
      </c>
      <c r="F22" s="1271" t="s">
        <v>8839</v>
      </c>
      <c r="G22" s="1507" t="s">
        <v>8840</v>
      </c>
      <c r="H22" s="1543" t="s">
        <v>8405</v>
      </c>
      <c r="I22" s="1271" t="s">
        <v>6028</v>
      </c>
      <c r="J22" s="1271" t="s">
        <v>4240</v>
      </c>
      <c r="K22" s="1271" t="s">
        <v>8841</v>
      </c>
      <c r="L22" s="1544" t="s">
        <v>2774</v>
      </c>
      <c r="M22" s="1271" t="s">
        <v>8842</v>
      </c>
      <c r="N22" s="1509" t="s">
        <v>8843</v>
      </c>
      <c r="O22" s="1271" t="s">
        <v>8844</v>
      </c>
      <c r="P22" s="1509" t="s">
        <v>5442</v>
      </c>
      <c r="Q22" s="1271" t="s">
        <v>8845</v>
      </c>
      <c r="R22" s="1271" t="s">
        <v>8846</v>
      </c>
      <c r="S22" s="1510" t="s">
        <v>8847</v>
      </c>
      <c r="T22" s="1545" t="s">
        <v>8411</v>
      </c>
      <c r="U22" s="1510" t="s">
        <v>126</v>
      </c>
      <c r="V22" s="1271" t="s">
        <v>7992</v>
      </c>
      <c r="W22" s="1546" t="s">
        <v>4133</v>
      </c>
      <c r="X22" s="1271" t="s">
        <v>8848</v>
      </c>
      <c r="Y22" s="1271" t="s">
        <v>5117</v>
      </c>
      <c r="Z22" s="1544" t="s">
        <v>442</v>
      </c>
      <c r="AA22" s="1511" t="s">
        <v>4668</v>
      </c>
      <c r="AB22" s="1271" t="s">
        <v>3040</v>
      </c>
      <c r="AC22" s="1271" t="s">
        <v>412</v>
      </c>
      <c r="AD22" s="1271" t="s">
        <v>7679</v>
      </c>
      <c r="AE22" s="1547" t="s">
        <v>8414</v>
      </c>
      <c r="AF22" s="1467" t="s">
        <v>8849</v>
      </c>
      <c r="AG22" s="1544" t="s">
        <v>3885</v>
      </c>
      <c r="AH22" s="1271" t="s">
        <v>4920</v>
      </c>
      <c r="AI22" s="1512" t="s">
        <v>8850</v>
      </c>
      <c r="AJ22" s="1271" t="s">
        <v>8851</v>
      </c>
      <c r="AK22" s="1271" t="s">
        <v>1289</v>
      </c>
      <c r="AL22" s="1546" t="s">
        <v>5969</v>
      </c>
      <c r="AM22" s="1271" t="s">
        <v>8852</v>
      </c>
      <c r="AN22" s="1514" t="s">
        <v>8686</v>
      </c>
      <c r="AO22" s="1544" t="s">
        <v>7584</v>
      </c>
      <c r="AP22" s="1271" t="s">
        <v>8853</v>
      </c>
      <c r="AQ22" s="1548" t="s">
        <v>8419</v>
      </c>
      <c r="AR22" s="1271" t="s">
        <v>860</v>
      </c>
      <c r="AS22" s="1549" t="s">
        <v>5168</v>
      </c>
      <c r="AT22" s="1271" t="s">
        <v>8854</v>
      </c>
      <c r="AU22" s="1495" t="s">
        <v>8855</v>
      </c>
      <c r="AV22" s="1464" t="str">
        <f t="shared" si="1"/>
        <v>4:11</v>
      </c>
      <c r="AW22" s="1502" t="s">
        <v>8856</v>
      </c>
    </row>
    <row r="23">
      <c r="A23" s="1503" t="s">
        <v>6340</v>
      </c>
      <c r="B23" s="1497" t="s">
        <v>8400</v>
      </c>
      <c r="C23" s="1458">
        <v>0.05016203703703704</v>
      </c>
      <c r="D23" s="1479" t="s">
        <v>8857</v>
      </c>
      <c r="E23" s="1550" t="s">
        <v>8402</v>
      </c>
      <c r="F23" s="1479" t="s">
        <v>8858</v>
      </c>
      <c r="G23" s="1479" t="s">
        <v>8859</v>
      </c>
      <c r="H23" s="1479" t="s">
        <v>8860</v>
      </c>
      <c r="I23" s="1479" t="s">
        <v>4932</v>
      </c>
      <c r="J23" s="1479" t="s">
        <v>4084</v>
      </c>
      <c r="K23" s="1479" t="s">
        <v>8861</v>
      </c>
      <c r="L23" s="1271" t="s">
        <v>5003</v>
      </c>
      <c r="M23" s="1544" t="s">
        <v>8408</v>
      </c>
      <c r="N23" s="1479" t="s">
        <v>8862</v>
      </c>
      <c r="O23" s="1479" t="s">
        <v>8863</v>
      </c>
      <c r="P23" s="1479" t="s">
        <v>5765</v>
      </c>
      <c r="Q23" s="1479" t="s">
        <v>2672</v>
      </c>
      <c r="R23" s="1479" t="s">
        <v>899</v>
      </c>
      <c r="S23" s="1479" t="s">
        <v>8864</v>
      </c>
      <c r="T23" s="1479" t="s">
        <v>1301</v>
      </c>
      <c r="U23" s="1479" t="s">
        <v>8865</v>
      </c>
      <c r="V23" s="1479" t="s">
        <v>8866</v>
      </c>
      <c r="W23" s="1479" t="s">
        <v>8867</v>
      </c>
      <c r="X23" s="1479" t="s">
        <v>1367</v>
      </c>
      <c r="Y23" s="1479" t="s">
        <v>1096</v>
      </c>
      <c r="Z23" s="1479" t="s">
        <v>8742</v>
      </c>
      <c r="AA23" s="1551" t="s">
        <v>8412</v>
      </c>
      <c r="AB23" s="1479" t="s">
        <v>8868</v>
      </c>
      <c r="AC23" s="1479" t="s">
        <v>4706</v>
      </c>
      <c r="AD23" s="1479" t="s">
        <v>8869</v>
      </c>
      <c r="AE23" s="1479" t="s">
        <v>4816</v>
      </c>
      <c r="AF23" s="1479" t="s">
        <v>5628</v>
      </c>
      <c r="AG23" s="1479" t="s">
        <v>8870</v>
      </c>
      <c r="AH23" s="1479" t="s">
        <v>4334</v>
      </c>
      <c r="AI23" s="1550" t="s">
        <v>4148</v>
      </c>
      <c r="AJ23" s="1479" t="s">
        <v>8871</v>
      </c>
      <c r="AK23" s="1479" t="s">
        <v>8872</v>
      </c>
      <c r="AL23" s="1479" t="s">
        <v>2506</v>
      </c>
      <c r="AM23" s="1479" t="s">
        <v>4009</v>
      </c>
      <c r="AN23" s="1479" t="s">
        <v>5855</v>
      </c>
      <c r="AO23" s="1479" t="s">
        <v>8873</v>
      </c>
      <c r="AP23" s="1479" t="s">
        <v>8874</v>
      </c>
      <c r="AQ23" s="1479" t="s">
        <v>3994</v>
      </c>
      <c r="AR23" s="1551" t="s">
        <v>7360</v>
      </c>
      <c r="AS23" s="1479" t="s">
        <v>753</v>
      </c>
      <c r="AT23" s="1551" t="s">
        <v>8420</v>
      </c>
      <c r="AU23" s="1466" t="s">
        <v>8875</v>
      </c>
      <c r="AV23" s="1464" t="str">
        <f t="shared" si="1"/>
        <v>3:20</v>
      </c>
      <c r="AW23" s="1552"/>
    </row>
    <row r="24" ht="15.75" customHeight="1">
      <c r="A24" s="1470" t="s">
        <v>1413</v>
      </c>
      <c r="B24" s="1457" t="s">
        <v>8372</v>
      </c>
      <c r="C24" s="1458">
        <v>0.05025462962962963</v>
      </c>
      <c r="D24" s="1271" t="s">
        <v>8876</v>
      </c>
      <c r="E24" s="1507" t="s">
        <v>8877</v>
      </c>
      <c r="F24" s="1521" t="s">
        <v>8878</v>
      </c>
      <c r="G24" s="1460" t="s">
        <v>8879</v>
      </c>
      <c r="H24" s="1508" t="s">
        <v>8880</v>
      </c>
      <c r="I24" s="1508" t="s">
        <v>1048</v>
      </c>
      <c r="J24" s="1509" t="s">
        <v>8521</v>
      </c>
      <c r="K24" s="1523" t="s">
        <v>8881</v>
      </c>
      <c r="L24" s="1523" t="s">
        <v>5107</v>
      </c>
      <c r="M24" s="1553" t="str">
        <f>HYPERLINK("https://youtu.be/teAIifUZjFw","1:14.18")</f>
        <v>1:14.18</v>
      </c>
      <c r="N24" s="1523" t="s">
        <v>3744</v>
      </c>
      <c r="O24" s="1523" t="s">
        <v>8882</v>
      </c>
      <c r="P24" s="1523" t="s">
        <v>2019</v>
      </c>
      <c r="Q24" s="1524" t="s">
        <v>8883</v>
      </c>
      <c r="R24" s="1510" t="s">
        <v>8884</v>
      </c>
      <c r="S24" s="1510" t="s">
        <v>5421</v>
      </c>
      <c r="T24" s="1554" t="str">
        <f>HYPERLINK("https://youtu.be/AiXricVH5ss","1:24.99")</f>
        <v>1:24.99</v>
      </c>
      <c r="U24" s="1555" t="str">
        <f>HYPERLINK("https://www.twitch.tv/videos/450151935","2:00.31")</f>
        <v>2:00.31</v>
      </c>
      <c r="V24" s="1510" t="s">
        <v>8885</v>
      </c>
      <c r="W24" s="1556" t="str">
        <f>HYPERLINK("https://youtu.be/eafNhBoXVWA","1:46.09")</f>
        <v>1:46.09</v>
      </c>
      <c r="X24" s="1525" t="s">
        <v>4474</v>
      </c>
      <c r="Y24" s="1525" t="s">
        <v>8609</v>
      </c>
      <c r="Z24" s="1525" t="s">
        <v>8886</v>
      </c>
      <c r="AA24" s="1511" t="s">
        <v>8552</v>
      </c>
      <c r="AB24" s="1525" t="s">
        <v>6907</v>
      </c>
      <c r="AC24" s="1525" t="s">
        <v>7507</v>
      </c>
      <c r="AD24" s="1557" t="str">
        <f>HYPERLINK("https://youtu.be/8FEcTKESSh0","1:49.80")</f>
        <v>1:49.80</v>
      </c>
      <c r="AE24" s="1507" t="s">
        <v>6283</v>
      </c>
      <c r="AF24" s="1526" t="s">
        <v>8887</v>
      </c>
      <c r="AG24" s="1526" t="s">
        <v>8888</v>
      </c>
      <c r="AH24" s="1526" t="s">
        <v>8889</v>
      </c>
      <c r="AI24" s="1526" t="s">
        <v>4010</v>
      </c>
      <c r="AJ24" s="1526" t="s">
        <v>8890</v>
      </c>
      <c r="AK24" s="1512" t="s">
        <v>8738</v>
      </c>
      <c r="AL24" s="1526" t="s">
        <v>8891</v>
      </c>
      <c r="AM24" s="1514" t="s">
        <v>8705</v>
      </c>
      <c r="AN24" s="1514" t="s">
        <v>8158</v>
      </c>
      <c r="AO24" s="1514" t="s">
        <v>8892</v>
      </c>
      <c r="AP24" s="1513" t="s">
        <v>8893</v>
      </c>
      <c r="AQ24" s="1513" t="s">
        <v>8894</v>
      </c>
      <c r="AR24" s="1514" t="s">
        <v>8895</v>
      </c>
      <c r="AS24" s="1513" t="s">
        <v>5519</v>
      </c>
      <c r="AT24" s="1553" t="str">
        <f>HYPERLINK("https://youtu.be/xDirVtS1AZ4?t=4416","2:27.45")</f>
        <v>2:27.45</v>
      </c>
      <c r="AU24" s="1527" t="s">
        <v>8896</v>
      </c>
      <c r="AV24" s="1464" t="str">
        <f t="shared" si="1"/>
        <v>2:34</v>
      </c>
      <c r="AW24" s="1496" t="s">
        <v>8897</v>
      </c>
    </row>
    <row r="25">
      <c r="A25" s="1503" t="s">
        <v>6327</v>
      </c>
      <c r="B25" s="1497" t="s">
        <v>8372</v>
      </c>
      <c r="C25" s="1458">
        <v>0.0502662037037037</v>
      </c>
      <c r="D25" s="1271" t="s">
        <v>8898</v>
      </c>
      <c r="E25" s="1466" t="s">
        <v>8541</v>
      </c>
      <c r="F25" s="1466" t="s">
        <v>8899</v>
      </c>
      <c r="G25" s="1466" t="s">
        <v>8900</v>
      </c>
      <c r="H25" s="1466" t="s">
        <v>8901</v>
      </c>
      <c r="I25" s="1271" t="s">
        <v>261</v>
      </c>
      <c r="J25" s="1271" t="s">
        <v>8902</v>
      </c>
      <c r="K25" s="1466" t="s">
        <v>8819</v>
      </c>
      <c r="L25" s="1466" t="s">
        <v>4071</v>
      </c>
      <c r="M25" s="1271" t="s">
        <v>2655</v>
      </c>
      <c r="N25" s="1466" t="s">
        <v>8903</v>
      </c>
      <c r="O25" s="1466" t="s">
        <v>8904</v>
      </c>
      <c r="P25" s="1271" t="s">
        <v>8905</v>
      </c>
      <c r="Q25" s="1466" t="s">
        <v>8906</v>
      </c>
      <c r="R25" s="1271" t="s">
        <v>8907</v>
      </c>
      <c r="S25" s="1466" t="s">
        <v>8908</v>
      </c>
      <c r="T25" s="1271" t="s">
        <v>8909</v>
      </c>
      <c r="U25" s="1466" t="s">
        <v>1032</v>
      </c>
      <c r="V25" s="1271" t="s">
        <v>4962</v>
      </c>
      <c r="W25" s="1271" t="s">
        <v>7049</v>
      </c>
      <c r="X25" s="1271" t="s">
        <v>6638</v>
      </c>
      <c r="Y25" s="1271" t="s">
        <v>969</v>
      </c>
      <c r="Z25" s="1271" t="s">
        <v>8910</v>
      </c>
      <c r="AA25" s="1466" t="s">
        <v>8911</v>
      </c>
      <c r="AB25" s="1271" t="s">
        <v>7506</v>
      </c>
      <c r="AC25" s="1466" t="s">
        <v>8912</v>
      </c>
      <c r="AD25" s="1271" t="s">
        <v>6061</v>
      </c>
      <c r="AE25" s="1466" t="s">
        <v>8913</v>
      </c>
      <c r="AF25" s="1466" t="s">
        <v>8914</v>
      </c>
      <c r="AG25" s="1271" t="s">
        <v>2057</v>
      </c>
      <c r="AH25" s="1271" t="s">
        <v>2630</v>
      </c>
      <c r="AI25" s="1466" t="s">
        <v>8915</v>
      </c>
      <c r="AJ25" s="1271" t="s">
        <v>8916</v>
      </c>
      <c r="AK25" s="1271" t="s">
        <v>8386</v>
      </c>
      <c r="AL25" s="1271" t="s">
        <v>4614</v>
      </c>
      <c r="AM25" s="1271" t="s">
        <v>8917</v>
      </c>
      <c r="AN25" s="1271" t="s">
        <v>4614</v>
      </c>
      <c r="AO25" s="1271" t="s">
        <v>1912</v>
      </c>
      <c r="AP25" s="1466" t="s">
        <v>8918</v>
      </c>
      <c r="AQ25" s="1271" t="s">
        <v>2178</v>
      </c>
      <c r="AR25" s="1466" t="s">
        <v>8274</v>
      </c>
      <c r="AS25" s="1271" t="s">
        <v>1824</v>
      </c>
      <c r="AT25" s="1466" t="s">
        <v>8919</v>
      </c>
      <c r="AU25" s="1466" t="s">
        <v>8920</v>
      </c>
      <c r="AV25" s="1464" t="str">
        <f t="shared" si="1"/>
        <v>2:28</v>
      </c>
      <c r="AW25" s="1499" t="s">
        <v>8921</v>
      </c>
    </row>
    <row r="26">
      <c r="A26" s="1503" t="s">
        <v>8922</v>
      </c>
      <c r="B26" s="1558" t="s">
        <v>8372</v>
      </c>
      <c r="C26" s="1458">
        <v>0.0503125</v>
      </c>
      <c r="D26" s="1271" t="s">
        <v>8923</v>
      </c>
      <c r="E26" s="1507" t="s">
        <v>8924</v>
      </c>
      <c r="F26" s="1507" t="s">
        <v>8925</v>
      </c>
      <c r="G26" s="1507" t="s">
        <v>7985</v>
      </c>
      <c r="H26" s="1559" t="s">
        <v>8926</v>
      </c>
      <c r="I26" s="1559" t="s">
        <v>6878</v>
      </c>
      <c r="J26" s="1509" t="s">
        <v>1908</v>
      </c>
      <c r="K26" s="1509" t="s">
        <v>5867</v>
      </c>
      <c r="L26" s="1509" t="s">
        <v>3367</v>
      </c>
      <c r="M26" s="1509" t="s">
        <v>8927</v>
      </c>
      <c r="N26" s="1509" t="s">
        <v>8928</v>
      </c>
      <c r="O26" s="1509" t="s">
        <v>4133</v>
      </c>
      <c r="P26" s="1509" t="s">
        <v>5134</v>
      </c>
      <c r="Q26" s="1510" t="s">
        <v>8929</v>
      </c>
      <c r="R26" s="1510" t="s">
        <v>8930</v>
      </c>
      <c r="S26" s="1510" t="s">
        <v>545</v>
      </c>
      <c r="T26" s="1510" t="s">
        <v>8931</v>
      </c>
      <c r="U26" s="1510" t="s">
        <v>8932</v>
      </c>
      <c r="V26" s="1510" t="s">
        <v>8933</v>
      </c>
      <c r="W26" s="1511" t="s">
        <v>8934</v>
      </c>
      <c r="X26" s="1511" t="s">
        <v>4474</v>
      </c>
      <c r="Y26" s="1511" t="s">
        <v>1547</v>
      </c>
      <c r="Z26" s="1511" t="s">
        <v>2427</v>
      </c>
      <c r="AA26" s="1511" t="s">
        <v>8935</v>
      </c>
      <c r="AB26" s="1511" t="s">
        <v>3774</v>
      </c>
      <c r="AC26" s="1511" t="s">
        <v>8936</v>
      </c>
      <c r="AD26" s="1507" t="s">
        <v>8937</v>
      </c>
      <c r="AE26" s="1507" t="s">
        <v>8768</v>
      </c>
      <c r="AF26" s="1512" t="s">
        <v>8938</v>
      </c>
      <c r="AG26" s="1512" t="s">
        <v>7705</v>
      </c>
      <c r="AH26" s="1512" t="s">
        <v>8939</v>
      </c>
      <c r="AI26" s="1512" t="s">
        <v>5091</v>
      </c>
      <c r="AJ26" s="1512" t="s">
        <v>8940</v>
      </c>
      <c r="AK26" s="1512" t="s">
        <v>8941</v>
      </c>
      <c r="AL26" s="1512" t="s">
        <v>8601</v>
      </c>
      <c r="AM26" s="1514" t="s">
        <v>8645</v>
      </c>
      <c r="AN26" s="1514" t="s">
        <v>8942</v>
      </c>
      <c r="AO26" s="1514" t="s">
        <v>3262</v>
      </c>
      <c r="AP26" s="1514" t="s">
        <v>8943</v>
      </c>
      <c r="AQ26" s="1514" t="s">
        <v>8944</v>
      </c>
      <c r="AR26" s="1514" t="s">
        <v>2928</v>
      </c>
      <c r="AS26" s="1514" t="s">
        <v>301</v>
      </c>
      <c r="AT26" s="1509" t="s">
        <v>8945</v>
      </c>
      <c r="AU26" s="1495" t="s">
        <v>8946</v>
      </c>
      <c r="AV26" s="1464" t="str">
        <f t="shared" si="1"/>
        <v>2:59</v>
      </c>
      <c r="AW26" s="1502" t="s">
        <v>8947</v>
      </c>
    </row>
    <row r="27">
      <c r="A27" s="1560" t="s">
        <v>3096</v>
      </c>
      <c r="B27" s="1561" t="s">
        <v>8372</v>
      </c>
      <c r="C27" s="1562">
        <v>0.050318865740740744</v>
      </c>
      <c r="D27" s="1563" t="s">
        <v>8948</v>
      </c>
      <c r="E27" s="1563" t="s">
        <v>7457</v>
      </c>
      <c r="F27" s="1563" t="s">
        <v>8949</v>
      </c>
      <c r="G27" s="1564" t="s">
        <v>8950</v>
      </c>
      <c r="H27" s="1565" t="s">
        <v>8951</v>
      </c>
      <c r="I27" s="1566" t="s">
        <v>6026</v>
      </c>
      <c r="J27" s="1567" t="s">
        <v>8952</v>
      </c>
      <c r="K27" s="1568" t="s">
        <v>8953</v>
      </c>
      <c r="L27" s="1568" t="s">
        <v>6618</v>
      </c>
      <c r="M27" s="1568" t="s">
        <v>8954</v>
      </c>
      <c r="N27" s="1568" t="s">
        <v>8955</v>
      </c>
      <c r="O27" s="1567" t="s">
        <v>8956</v>
      </c>
      <c r="P27" s="1568" t="s">
        <v>8957</v>
      </c>
      <c r="Q27" s="1569" t="s">
        <v>601</v>
      </c>
      <c r="R27" s="1570" t="s">
        <v>5483</v>
      </c>
      <c r="S27" s="1569" t="s">
        <v>1052</v>
      </c>
      <c r="T27" s="1571" t="s">
        <v>4201</v>
      </c>
      <c r="U27" s="1572" t="s">
        <v>8958</v>
      </c>
      <c r="V27" s="1570" t="s">
        <v>8959</v>
      </c>
      <c r="W27" s="1573" t="s">
        <v>7371</v>
      </c>
      <c r="X27" s="1573" t="s">
        <v>7225</v>
      </c>
      <c r="Y27" s="1574" t="s">
        <v>6879</v>
      </c>
      <c r="Z27" s="1573" t="s">
        <v>224</v>
      </c>
      <c r="AA27" s="1573" t="s">
        <v>1786</v>
      </c>
      <c r="AB27" s="1575" t="s">
        <v>3600</v>
      </c>
      <c r="AC27" s="1575" t="s">
        <v>5032</v>
      </c>
      <c r="AD27" s="1563" t="s">
        <v>8960</v>
      </c>
      <c r="AE27" s="1576" t="s">
        <v>5488</v>
      </c>
      <c r="AF27" s="1577" t="s">
        <v>8961</v>
      </c>
      <c r="AG27" s="1578" t="s">
        <v>8747</v>
      </c>
      <c r="AH27" s="1578" t="s">
        <v>8962</v>
      </c>
      <c r="AI27" s="1578" t="s">
        <v>8963</v>
      </c>
      <c r="AJ27" s="1579" t="s">
        <v>8964</v>
      </c>
      <c r="AK27" s="1578" t="s">
        <v>8965</v>
      </c>
      <c r="AL27" s="1579" t="s">
        <v>2709</v>
      </c>
      <c r="AM27" s="1580" t="s">
        <v>8966</v>
      </c>
      <c r="AN27" s="1581" t="s">
        <v>5344</v>
      </c>
      <c r="AO27" s="1580" t="s">
        <v>8967</v>
      </c>
      <c r="AP27" s="1582" t="s">
        <v>8968</v>
      </c>
      <c r="AQ27" s="1580" t="s">
        <v>8728</v>
      </c>
      <c r="AR27" s="1582" t="s">
        <v>8969</v>
      </c>
      <c r="AS27" s="1583" t="s">
        <v>8970</v>
      </c>
      <c r="AT27" s="1568" t="s">
        <v>8971</v>
      </c>
      <c r="AU27" s="1584" t="s">
        <v>8972</v>
      </c>
      <c r="AV27" s="1584" t="str">
        <f t="shared" si="1"/>
        <v>2:46</v>
      </c>
      <c r="AW27" s="1585"/>
    </row>
    <row r="28" ht="15.75" customHeight="1">
      <c r="A28" s="1503" t="s">
        <v>2536</v>
      </c>
      <c r="B28" s="1501" t="s">
        <v>8400</v>
      </c>
      <c r="C28" s="1458">
        <v>0.050347222222222224</v>
      </c>
      <c r="D28" s="1271" t="s">
        <v>8973</v>
      </c>
      <c r="E28" s="1271" t="s">
        <v>8974</v>
      </c>
      <c r="F28" s="1271" t="s">
        <v>8975</v>
      </c>
      <c r="G28" s="1271" t="s">
        <v>8976</v>
      </c>
      <c r="H28" s="1271" t="s">
        <v>5856</v>
      </c>
      <c r="I28" s="1271" t="s">
        <v>693</v>
      </c>
      <c r="J28" s="1544" t="s">
        <v>8407</v>
      </c>
      <c r="K28" s="1544" t="s">
        <v>1095</v>
      </c>
      <c r="L28" s="1271" t="s">
        <v>8977</v>
      </c>
      <c r="M28" s="1509" t="s">
        <v>8954</v>
      </c>
      <c r="N28" s="1544" t="s">
        <v>2493</v>
      </c>
      <c r="O28" s="1271" t="s">
        <v>8978</v>
      </c>
      <c r="P28" s="1544" t="s">
        <v>5463</v>
      </c>
      <c r="Q28" s="1544" t="s">
        <v>8410</v>
      </c>
      <c r="R28" s="1544" t="s">
        <v>7141</v>
      </c>
      <c r="S28" s="1544" t="s">
        <v>8380</v>
      </c>
      <c r="T28" s="1271" t="s">
        <v>4574</v>
      </c>
      <c r="U28" s="1271" t="s">
        <v>8979</v>
      </c>
      <c r="V28" s="1544" t="s">
        <v>4103</v>
      </c>
      <c r="W28" s="1271" t="s">
        <v>7047</v>
      </c>
      <c r="X28" s="1271" t="s">
        <v>5702</v>
      </c>
      <c r="Y28" s="1544" t="s">
        <v>5540</v>
      </c>
      <c r="Z28" s="1271" t="s">
        <v>1133</v>
      </c>
      <c r="AA28" s="1271" t="s">
        <v>8980</v>
      </c>
      <c r="AB28" s="1271" t="s">
        <v>5721</v>
      </c>
      <c r="AC28" s="1271" t="s">
        <v>1900</v>
      </c>
      <c r="AD28" s="1271" t="s">
        <v>8981</v>
      </c>
      <c r="AE28" s="1271" t="s">
        <v>3181</v>
      </c>
      <c r="AF28" s="1271" t="s">
        <v>8982</v>
      </c>
      <c r="AG28" s="1271" t="s">
        <v>5538</v>
      </c>
      <c r="AH28" s="1271" t="s">
        <v>4602</v>
      </c>
      <c r="AI28" s="1271" t="s">
        <v>3323</v>
      </c>
      <c r="AJ28" s="1271" t="s">
        <v>8983</v>
      </c>
      <c r="AK28" s="1271" t="s">
        <v>2972</v>
      </c>
      <c r="AL28" s="1271" t="s">
        <v>8984</v>
      </c>
      <c r="AM28" s="1271" t="s">
        <v>8985</v>
      </c>
      <c r="AN28" s="1271" t="s">
        <v>4398</v>
      </c>
      <c r="AO28" s="1271" t="s">
        <v>7228</v>
      </c>
      <c r="AP28" s="1271" t="s">
        <v>8986</v>
      </c>
      <c r="AQ28" s="1271" t="s">
        <v>3693</v>
      </c>
      <c r="AR28" s="1271" t="s">
        <v>2928</v>
      </c>
      <c r="AS28" s="1271" t="s">
        <v>6507</v>
      </c>
      <c r="AT28" s="1271" t="s">
        <v>8987</v>
      </c>
      <c r="AU28" s="1512" t="s">
        <v>8421</v>
      </c>
      <c r="AV28" s="1464" t="str">
        <f t="shared" si="1"/>
        <v>2:37</v>
      </c>
      <c r="AW28" s="1586"/>
    </row>
    <row r="29" ht="15.75" customHeight="1">
      <c r="A29" s="1456" t="s">
        <v>8988</v>
      </c>
      <c r="B29" s="1516" t="s">
        <v>8400</v>
      </c>
      <c r="C29" s="1458">
        <v>0.05042824074074074</v>
      </c>
      <c r="D29" s="1271" t="s">
        <v>8656</v>
      </c>
      <c r="E29" s="1507" t="s">
        <v>6105</v>
      </c>
      <c r="F29" s="1507" t="s">
        <v>8989</v>
      </c>
      <c r="G29" s="1521" t="s">
        <v>8990</v>
      </c>
      <c r="H29" s="1508" t="s">
        <v>8991</v>
      </c>
      <c r="I29" s="1559" t="s">
        <v>3145</v>
      </c>
      <c r="J29" s="1509" t="s">
        <v>4769</v>
      </c>
      <c r="K29" s="1509" t="s">
        <v>8861</v>
      </c>
      <c r="L29" s="1509" t="s">
        <v>2468</v>
      </c>
      <c r="M29" s="1509" t="s">
        <v>2047</v>
      </c>
      <c r="N29" s="1509" t="s">
        <v>4179</v>
      </c>
      <c r="O29" s="1509" t="s">
        <v>8992</v>
      </c>
      <c r="P29" s="1523" t="s">
        <v>758</v>
      </c>
      <c r="Q29" s="1510" t="s">
        <v>8993</v>
      </c>
      <c r="R29" s="1510" t="s">
        <v>3337</v>
      </c>
      <c r="S29" s="1510" t="s">
        <v>7464</v>
      </c>
      <c r="T29" s="1524" t="s">
        <v>8573</v>
      </c>
      <c r="U29" s="1510" t="s">
        <v>8525</v>
      </c>
      <c r="V29" s="1524" t="s">
        <v>8994</v>
      </c>
      <c r="W29" s="1525" t="s">
        <v>7262</v>
      </c>
      <c r="X29" s="1587" t="s">
        <v>2602</v>
      </c>
      <c r="Y29" s="1525" t="s">
        <v>8995</v>
      </c>
      <c r="Z29" s="1511" t="s">
        <v>8996</v>
      </c>
      <c r="AA29" s="1525" t="s">
        <v>8963</v>
      </c>
      <c r="AB29" s="1271" t="s">
        <v>7329</v>
      </c>
      <c r="AC29" s="1525" t="s">
        <v>3542</v>
      </c>
      <c r="AD29" s="1547" t="s">
        <v>8413</v>
      </c>
      <c r="AE29" s="1507" t="s">
        <v>3181</v>
      </c>
      <c r="AF29" s="1512" t="s">
        <v>8997</v>
      </c>
      <c r="AG29" s="1526" t="s">
        <v>3884</v>
      </c>
      <c r="AH29" s="1526" t="s">
        <v>8998</v>
      </c>
      <c r="AI29" s="1464" t="s">
        <v>8911</v>
      </c>
      <c r="AJ29" s="1526" t="s">
        <v>8999</v>
      </c>
      <c r="AK29" s="1588" t="s">
        <v>8417</v>
      </c>
      <c r="AL29" s="1526" t="s">
        <v>3547</v>
      </c>
      <c r="AM29" s="1514" t="s">
        <v>9000</v>
      </c>
      <c r="AN29" s="1514" t="s">
        <v>4990</v>
      </c>
      <c r="AO29" s="1514" t="s">
        <v>2084</v>
      </c>
      <c r="AP29" s="1514" t="s">
        <v>9001</v>
      </c>
      <c r="AQ29" s="1513" t="s">
        <v>9002</v>
      </c>
      <c r="AR29" s="1513" t="s">
        <v>3592</v>
      </c>
      <c r="AS29" s="1513" t="s">
        <v>5184</v>
      </c>
      <c r="AT29" s="1509" t="s">
        <v>9003</v>
      </c>
      <c r="AU29" s="1495" t="s">
        <v>9004</v>
      </c>
      <c r="AV29" s="1464" t="str">
        <f t="shared" si="1"/>
        <v>2:55</v>
      </c>
      <c r="AW29" s="1589"/>
    </row>
    <row r="30" ht="15.75" customHeight="1">
      <c r="A30" s="1456" t="s">
        <v>4260</v>
      </c>
      <c r="B30" s="1457" t="s">
        <v>8372</v>
      </c>
      <c r="C30" s="1590">
        <v>0.05043981481481481</v>
      </c>
      <c r="D30" s="1271" t="s">
        <v>9005</v>
      </c>
      <c r="E30" s="1464" t="s">
        <v>7232</v>
      </c>
      <c r="F30" s="1464" t="s">
        <v>1574</v>
      </c>
      <c r="G30" s="1464" t="s">
        <v>9006</v>
      </c>
      <c r="H30" s="1464" t="s">
        <v>8564</v>
      </c>
      <c r="I30" s="1464" t="s">
        <v>4678</v>
      </c>
      <c r="J30" s="1464" t="s">
        <v>4484</v>
      </c>
      <c r="K30" s="1464" t="s">
        <v>8782</v>
      </c>
      <c r="L30" s="1464" t="s">
        <v>3813</v>
      </c>
      <c r="M30" s="1464" t="s">
        <v>9007</v>
      </c>
      <c r="N30" s="1464" t="s">
        <v>9008</v>
      </c>
      <c r="O30" s="1464" t="s">
        <v>9009</v>
      </c>
      <c r="P30" s="1464" t="s">
        <v>5275</v>
      </c>
      <c r="Q30" s="1464" t="s">
        <v>9010</v>
      </c>
      <c r="R30" s="1464" t="s">
        <v>9011</v>
      </c>
      <c r="S30" s="1464" t="s">
        <v>8803</v>
      </c>
      <c r="T30" s="1464" t="s">
        <v>9012</v>
      </c>
      <c r="U30" s="1464" t="s">
        <v>9013</v>
      </c>
      <c r="V30" s="1464" t="s">
        <v>2272</v>
      </c>
      <c r="W30" s="1464" t="s">
        <v>9014</v>
      </c>
      <c r="X30" s="1464" t="s">
        <v>9015</v>
      </c>
      <c r="Y30" s="1464" t="s">
        <v>8827</v>
      </c>
      <c r="Z30" s="1464" t="s">
        <v>1133</v>
      </c>
      <c r="AA30" s="1464" t="s">
        <v>3323</v>
      </c>
      <c r="AB30" s="1464" t="s">
        <v>4769</v>
      </c>
      <c r="AC30" s="1464" t="s">
        <v>7507</v>
      </c>
      <c r="AD30" s="1464" t="s">
        <v>6023</v>
      </c>
      <c r="AE30" s="1464" t="s">
        <v>5488</v>
      </c>
      <c r="AF30" s="1464" t="s">
        <v>9016</v>
      </c>
      <c r="AG30" s="1464" t="s">
        <v>9017</v>
      </c>
      <c r="AH30" s="1464" t="s">
        <v>4035</v>
      </c>
      <c r="AI30" s="1464" t="s">
        <v>5091</v>
      </c>
      <c r="AJ30" s="1464" t="s">
        <v>9018</v>
      </c>
      <c r="AK30" s="1464" t="s">
        <v>9019</v>
      </c>
      <c r="AL30" s="1464" t="s">
        <v>5812</v>
      </c>
      <c r="AM30" s="1464" t="s">
        <v>1231</v>
      </c>
      <c r="AN30" s="1464" t="s">
        <v>4182</v>
      </c>
      <c r="AO30" s="1464" t="s">
        <v>9020</v>
      </c>
      <c r="AP30" s="1591" t="str">
        <f>HYPERLINK("https://www.twitch.tv/videos/511415405","2:00.79")</f>
        <v>2:00.79</v>
      </c>
      <c r="AQ30" s="1464" t="s">
        <v>9021</v>
      </c>
      <c r="AR30" s="1464" t="s">
        <v>7228</v>
      </c>
      <c r="AS30" s="1464" t="s">
        <v>9022</v>
      </c>
      <c r="AT30" s="1464" t="s">
        <v>9023</v>
      </c>
      <c r="AU30" s="1464" t="s">
        <v>8972</v>
      </c>
      <c r="AV30" s="1464" t="str">
        <f t="shared" si="1"/>
        <v>2:36</v>
      </c>
      <c r="AW30" s="1483" t="s">
        <v>6415</v>
      </c>
    </row>
    <row r="31">
      <c r="A31" s="1503" t="s">
        <v>1198</v>
      </c>
      <c r="B31" s="1501" t="s">
        <v>8372</v>
      </c>
      <c r="C31" s="1458">
        <v>0.050486111111111114</v>
      </c>
      <c r="D31" s="1507" t="s">
        <v>9024</v>
      </c>
      <c r="E31" s="1507" t="s">
        <v>9025</v>
      </c>
      <c r="F31" s="1507" t="s">
        <v>9026</v>
      </c>
      <c r="G31" s="1507" t="s">
        <v>9027</v>
      </c>
      <c r="H31" s="1271" t="s">
        <v>9028</v>
      </c>
      <c r="I31" s="1559" t="s">
        <v>853</v>
      </c>
      <c r="J31" s="1509" t="s">
        <v>5621</v>
      </c>
      <c r="K31" s="1509" t="s">
        <v>7717</v>
      </c>
      <c r="L31" s="1509" t="s">
        <v>6239</v>
      </c>
      <c r="M31" s="1509" t="s">
        <v>4953</v>
      </c>
      <c r="N31" s="1509" t="s">
        <v>9029</v>
      </c>
      <c r="O31" s="1509" t="s">
        <v>9030</v>
      </c>
      <c r="P31" s="1509" t="s">
        <v>8699</v>
      </c>
      <c r="Q31" s="1510" t="s">
        <v>169</v>
      </c>
      <c r="R31" s="1510" t="s">
        <v>4715</v>
      </c>
      <c r="S31" s="1510" t="s">
        <v>8872</v>
      </c>
      <c r="T31" s="1510" t="s">
        <v>9031</v>
      </c>
      <c r="U31" s="1510" t="s">
        <v>9032</v>
      </c>
      <c r="V31" s="1510" t="s">
        <v>9033</v>
      </c>
      <c r="W31" s="1511" t="s">
        <v>9034</v>
      </c>
      <c r="X31" s="1511" t="s">
        <v>9035</v>
      </c>
      <c r="Y31" s="1511" t="s">
        <v>6843</v>
      </c>
      <c r="Z31" s="1511" t="s">
        <v>9036</v>
      </c>
      <c r="AA31" s="1466" t="s">
        <v>9037</v>
      </c>
      <c r="AB31" s="1511" t="s">
        <v>3305</v>
      </c>
      <c r="AC31" s="1511" t="s">
        <v>1048</v>
      </c>
      <c r="AD31" s="1507" t="s">
        <v>9038</v>
      </c>
      <c r="AE31" s="1507" t="s">
        <v>2174</v>
      </c>
      <c r="AF31" s="1512" t="s">
        <v>9039</v>
      </c>
      <c r="AG31" s="1512" t="s">
        <v>525</v>
      </c>
      <c r="AH31" s="1512" t="s">
        <v>9040</v>
      </c>
      <c r="AI31" s="1512" t="s">
        <v>2566</v>
      </c>
      <c r="AJ31" s="1512" t="s">
        <v>9041</v>
      </c>
      <c r="AK31" s="1512" t="s">
        <v>7304</v>
      </c>
      <c r="AL31" s="1512" t="s">
        <v>2709</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8372</v>
      </c>
      <c r="C32" s="1458">
        <v>0.05049768518518519</v>
      </c>
      <c r="D32" s="1271" t="s">
        <v>9048</v>
      </c>
      <c r="E32" s="1521" t="s">
        <v>9049</v>
      </c>
      <c r="F32" s="1557" t="str">
        <f>HYPERLINK("https://www.youtube.com/watch?v=rtR6KkKhM6I","1:59.91")</f>
        <v>1:59.91</v>
      </c>
      <c r="G32" s="1521" t="s">
        <v>9050</v>
      </c>
      <c r="H32" s="1592" t="str">
        <f>HYPERLINK("https://www.youtube.com/watch?v=cg-eipYsN1s","1:54.47")</f>
        <v>1:54.47</v>
      </c>
      <c r="I32" s="1508" t="s">
        <v>8995</v>
      </c>
      <c r="J32" s="1523" t="s">
        <v>8751</v>
      </c>
      <c r="K32" s="1509" t="s">
        <v>6363</v>
      </c>
      <c r="L32" s="1553" t="str">
        <f>HYPERLINK("https://www.youtube.com/watch?v=tJdjPKdAbw4","57.01")</f>
        <v>57.01</v>
      </c>
      <c r="M32" s="1523" t="s">
        <v>7175</v>
      </c>
      <c r="N32" s="1509" t="s">
        <v>2291</v>
      </c>
      <c r="O32" s="1523" t="s">
        <v>9051</v>
      </c>
      <c r="P32" s="1523" t="s">
        <v>278</v>
      </c>
      <c r="Q32" s="1524" t="s">
        <v>237</v>
      </c>
      <c r="R32" s="1524" t="s">
        <v>8846</v>
      </c>
      <c r="S32" s="1555" t="str">
        <f>HYPERLINK("https://www.youtube.com/watch?v=_3ms_ZhYFzo","1:18.01")</f>
        <v>1:18.01</v>
      </c>
      <c r="T32" s="1524" t="s">
        <v>6163</v>
      </c>
      <c r="U32" s="1555" t="str">
        <f>HYPERLINK("https://www.youtube.com/watch?v=ZOy_TI3Zw14","2:02.38")</f>
        <v>2:02.38</v>
      </c>
      <c r="V32" s="1524" t="s">
        <v>9033</v>
      </c>
      <c r="W32" s="1525" t="s">
        <v>3179</v>
      </c>
      <c r="X32" s="1525" t="s">
        <v>7304</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25" t="s">
        <v>7507</v>
      </c>
      <c r="AD32" s="1557" t="str">
        <f>HYPERLINK("https://www.youtube.com/watch?v=ikF77QyREZg","1:50.30")</f>
        <v>1:50.30</v>
      </c>
      <c r="AE32" s="1521" t="s">
        <v>8699</v>
      </c>
      <c r="AF32" s="1526" t="s">
        <v>9052</v>
      </c>
      <c r="AG32" s="1593" t="str">
        <f>HYPERLINK("https://www.youtube.com/watch?v=KXwTRrVVluY","1:30.62")</f>
        <v>1:30.62</v>
      </c>
      <c r="AH32" s="1526" t="s">
        <v>2964</v>
      </c>
      <c r="AI32" s="1526" t="s">
        <v>8888</v>
      </c>
      <c r="AJ32" s="1526" t="s">
        <v>9053</v>
      </c>
      <c r="AK32" s="1512" t="s">
        <v>9054</v>
      </c>
      <c r="AL32" s="1526" t="s">
        <v>9055</v>
      </c>
      <c r="AM32" s="1594" t="str">
        <f>HYPERLINK("https://www.youtube.com/watch?v=BAoEwuQ0LoI","1:25.68")</f>
        <v>1:25.68</v>
      </c>
      <c r="AN32" s="1594" t="str">
        <f>HYPERLINK("https://www.youtube.com/watch?v=F-LtZeEZXek","56.36")</f>
        <v>56.36</v>
      </c>
      <c r="AO32" s="1513" t="s">
        <v>9056</v>
      </c>
      <c r="AP32" s="1513" t="s">
        <v>9057</v>
      </c>
      <c r="AQ32" s="1513" t="s">
        <v>9058</v>
      </c>
      <c r="AR32" s="1594" t="str">
        <f>HYPERLINK("https://www.youtube.com/watch?v=WSIIkWWbKgE","1:21.74")</f>
        <v>1:21.74</v>
      </c>
      <c r="AS32" s="1513" t="s">
        <v>5511</v>
      </c>
      <c r="AT32" s="1553" t="str">
        <f>HYPERLINK("https://www.youtube.com/watch?v=H67SXBLcISI","2:29.09")</f>
        <v>2:29.09</v>
      </c>
      <c r="AU32" s="1527" t="s">
        <v>9059</v>
      </c>
      <c r="AV32" s="1464" t="str">
        <f t="shared" si="1"/>
        <v>2:03</v>
      </c>
      <c r="AW32" s="1595" t="s">
        <v>9060</v>
      </c>
    </row>
    <row r="33">
      <c r="A33" s="1503" t="s">
        <v>2866</v>
      </c>
      <c r="B33" s="1501" t="s">
        <v>8400</v>
      </c>
      <c r="C33" s="1458">
        <v>0.050520833333333334</v>
      </c>
      <c r="D33" s="1507" t="s">
        <v>9061</v>
      </c>
      <c r="E33" s="1532" t="s">
        <v>4600</v>
      </c>
      <c r="F33" s="1532" t="s">
        <v>9062</v>
      </c>
      <c r="G33" s="1507" t="s">
        <v>9063</v>
      </c>
      <c r="H33" s="1532" t="s">
        <v>9064</v>
      </c>
      <c r="I33" s="1532" t="s">
        <v>2889</v>
      </c>
      <c r="J33" s="1509" t="s">
        <v>9065</v>
      </c>
      <c r="K33" s="1596" t="s">
        <v>9066</v>
      </c>
      <c r="L33" s="1509" t="s">
        <v>9067</v>
      </c>
      <c r="M33" s="1460" t="s">
        <v>5668</v>
      </c>
      <c r="N33" s="1509" t="s">
        <v>972</v>
      </c>
      <c r="O33" s="1509" t="s">
        <v>8882</v>
      </c>
      <c r="P33" s="1509" t="s">
        <v>412</v>
      </c>
      <c r="Q33" s="1481" t="str">
        <f>HYPERLINK("https://www.twitch.tv/planktonsecretformula/v/1588460220?sr=a", "2:12.43")</f>
        <v>2:12.43</v>
      </c>
      <c r="R33" s="1510" t="s">
        <v>9011</v>
      </c>
      <c r="S33" s="1510" t="s">
        <v>9068</v>
      </c>
      <c r="T33" s="1597" t="s">
        <v>9069</v>
      </c>
      <c r="U33" s="1532" t="s">
        <v>9070</v>
      </c>
      <c r="V33" s="1532" t="s">
        <v>9071</v>
      </c>
      <c r="W33" s="1517" t="s">
        <v>9072</v>
      </c>
      <c r="X33" s="1511" t="s">
        <v>945</v>
      </c>
      <c r="Y33" s="1511" t="s">
        <v>8762</v>
      </c>
      <c r="Z33" s="1511" t="s">
        <v>8522</v>
      </c>
      <c r="AA33" s="1466" t="s">
        <v>9073</v>
      </c>
      <c r="AB33" s="1511" t="s">
        <v>4129</v>
      </c>
      <c r="AC33" s="1511" t="s">
        <v>870</v>
      </c>
      <c r="AD33" s="1507" t="s">
        <v>3974</v>
      </c>
      <c r="AE33" s="1507" t="s">
        <v>5765</v>
      </c>
      <c r="AF33" s="1512" t="s">
        <v>9074</v>
      </c>
      <c r="AG33" s="1532" t="s">
        <v>4586</v>
      </c>
      <c r="AH33" s="1512" t="s">
        <v>9075</v>
      </c>
      <c r="AI33" s="1512" t="s">
        <v>6633</v>
      </c>
      <c r="AJ33" s="1512" t="s">
        <v>9076</v>
      </c>
      <c r="AK33" s="1512" t="s">
        <v>9077</v>
      </c>
      <c r="AL33" s="1512" t="s">
        <v>9078</v>
      </c>
      <c r="AM33" s="1514" t="s">
        <v>8573</v>
      </c>
      <c r="AN33" s="1514" t="s">
        <v>8702</v>
      </c>
      <c r="AO33" s="1514" t="s">
        <v>2928</v>
      </c>
      <c r="AP33" s="1544" t="s">
        <v>8418</v>
      </c>
      <c r="AQ33" s="1481" t="str">
        <f>HYPERLINK("https://www.twitch.tv/planktonsecretformula/v/1678454360?sr=a&amp;t=0s", "1:37.46")</f>
        <v>1:37.46</v>
      </c>
      <c r="AR33" s="1514" t="s">
        <v>9079</v>
      </c>
      <c r="AS33" s="1514" t="s">
        <v>715</v>
      </c>
      <c r="AT33" s="1509" t="s">
        <v>9080</v>
      </c>
      <c r="AU33" s="1495" t="s">
        <v>9081</v>
      </c>
      <c r="AV33" s="1464" t="str">
        <f t="shared" si="1"/>
        <v>4:40</v>
      </c>
      <c r="AW33" s="1502" t="s">
        <v>9082</v>
      </c>
    </row>
    <row r="34" ht="15.75" customHeight="1">
      <c r="A34" s="1540" t="s">
        <v>9083</v>
      </c>
      <c r="B34" s="1457" t="s">
        <v>8372</v>
      </c>
      <c r="C34" s="1458">
        <v>0.050555555555555555</v>
      </c>
      <c r="D34" s="1271" t="s">
        <v>9084</v>
      </c>
      <c r="E34" s="1507" t="s">
        <v>9085</v>
      </c>
      <c r="F34" s="1507" t="s">
        <v>9086</v>
      </c>
      <c r="G34" s="1507" t="s">
        <v>9087</v>
      </c>
      <c r="H34" s="1559" t="s">
        <v>9088</v>
      </c>
      <c r="I34" s="1559" t="s">
        <v>9089</v>
      </c>
      <c r="J34" s="1509" t="s">
        <v>9090</v>
      </c>
      <c r="K34" s="1509" t="s">
        <v>9091</v>
      </c>
      <c r="L34" s="1509" t="s">
        <v>9092</v>
      </c>
      <c r="M34" s="1509" t="s">
        <v>3254</v>
      </c>
      <c r="N34" s="1509" t="s">
        <v>9093</v>
      </c>
      <c r="O34" s="1509" t="s">
        <v>8992</v>
      </c>
      <c r="P34" s="1509" t="s">
        <v>4801</v>
      </c>
      <c r="Q34" s="1510" t="s">
        <v>9094</v>
      </c>
      <c r="R34" s="1510" t="s">
        <v>2571</v>
      </c>
      <c r="S34" s="1510" t="s">
        <v>9095</v>
      </c>
      <c r="T34" s="1510" t="s">
        <v>9096</v>
      </c>
      <c r="U34" s="1510" t="s">
        <v>9097</v>
      </c>
      <c r="V34" s="1510" t="s">
        <v>8885</v>
      </c>
      <c r="W34" s="1511" t="s">
        <v>9098</v>
      </c>
      <c r="X34" s="1511" t="s">
        <v>9099</v>
      </c>
      <c r="Y34" s="1511" t="s">
        <v>9100</v>
      </c>
      <c r="Z34" s="1511" t="s">
        <v>1292</v>
      </c>
      <c r="AA34" s="1511" t="s">
        <v>9101</v>
      </c>
      <c r="AB34" s="1511" t="s">
        <v>6362</v>
      </c>
      <c r="AC34" s="1525" t="s">
        <v>6462</v>
      </c>
      <c r="AD34" s="1507" t="s">
        <v>9102</v>
      </c>
      <c r="AE34" s="1507" t="s">
        <v>8699</v>
      </c>
      <c r="AF34" s="1512" t="s">
        <v>9103</v>
      </c>
      <c r="AG34" s="1512" t="s">
        <v>9104</v>
      </c>
      <c r="AH34" s="1512" t="s">
        <v>5541</v>
      </c>
      <c r="AI34" s="1512" t="s">
        <v>9105</v>
      </c>
      <c r="AJ34" s="1512" t="s">
        <v>9106</v>
      </c>
      <c r="AK34" s="1512" t="s">
        <v>4474</v>
      </c>
      <c r="AL34" s="1512" t="s">
        <v>5601</v>
      </c>
      <c r="AM34" s="1514" t="s">
        <v>2070</v>
      </c>
      <c r="AN34" s="1514" t="s">
        <v>4621</v>
      </c>
      <c r="AO34" s="1514" t="s">
        <v>9107</v>
      </c>
      <c r="AP34" s="1514" t="s">
        <v>9108</v>
      </c>
      <c r="AQ34" s="1514" t="s">
        <v>9109</v>
      </c>
      <c r="AR34" s="1514" t="s">
        <v>8716</v>
      </c>
      <c r="AS34" s="1514" t="s">
        <v>969</v>
      </c>
      <c r="AT34" s="1509" t="s">
        <v>9110</v>
      </c>
      <c r="AU34" s="1495" t="s">
        <v>9111</v>
      </c>
      <c r="AV34" s="1464" t="str">
        <f t="shared" si="1"/>
        <v>2:07</v>
      </c>
      <c r="AW34" s="1589"/>
    </row>
    <row r="35">
      <c r="A35" s="1470" t="s">
        <v>642</v>
      </c>
      <c r="B35" s="1501" t="s">
        <v>8372</v>
      </c>
      <c r="C35" s="1458">
        <v>0.050555555555555555</v>
      </c>
      <c r="D35" s="1271" t="s">
        <v>9112</v>
      </c>
      <c r="E35" s="1271" t="s">
        <v>9113</v>
      </c>
      <c r="F35" s="1271" t="s">
        <v>9114</v>
      </c>
      <c r="G35" s="1271" t="s">
        <v>9115</v>
      </c>
      <c r="H35" s="1271" t="s">
        <v>9116</v>
      </c>
      <c r="I35" s="1271" t="s">
        <v>9117</v>
      </c>
      <c r="J35" s="1271" t="s">
        <v>1368</v>
      </c>
      <c r="K35" s="1271" t="s">
        <v>9118</v>
      </c>
      <c r="L35" s="1271" t="s">
        <v>4234</v>
      </c>
      <c r="M35" s="1271" t="s">
        <v>4159</v>
      </c>
      <c r="N35" s="1271" t="s">
        <v>9119</v>
      </c>
      <c r="O35" s="1271" t="s">
        <v>9120</v>
      </c>
      <c r="P35" s="1271" t="s">
        <v>9121</v>
      </c>
      <c r="Q35" s="1271" t="s">
        <v>9122</v>
      </c>
      <c r="R35" s="1271" t="s">
        <v>9123</v>
      </c>
      <c r="S35" s="1271" t="s">
        <v>9124</v>
      </c>
      <c r="T35" s="1271" t="s">
        <v>8941</v>
      </c>
      <c r="U35" s="1271" t="s">
        <v>9125</v>
      </c>
      <c r="V35" s="1271" t="s">
        <v>6959</v>
      </c>
      <c r="W35" s="1271" t="s">
        <v>4687</v>
      </c>
      <c r="X35" s="1271" t="s">
        <v>9126</v>
      </c>
      <c r="Y35" s="1271" t="s">
        <v>5008</v>
      </c>
      <c r="Z35" s="1271" t="s">
        <v>9127</v>
      </c>
      <c r="AA35" s="1271" t="s">
        <v>9128</v>
      </c>
      <c r="AB35" s="1271" t="s">
        <v>9129</v>
      </c>
      <c r="AC35" s="1271" t="s">
        <v>7507</v>
      </c>
      <c r="AD35" s="1271" t="s">
        <v>9130</v>
      </c>
      <c r="AE35" s="1271" t="s">
        <v>8550</v>
      </c>
      <c r="AF35" s="1271" t="s">
        <v>9131</v>
      </c>
      <c r="AG35" s="1271" t="s">
        <v>5004</v>
      </c>
      <c r="AH35" s="1271" t="s">
        <v>4445</v>
      </c>
      <c r="AI35" s="1271" t="s">
        <v>9132</v>
      </c>
      <c r="AJ35" s="1271" t="s">
        <v>9133</v>
      </c>
      <c r="AK35" s="1271" t="s">
        <v>1755</v>
      </c>
      <c r="AL35" s="1271" t="s">
        <v>9134</v>
      </c>
      <c r="AM35" s="1271" t="s">
        <v>3852</v>
      </c>
      <c r="AN35" s="1271" t="s">
        <v>4015</v>
      </c>
      <c r="AO35" s="1271" t="s">
        <v>6109</v>
      </c>
      <c r="AP35" s="1271" t="s">
        <v>9135</v>
      </c>
      <c r="AQ35" s="1271" t="s">
        <v>9136</v>
      </c>
      <c r="AR35" s="1271" t="s">
        <v>8649</v>
      </c>
      <c r="AS35" s="1271" t="s">
        <v>926</v>
      </c>
      <c r="AT35" s="1271" t="s">
        <v>3089</v>
      </c>
      <c r="AU35" s="1495" t="s">
        <v>8972</v>
      </c>
      <c r="AV35" s="1464" t="str">
        <f t="shared" si="1"/>
        <v>2:26</v>
      </c>
      <c r="AW35" s="1502" t="s">
        <v>9137</v>
      </c>
    </row>
    <row r="36" ht="15.75" customHeight="1">
      <c r="A36" s="1456" t="s">
        <v>736</v>
      </c>
      <c r="B36" s="1516" t="s">
        <v>8400</v>
      </c>
      <c r="C36" s="1458">
        <v>0.05056712962962963</v>
      </c>
      <c r="D36" s="1544" t="s">
        <v>8401</v>
      </c>
      <c r="E36" s="1521" t="s">
        <v>8877</v>
      </c>
      <c r="F36" s="1550" t="s">
        <v>8403</v>
      </c>
      <c r="G36" s="1466" t="s">
        <v>9138</v>
      </c>
      <c r="H36" s="1466" t="s">
        <v>9139</v>
      </c>
      <c r="I36" s="1550" t="s">
        <v>8406</v>
      </c>
      <c r="J36" s="1466" t="s">
        <v>1107</v>
      </c>
      <c r="K36" s="1466" t="s">
        <v>4859</v>
      </c>
      <c r="L36" s="1466" t="s">
        <v>2278</v>
      </c>
      <c r="M36" s="1466" t="s">
        <v>2194</v>
      </c>
      <c r="N36" s="1466" t="s">
        <v>8833</v>
      </c>
      <c r="O36" s="1466" t="s">
        <v>9140</v>
      </c>
      <c r="P36" s="1466" t="s">
        <v>3904</v>
      </c>
      <c r="Q36" s="1466" t="s">
        <v>9141</v>
      </c>
      <c r="R36" s="1466" t="s">
        <v>2886</v>
      </c>
      <c r="S36" s="1466" t="s">
        <v>9142</v>
      </c>
      <c r="T36" s="1466" t="s">
        <v>2349</v>
      </c>
      <c r="U36" s="1466" t="s">
        <v>8606</v>
      </c>
      <c r="V36" s="1466" t="s">
        <v>2703</v>
      </c>
      <c r="W36" s="1466" t="s">
        <v>9143</v>
      </c>
      <c r="X36" s="1466" t="s">
        <v>9144</v>
      </c>
      <c r="Y36" s="1466" t="s">
        <v>950</v>
      </c>
      <c r="Z36" s="1466" t="s">
        <v>8722</v>
      </c>
      <c r="AA36" s="1466" t="s">
        <v>7304</v>
      </c>
      <c r="AB36" s="1466" t="s">
        <v>9145</v>
      </c>
      <c r="AC36" s="1464" t="s">
        <v>533</v>
      </c>
      <c r="AD36" s="1466" t="s">
        <v>9146</v>
      </c>
      <c r="AE36" s="1466" t="s">
        <v>4816</v>
      </c>
      <c r="AF36" s="1466" t="s">
        <v>9147</v>
      </c>
      <c r="AG36" s="1466" t="s">
        <v>8941</v>
      </c>
      <c r="AH36" s="1550" t="s">
        <v>2788</v>
      </c>
      <c r="AI36" s="1466" t="s">
        <v>9148</v>
      </c>
      <c r="AJ36" s="1466" t="s">
        <v>9149</v>
      </c>
      <c r="AK36" s="1466" t="s">
        <v>5308</v>
      </c>
      <c r="AL36" s="1466" t="s">
        <v>4182</v>
      </c>
      <c r="AM36" s="1466" t="s">
        <v>3189</v>
      </c>
      <c r="AN36" s="1466" t="s">
        <v>344</v>
      </c>
      <c r="AO36" s="1466" t="s">
        <v>9150</v>
      </c>
      <c r="AP36" s="1466" t="s">
        <v>9151</v>
      </c>
      <c r="AQ36" s="1466" t="s">
        <v>7244</v>
      </c>
      <c r="AR36" s="1466" t="s">
        <v>2555</v>
      </c>
      <c r="AS36" s="1466" t="s">
        <v>4028</v>
      </c>
      <c r="AT36" s="1466" t="s">
        <v>9152</v>
      </c>
      <c r="AU36" s="1466" t="s">
        <v>8752</v>
      </c>
      <c r="AV36" s="1464" t="str">
        <f t="shared" si="1"/>
        <v>3:34</v>
      </c>
      <c r="AW36" s="1499" t="s">
        <v>9153</v>
      </c>
    </row>
    <row r="37" ht="15.75" customHeight="1">
      <c r="A37" s="1470" t="s">
        <v>642</v>
      </c>
      <c r="B37" s="1516" t="s">
        <v>8400</v>
      </c>
      <c r="C37" s="1590">
        <v>0.05056712962962963</v>
      </c>
      <c r="D37" s="1271" t="s">
        <v>9154</v>
      </c>
      <c r="E37" s="1464" t="s">
        <v>9155</v>
      </c>
      <c r="F37" s="1464" t="s">
        <v>8785</v>
      </c>
      <c r="G37" s="1464" t="s">
        <v>9156</v>
      </c>
      <c r="H37" s="1464" t="s">
        <v>4448</v>
      </c>
      <c r="I37" s="1464" t="s">
        <v>1184</v>
      </c>
      <c r="J37" s="1466" t="s">
        <v>3423</v>
      </c>
      <c r="K37" s="1466" t="s">
        <v>3423</v>
      </c>
      <c r="L37" s="1464" t="s">
        <v>9157</v>
      </c>
      <c r="M37" s="1464" t="s">
        <v>9158</v>
      </c>
      <c r="N37" s="1464" t="s">
        <v>8727</v>
      </c>
      <c r="O37" s="1550" t="s">
        <v>8409</v>
      </c>
      <c r="P37" s="1464" t="s">
        <v>6875</v>
      </c>
      <c r="Q37" s="1464" t="s">
        <v>786</v>
      </c>
      <c r="R37" s="1466" t="s">
        <v>3423</v>
      </c>
      <c r="S37" s="1464" t="s">
        <v>9159</v>
      </c>
      <c r="T37" s="1464" t="s">
        <v>780</v>
      </c>
      <c r="U37" s="1464" t="s">
        <v>9160</v>
      </c>
      <c r="V37" s="1464" t="s">
        <v>9161</v>
      </c>
      <c r="W37" s="1464" t="s">
        <v>9162</v>
      </c>
      <c r="X37" s="1464" t="s">
        <v>8935</v>
      </c>
      <c r="Y37" s="1464" t="s">
        <v>8936</v>
      </c>
      <c r="Z37" s="1464" t="s">
        <v>149</v>
      </c>
      <c r="AA37" s="1464" t="s">
        <v>9163</v>
      </c>
      <c r="AB37" s="1464" t="s">
        <v>8624</v>
      </c>
      <c r="AC37" s="1464" t="s">
        <v>4476</v>
      </c>
      <c r="AD37" s="1464" t="s">
        <v>2312</v>
      </c>
      <c r="AE37" s="1464" t="s">
        <v>9100</v>
      </c>
      <c r="AF37" s="1464" t="s">
        <v>9164</v>
      </c>
      <c r="AG37" s="1464" t="s">
        <v>9165</v>
      </c>
      <c r="AH37" s="1464" t="s">
        <v>4465</v>
      </c>
      <c r="AI37" s="1464" t="s">
        <v>3771</v>
      </c>
      <c r="AJ37" s="1464" t="s">
        <v>9166</v>
      </c>
      <c r="AK37" s="1464" t="s">
        <v>1163</v>
      </c>
      <c r="AL37" s="1464" t="s">
        <v>8939</v>
      </c>
      <c r="AM37" s="1464" t="s">
        <v>9167</v>
      </c>
      <c r="AN37" s="1466" t="s">
        <v>9168</v>
      </c>
      <c r="AO37" s="1466" t="s">
        <v>3423</v>
      </c>
      <c r="AP37" s="1464" t="s">
        <v>5296</v>
      </c>
      <c r="AQ37" s="1464" t="s">
        <v>250</v>
      </c>
      <c r="AR37" s="1464" t="s">
        <v>4946</v>
      </c>
      <c r="AS37" s="1464" t="s">
        <v>9169</v>
      </c>
      <c r="AT37" s="1464" t="s">
        <v>9170</v>
      </c>
      <c r="AU37" s="1466" t="s">
        <v>9171</v>
      </c>
      <c r="AV37" s="1464" t="str">
        <f t="shared" si="1"/>
        <v>3:07</v>
      </c>
      <c r="AW37" s="1537" t="s">
        <v>9172</v>
      </c>
    </row>
    <row r="38" ht="15.75" customHeight="1">
      <c r="A38" s="1456" t="s">
        <v>4230</v>
      </c>
      <c r="B38" s="1457" t="s">
        <v>8372</v>
      </c>
      <c r="C38" s="1590">
        <v>0.05060185185185185</v>
      </c>
      <c r="D38" s="1271" t="s">
        <v>9173</v>
      </c>
      <c r="E38" s="1521" t="s">
        <v>3165</v>
      </c>
      <c r="F38" s="1521" t="s">
        <v>5885</v>
      </c>
      <c r="G38" s="1521" t="s">
        <v>9174</v>
      </c>
      <c r="H38" s="1508" t="s">
        <v>9175</v>
      </c>
      <c r="I38" s="1508" t="s">
        <v>1073</v>
      </c>
      <c r="J38" s="1523" t="s">
        <v>8565</v>
      </c>
      <c r="K38" s="1523" t="s">
        <v>7717</v>
      </c>
      <c r="L38" s="1523" t="s">
        <v>5489</v>
      </c>
      <c r="M38" s="1523" t="s">
        <v>9176</v>
      </c>
      <c r="N38" s="1523" t="s">
        <v>5217</v>
      </c>
      <c r="O38" s="1523" t="s">
        <v>9177</v>
      </c>
      <c r="P38" s="1523" t="s">
        <v>8768</v>
      </c>
      <c r="Q38" s="1524" t="s">
        <v>3629</v>
      </c>
      <c r="R38" s="1524" t="s">
        <v>5439</v>
      </c>
      <c r="S38" s="1524" t="s">
        <v>6362</v>
      </c>
      <c r="T38" s="1524" t="s">
        <v>9178</v>
      </c>
      <c r="U38" s="1524" t="s">
        <v>9179</v>
      </c>
      <c r="V38" s="1524" t="s">
        <v>3938</v>
      </c>
      <c r="W38" s="1525" t="s">
        <v>9180</v>
      </c>
      <c r="X38" s="1525" t="s">
        <v>7708</v>
      </c>
      <c r="Y38" s="1525" t="s">
        <v>5067</v>
      </c>
      <c r="Z38" s="1525" t="s">
        <v>1908</v>
      </c>
      <c r="AA38" s="1525" t="s">
        <v>9181</v>
      </c>
      <c r="AB38" s="1525" t="s">
        <v>8624</v>
      </c>
      <c r="AC38" s="1525" t="s">
        <v>5490</v>
      </c>
      <c r="AD38" s="1521" t="s">
        <v>6267</v>
      </c>
      <c r="AE38" s="1521" t="s">
        <v>8762</v>
      </c>
      <c r="AF38" s="1526" t="s">
        <v>9182</v>
      </c>
      <c r="AG38" s="1526" t="s">
        <v>9104</v>
      </c>
      <c r="AH38" s="1526" t="s">
        <v>9183</v>
      </c>
      <c r="AI38" s="1526" t="s">
        <v>5485</v>
      </c>
      <c r="AJ38" s="1526" t="s">
        <v>9184</v>
      </c>
      <c r="AK38" s="1526" t="s">
        <v>9185</v>
      </c>
      <c r="AL38" s="1526" t="s">
        <v>9186</v>
      </c>
      <c r="AM38" s="1513" t="s">
        <v>9187</v>
      </c>
      <c r="AN38" s="1513" t="s">
        <v>9188</v>
      </c>
      <c r="AO38" s="1513" t="s">
        <v>9189</v>
      </c>
      <c r="AP38" s="1513" t="s">
        <v>9190</v>
      </c>
      <c r="AQ38" s="1513" t="s">
        <v>9045</v>
      </c>
      <c r="AR38" s="1513" t="s">
        <v>9191</v>
      </c>
      <c r="AS38" s="1513" t="s">
        <v>4313</v>
      </c>
      <c r="AT38" s="1523" t="s">
        <v>9192</v>
      </c>
      <c r="AU38" s="1527" t="s">
        <v>9193</v>
      </c>
      <c r="AV38" s="1464" t="str">
        <f t="shared" si="1"/>
        <v>1:56</v>
      </c>
      <c r="AW38" s="1589"/>
    </row>
    <row r="39" ht="15.75" customHeight="1">
      <c r="A39" s="1470" t="s">
        <v>826</v>
      </c>
      <c r="B39" s="1457" t="s">
        <v>8372</v>
      </c>
      <c r="C39" s="1458">
        <v>0.05061342592592592</v>
      </c>
      <c r="D39" s="1271" t="s">
        <v>9194</v>
      </c>
      <c r="E39" s="1466" t="s">
        <v>8541</v>
      </c>
      <c r="F39" s="1466" t="s">
        <v>5368</v>
      </c>
      <c r="G39" s="1464" t="s">
        <v>9195</v>
      </c>
      <c r="H39" s="1466" t="s">
        <v>9196</v>
      </c>
      <c r="I39" s="1466" t="s">
        <v>388</v>
      </c>
      <c r="J39" s="1466" t="s">
        <v>6635</v>
      </c>
      <c r="K39" s="1464" t="s">
        <v>8782</v>
      </c>
      <c r="L39" s="1466" t="s">
        <v>9197</v>
      </c>
      <c r="M39" s="1466" t="s">
        <v>9198</v>
      </c>
      <c r="N39" s="1466" t="s">
        <v>4320</v>
      </c>
      <c r="O39" s="1466" t="s">
        <v>9199</v>
      </c>
      <c r="P39" s="1466" t="s">
        <v>1586</v>
      </c>
      <c r="Q39" s="1598" t="s">
        <v>9200</v>
      </c>
      <c r="R39" s="1466" t="s">
        <v>9201</v>
      </c>
      <c r="S39" s="1464" t="s">
        <v>9202</v>
      </c>
      <c r="T39" s="1466" t="s">
        <v>8917</v>
      </c>
      <c r="U39" s="1466" t="s">
        <v>7089</v>
      </c>
      <c r="V39" s="1466" t="s">
        <v>2473</v>
      </c>
      <c r="W39" s="1599" t="str">
        <f>HYPERLINK("https://www.youtube.com/watch?v=nn1ub1z3NYM","1:45.96")</f>
        <v>1:45.96</v>
      </c>
      <c r="X39" s="1466" t="s">
        <v>5599</v>
      </c>
      <c r="Y39" s="1464" t="s">
        <v>5475</v>
      </c>
      <c r="Z39" s="1466" t="s">
        <v>1499</v>
      </c>
      <c r="AA39" s="1466" t="s">
        <v>9203</v>
      </c>
      <c r="AB39" s="1466" t="s">
        <v>9204</v>
      </c>
      <c r="AC39" s="1466" t="s">
        <v>1048</v>
      </c>
      <c r="AD39" s="1466" t="s">
        <v>9205</v>
      </c>
      <c r="AE39" s="1598" t="s">
        <v>4619</v>
      </c>
      <c r="AF39" s="1464" t="s">
        <v>9206</v>
      </c>
      <c r="AG39" s="1466" t="s">
        <v>2083</v>
      </c>
      <c r="AH39" s="1466" t="s">
        <v>2964</v>
      </c>
      <c r="AI39" s="1466" t="s">
        <v>9207</v>
      </c>
      <c r="AJ39" s="1464" t="s">
        <v>7959</v>
      </c>
      <c r="AK39" s="1466" t="s">
        <v>9208</v>
      </c>
      <c r="AL39" s="1464" t="s">
        <v>4270</v>
      </c>
      <c r="AM39" s="1464" t="s">
        <v>9209</v>
      </c>
      <c r="AN39" s="1464" t="s">
        <v>2506</v>
      </c>
      <c r="AO39" s="1466" t="s">
        <v>5166</v>
      </c>
      <c r="AP39" s="1466" t="s">
        <v>9210</v>
      </c>
      <c r="AQ39" s="1466" t="s">
        <v>9211</v>
      </c>
      <c r="AR39" s="1466" t="s">
        <v>1368</v>
      </c>
      <c r="AS39" s="1466" t="s">
        <v>9212</v>
      </c>
      <c r="AT39" s="1466" t="s">
        <v>9213</v>
      </c>
      <c r="AU39" s="1466" t="s">
        <v>9214</v>
      </c>
      <c r="AV39" s="1464" t="str">
        <f t="shared" si="1"/>
        <v>2:25</v>
      </c>
      <c r="AW39" s="1499"/>
    </row>
    <row r="40">
      <c r="A40" s="1470" t="s">
        <v>9215</v>
      </c>
      <c r="B40" s="1497" t="s">
        <v>8372</v>
      </c>
      <c r="C40" s="1458">
        <v>0.050625</v>
      </c>
      <c r="D40" s="1600" t="s">
        <v>9216</v>
      </c>
      <c r="E40" s="1466" t="s">
        <v>4663</v>
      </c>
      <c r="F40" s="1466" t="s">
        <v>9217</v>
      </c>
      <c r="G40" s="1466" t="s">
        <v>8797</v>
      </c>
      <c r="H40" s="1466" t="s">
        <v>1655</v>
      </c>
      <c r="I40" s="1466" t="s">
        <v>1900</v>
      </c>
      <c r="J40" s="1466" t="s">
        <v>9218</v>
      </c>
      <c r="K40" s="1466" t="s">
        <v>3481</v>
      </c>
      <c r="L40" s="1466" t="s">
        <v>9219</v>
      </c>
      <c r="M40" s="1466" t="s">
        <v>9220</v>
      </c>
      <c r="N40" s="1466" t="s">
        <v>9221</v>
      </c>
      <c r="O40" s="1466" t="s">
        <v>9222</v>
      </c>
      <c r="P40" s="1466" t="s">
        <v>9100</v>
      </c>
      <c r="Q40" s="1466" t="s">
        <v>4591</v>
      </c>
      <c r="R40" s="1466" t="s">
        <v>3900</v>
      </c>
      <c r="S40" s="1466" t="s">
        <v>2539</v>
      </c>
      <c r="T40" s="1466" t="s">
        <v>2349</v>
      </c>
      <c r="U40" s="1466" t="s">
        <v>9223</v>
      </c>
      <c r="V40" s="1466" t="s">
        <v>2165</v>
      </c>
      <c r="W40" s="1466" t="s">
        <v>7559</v>
      </c>
      <c r="X40" s="1466" t="s">
        <v>9224</v>
      </c>
      <c r="Y40" s="1466" t="s">
        <v>9225</v>
      </c>
      <c r="Z40" s="1466" t="s">
        <v>9226</v>
      </c>
      <c r="AA40" s="1466" t="s">
        <v>9227</v>
      </c>
      <c r="AB40" s="1466"/>
      <c r="AC40" s="1466" t="s">
        <v>9228</v>
      </c>
      <c r="AD40" s="1466" t="s">
        <v>9229</v>
      </c>
      <c r="AE40" s="1466" t="s">
        <v>4891</v>
      </c>
      <c r="AF40" s="1466" t="s">
        <v>9230</v>
      </c>
      <c r="AG40" s="1466" t="s">
        <v>9231</v>
      </c>
      <c r="AH40" s="1466" t="s">
        <v>9232</v>
      </c>
      <c r="AI40" s="1466" t="s">
        <v>725</v>
      </c>
      <c r="AJ40" s="1466" t="s">
        <v>9233</v>
      </c>
      <c r="AK40" s="1466" t="s">
        <v>9234</v>
      </c>
      <c r="AL40" s="1466" t="s">
        <v>8962</v>
      </c>
      <c r="AM40" s="1466" t="s">
        <v>9235</v>
      </c>
      <c r="AN40" s="1466" t="s">
        <v>8451</v>
      </c>
      <c r="AO40" s="1466" t="s">
        <v>9236</v>
      </c>
      <c r="AP40" s="1466" t="s">
        <v>9237</v>
      </c>
      <c r="AQ40" s="1466" t="s">
        <v>9238</v>
      </c>
      <c r="AR40" s="1466" t="s">
        <v>6367</v>
      </c>
      <c r="AS40" s="1466" t="s">
        <v>6177</v>
      </c>
      <c r="AT40" s="1466" t="s">
        <v>8057</v>
      </c>
      <c r="AU40" s="1466" t="s">
        <v>9239</v>
      </c>
      <c r="AV40" s="1464" t="str">
        <f t="shared" si="1"/>
        <v>2:05</v>
      </c>
      <c r="AW40" s="1537"/>
    </row>
    <row r="41">
      <c r="A41" s="1470" t="s">
        <v>9240</v>
      </c>
      <c r="B41" s="1501" t="s">
        <v>8372</v>
      </c>
      <c r="C41" s="1458">
        <v>0.0506712962962963</v>
      </c>
      <c r="D41" s="1600" t="s">
        <v>9241</v>
      </c>
      <c r="E41" s="1507" t="s">
        <v>3165</v>
      </c>
      <c r="F41" s="1507" t="s">
        <v>8667</v>
      </c>
      <c r="G41" s="1507" t="s">
        <v>9242</v>
      </c>
      <c r="H41" s="1559" t="s">
        <v>9243</v>
      </c>
      <c r="I41" s="1559" t="s">
        <v>9244</v>
      </c>
      <c r="J41" s="1509" t="s">
        <v>9245</v>
      </c>
      <c r="K41" s="1509" t="s">
        <v>6913</v>
      </c>
      <c r="L41" s="1509" t="s">
        <v>4364</v>
      </c>
      <c r="M41" s="1509" t="s">
        <v>6914</v>
      </c>
      <c r="N41" s="1509" t="s">
        <v>9246</v>
      </c>
      <c r="O41" s="1509" t="s">
        <v>2198</v>
      </c>
      <c r="P41" s="1509" t="s">
        <v>6878</v>
      </c>
      <c r="Q41" s="1510" t="s">
        <v>7639</v>
      </c>
      <c r="R41" s="1510" t="s">
        <v>9247</v>
      </c>
      <c r="S41" s="1510" t="s">
        <v>9248</v>
      </c>
      <c r="T41" s="1510" t="s">
        <v>9249</v>
      </c>
      <c r="U41" s="1510" t="s">
        <v>9250</v>
      </c>
      <c r="V41" s="1510" t="s">
        <v>9251</v>
      </c>
      <c r="W41" s="1511" t="s">
        <v>9252</v>
      </c>
      <c r="X41" s="1511" t="s">
        <v>9253</v>
      </c>
      <c r="Y41" s="1511" t="s">
        <v>5993</v>
      </c>
      <c r="Z41" s="1511" t="s">
        <v>9254</v>
      </c>
      <c r="AA41" s="1466" t="s">
        <v>1760</v>
      </c>
      <c r="AB41" s="1511" t="s">
        <v>9255</v>
      </c>
      <c r="AC41" s="1511" t="s">
        <v>7507</v>
      </c>
      <c r="AD41" s="1507" t="s">
        <v>9256</v>
      </c>
      <c r="AE41" s="1507" t="s">
        <v>533</v>
      </c>
      <c r="AF41" s="1512" t="s">
        <v>9257</v>
      </c>
      <c r="AG41" s="1512" t="s">
        <v>3884</v>
      </c>
      <c r="AH41" s="1512" t="s">
        <v>5188</v>
      </c>
      <c r="AI41" s="1512" t="s">
        <v>9258</v>
      </c>
      <c r="AJ41" s="1512" t="s">
        <v>9259</v>
      </c>
      <c r="AK41" s="1512" t="s">
        <v>401</v>
      </c>
      <c r="AL41" s="1512" t="s">
        <v>2614</v>
      </c>
      <c r="AM41" s="1514" t="s">
        <v>8668</v>
      </c>
      <c r="AN41" s="1514" t="s">
        <v>8601</v>
      </c>
      <c r="AO41" s="1514" t="s">
        <v>8873</v>
      </c>
      <c r="AP41" s="1514" t="s">
        <v>9260</v>
      </c>
      <c r="AQ41" s="1514" t="s">
        <v>9261</v>
      </c>
      <c r="AR41" s="1514" t="s">
        <v>9262</v>
      </c>
      <c r="AS41" s="1514" t="s">
        <v>9263</v>
      </c>
      <c r="AT41" s="1509" t="s">
        <v>9264</v>
      </c>
      <c r="AU41" s="1495" t="s">
        <v>9047</v>
      </c>
      <c r="AV41" s="1464" t="str">
        <f t="shared" si="1"/>
        <v>3:31</v>
      </c>
      <c r="AW41" s="1589"/>
    </row>
    <row r="42" ht="15.75" customHeight="1">
      <c r="A42" s="1540" t="s">
        <v>9265</v>
      </c>
      <c r="B42" s="1457" t="s">
        <v>8372</v>
      </c>
      <c r="C42" s="1458">
        <v>0.05070601851851852</v>
      </c>
      <c r="D42" s="1271" t="s">
        <v>9266</v>
      </c>
      <c r="E42" s="1521" t="s">
        <v>3241</v>
      </c>
      <c r="F42" s="1521" t="s">
        <v>8602</v>
      </c>
      <c r="G42" s="1521" t="s">
        <v>9267</v>
      </c>
      <c r="H42" s="1508" t="s">
        <v>9268</v>
      </c>
      <c r="I42" s="1508" t="s">
        <v>388</v>
      </c>
      <c r="J42" s="1523" t="s">
        <v>2080</v>
      </c>
      <c r="K42" s="1523" t="s">
        <v>3457</v>
      </c>
      <c r="L42" s="1523" t="s">
        <v>5377</v>
      </c>
      <c r="M42" s="1523" t="s">
        <v>9269</v>
      </c>
      <c r="N42" s="1523" t="s">
        <v>9096</v>
      </c>
      <c r="O42" s="1523" t="s">
        <v>9270</v>
      </c>
      <c r="P42" s="1523" t="s">
        <v>5454</v>
      </c>
      <c r="Q42" s="1524" t="s">
        <v>9271</v>
      </c>
      <c r="R42" s="1524" t="s">
        <v>728</v>
      </c>
      <c r="S42" s="1524" t="s">
        <v>9236</v>
      </c>
      <c r="T42" s="1524" t="s">
        <v>9099</v>
      </c>
      <c r="U42" s="1524" t="s">
        <v>9272</v>
      </c>
      <c r="V42" s="1524" t="s">
        <v>2473</v>
      </c>
      <c r="W42" s="1525" t="s">
        <v>9273</v>
      </c>
      <c r="X42" s="1525" t="s">
        <v>8487</v>
      </c>
      <c r="Y42" s="1525" t="s">
        <v>9274</v>
      </c>
      <c r="Z42" s="1525" t="s">
        <v>8471</v>
      </c>
      <c r="AA42" s="1525" t="s">
        <v>9275</v>
      </c>
      <c r="AB42" s="1525" t="s">
        <v>2633</v>
      </c>
      <c r="AC42" s="1525" t="s">
        <v>2882</v>
      </c>
      <c r="AD42" s="1521" t="s">
        <v>9276</v>
      </c>
      <c r="AE42" s="1521" t="s">
        <v>5995</v>
      </c>
      <c r="AF42" s="1526" t="s">
        <v>8507</v>
      </c>
      <c r="AG42" s="1526" t="s">
        <v>9277</v>
      </c>
      <c r="AH42" s="1526" t="s">
        <v>2208</v>
      </c>
      <c r="AI42" s="1526" t="s">
        <v>6171</v>
      </c>
      <c r="AJ42" s="1526" t="s">
        <v>8840</v>
      </c>
      <c r="AK42" s="1526" t="s">
        <v>9278</v>
      </c>
      <c r="AL42" s="1526" t="s">
        <v>5344</v>
      </c>
      <c r="AM42" s="1513" t="s">
        <v>9126</v>
      </c>
      <c r="AN42" s="1513" t="s">
        <v>5344</v>
      </c>
      <c r="AO42" s="1513" t="s">
        <v>2291</v>
      </c>
      <c r="AP42" s="1513" t="s">
        <v>9279</v>
      </c>
      <c r="AQ42" s="1513" t="s">
        <v>9280</v>
      </c>
      <c r="AR42" s="1513" t="s">
        <v>9281</v>
      </c>
      <c r="AS42" s="1513" t="s">
        <v>4316</v>
      </c>
      <c r="AT42" s="1523" t="s">
        <v>9282</v>
      </c>
      <c r="AU42" s="1527" t="s">
        <v>9283</v>
      </c>
      <c r="AV42" s="1464" t="str">
        <f t="shared" si="1"/>
        <v>2:54</v>
      </c>
      <c r="AW42" s="1589"/>
    </row>
    <row r="43">
      <c r="A43" s="1503" t="s">
        <v>2819</v>
      </c>
      <c r="B43" s="1497" t="s">
        <v>8372</v>
      </c>
      <c r="C43" s="1458">
        <v>0.050826388888888886</v>
      </c>
      <c r="D43" s="1466" t="s">
        <v>9284</v>
      </c>
      <c r="E43" s="1466" t="s">
        <v>9285</v>
      </c>
      <c r="F43" s="1507" t="s">
        <v>9286</v>
      </c>
      <c r="G43" s="1466" t="s">
        <v>9287</v>
      </c>
      <c r="H43" s="1466" t="s">
        <v>6250</v>
      </c>
      <c r="I43" s="1466" t="s">
        <v>1358</v>
      </c>
      <c r="J43" s="1466" t="s">
        <v>9288</v>
      </c>
      <c r="K43" s="1466" t="s">
        <v>3861</v>
      </c>
      <c r="L43" s="1466" t="s">
        <v>9289</v>
      </c>
      <c r="M43" s="1466" t="s">
        <v>9290</v>
      </c>
      <c r="N43" s="1466" t="s">
        <v>7128</v>
      </c>
      <c r="O43" s="1466" t="s">
        <v>9291</v>
      </c>
      <c r="P43" s="1466" t="s">
        <v>8789</v>
      </c>
      <c r="Q43" s="1466" t="s">
        <v>9292</v>
      </c>
      <c r="R43" s="1466" t="s">
        <v>9293</v>
      </c>
      <c r="S43" s="1466" t="s">
        <v>9294</v>
      </c>
      <c r="T43" s="1466" t="s">
        <v>1786</v>
      </c>
      <c r="U43" s="1466" t="s">
        <v>9295</v>
      </c>
      <c r="V43" s="1466" t="s">
        <v>6957</v>
      </c>
      <c r="W43" s="1466" t="s">
        <v>5438</v>
      </c>
      <c r="X43" s="1466" t="s">
        <v>9296</v>
      </c>
      <c r="Y43" s="1466" t="s">
        <v>6871</v>
      </c>
      <c r="Z43" s="1466" t="s">
        <v>2030</v>
      </c>
      <c r="AA43" s="1511" t="s">
        <v>9297</v>
      </c>
      <c r="AB43" s="1466" t="s">
        <v>1908</v>
      </c>
      <c r="AC43" s="1466" t="s">
        <v>7507</v>
      </c>
      <c r="AD43" s="1466" t="s">
        <v>9298</v>
      </c>
      <c r="AE43" s="1466" t="s">
        <v>4891</v>
      </c>
      <c r="AF43" s="1466" t="s">
        <v>9299</v>
      </c>
      <c r="AG43" s="1466" t="s">
        <v>1178</v>
      </c>
      <c r="AH43" s="1466" t="s">
        <v>3833</v>
      </c>
      <c r="AI43" s="1466" t="s">
        <v>9300</v>
      </c>
      <c r="AJ43" s="1466" t="s">
        <v>9301</v>
      </c>
      <c r="AK43" s="1466" t="s">
        <v>9208</v>
      </c>
      <c r="AL43" s="1466" t="s">
        <v>4277</v>
      </c>
      <c r="AM43" s="1466" t="s">
        <v>9208</v>
      </c>
      <c r="AN43" s="1466" t="s">
        <v>8451</v>
      </c>
      <c r="AO43" s="1466" t="s">
        <v>7228</v>
      </c>
      <c r="AP43" s="1466" t="s">
        <v>9302</v>
      </c>
      <c r="AQ43" s="1466" t="s">
        <v>9303</v>
      </c>
      <c r="AR43" s="1466" t="s">
        <v>5099</v>
      </c>
      <c r="AS43" s="1466" t="s">
        <v>9304</v>
      </c>
      <c r="AT43" s="1466" t="s">
        <v>9305</v>
      </c>
      <c r="AU43" s="1466" t="s">
        <v>9306</v>
      </c>
      <c r="AV43" s="1464" t="str">
        <f t="shared" si="1"/>
        <v>2:25</v>
      </c>
      <c r="AW43" s="1537"/>
    </row>
    <row r="44" ht="15.75" customHeight="1">
      <c r="A44" s="1503" t="s">
        <v>4625</v>
      </c>
      <c r="B44" s="1457" t="s">
        <v>8372</v>
      </c>
      <c r="C44" s="1590">
        <v>0.050868055555555555</v>
      </c>
      <c r="D44" s="1271" t="s">
        <v>9307</v>
      </c>
      <c r="E44" s="1464" t="s">
        <v>7457</v>
      </c>
      <c r="F44" s="1464" t="s">
        <v>9308</v>
      </c>
      <c r="G44" s="1464" t="s">
        <v>9309</v>
      </c>
      <c r="H44" s="1464" t="s">
        <v>9139</v>
      </c>
      <c r="I44" s="1464" t="s">
        <v>1358</v>
      </c>
      <c r="J44" s="1464" t="s">
        <v>9262</v>
      </c>
      <c r="K44" s="1464" t="s">
        <v>8819</v>
      </c>
      <c r="L44" s="1464" t="s">
        <v>8670</v>
      </c>
      <c r="M44" s="1464" t="s">
        <v>5274</v>
      </c>
      <c r="N44" s="1464" t="s">
        <v>7918</v>
      </c>
      <c r="O44" s="1464" t="s">
        <v>9310</v>
      </c>
      <c r="P44" s="1464" t="s">
        <v>9311</v>
      </c>
      <c r="Q44" s="1464" t="s">
        <v>9312</v>
      </c>
      <c r="R44" s="1464" t="s">
        <v>7210</v>
      </c>
      <c r="S44" s="1464" t="s">
        <v>8652</v>
      </c>
      <c r="T44" s="1464" t="s">
        <v>4608</v>
      </c>
      <c r="U44" s="1464" t="s">
        <v>9313</v>
      </c>
      <c r="V44" s="1464" t="s">
        <v>8866</v>
      </c>
      <c r="W44" s="1464" t="s">
        <v>9314</v>
      </c>
      <c r="X44" s="1464" t="s">
        <v>8870</v>
      </c>
      <c r="Y44" s="1464" t="s">
        <v>3488</v>
      </c>
      <c r="Z44" s="1464" t="s">
        <v>9315</v>
      </c>
      <c r="AA44" s="1464" t="s">
        <v>9316</v>
      </c>
      <c r="AB44" s="1464" t="s">
        <v>1615</v>
      </c>
      <c r="AC44" s="1464" t="s">
        <v>2927</v>
      </c>
      <c r="AD44" s="1464" t="s">
        <v>9317</v>
      </c>
      <c r="AE44" s="1464" t="s">
        <v>615</v>
      </c>
      <c r="AF44" s="1464" t="s">
        <v>9318</v>
      </c>
      <c r="AG44" s="1464" t="s">
        <v>5820</v>
      </c>
      <c r="AH44" s="1464" t="s">
        <v>9319</v>
      </c>
      <c r="AI44" s="1464" t="s">
        <v>7325</v>
      </c>
      <c r="AJ44" s="1464" t="s">
        <v>9320</v>
      </c>
      <c r="AK44" s="1464" t="s">
        <v>5332</v>
      </c>
      <c r="AL44" s="1464" t="s">
        <v>9321</v>
      </c>
      <c r="AM44" s="1464" t="s">
        <v>9322</v>
      </c>
      <c r="AN44" s="1464" t="s">
        <v>3209</v>
      </c>
      <c r="AO44" s="1464" t="s">
        <v>8782</v>
      </c>
      <c r="AP44" s="1464" t="s">
        <v>9323</v>
      </c>
      <c r="AQ44" s="1464" t="s">
        <v>9324</v>
      </c>
      <c r="AR44" s="1464" t="s">
        <v>8661</v>
      </c>
      <c r="AS44" s="1464" t="s">
        <v>4993</v>
      </c>
      <c r="AT44" s="1464" t="s">
        <v>9325</v>
      </c>
      <c r="AU44" s="1464" t="s">
        <v>9326</v>
      </c>
      <c r="AV44" s="1464" t="str">
        <f t="shared" si="1"/>
        <v>2:44</v>
      </c>
      <c r="AW44" s="1483"/>
    </row>
    <row r="45" ht="15.75" customHeight="1">
      <c r="A45" s="1503" t="s">
        <v>1879</v>
      </c>
      <c r="B45" s="1601" t="s">
        <v>8423</v>
      </c>
      <c r="C45" s="1458">
        <v>0.05092592592592592</v>
      </c>
      <c r="D45" s="1602" t="s">
        <v>8424</v>
      </c>
      <c r="E45" s="1603" t="s">
        <v>8425</v>
      </c>
      <c r="F45" s="1602" t="s">
        <v>8426</v>
      </c>
      <c r="G45" s="1466" t="s">
        <v>9327</v>
      </c>
      <c r="H45" s="1602" t="s">
        <v>8428</v>
      </c>
      <c r="I45" s="1464" t="s">
        <v>1318</v>
      </c>
      <c r="J45" s="1521" t="s">
        <v>9328</v>
      </c>
      <c r="K45" s="1464" t="s">
        <v>9096</v>
      </c>
      <c r="L45" s="1521" t="s">
        <v>2318</v>
      </c>
      <c r="M45" s="1464" t="s">
        <v>2571</v>
      </c>
      <c r="N45" s="1602" t="s">
        <v>8431</v>
      </c>
      <c r="O45" s="1464" t="s">
        <v>9329</v>
      </c>
      <c r="P45" s="1521" t="s">
        <v>634</v>
      </c>
      <c r="Q45" s="1603" t="s">
        <v>8434</v>
      </c>
      <c r="R45" s="1602" t="s">
        <v>8435</v>
      </c>
      <c r="S45" s="1464" t="s">
        <v>1163</v>
      </c>
      <c r="T45" s="1521" t="s">
        <v>7563</v>
      </c>
      <c r="U45" s="1603" t="s">
        <v>8437</v>
      </c>
      <c r="V45" s="1602" t="s">
        <v>8438</v>
      </c>
      <c r="W45" s="1464" t="s">
        <v>9330</v>
      </c>
      <c r="X45" s="1602" t="s">
        <v>8440</v>
      </c>
      <c r="Y45" s="1464" t="s">
        <v>5575</v>
      </c>
      <c r="Z45" s="1507" t="s">
        <v>9331</v>
      </c>
      <c r="AA45" s="1464" t="s">
        <v>2293</v>
      </c>
      <c r="AB45" s="1521" t="s">
        <v>9332</v>
      </c>
      <c r="AC45" s="1466" t="s">
        <v>9333</v>
      </c>
      <c r="AD45" s="1521" t="s">
        <v>9334</v>
      </c>
      <c r="AE45" s="1466" t="s">
        <v>9335</v>
      </c>
      <c r="AF45" s="1521" t="s">
        <v>9336</v>
      </c>
      <c r="AG45" s="1464" t="s">
        <v>6789</v>
      </c>
      <c r="AH45" s="1507" t="s">
        <v>9219</v>
      </c>
      <c r="AI45" s="1603" t="s">
        <v>8446</v>
      </c>
      <c r="AJ45" s="1521" t="s">
        <v>9337</v>
      </c>
      <c r="AK45" s="1464" t="s">
        <v>5750</v>
      </c>
      <c r="AL45" s="1602" t="s">
        <v>8449</v>
      </c>
      <c r="AM45" s="1464" t="s">
        <v>8743</v>
      </c>
      <c r="AN45" s="1521" t="s">
        <v>3933</v>
      </c>
      <c r="AO45" s="1466" t="s">
        <v>4774</v>
      </c>
      <c r="AP45" s="1507" t="s">
        <v>9338</v>
      </c>
      <c r="AQ45" s="1466" t="s">
        <v>9339</v>
      </c>
      <c r="AR45" s="1507" t="s">
        <v>9340</v>
      </c>
      <c r="AS45" s="1464" t="s">
        <v>903</v>
      </c>
      <c r="AT45" s="1602" t="s">
        <v>8455</v>
      </c>
      <c r="AU45" s="1466" t="s">
        <v>9341</v>
      </c>
      <c r="AV45" s="1464" t="str">
        <f t="shared" si="1"/>
        <v>2:24</v>
      </c>
      <c r="AW45" s="1499"/>
    </row>
    <row r="46">
      <c r="A46" s="1503" t="s">
        <v>2572</v>
      </c>
      <c r="B46" s="1542" t="s">
        <v>8400</v>
      </c>
      <c r="C46" s="1458">
        <v>0.05092592592592592</v>
      </c>
      <c r="D46" s="1271" t="s">
        <v>9342</v>
      </c>
      <c r="E46" s="1507" t="s">
        <v>9343</v>
      </c>
      <c r="F46" s="1507" t="s">
        <v>9344</v>
      </c>
      <c r="G46" s="1507" t="s">
        <v>9345</v>
      </c>
      <c r="H46" s="1559" t="s">
        <v>9346</v>
      </c>
      <c r="I46" s="1559" t="s">
        <v>2786</v>
      </c>
      <c r="J46" s="1509" t="s">
        <v>8524</v>
      </c>
      <c r="K46" s="1509" t="s">
        <v>3820</v>
      </c>
      <c r="L46" s="1509" t="s">
        <v>5638</v>
      </c>
      <c r="M46" s="1509" t="s">
        <v>2900</v>
      </c>
      <c r="N46" s="1509" t="s">
        <v>9167</v>
      </c>
      <c r="O46" s="1509" t="s">
        <v>9347</v>
      </c>
      <c r="P46" s="1509" t="s">
        <v>772</v>
      </c>
      <c r="Q46" s="1510" t="s">
        <v>7533</v>
      </c>
      <c r="R46" s="1510" t="s">
        <v>7255</v>
      </c>
      <c r="S46" s="1510" t="s">
        <v>6363</v>
      </c>
      <c r="T46" s="1510" t="s">
        <v>9348</v>
      </c>
      <c r="U46" s="1604" t="s">
        <v>7696</v>
      </c>
      <c r="V46" s="1510" t="s">
        <v>9349</v>
      </c>
      <c r="W46" s="1511" t="s">
        <v>6556</v>
      </c>
      <c r="X46" s="1511" t="s">
        <v>9350</v>
      </c>
      <c r="Y46" s="1511" t="s">
        <v>9351</v>
      </c>
      <c r="Z46" s="1511" t="s">
        <v>7464</v>
      </c>
      <c r="AA46" s="1511" t="s">
        <v>1935</v>
      </c>
      <c r="AB46" s="1511" t="s">
        <v>9352</v>
      </c>
      <c r="AC46" s="1511" t="s">
        <v>2385</v>
      </c>
      <c r="AD46" s="1507" t="s">
        <v>9353</v>
      </c>
      <c r="AE46" s="1507" t="s">
        <v>5194</v>
      </c>
      <c r="AF46" s="1512" t="s">
        <v>9354</v>
      </c>
      <c r="AG46" s="1512" t="s">
        <v>5306</v>
      </c>
      <c r="AH46" s="1512" t="s">
        <v>4465</v>
      </c>
      <c r="AI46" s="1512" t="s">
        <v>9355</v>
      </c>
      <c r="AJ46" s="1605" t="s">
        <v>8416</v>
      </c>
      <c r="AK46" s="1512" t="s">
        <v>1615</v>
      </c>
      <c r="AL46" s="1512" t="s">
        <v>5751</v>
      </c>
      <c r="AM46" s="1514" t="s">
        <v>4010</v>
      </c>
      <c r="AN46" s="1514" t="s">
        <v>3583</v>
      </c>
      <c r="AO46" s="1514" t="s">
        <v>2425</v>
      </c>
      <c r="AP46" s="1514" t="s">
        <v>9356</v>
      </c>
      <c r="AQ46" s="1514" t="s">
        <v>4349</v>
      </c>
      <c r="AR46" s="1514" t="s">
        <v>7523</v>
      </c>
      <c r="AS46" s="1514" t="s">
        <v>6272</v>
      </c>
      <c r="AT46" s="1509" t="s">
        <v>9357</v>
      </c>
      <c r="AU46" s="1606" t="s">
        <v>9358</v>
      </c>
      <c r="AV46" s="1464" t="str">
        <f t="shared" si="1"/>
        <v>4:25</v>
      </c>
      <c r="AW46" s="1496"/>
    </row>
    <row r="47" ht="15.75" customHeight="1">
      <c r="A47" s="1456" t="s">
        <v>4418</v>
      </c>
      <c r="B47" s="1516" t="s">
        <v>8400</v>
      </c>
      <c r="C47" s="1458">
        <v>0.05100810185185185</v>
      </c>
      <c r="D47" s="1271" t="s">
        <v>9359</v>
      </c>
      <c r="E47" s="1507" t="s">
        <v>9360</v>
      </c>
      <c r="F47" s="1507" t="s">
        <v>9361</v>
      </c>
      <c r="G47" s="1521" t="s">
        <v>9362</v>
      </c>
      <c r="H47" s="1559" t="s">
        <v>9363</v>
      </c>
      <c r="I47" s="1559" t="s">
        <v>1318</v>
      </c>
      <c r="J47" s="1509" t="s">
        <v>5099</v>
      </c>
      <c r="K47" s="1509" t="s">
        <v>9093</v>
      </c>
      <c r="L47" s="1509" t="s">
        <v>4393</v>
      </c>
      <c r="M47" s="1509" t="s">
        <v>1450</v>
      </c>
      <c r="N47" s="1509" t="s">
        <v>9364</v>
      </c>
      <c r="O47" s="1509" t="s">
        <v>8546</v>
      </c>
      <c r="P47" s="1509" t="s">
        <v>9365</v>
      </c>
      <c r="Q47" s="1510" t="s">
        <v>9366</v>
      </c>
      <c r="R47" s="1510" t="s">
        <v>3337</v>
      </c>
      <c r="S47" s="1510" t="s">
        <v>6907</v>
      </c>
      <c r="T47" s="1510" t="s">
        <v>9367</v>
      </c>
      <c r="U47" s="1510" t="s">
        <v>9368</v>
      </c>
      <c r="V47" s="1524" t="s">
        <v>1273</v>
      </c>
      <c r="W47" s="1511" t="s">
        <v>9369</v>
      </c>
      <c r="X47" s="1511" t="s">
        <v>9148</v>
      </c>
      <c r="Y47" s="1511" t="s">
        <v>3904</v>
      </c>
      <c r="Z47" s="1511" t="s">
        <v>7484</v>
      </c>
      <c r="AA47" s="1511" t="s">
        <v>1025</v>
      </c>
      <c r="AB47" s="1511" t="s">
        <v>3962</v>
      </c>
      <c r="AC47" s="1525" t="s">
        <v>6502</v>
      </c>
      <c r="AD47" s="1507" t="s">
        <v>9370</v>
      </c>
      <c r="AE47" s="1521" t="s">
        <v>4879</v>
      </c>
      <c r="AF47" s="1512" t="s">
        <v>9371</v>
      </c>
      <c r="AG47" s="1512" t="s">
        <v>9372</v>
      </c>
      <c r="AH47" s="1512" t="s">
        <v>9373</v>
      </c>
      <c r="AI47" s="1512" t="s">
        <v>8725</v>
      </c>
      <c r="AJ47" s="1512" t="s">
        <v>9374</v>
      </c>
      <c r="AK47" s="1512" t="s">
        <v>9375</v>
      </c>
      <c r="AL47" s="1512" t="s">
        <v>4565</v>
      </c>
      <c r="AM47" s="1514" t="s">
        <v>9376</v>
      </c>
      <c r="AN47" s="1514" t="s">
        <v>3313</v>
      </c>
      <c r="AO47" s="1514" t="s">
        <v>9377</v>
      </c>
      <c r="AP47" s="1514" t="s">
        <v>9378</v>
      </c>
      <c r="AQ47" s="1514" t="s">
        <v>4349</v>
      </c>
      <c r="AR47" s="1514" t="s">
        <v>9379</v>
      </c>
      <c r="AS47" s="1514" t="s">
        <v>4503</v>
      </c>
      <c r="AT47" s="1509" t="s">
        <v>9380</v>
      </c>
      <c r="AU47" s="1495" t="s">
        <v>9381</v>
      </c>
      <c r="AV47" s="1464" t="str">
        <f t="shared" si="1"/>
        <v>3:17</v>
      </c>
      <c r="AW47" s="1502" t="s">
        <v>9382</v>
      </c>
    </row>
    <row r="48" ht="15.75" customHeight="1">
      <c r="A48" s="1503" t="s">
        <v>985</v>
      </c>
      <c r="B48" s="1501" t="s">
        <v>8400</v>
      </c>
      <c r="C48" s="1458">
        <v>0.05112268518518519</v>
      </c>
      <c r="D48" s="1507" t="s">
        <v>9383</v>
      </c>
      <c r="E48" s="1507" t="s">
        <v>4636</v>
      </c>
      <c r="F48" s="1507" t="s">
        <v>9384</v>
      </c>
      <c r="G48" s="1507" t="s">
        <v>9385</v>
      </c>
      <c r="H48" s="1271" t="s">
        <v>9386</v>
      </c>
      <c r="I48" s="1559" t="s">
        <v>4932</v>
      </c>
      <c r="J48" s="1509" t="s">
        <v>4013</v>
      </c>
      <c r="K48" s="1509" t="s">
        <v>9387</v>
      </c>
      <c r="L48" s="1460" t="s">
        <v>3504</v>
      </c>
      <c r="M48" s="1509" t="s">
        <v>4449</v>
      </c>
      <c r="N48" s="1509" t="s">
        <v>9126</v>
      </c>
      <c r="O48" s="1509" t="s">
        <v>9388</v>
      </c>
      <c r="P48" s="1509" t="s">
        <v>1523</v>
      </c>
      <c r="Q48" s="1510" t="s">
        <v>9389</v>
      </c>
      <c r="R48" s="1607" t="s">
        <v>9390</v>
      </c>
      <c r="S48" s="1510" t="s">
        <v>416</v>
      </c>
      <c r="T48" s="1510" t="s">
        <v>9391</v>
      </c>
      <c r="U48" s="1510" t="s">
        <v>9392</v>
      </c>
      <c r="V48" s="1510" t="s">
        <v>9393</v>
      </c>
      <c r="W48" s="1511" t="s">
        <v>9394</v>
      </c>
      <c r="X48" s="1511" t="s">
        <v>9395</v>
      </c>
      <c r="Y48" s="1608" t="s">
        <v>903</v>
      </c>
      <c r="Z48" s="1511" t="s">
        <v>9396</v>
      </c>
      <c r="AA48" s="1466" t="s">
        <v>9397</v>
      </c>
      <c r="AB48" s="1511" t="s">
        <v>155</v>
      </c>
      <c r="AC48" s="1587" t="s">
        <v>5032</v>
      </c>
      <c r="AD48" s="1507" t="s">
        <v>9398</v>
      </c>
      <c r="AE48" s="1507" t="s">
        <v>8445</v>
      </c>
      <c r="AF48" s="1512" t="s">
        <v>8563</v>
      </c>
      <c r="AG48" s="1512" t="s">
        <v>272</v>
      </c>
      <c r="AH48" s="1512" t="s">
        <v>463</v>
      </c>
      <c r="AI48" s="1512" t="s">
        <v>9399</v>
      </c>
      <c r="AJ48" s="1512" t="s">
        <v>9400</v>
      </c>
      <c r="AK48" s="1512" t="s">
        <v>4132</v>
      </c>
      <c r="AL48" s="1512" t="s">
        <v>9401</v>
      </c>
      <c r="AM48" s="1514" t="s">
        <v>9402</v>
      </c>
      <c r="AN48" s="1548" t="s">
        <v>3265</v>
      </c>
      <c r="AO48" s="1514" t="s">
        <v>6913</v>
      </c>
      <c r="AP48" s="1514" t="s">
        <v>9403</v>
      </c>
      <c r="AQ48" s="1514" t="s">
        <v>9404</v>
      </c>
      <c r="AR48" s="1514" t="s">
        <v>9405</v>
      </c>
      <c r="AS48" s="1514" t="s">
        <v>8330</v>
      </c>
      <c r="AT48" s="1509" t="s">
        <v>9406</v>
      </c>
      <c r="AU48" s="1495" t="s">
        <v>9407</v>
      </c>
      <c r="AV48" s="1464" t="str">
        <f t="shared" si="1"/>
        <v>4:57</v>
      </c>
      <c r="AW48" s="1589"/>
    </row>
    <row r="49">
      <c r="A49" s="1503" t="s">
        <v>2398</v>
      </c>
      <c r="B49" s="1497" t="s">
        <v>8400</v>
      </c>
      <c r="C49" s="1458">
        <v>0.05112268518518519</v>
      </c>
      <c r="D49" s="1466" t="s">
        <v>9408</v>
      </c>
      <c r="E49" s="1466" t="s">
        <v>4554</v>
      </c>
      <c r="F49" s="1466" t="s">
        <v>9409</v>
      </c>
      <c r="G49" s="1550" t="s">
        <v>8404</v>
      </c>
      <c r="H49" s="1271" t="s">
        <v>9410</v>
      </c>
      <c r="I49" s="1466" t="s">
        <v>764</v>
      </c>
      <c r="J49" s="1466" t="s">
        <v>6366</v>
      </c>
      <c r="K49" s="1466" t="s">
        <v>2494</v>
      </c>
      <c r="L49" s="1466" t="s">
        <v>1273</v>
      </c>
      <c r="M49" s="1466" t="s">
        <v>9411</v>
      </c>
      <c r="N49" s="1466" t="s">
        <v>8985</v>
      </c>
      <c r="O49" s="1466" t="s">
        <v>9412</v>
      </c>
      <c r="P49" s="1466" t="s">
        <v>3488</v>
      </c>
      <c r="Q49" s="1466" t="s">
        <v>9413</v>
      </c>
      <c r="R49" s="1466" t="s">
        <v>2229</v>
      </c>
      <c r="S49" s="1466" t="s">
        <v>3747</v>
      </c>
      <c r="T49" s="1466" t="s">
        <v>7708</v>
      </c>
      <c r="U49" s="1510" t="s">
        <v>8750</v>
      </c>
      <c r="V49" s="1466" t="s">
        <v>9414</v>
      </c>
      <c r="W49" s="1466" t="s">
        <v>9415</v>
      </c>
      <c r="X49" s="1466" t="s">
        <v>1485</v>
      </c>
      <c r="Y49" s="1466" t="s">
        <v>6875</v>
      </c>
      <c r="Z49" s="1466" t="s">
        <v>8610</v>
      </c>
      <c r="AA49" s="1511" t="s">
        <v>610</v>
      </c>
      <c r="AB49" s="1466" t="s">
        <v>9416</v>
      </c>
      <c r="AC49" s="1466" t="s">
        <v>5194</v>
      </c>
      <c r="AD49" s="1466" t="s">
        <v>8798</v>
      </c>
      <c r="AE49" s="1466" t="s">
        <v>3488</v>
      </c>
      <c r="AF49" s="1466" t="s">
        <v>9417</v>
      </c>
      <c r="AG49" s="1466" t="s">
        <v>9418</v>
      </c>
      <c r="AH49" s="1466" t="s">
        <v>2518</v>
      </c>
      <c r="AI49" s="1466" t="s">
        <v>5903</v>
      </c>
      <c r="AJ49" s="1466" t="s">
        <v>9419</v>
      </c>
      <c r="AK49" s="1466" t="s">
        <v>8873</v>
      </c>
      <c r="AL49" s="1466" t="s">
        <v>9420</v>
      </c>
      <c r="AM49" s="1466" t="s">
        <v>2566</v>
      </c>
      <c r="AN49" s="1466" t="s">
        <v>9421</v>
      </c>
      <c r="AO49" s="1466" t="s">
        <v>8521</v>
      </c>
      <c r="AP49" s="1466" t="s">
        <v>9422</v>
      </c>
      <c r="AQ49" s="1466" t="s">
        <v>9423</v>
      </c>
      <c r="AR49" s="1466" t="s">
        <v>2207</v>
      </c>
      <c r="AS49" s="1466" t="s">
        <v>6871</v>
      </c>
      <c r="AT49" s="1466" t="s">
        <v>9424</v>
      </c>
      <c r="AU49" s="1466" t="s">
        <v>9425</v>
      </c>
      <c r="AV49" s="1464" t="str">
        <f t="shared" si="1"/>
        <v>3:15</v>
      </c>
      <c r="AW49" s="1609"/>
    </row>
    <row r="50" ht="15.75" customHeight="1">
      <c r="A50" s="1456" t="s">
        <v>9426</v>
      </c>
      <c r="B50" s="1610" t="s">
        <v>8372</v>
      </c>
      <c r="C50" s="1458">
        <v>0.051180555555555556</v>
      </c>
      <c r="D50" s="1271" t="s">
        <v>9427</v>
      </c>
      <c r="E50" s="1466" t="s">
        <v>9428</v>
      </c>
      <c r="F50" s="1466" t="s">
        <v>4134</v>
      </c>
      <c r="G50" s="1466" t="s">
        <v>8074</v>
      </c>
      <c r="H50" s="1466" t="s">
        <v>9429</v>
      </c>
      <c r="I50" s="1466" t="s">
        <v>160</v>
      </c>
      <c r="J50" s="1466" t="s">
        <v>972</v>
      </c>
      <c r="K50" s="1466" t="s">
        <v>8928</v>
      </c>
      <c r="L50" s="1466" t="s">
        <v>8467</v>
      </c>
      <c r="M50" s="1466" t="s">
        <v>9430</v>
      </c>
      <c r="N50" s="1466" t="s">
        <v>9431</v>
      </c>
      <c r="O50" s="1466" t="s">
        <v>9432</v>
      </c>
      <c r="P50" s="1466" t="s">
        <v>3709</v>
      </c>
      <c r="Q50" s="1466" t="s">
        <v>7117</v>
      </c>
      <c r="R50" s="1466" t="s">
        <v>9433</v>
      </c>
      <c r="S50" s="1466" t="s">
        <v>8274</v>
      </c>
      <c r="T50" s="1464" t="s">
        <v>4180</v>
      </c>
      <c r="U50" s="1464" t="s">
        <v>9434</v>
      </c>
      <c r="V50" s="1466" t="s">
        <v>1818</v>
      </c>
      <c r="W50" s="1466" t="s">
        <v>9435</v>
      </c>
      <c r="X50" s="1466" t="s">
        <v>9436</v>
      </c>
      <c r="Y50" s="1466" t="s">
        <v>8789</v>
      </c>
      <c r="Z50" s="1466" t="s">
        <v>9437</v>
      </c>
      <c r="AA50" s="1466" t="s">
        <v>9438</v>
      </c>
      <c r="AB50" s="1466" t="s">
        <v>9439</v>
      </c>
      <c r="AC50" s="1466" t="s">
        <v>936</v>
      </c>
      <c r="AD50" s="1466" t="s">
        <v>9370</v>
      </c>
      <c r="AE50" s="1466" t="s">
        <v>3261</v>
      </c>
      <c r="AF50" s="1464" t="s">
        <v>9440</v>
      </c>
      <c r="AG50" s="1466" t="s">
        <v>387</v>
      </c>
      <c r="AH50" s="1466" t="s">
        <v>9441</v>
      </c>
      <c r="AI50" s="1466" t="s">
        <v>9442</v>
      </c>
      <c r="AJ50" s="1466" t="s">
        <v>9443</v>
      </c>
      <c r="AK50" s="1466" t="s">
        <v>9444</v>
      </c>
      <c r="AL50" s="1466" t="s">
        <v>9445</v>
      </c>
      <c r="AM50" s="1466" t="s">
        <v>7225</v>
      </c>
      <c r="AN50" s="1466" t="s">
        <v>9055</v>
      </c>
      <c r="AO50" s="1480" t="str">
        <f>HYPERLINK("https://clips.twitch.tv/AltruisticEmpathicManateeDoritosChip","1:20.90")</f>
        <v>1:20.90</v>
      </c>
      <c r="AP50" s="1466" t="s">
        <v>9446</v>
      </c>
      <c r="AQ50" s="1466" t="s">
        <v>9447</v>
      </c>
      <c r="AR50" s="1466" t="s">
        <v>9448</v>
      </c>
      <c r="AS50" s="1466" t="s">
        <v>9022</v>
      </c>
      <c r="AT50" s="1466" t="s">
        <v>9449</v>
      </c>
      <c r="AU50" s="1466" t="s">
        <v>9450</v>
      </c>
      <c r="AV50" s="1464" t="str">
        <f t="shared" si="1"/>
        <v>2:40</v>
      </c>
      <c r="AW50" s="1537" t="s">
        <v>9451</v>
      </c>
    </row>
    <row r="51" ht="15.75" customHeight="1">
      <c r="A51" s="1503" t="s">
        <v>3714</v>
      </c>
      <c r="B51" s="1601" t="s">
        <v>8372</v>
      </c>
      <c r="C51" s="1611">
        <v>0.05123738425925926</v>
      </c>
      <c r="D51" s="1507" t="s">
        <v>9452</v>
      </c>
      <c r="E51" s="1507" t="s">
        <v>3923</v>
      </c>
      <c r="F51" s="1507" t="s">
        <v>9453</v>
      </c>
      <c r="G51" s="1507" t="s">
        <v>8832</v>
      </c>
      <c r="H51" s="1559" t="s">
        <v>9454</v>
      </c>
      <c r="I51" s="1559" t="s">
        <v>9117</v>
      </c>
      <c r="J51" s="1509" t="s">
        <v>9093</v>
      </c>
      <c r="K51" s="1509" t="s">
        <v>6903</v>
      </c>
      <c r="L51" s="1509" t="s">
        <v>9455</v>
      </c>
      <c r="M51" s="1509" t="s">
        <v>8763</v>
      </c>
      <c r="N51" s="1612" t="s">
        <v>1162</v>
      </c>
      <c r="O51" s="1509" t="s">
        <v>3403</v>
      </c>
      <c r="P51" s="1509" t="s">
        <v>8506</v>
      </c>
      <c r="Q51" s="1510" t="s">
        <v>9456</v>
      </c>
      <c r="R51" s="1510" t="s">
        <v>8846</v>
      </c>
      <c r="S51" s="1510" t="s">
        <v>9457</v>
      </c>
      <c r="T51" s="1510" t="s">
        <v>9458</v>
      </c>
      <c r="U51" s="1510" t="s">
        <v>9459</v>
      </c>
      <c r="V51" s="1510" t="s">
        <v>4205</v>
      </c>
      <c r="W51" s="1511" t="s">
        <v>9460</v>
      </c>
      <c r="X51" s="1511" t="s">
        <v>9461</v>
      </c>
      <c r="Y51" s="1511" t="s">
        <v>9462</v>
      </c>
      <c r="Z51" s="1511" t="s">
        <v>1260</v>
      </c>
      <c r="AA51" s="1511" t="s">
        <v>8725</v>
      </c>
      <c r="AB51" s="1511" t="s">
        <v>9202</v>
      </c>
      <c r="AC51" s="1511" t="s">
        <v>481</v>
      </c>
      <c r="AD51" s="1507" t="s">
        <v>9463</v>
      </c>
      <c r="AE51" s="1507" t="s">
        <v>6283</v>
      </c>
      <c r="AF51" s="1512" t="s">
        <v>9464</v>
      </c>
      <c r="AG51" s="1512" t="s">
        <v>9465</v>
      </c>
      <c r="AH51" s="1512" t="s">
        <v>9466</v>
      </c>
      <c r="AI51" s="1512" t="s">
        <v>311</v>
      </c>
      <c r="AJ51" s="1512" t="s">
        <v>9467</v>
      </c>
      <c r="AK51" s="1468" t="s">
        <v>8915</v>
      </c>
      <c r="AL51" s="1512" t="s">
        <v>8977</v>
      </c>
      <c r="AM51" s="1514" t="s">
        <v>9468</v>
      </c>
      <c r="AN51" s="1514" t="s">
        <v>566</v>
      </c>
      <c r="AO51" s="1514" t="s">
        <v>9469</v>
      </c>
      <c r="AP51" s="1514" t="s">
        <v>9470</v>
      </c>
      <c r="AQ51" s="1271" t="s">
        <v>9471</v>
      </c>
      <c r="AR51" s="1613" t="s">
        <v>9472</v>
      </c>
      <c r="AS51" s="1514" t="s">
        <v>9473</v>
      </c>
      <c r="AT51" s="1509" t="s">
        <v>9474</v>
      </c>
      <c r="AU51" s="1495" t="s">
        <v>9475</v>
      </c>
      <c r="AV51" s="1464" t="str">
        <f t="shared" si="1"/>
        <v>4:25</v>
      </c>
      <c r="AW51" s="1502" t="s">
        <v>9476</v>
      </c>
    </row>
    <row r="52" ht="15.75" customHeight="1">
      <c r="A52" s="1503" t="s">
        <v>1630</v>
      </c>
      <c r="B52" s="1614" t="s">
        <v>8423</v>
      </c>
      <c r="C52" s="1590">
        <v>0.051319444444444445</v>
      </c>
      <c r="D52" s="1271" t="s">
        <v>9477</v>
      </c>
      <c r="E52" s="1464" t="s">
        <v>9478</v>
      </c>
      <c r="F52" s="1464" t="s">
        <v>9479</v>
      </c>
      <c r="G52" s="1464" t="s">
        <v>9480</v>
      </c>
      <c r="H52" s="1464" t="s">
        <v>5045</v>
      </c>
      <c r="I52" s="1464" t="s">
        <v>6282</v>
      </c>
      <c r="J52" s="1464" t="s">
        <v>9481</v>
      </c>
      <c r="K52" s="1464" t="s">
        <v>8772</v>
      </c>
      <c r="L52" s="1464" t="s">
        <v>3834</v>
      </c>
      <c r="M52" s="1464" t="s">
        <v>9247</v>
      </c>
      <c r="N52" s="1464" t="s">
        <v>9035</v>
      </c>
      <c r="O52" s="1464" t="s">
        <v>9482</v>
      </c>
      <c r="P52" s="1615" t="s">
        <v>8433</v>
      </c>
      <c r="Q52" s="1464" t="s">
        <v>9483</v>
      </c>
      <c r="R52" s="1464" t="s">
        <v>9484</v>
      </c>
      <c r="S52" s="1464" t="s">
        <v>1160</v>
      </c>
      <c r="T52" s="1464" t="s">
        <v>9485</v>
      </c>
      <c r="U52" s="1464" t="s">
        <v>1007</v>
      </c>
      <c r="V52" s="1464" t="s">
        <v>451</v>
      </c>
      <c r="W52" s="1464" t="s">
        <v>9486</v>
      </c>
      <c r="X52" s="1464" t="s">
        <v>194</v>
      </c>
      <c r="Y52" s="1464" t="s">
        <v>9487</v>
      </c>
      <c r="Z52" s="1464" t="s">
        <v>7230</v>
      </c>
      <c r="AA52" s="1464" t="s">
        <v>6171</v>
      </c>
      <c r="AB52" s="1464" t="s">
        <v>4433</v>
      </c>
      <c r="AC52" s="1464" t="s">
        <v>6028</v>
      </c>
      <c r="AD52" s="1464" t="s">
        <v>9488</v>
      </c>
      <c r="AE52" s="1615" t="s">
        <v>8445</v>
      </c>
      <c r="AF52" s="1615" t="s">
        <v>2670</v>
      </c>
      <c r="AG52" s="1464" t="s">
        <v>4544</v>
      </c>
      <c r="AH52" s="1464" t="s">
        <v>9489</v>
      </c>
      <c r="AI52" s="1464" t="s">
        <v>9490</v>
      </c>
      <c r="AJ52" s="1464" t="s">
        <v>9491</v>
      </c>
      <c r="AK52" s="1464" t="s">
        <v>5867</v>
      </c>
      <c r="AL52" s="1464" t="s">
        <v>6045</v>
      </c>
      <c r="AM52" s="1615" t="s">
        <v>8450</v>
      </c>
      <c r="AN52" s="1466" t="s">
        <v>2468</v>
      </c>
      <c r="AO52" s="1464" t="s">
        <v>4876</v>
      </c>
      <c r="AP52" s="1464" t="s">
        <v>9492</v>
      </c>
      <c r="AQ52" s="1464" t="s">
        <v>9493</v>
      </c>
      <c r="AR52" s="1464" t="s">
        <v>8881</v>
      </c>
      <c r="AS52" s="1464" t="s">
        <v>4438</v>
      </c>
      <c r="AT52" s="1464" t="s">
        <v>9494</v>
      </c>
      <c r="AU52" s="1464" t="s">
        <v>9495</v>
      </c>
      <c r="AV52" s="1464" t="str">
        <f t="shared" si="1"/>
        <v>3:15</v>
      </c>
      <c r="AW52" s="1537" t="s">
        <v>9496</v>
      </c>
    </row>
    <row r="53">
      <c r="A53" s="1503" t="s">
        <v>1801</v>
      </c>
      <c r="B53" s="1501" t="s">
        <v>8372</v>
      </c>
      <c r="C53" s="1458">
        <v>0.05133101851851852</v>
      </c>
      <c r="D53" s="1600" t="s">
        <v>9497</v>
      </c>
      <c r="E53" s="1507" t="s">
        <v>9498</v>
      </c>
      <c r="F53" s="1507" t="s">
        <v>9499</v>
      </c>
      <c r="G53" s="1507" t="s">
        <v>9500</v>
      </c>
      <c r="H53" s="1559" t="s">
        <v>9501</v>
      </c>
      <c r="I53" s="1559" t="s">
        <v>2882</v>
      </c>
      <c r="J53" s="1509" t="s">
        <v>1934</v>
      </c>
      <c r="K53" s="1509" t="s">
        <v>9502</v>
      </c>
      <c r="L53" s="1509" t="s">
        <v>4168</v>
      </c>
      <c r="M53" s="1509" t="s">
        <v>9503</v>
      </c>
      <c r="N53" s="1509" t="s">
        <v>8617</v>
      </c>
      <c r="O53" s="1509" t="s">
        <v>9504</v>
      </c>
      <c r="P53" s="1509" t="s">
        <v>8550</v>
      </c>
      <c r="Q53" s="1510" t="s">
        <v>9505</v>
      </c>
      <c r="R53" s="1510" t="s">
        <v>9293</v>
      </c>
      <c r="S53" s="1510" t="s">
        <v>9506</v>
      </c>
      <c r="T53" s="1510" t="s">
        <v>9297</v>
      </c>
      <c r="U53" s="1510" t="s">
        <v>9507</v>
      </c>
      <c r="V53" s="1510" t="s">
        <v>9071</v>
      </c>
      <c r="W53" s="1511" t="s">
        <v>9508</v>
      </c>
      <c r="X53" s="1511" t="s">
        <v>9509</v>
      </c>
      <c r="Y53" s="1511" t="s">
        <v>5442</v>
      </c>
      <c r="Z53" s="1511" t="s">
        <v>1499</v>
      </c>
      <c r="AA53" s="1511" t="s">
        <v>9510</v>
      </c>
      <c r="AB53" s="1511" t="s">
        <v>6085</v>
      </c>
      <c r="AC53" s="1511" t="s">
        <v>261</v>
      </c>
      <c r="AD53" s="1507" t="s">
        <v>8818</v>
      </c>
      <c r="AE53" s="1507" t="s">
        <v>5442</v>
      </c>
      <c r="AF53" s="1512" t="s">
        <v>9511</v>
      </c>
      <c r="AG53" s="1512" t="s">
        <v>5700</v>
      </c>
      <c r="AH53" s="1512" t="s">
        <v>3999</v>
      </c>
      <c r="AI53" s="1512" t="s">
        <v>9512</v>
      </c>
      <c r="AJ53" s="1512" t="s">
        <v>9513</v>
      </c>
      <c r="AK53" s="1512" t="s">
        <v>9436</v>
      </c>
      <c r="AL53" s="1512" t="s">
        <v>4002</v>
      </c>
      <c r="AM53" s="1514" t="s">
        <v>9514</v>
      </c>
      <c r="AN53" s="1514" t="s">
        <v>4008</v>
      </c>
      <c r="AO53" s="1514" t="s">
        <v>9515</v>
      </c>
      <c r="AP53" s="1514" t="s">
        <v>9516</v>
      </c>
      <c r="AQ53" s="1514" t="s">
        <v>9109</v>
      </c>
      <c r="AR53" s="1514" t="s">
        <v>9517</v>
      </c>
      <c r="AS53" s="1514" t="s">
        <v>9518</v>
      </c>
      <c r="AT53" s="1509" t="s">
        <v>9519</v>
      </c>
      <c r="AU53" s="1495" t="s">
        <v>9520</v>
      </c>
      <c r="AV53" s="1464" t="str">
        <f t="shared" si="1"/>
        <v>1:34</v>
      </c>
      <c r="AW53" s="1589"/>
    </row>
    <row r="54">
      <c r="A54" s="1503" t="s">
        <v>2902</v>
      </c>
      <c r="B54" s="1501" t="s">
        <v>8372</v>
      </c>
      <c r="C54" s="1458">
        <v>0.05134259259259259</v>
      </c>
      <c r="D54" s="1507" t="s">
        <v>9521</v>
      </c>
      <c r="E54" s="1507" t="s">
        <v>6279</v>
      </c>
      <c r="F54" s="1507" t="s">
        <v>9522</v>
      </c>
      <c r="G54" s="1507" t="s">
        <v>9523</v>
      </c>
      <c r="H54" s="1507" t="s">
        <v>9524</v>
      </c>
      <c r="I54" s="1507" t="s">
        <v>1358</v>
      </c>
      <c r="J54" s="1509" t="s">
        <v>4950</v>
      </c>
      <c r="K54" s="1509" t="s">
        <v>7112</v>
      </c>
      <c r="L54" s="1509" t="s">
        <v>4779</v>
      </c>
      <c r="M54" s="1509" t="s">
        <v>3496</v>
      </c>
      <c r="N54" s="1509" t="s">
        <v>1996</v>
      </c>
      <c r="O54" s="1509" t="s">
        <v>9525</v>
      </c>
      <c r="P54" s="1509" t="s">
        <v>4501</v>
      </c>
      <c r="Q54" s="1510" t="s">
        <v>9526</v>
      </c>
      <c r="R54" s="1510" t="s">
        <v>2589</v>
      </c>
      <c r="S54" s="1510" t="s">
        <v>9527</v>
      </c>
      <c r="T54" s="1510" t="s">
        <v>9528</v>
      </c>
      <c r="U54" s="1510" t="s">
        <v>9392</v>
      </c>
      <c r="V54" s="1510" t="s">
        <v>9529</v>
      </c>
      <c r="W54" s="1511" t="s">
        <v>9530</v>
      </c>
      <c r="X54" s="1511" t="s">
        <v>8446</v>
      </c>
      <c r="Y54" s="1511" t="s">
        <v>9121</v>
      </c>
      <c r="Z54" s="1511" t="s">
        <v>2948</v>
      </c>
      <c r="AA54" s="1466" t="s">
        <v>587</v>
      </c>
      <c r="AB54" s="1511" t="s">
        <v>8813</v>
      </c>
      <c r="AC54" s="1511" t="s">
        <v>8995</v>
      </c>
      <c r="AD54" s="1507" t="s">
        <v>9531</v>
      </c>
      <c r="AE54" s="1507" t="s">
        <v>9532</v>
      </c>
      <c r="AF54" s="1512" t="s">
        <v>9533</v>
      </c>
      <c r="AG54" s="1512" t="s">
        <v>9534</v>
      </c>
      <c r="AH54" s="1512" t="s">
        <v>1825</v>
      </c>
      <c r="AI54" s="1512" t="s">
        <v>421</v>
      </c>
      <c r="AJ54" s="1512" t="s">
        <v>9535</v>
      </c>
      <c r="AK54" s="1512" t="s">
        <v>9536</v>
      </c>
      <c r="AL54" s="1512" t="s">
        <v>5585</v>
      </c>
      <c r="AM54" s="1514" t="s">
        <v>9537</v>
      </c>
      <c r="AN54" s="1514" t="s">
        <v>6239</v>
      </c>
      <c r="AO54" s="1514" t="s">
        <v>9538</v>
      </c>
      <c r="AP54" s="1514" t="s">
        <v>9539</v>
      </c>
      <c r="AQ54" s="1514" t="s">
        <v>9109</v>
      </c>
      <c r="AR54" s="1514" t="s">
        <v>9540</v>
      </c>
      <c r="AS54" s="1514" t="s">
        <v>1824</v>
      </c>
      <c r="AT54" s="1509" t="s">
        <v>9541</v>
      </c>
      <c r="AU54" s="1495" t="s">
        <v>9425</v>
      </c>
      <c r="AV54" s="1464" t="str">
        <f t="shared" si="1"/>
        <v>2:56</v>
      </c>
      <c r="AW54" s="1502" t="s">
        <v>9542</v>
      </c>
    </row>
    <row r="55" ht="15.75" customHeight="1">
      <c r="A55" s="1470" t="s">
        <v>1413</v>
      </c>
      <c r="B55" s="1614" t="s">
        <v>8423</v>
      </c>
      <c r="C55" s="1590">
        <v>0.05134259259259259</v>
      </c>
      <c r="D55" s="1271" t="s">
        <v>9543</v>
      </c>
      <c r="E55" s="1521" t="s">
        <v>9544</v>
      </c>
      <c r="F55" s="1521" t="s">
        <v>9522</v>
      </c>
      <c r="G55" s="1521" t="s">
        <v>9545</v>
      </c>
      <c r="H55" s="1508" t="s">
        <v>9546</v>
      </c>
      <c r="I55" s="1616" t="s">
        <v>350</v>
      </c>
      <c r="J55" s="1523" t="s">
        <v>9547</v>
      </c>
      <c r="K55" s="1523" t="s">
        <v>3852</v>
      </c>
      <c r="L55" s="1617" t="s">
        <v>3777</v>
      </c>
      <c r="M55" s="1523" t="s">
        <v>5571</v>
      </c>
      <c r="N55" s="1523" t="s">
        <v>9548</v>
      </c>
      <c r="O55" s="1617" t="s">
        <v>8432</v>
      </c>
      <c r="P55" s="1523" t="s">
        <v>388</v>
      </c>
      <c r="Q55" s="1524" t="s">
        <v>9549</v>
      </c>
      <c r="R55" s="1524" t="s">
        <v>1621</v>
      </c>
      <c r="S55" s="1524" t="s">
        <v>8952</v>
      </c>
      <c r="T55" s="1618" t="s">
        <v>8436</v>
      </c>
      <c r="U55" s="1524" t="s">
        <v>9550</v>
      </c>
      <c r="V55" s="1524" t="s">
        <v>4001</v>
      </c>
      <c r="W55" s="1619" t="s">
        <v>8439</v>
      </c>
      <c r="X55" s="1525" t="s">
        <v>4286</v>
      </c>
      <c r="Y55" s="1525" t="s">
        <v>6282</v>
      </c>
      <c r="Z55" s="1525" t="s">
        <v>7475</v>
      </c>
      <c r="AA55" s="1525" t="s">
        <v>8915</v>
      </c>
      <c r="AB55" s="1619" t="s">
        <v>8443</v>
      </c>
      <c r="AC55" s="1525" t="s">
        <v>6377</v>
      </c>
      <c r="AD55" s="1514" t="s">
        <v>9551</v>
      </c>
      <c r="AE55" s="1521" t="s">
        <v>9552</v>
      </c>
      <c r="AF55" s="1526" t="s">
        <v>9553</v>
      </c>
      <c r="AG55" s="1526" t="s">
        <v>9554</v>
      </c>
      <c r="AH55" s="1526" t="s">
        <v>6159</v>
      </c>
      <c r="AI55" s="1526" t="s">
        <v>9555</v>
      </c>
      <c r="AJ55" s="1526" t="s">
        <v>9556</v>
      </c>
      <c r="AK55" s="1620" t="s">
        <v>8448</v>
      </c>
      <c r="AL55" s="1526" t="s">
        <v>1564</v>
      </c>
      <c r="AM55" s="1513" t="s">
        <v>9418</v>
      </c>
      <c r="AN55" s="1514" t="s">
        <v>4105</v>
      </c>
      <c r="AO55" s="1513" t="s">
        <v>9557</v>
      </c>
      <c r="AP55" s="1513" t="s">
        <v>9558</v>
      </c>
      <c r="AQ55" s="1513" t="s">
        <v>9559</v>
      </c>
      <c r="AR55" s="1513" t="s">
        <v>8461</v>
      </c>
      <c r="AS55" s="1513" t="s">
        <v>4619</v>
      </c>
      <c r="AT55" s="1523" t="s">
        <v>9560</v>
      </c>
      <c r="AU55" s="1527" t="s">
        <v>9561</v>
      </c>
      <c r="AV55" s="1464" t="str">
        <f t="shared" si="1"/>
        <v>1:58</v>
      </c>
      <c r="AW55" s="1589"/>
    </row>
    <row r="56" ht="15.75" customHeight="1">
      <c r="A56" s="1456" t="s">
        <v>3211</v>
      </c>
      <c r="B56" s="1457" t="s">
        <v>8372</v>
      </c>
      <c r="C56" s="1590">
        <v>0.05134259259259259</v>
      </c>
      <c r="D56" s="1271" t="s">
        <v>9562</v>
      </c>
      <c r="E56" s="1464" t="s">
        <v>9563</v>
      </c>
      <c r="F56" s="1464" t="s">
        <v>9564</v>
      </c>
      <c r="G56" s="1464" t="s">
        <v>7519</v>
      </c>
      <c r="H56" s="1464" t="s">
        <v>8606</v>
      </c>
      <c r="I56" s="1464" t="s">
        <v>6048</v>
      </c>
      <c r="J56" s="1464" t="s">
        <v>9565</v>
      </c>
      <c r="K56" s="1464" t="s">
        <v>3861</v>
      </c>
      <c r="L56" s="1464" t="s">
        <v>9566</v>
      </c>
      <c r="M56" s="1464" t="s">
        <v>9567</v>
      </c>
      <c r="N56" s="1464" t="s">
        <v>2750</v>
      </c>
      <c r="O56" s="1464" t="s">
        <v>9568</v>
      </c>
      <c r="P56" s="1464" t="s">
        <v>1087</v>
      </c>
      <c r="Q56" s="1464" t="s">
        <v>2458</v>
      </c>
      <c r="R56" s="1464" t="s">
        <v>9293</v>
      </c>
      <c r="S56" s="1464" t="s">
        <v>9159</v>
      </c>
      <c r="T56" s="1464" t="s">
        <v>9569</v>
      </c>
      <c r="U56" s="1464" t="s">
        <v>9570</v>
      </c>
      <c r="V56" s="1464" t="s">
        <v>4103</v>
      </c>
      <c r="W56" s="1464" t="s">
        <v>9571</v>
      </c>
      <c r="X56" s="1464" t="s">
        <v>9572</v>
      </c>
      <c r="Y56" s="1464" t="s">
        <v>388</v>
      </c>
      <c r="Z56" s="1464" t="s">
        <v>6907</v>
      </c>
      <c r="AA56" s="1464" t="s">
        <v>9104</v>
      </c>
      <c r="AB56" s="1464" t="s">
        <v>8491</v>
      </c>
      <c r="AC56" s="1464" t="s">
        <v>936</v>
      </c>
      <c r="AD56" s="1464" t="s">
        <v>9573</v>
      </c>
      <c r="AE56" s="1464" t="s">
        <v>388</v>
      </c>
      <c r="AF56" s="1464" t="s">
        <v>9574</v>
      </c>
      <c r="AG56" s="1464" t="s">
        <v>9575</v>
      </c>
      <c r="AH56" s="1464" t="s">
        <v>5162</v>
      </c>
      <c r="AI56" s="1464" t="s">
        <v>9576</v>
      </c>
      <c r="AJ56" s="1464" t="s">
        <v>9513</v>
      </c>
      <c r="AK56" s="1464" t="s">
        <v>7251</v>
      </c>
      <c r="AL56" s="1464" t="s">
        <v>3183</v>
      </c>
      <c r="AM56" s="1464" t="s">
        <v>4130</v>
      </c>
      <c r="AN56" s="1464" t="s">
        <v>9577</v>
      </c>
      <c r="AO56" s="1464" t="s">
        <v>8611</v>
      </c>
      <c r="AP56" s="1464" t="s">
        <v>9578</v>
      </c>
      <c r="AQ56" s="1464" t="s">
        <v>9579</v>
      </c>
      <c r="AR56" s="1464" t="s">
        <v>9580</v>
      </c>
      <c r="AS56" s="1513" t="s">
        <v>4410</v>
      </c>
      <c r="AT56" s="1464" t="s">
        <v>9581</v>
      </c>
      <c r="AU56" s="1464" t="s">
        <v>8752</v>
      </c>
      <c r="AV56" s="1464" t="str">
        <f t="shared" si="1"/>
        <v>2:27</v>
      </c>
      <c r="AW56" s="1537"/>
    </row>
    <row r="57" ht="15.75" customHeight="1">
      <c r="A57" s="1503" t="s">
        <v>1255</v>
      </c>
      <c r="B57" s="1497" t="s">
        <v>8423</v>
      </c>
      <c r="C57" s="1458">
        <v>0.05140046296296296</v>
      </c>
      <c r="D57" s="1466" t="s">
        <v>9582</v>
      </c>
      <c r="E57" s="1466" t="s">
        <v>1656</v>
      </c>
      <c r="F57" s="1466" t="s">
        <v>9583</v>
      </c>
      <c r="G57" s="1603" t="s">
        <v>8427</v>
      </c>
      <c r="H57" s="1271" t="s">
        <v>9584</v>
      </c>
      <c r="I57" s="1466" t="s">
        <v>1753</v>
      </c>
      <c r="J57" s="1603" t="s">
        <v>8429</v>
      </c>
      <c r="K57" s="1466" t="s">
        <v>9585</v>
      </c>
      <c r="L57" s="1466" t="s">
        <v>9586</v>
      </c>
      <c r="M57" s="1603" t="s">
        <v>8430</v>
      </c>
      <c r="N57" s="1466" t="s">
        <v>9587</v>
      </c>
      <c r="O57" s="1466" t="s">
        <v>9588</v>
      </c>
      <c r="P57" s="1466" t="s">
        <v>1048</v>
      </c>
      <c r="Q57" s="1466" t="s">
        <v>9389</v>
      </c>
      <c r="R57" s="1466" t="s">
        <v>9589</v>
      </c>
      <c r="S57" s="1466" t="s">
        <v>9590</v>
      </c>
      <c r="T57" s="1466" t="s">
        <v>3263</v>
      </c>
      <c r="U57" s="1466" t="s">
        <v>9308</v>
      </c>
      <c r="V57" s="1466" t="s">
        <v>5695</v>
      </c>
      <c r="W57" s="1466" t="s">
        <v>9591</v>
      </c>
      <c r="X57" s="1466" t="s">
        <v>625</v>
      </c>
      <c r="Y57" s="1466" t="s">
        <v>9592</v>
      </c>
      <c r="Z57" s="1466" t="s">
        <v>9593</v>
      </c>
      <c r="AA57" s="1621" t="s">
        <v>8442</v>
      </c>
      <c r="AB57" s="1466" t="s">
        <v>5849</v>
      </c>
      <c r="AC57" s="1466" t="s">
        <v>9594</v>
      </c>
      <c r="AD57" s="1466" t="s">
        <v>8734</v>
      </c>
      <c r="AE57" s="1466" t="s">
        <v>2595</v>
      </c>
      <c r="AF57" s="1466" t="s">
        <v>9595</v>
      </c>
      <c r="AG57" s="1603" t="s">
        <v>4603</v>
      </c>
      <c r="AH57" s="1603" t="s">
        <v>5170</v>
      </c>
      <c r="AI57" s="1466" t="s">
        <v>9596</v>
      </c>
      <c r="AJ57" s="1466" t="s">
        <v>9597</v>
      </c>
      <c r="AK57" s="1466" t="s">
        <v>7454</v>
      </c>
      <c r="AL57" s="1466" t="s">
        <v>3833</v>
      </c>
      <c r="AM57" s="1466" t="s">
        <v>9598</v>
      </c>
      <c r="AN57" s="1466" t="s">
        <v>3655</v>
      </c>
      <c r="AO57" s="1603" t="s">
        <v>8452</v>
      </c>
      <c r="AP57" s="1622" t="s">
        <v>8453</v>
      </c>
      <c r="AQ57" s="1466" t="s">
        <v>3287</v>
      </c>
      <c r="AR57" s="1466" t="s">
        <v>1617</v>
      </c>
      <c r="AS57" s="1466" t="s">
        <v>5134</v>
      </c>
      <c r="AT57" s="1466" t="s">
        <v>9599</v>
      </c>
      <c r="AU57" s="1466" t="s">
        <v>8752</v>
      </c>
      <c r="AV57" s="1464" t="str">
        <f t="shared" si="1"/>
        <v>2:22</v>
      </c>
      <c r="AW57" s="1499" t="s">
        <v>9600</v>
      </c>
    </row>
    <row r="58" ht="15.75" customHeight="1">
      <c r="A58" s="1503" t="s">
        <v>3986</v>
      </c>
      <c r="B58" s="1501" t="s">
        <v>8372</v>
      </c>
      <c r="C58" s="1458">
        <v>0.05153935185185185</v>
      </c>
      <c r="D58" s="1536" t="s">
        <v>9601</v>
      </c>
      <c r="E58" s="1536" t="s">
        <v>6562</v>
      </c>
      <c r="F58" s="1536" t="s">
        <v>9602</v>
      </c>
      <c r="G58" s="1536" t="s">
        <v>4884</v>
      </c>
      <c r="H58" s="1271" t="s">
        <v>9603</v>
      </c>
      <c r="I58" s="1536" t="s">
        <v>1358</v>
      </c>
      <c r="J58" s="1536" t="s">
        <v>9604</v>
      </c>
      <c r="K58" s="1536" t="s">
        <v>3529</v>
      </c>
      <c r="L58" s="1536" t="s">
        <v>4205</v>
      </c>
      <c r="M58" s="1536" t="s">
        <v>7040</v>
      </c>
      <c r="N58" s="1536" t="s">
        <v>9605</v>
      </c>
      <c r="O58" s="1536" t="s">
        <v>3769</v>
      </c>
      <c r="P58" s="1536" t="s">
        <v>6875</v>
      </c>
      <c r="Q58" s="1536" t="s">
        <v>9606</v>
      </c>
      <c r="R58" s="1536" t="s">
        <v>3337</v>
      </c>
      <c r="S58" s="1623" t="s">
        <v>9245</v>
      </c>
      <c r="T58" s="1536" t="s">
        <v>9054</v>
      </c>
      <c r="U58" s="1536" t="s">
        <v>9607</v>
      </c>
      <c r="V58" s="1536" t="s">
        <v>1783</v>
      </c>
      <c r="W58" s="1536" t="s">
        <v>9608</v>
      </c>
      <c r="X58" s="1536" t="s">
        <v>1674</v>
      </c>
      <c r="Y58" s="1536" t="s">
        <v>3542</v>
      </c>
      <c r="Z58" s="1536" t="s">
        <v>7221</v>
      </c>
      <c r="AA58" s="1536" t="s">
        <v>894</v>
      </c>
      <c r="AB58" s="1536" t="s">
        <v>9609</v>
      </c>
      <c r="AC58" s="1536" t="s">
        <v>9594</v>
      </c>
      <c r="AD58" s="1536" t="s">
        <v>9610</v>
      </c>
      <c r="AE58" s="1536" t="s">
        <v>4891</v>
      </c>
      <c r="AF58" s="1460" t="s">
        <v>9611</v>
      </c>
      <c r="AG58" s="1536" t="s">
        <v>9612</v>
      </c>
      <c r="AH58" s="1536" t="s">
        <v>9613</v>
      </c>
      <c r="AI58" s="1536" t="s">
        <v>9614</v>
      </c>
      <c r="AJ58" s="1536" t="s">
        <v>9615</v>
      </c>
      <c r="AK58" s="1536" t="s">
        <v>5004</v>
      </c>
      <c r="AL58" s="1536" t="s">
        <v>9420</v>
      </c>
      <c r="AM58" s="1536" t="s">
        <v>9596</v>
      </c>
      <c r="AN58" s="1536" t="s">
        <v>2584</v>
      </c>
      <c r="AO58" s="1536" t="s">
        <v>5609</v>
      </c>
      <c r="AP58" s="1623" t="s">
        <v>9356</v>
      </c>
      <c r="AQ58" s="1536" t="s">
        <v>9616</v>
      </c>
      <c r="AR58" s="1536" t="s">
        <v>4950</v>
      </c>
      <c r="AS58" s="1536" t="s">
        <v>9022</v>
      </c>
      <c r="AT58" s="1536" t="s">
        <v>9617</v>
      </c>
      <c r="AU58" s="1536" t="s">
        <v>9618</v>
      </c>
      <c r="AV58" s="1624" t="str">
        <f t="shared" si="1"/>
        <v>2:41</v>
      </c>
      <c r="AW58" s="1625" t="s">
        <v>9619</v>
      </c>
    </row>
    <row r="59" ht="15.75" customHeight="1">
      <c r="A59" s="1456" t="s">
        <v>1945</v>
      </c>
      <c r="B59" s="1457" t="s">
        <v>8372</v>
      </c>
      <c r="C59" s="1458">
        <v>0.05157407407407407</v>
      </c>
      <c r="D59" s="1271" t="s">
        <v>9620</v>
      </c>
      <c r="E59" s="1507" t="s">
        <v>9621</v>
      </c>
      <c r="F59" s="1507" t="s">
        <v>9622</v>
      </c>
      <c r="G59" s="1521" t="s">
        <v>9115</v>
      </c>
      <c r="H59" s="1508" t="s">
        <v>9623</v>
      </c>
      <c r="I59" s="1508" t="s">
        <v>2021</v>
      </c>
      <c r="J59" s="1523" t="s">
        <v>5412</v>
      </c>
      <c r="K59" s="1523" t="s">
        <v>3457</v>
      </c>
      <c r="L59" s="1523" t="s">
        <v>9624</v>
      </c>
      <c r="M59" s="1523" t="s">
        <v>9290</v>
      </c>
      <c r="N59" s="1523" t="s">
        <v>1229</v>
      </c>
      <c r="O59" s="1523" t="s">
        <v>9591</v>
      </c>
      <c r="P59" s="1523" t="s">
        <v>8595</v>
      </c>
      <c r="Q59" s="1524" t="s">
        <v>9625</v>
      </c>
      <c r="R59" s="1524" t="s">
        <v>9626</v>
      </c>
      <c r="S59" s="1524" t="s">
        <v>9627</v>
      </c>
      <c r="T59" s="1524" t="s">
        <v>7225</v>
      </c>
      <c r="U59" s="1524" t="s">
        <v>7158</v>
      </c>
      <c r="V59" s="1524" t="s">
        <v>5076</v>
      </c>
      <c r="W59" s="1525" t="s">
        <v>9628</v>
      </c>
      <c r="X59" s="1525" t="s">
        <v>9629</v>
      </c>
      <c r="Y59" s="1525" t="s">
        <v>9487</v>
      </c>
      <c r="Z59" s="1525" t="s">
        <v>8443</v>
      </c>
      <c r="AA59" s="1525" t="s">
        <v>5903</v>
      </c>
      <c r="AB59" s="1525" t="s">
        <v>5621</v>
      </c>
      <c r="AC59" s="1525" t="s">
        <v>6214</v>
      </c>
      <c r="AD59" s="1507" t="s">
        <v>9630</v>
      </c>
      <c r="AE59" s="1521" t="s">
        <v>5463</v>
      </c>
      <c r="AF59" s="1526" t="s">
        <v>9631</v>
      </c>
      <c r="AG59" s="1526" t="s">
        <v>9632</v>
      </c>
      <c r="AH59" s="1526" t="s">
        <v>9633</v>
      </c>
      <c r="AI59" s="1526" t="s">
        <v>1039</v>
      </c>
      <c r="AJ59" s="1526" t="s">
        <v>9634</v>
      </c>
      <c r="AK59" s="1512" t="s">
        <v>625</v>
      </c>
      <c r="AL59" s="1512" t="s">
        <v>9635</v>
      </c>
      <c r="AM59" s="1513" t="s">
        <v>3582</v>
      </c>
      <c r="AN59" s="1513" t="s">
        <v>9636</v>
      </c>
      <c r="AO59" s="1513" t="s">
        <v>9637</v>
      </c>
      <c r="AP59" s="1513" t="s">
        <v>9638</v>
      </c>
      <c r="AQ59" s="1513" t="s">
        <v>9639</v>
      </c>
      <c r="AR59" s="1514" t="s">
        <v>7717</v>
      </c>
      <c r="AS59" s="1513" t="s">
        <v>4410</v>
      </c>
      <c r="AT59" s="1523" t="s">
        <v>9640</v>
      </c>
      <c r="AU59" s="1527" t="s">
        <v>9641</v>
      </c>
      <c r="AV59" s="1464" t="str">
        <f t="shared" si="1"/>
        <v>4:40</v>
      </c>
      <c r="AW59" s="1589" t="s">
        <v>9642</v>
      </c>
    </row>
    <row r="60" ht="15.75" customHeight="1">
      <c r="A60" s="1503" t="s">
        <v>9643</v>
      </c>
      <c r="B60" s="1501" t="s">
        <v>8372</v>
      </c>
      <c r="C60" s="1458">
        <v>0.051631944444444446</v>
      </c>
      <c r="D60" s="1507" t="s">
        <v>9644</v>
      </c>
      <c r="E60" s="1507" t="s">
        <v>6429</v>
      </c>
      <c r="F60" s="1507" t="s">
        <v>8602</v>
      </c>
      <c r="G60" s="1507" t="s">
        <v>9645</v>
      </c>
      <c r="H60" s="1559" t="s">
        <v>9646</v>
      </c>
      <c r="I60" s="1559" t="s">
        <v>9647</v>
      </c>
      <c r="J60" s="1509" t="s">
        <v>9648</v>
      </c>
      <c r="K60" s="1509" t="s">
        <v>7454</v>
      </c>
      <c r="L60" s="1509" t="s">
        <v>4457</v>
      </c>
      <c r="M60" s="1509" t="s">
        <v>9649</v>
      </c>
      <c r="N60" s="1509" t="s">
        <v>6163</v>
      </c>
      <c r="O60" s="1509" t="s">
        <v>9650</v>
      </c>
      <c r="P60" s="1509" t="s">
        <v>6462</v>
      </c>
      <c r="Q60" s="1510" t="s">
        <v>9651</v>
      </c>
      <c r="R60" s="1510" t="s">
        <v>9484</v>
      </c>
      <c r="S60" s="1510" t="s">
        <v>5535</v>
      </c>
      <c r="T60" s="1510" t="s">
        <v>6018</v>
      </c>
      <c r="U60" s="1510" t="s">
        <v>9652</v>
      </c>
      <c r="V60" s="1510" t="s">
        <v>9653</v>
      </c>
      <c r="W60" s="1511" t="s">
        <v>9654</v>
      </c>
      <c r="X60" s="1511" t="s">
        <v>625</v>
      </c>
      <c r="Y60" s="1511" t="s">
        <v>5065</v>
      </c>
      <c r="Z60" s="1511" t="s">
        <v>9655</v>
      </c>
      <c r="AA60" s="1466" t="s">
        <v>9656</v>
      </c>
      <c r="AB60" s="1511" t="s">
        <v>9255</v>
      </c>
      <c r="AC60" s="1511" t="s">
        <v>4678</v>
      </c>
      <c r="AD60" s="1507" t="s">
        <v>9657</v>
      </c>
      <c r="AE60" s="1507" t="s">
        <v>8905</v>
      </c>
      <c r="AF60" s="1626" t="s">
        <v>9658</v>
      </c>
      <c r="AG60" s="1512" t="s">
        <v>6532</v>
      </c>
      <c r="AH60" s="1512" t="s">
        <v>9633</v>
      </c>
      <c r="AI60" s="1512" t="s">
        <v>4053</v>
      </c>
      <c r="AJ60" s="1512" t="s">
        <v>9659</v>
      </c>
      <c r="AK60" s="1512" t="s">
        <v>1520</v>
      </c>
      <c r="AL60" s="1512" t="s">
        <v>3434</v>
      </c>
      <c r="AM60" s="1514" t="s">
        <v>5903</v>
      </c>
      <c r="AN60" s="1514" t="s">
        <v>5585</v>
      </c>
      <c r="AO60" s="1514" t="s">
        <v>6365</v>
      </c>
      <c r="AP60" s="1514" t="s">
        <v>9660</v>
      </c>
      <c r="AQ60" s="1514" t="s">
        <v>3465</v>
      </c>
      <c r="AR60" s="1514" t="s">
        <v>9221</v>
      </c>
      <c r="AS60" s="1514" t="s">
        <v>4028</v>
      </c>
      <c r="AT60" s="1509" t="s">
        <v>9661</v>
      </c>
      <c r="AU60" s="1495" t="s">
        <v>9662</v>
      </c>
      <c r="AV60" s="1464" t="str">
        <f t="shared" si="1"/>
        <v>2:25</v>
      </c>
      <c r="AW60" s="1586" t="s">
        <v>9663</v>
      </c>
    </row>
    <row r="61" ht="15.75" customHeight="1">
      <c r="A61" s="1540" t="s">
        <v>9664</v>
      </c>
      <c r="B61" s="1457" t="s">
        <v>8372</v>
      </c>
      <c r="C61" s="1590">
        <v>0.051631944444444446</v>
      </c>
      <c r="D61" s="1271" t="s">
        <v>9665</v>
      </c>
      <c r="E61" s="1624" t="s">
        <v>9666</v>
      </c>
      <c r="F61" s="1624" t="s">
        <v>8453</v>
      </c>
      <c r="G61" s="1624" t="s">
        <v>9667</v>
      </c>
      <c r="H61" s="1624" t="s">
        <v>9668</v>
      </c>
      <c r="I61" s="1624" t="s">
        <v>9594</v>
      </c>
      <c r="J61" s="1624" t="s">
        <v>3458</v>
      </c>
      <c r="K61" s="1624" t="s">
        <v>9669</v>
      </c>
      <c r="L61" s="1624" t="s">
        <v>5305</v>
      </c>
      <c r="M61" s="1624" t="s">
        <v>709</v>
      </c>
      <c r="N61" s="1624" t="s">
        <v>9670</v>
      </c>
      <c r="O61" s="1624" t="s">
        <v>4687</v>
      </c>
      <c r="P61" s="1624" t="s">
        <v>8406</v>
      </c>
      <c r="Q61" s="1624" t="s">
        <v>9671</v>
      </c>
      <c r="R61" s="1624" t="s">
        <v>9672</v>
      </c>
      <c r="S61" s="1624" t="s">
        <v>9448</v>
      </c>
      <c r="T61" s="1624" t="s">
        <v>9514</v>
      </c>
      <c r="U61" s="1624" t="s">
        <v>9673</v>
      </c>
      <c r="V61" s="1624" t="s">
        <v>9674</v>
      </c>
      <c r="W61" s="1624" t="s">
        <v>9675</v>
      </c>
      <c r="X61" s="1624" t="s">
        <v>9596</v>
      </c>
      <c r="Y61" s="1624" t="s">
        <v>4678</v>
      </c>
      <c r="Z61" s="1624" t="s">
        <v>7149</v>
      </c>
      <c r="AA61" s="1624" t="s">
        <v>9017</v>
      </c>
      <c r="AB61" s="1624" t="s">
        <v>9676</v>
      </c>
      <c r="AC61" s="1624" t="s">
        <v>388</v>
      </c>
      <c r="AD61" s="1624" t="s">
        <v>5941</v>
      </c>
      <c r="AE61" s="1624" t="s">
        <v>2882</v>
      </c>
      <c r="AF61" s="1624" t="s">
        <v>9362</v>
      </c>
      <c r="AG61" s="1624" t="s">
        <v>9677</v>
      </c>
      <c r="AH61" s="1624" t="s">
        <v>5346</v>
      </c>
      <c r="AI61" s="1624" t="s">
        <v>4072</v>
      </c>
      <c r="AJ61" s="1624" t="s">
        <v>9678</v>
      </c>
      <c r="AK61" s="1624" t="s">
        <v>9510</v>
      </c>
      <c r="AL61" s="1624" t="s">
        <v>4482</v>
      </c>
      <c r="AM61" s="1624" t="s">
        <v>9679</v>
      </c>
      <c r="AN61" s="1624" t="s">
        <v>8235</v>
      </c>
      <c r="AO61" s="1624" t="s">
        <v>5084</v>
      </c>
      <c r="AP61" s="1624" t="s">
        <v>9680</v>
      </c>
      <c r="AQ61" s="1624" t="s">
        <v>3548</v>
      </c>
      <c r="AR61" s="1624" t="s">
        <v>9037</v>
      </c>
      <c r="AS61" s="1624" t="s">
        <v>4664</v>
      </c>
      <c r="AT61" s="1624" t="s">
        <v>9681</v>
      </c>
      <c r="AU61" s="1627" t="str">
        <f>HYPERLINK("https://splits.io/pc9","1:16:48")</f>
        <v>1:16:48</v>
      </c>
      <c r="AV61" s="1624" t="str">
        <f t="shared" si="1"/>
        <v>2:27</v>
      </c>
      <c r="AW61" s="1628" t="s">
        <v>9682</v>
      </c>
    </row>
    <row r="62" ht="15.75" customHeight="1">
      <c r="A62" s="1456" t="s">
        <v>5618</v>
      </c>
      <c r="B62" s="1457" t="s">
        <v>8372</v>
      </c>
      <c r="C62" s="1590">
        <v>0.051631944444444446</v>
      </c>
      <c r="D62" s="1271" t="s">
        <v>9683</v>
      </c>
      <c r="E62" s="1624" t="s">
        <v>6562</v>
      </c>
      <c r="F62" s="1624" t="s">
        <v>9684</v>
      </c>
      <c r="G62" s="1624" t="s">
        <v>5249</v>
      </c>
      <c r="H62" s="1624" t="s">
        <v>9268</v>
      </c>
      <c r="I62" s="1624" t="s">
        <v>4678</v>
      </c>
      <c r="J62" s="1624" t="s">
        <v>8592</v>
      </c>
      <c r="K62" s="1624" t="s">
        <v>8271</v>
      </c>
      <c r="L62" s="1624" t="s">
        <v>5714</v>
      </c>
      <c r="M62" s="1624" t="s">
        <v>865</v>
      </c>
      <c r="N62" s="1624" t="s">
        <v>9685</v>
      </c>
      <c r="O62" s="1624" t="s">
        <v>9482</v>
      </c>
      <c r="P62" s="1624" t="s">
        <v>9365</v>
      </c>
      <c r="Q62" s="1624" t="s">
        <v>9686</v>
      </c>
      <c r="R62" s="1624" t="s">
        <v>9626</v>
      </c>
      <c r="S62" s="1624" t="s">
        <v>7104</v>
      </c>
      <c r="T62" s="1624" t="s">
        <v>9687</v>
      </c>
      <c r="U62" s="1624" t="s">
        <v>9688</v>
      </c>
      <c r="V62" s="1624" t="s">
        <v>9689</v>
      </c>
      <c r="W62" s="1624" t="s">
        <v>9690</v>
      </c>
      <c r="X62" s="1624" t="s">
        <v>9691</v>
      </c>
      <c r="Y62" s="1624" t="s">
        <v>1166</v>
      </c>
      <c r="Z62" s="1624" t="s">
        <v>4769</v>
      </c>
      <c r="AA62" s="1624" t="s">
        <v>9692</v>
      </c>
      <c r="AB62" s="1624" t="s">
        <v>7178</v>
      </c>
      <c r="AC62" s="1624" t="s">
        <v>9693</v>
      </c>
      <c r="AD62" s="1624" t="s">
        <v>9694</v>
      </c>
      <c r="AE62" s="1536" t="s">
        <v>5442</v>
      </c>
      <c r="AF62" s="1624" t="s">
        <v>9695</v>
      </c>
      <c r="AG62" s="1624" t="s">
        <v>9696</v>
      </c>
      <c r="AH62" s="1624" t="s">
        <v>2204</v>
      </c>
      <c r="AI62" s="1624" t="s">
        <v>5171</v>
      </c>
      <c r="AJ62" s="1624" t="s">
        <v>8052</v>
      </c>
      <c r="AK62" s="1624" t="s">
        <v>1705</v>
      </c>
      <c r="AL62" s="1624" t="s">
        <v>5585</v>
      </c>
      <c r="AM62" s="1624" t="s">
        <v>9697</v>
      </c>
      <c r="AN62" s="1624" t="s">
        <v>9698</v>
      </c>
      <c r="AO62" s="1624" t="s">
        <v>8640</v>
      </c>
      <c r="AP62" s="1624" t="s">
        <v>9699</v>
      </c>
      <c r="AQ62" s="1624" t="s">
        <v>9700</v>
      </c>
      <c r="AR62" s="1624" t="s">
        <v>4755</v>
      </c>
      <c r="AS62" s="1624" t="s">
        <v>2952</v>
      </c>
      <c r="AT62" s="1624" t="s">
        <v>9701</v>
      </c>
      <c r="AU62" s="1624" t="s">
        <v>9702</v>
      </c>
      <c r="AV62" s="1624" t="str">
        <f t="shared" si="1"/>
        <v>3:33</v>
      </c>
      <c r="AW62" s="1628"/>
    </row>
    <row r="63" ht="15.75" customHeight="1">
      <c r="A63" s="1456" t="s">
        <v>4209</v>
      </c>
      <c r="B63" s="1457" t="s">
        <v>8372</v>
      </c>
      <c r="C63" s="1590">
        <v>0.05164351851851852</v>
      </c>
      <c r="D63" s="1271" t="s">
        <v>9703</v>
      </c>
      <c r="E63" s="1624" t="s">
        <v>8541</v>
      </c>
      <c r="F63" s="1624" t="s">
        <v>9704</v>
      </c>
      <c r="G63" s="1624" t="s">
        <v>8427</v>
      </c>
      <c r="H63" s="1624" t="s">
        <v>9705</v>
      </c>
      <c r="I63" s="1624" t="s">
        <v>1358</v>
      </c>
      <c r="J63" s="1624" t="s">
        <v>804</v>
      </c>
      <c r="K63" s="1624" t="s">
        <v>7066</v>
      </c>
      <c r="L63" s="1624" t="s">
        <v>3583</v>
      </c>
      <c r="M63" s="1624" t="s">
        <v>9649</v>
      </c>
      <c r="N63" s="1624" t="s">
        <v>8695</v>
      </c>
      <c r="O63" s="1624" t="s">
        <v>9369</v>
      </c>
      <c r="P63" s="1624" t="s">
        <v>5117</v>
      </c>
      <c r="Q63" s="1624" t="s">
        <v>9706</v>
      </c>
      <c r="R63" s="1624" t="s">
        <v>3605</v>
      </c>
      <c r="S63" s="1624" t="s">
        <v>9707</v>
      </c>
      <c r="T63" s="1624" t="s">
        <v>9708</v>
      </c>
      <c r="U63" s="1624" t="s">
        <v>9709</v>
      </c>
      <c r="V63" s="1624" t="s">
        <v>9710</v>
      </c>
      <c r="W63" s="1624" t="s">
        <v>9711</v>
      </c>
      <c r="X63" s="1624" t="s">
        <v>604</v>
      </c>
      <c r="Y63" s="1624" t="s">
        <v>9712</v>
      </c>
      <c r="Z63" s="1624" t="s">
        <v>7475</v>
      </c>
      <c r="AA63" s="1624" t="s">
        <v>5538</v>
      </c>
      <c r="AB63" s="1624" t="s">
        <v>6366</v>
      </c>
      <c r="AC63" s="1624" t="s">
        <v>6502</v>
      </c>
      <c r="AD63" s="1624" t="s">
        <v>9713</v>
      </c>
      <c r="AE63" s="1624" t="s">
        <v>1916</v>
      </c>
      <c r="AF63" s="1624" t="s">
        <v>9714</v>
      </c>
      <c r="AG63" s="1624" t="s">
        <v>524</v>
      </c>
      <c r="AH63" s="1624" t="s">
        <v>5346</v>
      </c>
      <c r="AI63" s="1624" t="s">
        <v>9715</v>
      </c>
      <c r="AJ63" s="1624" t="s">
        <v>9716</v>
      </c>
      <c r="AK63" s="1624" t="s">
        <v>9717</v>
      </c>
      <c r="AL63" s="1624" t="s">
        <v>5114</v>
      </c>
      <c r="AM63" s="1624" t="s">
        <v>9163</v>
      </c>
      <c r="AN63" s="1624" t="s">
        <v>8758</v>
      </c>
      <c r="AO63" s="1624" t="s">
        <v>8461</v>
      </c>
      <c r="AP63" s="1624" t="s">
        <v>9718</v>
      </c>
      <c r="AQ63" s="1624" t="s">
        <v>9719</v>
      </c>
      <c r="AR63" s="1624" t="s">
        <v>3481</v>
      </c>
      <c r="AS63" s="1624" t="s">
        <v>9720</v>
      </c>
      <c r="AT63" s="1624" t="s">
        <v>9511</v>
      </c>
      <c r="AU63" s="1624" t="s">
        <v>9721</v>
      </c>
      <c r="AV63" s="1624" t="str">
        <f t="shared" si="1"/>
        <v>3:13</v>
      </c>
      <c r="AW63" s="1628" t="s">
        <v>9722</v>
      </c>
    </row>
    <row r="64" ht="15.75" customHeight="1">
      <c r="A64" s="1470" t="s">
        <v>826</v>
      </c>
      <c r="B64" s="1614" t="s">
        <v>8423</v>
      </c>
      <c r="C64" s="1590">
        <v>0.05167824074074074</v>
      </c>
      <c r="D64" s="1271" t="s">
        <v>9723</v>
      </c>
      <c r="E64" s="1624" t="s">
        <v>9724</v>
      </c>
      <c r="F64" s="1624" t="s">
        <v>9725</v>
      </c>
      <c r="G64" s="1624" t="s">
        <v>9726</v>
      </c>
      <c r="H64" s="1624" t="s">
        <v>9727</v>
      </c>
      <c r="I64" s="1624" t="s">
        <v>1904</v>
      </c>
      <c r="J64" s="1624" t="s">
        <v>9587</v>
      </c>
      <c r="K64" s="1624" t="s">
        <v>8672</v>
      </c>
      <c r="L64" s="1624" t="s">
        <v>1818</v>
      </c>
      <c r="M64" s="1624" t="s">
        <v>7210</v>
      </c>
      <c r="N64" s="1624" t="s">
        <v>9728</v>
      </c>
      <c r="O64" s="1624" t="s">
        <v>9729</v>
      </c>
      <c r="P64" s="1624" t="s">
        <v>2408</v>
      </c>
      <c r="Q64" s="1624" t="s">
        <v>718</v>
      </c>
      <c r="R64" s="1624" t="s">
        <v>9730</v>
      </c>
      <c r="S64" s="1624" t="s">
        <v>9731</v>
      </c>
      <c r="T64" s="1624" t="s">
        <v>9732</v>
      </c>
      <c r="U64" s="1624" t="s">
        <v>9323</v>
      </c>
      <c r="V64" s="1624" t="s">
        <v>486</v>
      </c>
      <c r="W64" s="1624" t="s">
        <v>5743</v>
      </c>
      <c r="X64" s="1624" t="s">
        <v>9733</v>
      </c>
      <c r="Y64" s="1624" t="s">
        <v>870</v>
      </c>
      <c r="Z64" s="1624" t="s">
        <v>3962</v>
      </c>
      <c r="AA64" s="1624" t="s">
        <v>1618</v>
      </c>
      <c r="AB64" s="1624" t="s">
        <v>8967</v>
      </c>
      <c r="AC64" s="1624" t="s">
        <v>9734</v>
      </c>
      <c r="AD64" s="1536" t="s">
        <v>9735</v>
      </c>
      <c r="AE64" s="1624" t="s">
        <v>1930</v>
      </c>
      <c r="AF64" s="1624" t="s">
        <v>9206</v>
      </c>
      <c r="AG64" s="1624" t="s">
        <v>6642</v>
      </c>
      <c r="AH64" s="1624" t="s">
        <v>4457</v>
      </c>
      <c r="AI64" s="1624" t="s">
        <v>6149</v>
      </c>
      <c r="AJ64" s="1624" t="s">
        <v>9736</v>
      </c>
      <c r="AK64" s="1624" t="s">
        <v>4931</v>
      </c>
      <c r="AL64" s="1624" t="s">
        <v>5170</v>
      </c>
      <c r="AM64" s="1624" t="s">
        <v>9737</v>
      </c>
      <c r="AN64" s="1624" t="s">
        <v>9738</v>
      </c>
      <c r="AO64" s="1624" t="s">
        <v>9739</v>
      </c>
      <c r="AP64" s="1624" t="s">
        <v>9740</v>
      </c>
      <c r="AQ64" s="1624" t="s">
        <v>9741</v>
      </c>
      <c r="AR64" s="1624" t="s">
        <v>9742</v>
      </c>
      <c r="AS64" s="1624" t="s">
        <v>9743</v>
      </c>
      <c r="AT64" s="1624" t="s">
        <v>9744</v>
      </c>
      <c r="AU64" s="1624" t="s">
        <v>9745</v>
      </c>
      <c r="AV64" s="1624" t="str">
        <f t="shared" si="1"/>
        <v>2:51</v>
      </c>
      <c r="AW64" s="1629"/>
    </row>
    <row r="65" ht="15.75" customHeight="1">
      <c r="A65" s="1503" t="s">
        <v>4625</v>
      </c>
      <c r="B65" s="1516" t="s">
        <v>8400</v>
      </c>
      <c r="C65" s="1590">
        <v>0.05170138888888889</v>
      </c>
      <c r="D65" s="1271" t="s">
        <v>9746</v>
      </c>
      <c r="E65" s="1624" t="s">
        <v>4247</v>
      </c>
      <c r="F65" s="1624" t="s">
        <v>9313</v>
      </c>
      <c r="G65" s="1624" t="s">
        <v>8797</v>
      </c>
      <c r="H65" s="1624" t="s">
        <v>9747</v>
      </c>
      <c r="I65" s="1624" t="s">
        <v>9748</v>
      </c>
      <c r="J65" s="1624" t="s">
        <v>9328</v>
      </c>
      <c r="K65" s="1624" t="s">
        <v>8640</v>
      </c>
      <c r="L65" s="1624" t="s">
        <v>4031</v>
      </c>
      <c r="M65" s="1624" t="s">
        <v>7411</v>
      </c>
      <c r="N65" s="1624" t="s">
        <v>5947</v>
      </c>
      <c r="O65" s="1624" t="s">
        <v>9432</v>
      </c>
      <c r="P65" s="1624" t="s">
        <v>481</v>
      </c>
      <c r="Q65" s="1624" t="s">
        <v>2825</v>
      </c>
      <c r="R65" s="1624" t="s">
        <v>9749</v>
      </c>
      <c r="S65" s="1624" t="s">
        <v>9637</v>
      </c>
      <c r="T65" s="1624" t="s">
        <v>2750</v>
      </c>
      <c r="U65" s="1624" t="s">
        <v>9750</v>
      </c>
      <c r="V65" s="1624" t="s">
        <v>9751</v>
      </c>
      <c r="W65" s="1624" t="s">
        <v>9675</v>
      </c>
      <c r="X65" s="1624" t="s">
        <v>3582</v>
      </c>
      <c r="Y65" s="1624" t="s">
        <v>2385</v>
      </c>
      <c r="Z65" s="1624" t="s">
        <v>489</v>
      </c>
      <c r="AA65" s="1624" t="s">
        <v>625</v>
      </c>
      <c r="AB65" s="1624" t="s">
        <v>9752</v>
      </c>
      <c r="AC65" s="1624" t="s">
        <v>925</v>
      </c>
      <c r="AD65" s="1624" t="s">
        <v>9386</v>
      </c>
      <c r="AE65" s="1624" t="s">
        <v>676</v>
      </c>
      <c r="AF65" s="1624" t="s">
        <v>9753</v>
      </c>
      <c r="AG65" s="1624" t="s">
        <v>9754</v>
      </c>
      <c r="AH65" s="1624" t="s">
        <v>9755</v>
      </c>
      <c r="AI65" s="1624" t="s">
        <v>9756</v>
      </c>
      <c r="AJ65" s="1624" t="s">
        <v>9757</v>
      </c>
      <c r="AK65" s="1624" t="s">
        <v>9332</v>
      </c>
      <c r="AL65" s="1624" t="s">
        <v>9758</v>
      </c>
      <c r="AM65" s="1624" t="s">
        <v>9614</v>
      </c>
      <c r="AN65" s="1624" t="s">
        <v>9759</v>
      </c>
      <c r="AO65" s="1624" t="s">
        <v>9377</v>
      </c>
      <c r="AP65" s="1624" t="s">
        <v>3196</v>
      </c>
      <c r="AQ65" s="1624" t="s">
        <v>9760</v>
      </c>
      <c r="AR65" s="1624" t="s">
        <v>9761</v>
      </c>
      <c r="AS65" s="1624" t="s">
        <v>6272</v>
      </c>
      <c r="AT65" s="1624" t="s">
        <v>9762</v>
      </c>
      <c r="AU65" s="1624" t="s">
        <v>9763</v>
      </c>
      <c r="AV65" s="1624" t="str">
        <f t="shared" si="1"/>
        <v>2:37</v>
      </c>
      <c r="AW65" s="1629" t="s">
        <v>9764</v>
      </c>
    </row>
    <row r="66" ht="15.75" customHeight="1">
      <c r="A66" s="1503" t="s">
        <v>4977</v>
      </c>
      <c r="B66" s="1497" t="s">
        <v>8400</v>
      </c>
      <c r="C66" s="1458">
        <v>0.05171296296296296</v>
      </c>
      <c r="D66" s="1600" t="s">
        <v>9765</v>
      </c>
      <c r="E66" s="1536" t="s">
        <v>9766</v>
      </c>
      <c r="F66" s="1536" t="s">
        <v>1466</v>
      </c>
      <c r="G66" s="1536" t="s">
        <v>9767</v>
      </c>
      <c r="H66" s="1536" t="s">
        <v>9768</v>
      </c>
      <c r="I66" s="1536" t="s">
        <v>9769</v>
      </c>
      <c r="J66" s="1536" t="s">
        <v>972</v>
      </c>
      <c r="K66" s="1536" t="s">
        <v>4859</v>
      </c>
      <c r="L66" s="1536" t="s">
        <v>1808</v>
      </c>
      <c r="M66" s="1630" t="s">
        <v>9770</v>
      </c>
      <c r="N66" s="1536" t="s">
        <v>9771</v>
      </c>
      <c r="O66" s="1536" t="s">
        <v>1777</v>
      </c>
      <c r="P66" s="1536" t="s">
        <v>5065</v>
      </c>
      <c r="Q66" s="1536" t="s">
        <v>9772</v>
      </c>
      <c r="R66" s="1536" t="s">
        <v>9773</v>
      </c>
      <c r="S66" s="1536" t="s">
        <v>3710</v>
      </c>
      <c r="T66" s="1536" t="s">
        <v>9774</v>
      </c>
      <c r="U66" s="1536" t="s">
        <v>9564</v>
      </c>
      <c r="V66" s="1630" t="s">
        <v>9775</v>
      </c>
      <c r="W66" s="1630" t="s">
        <v>9776</v>
      </c>
      <c r="X66" s="1536" t="s">
        <v>9438</v>
      </c>
      <c r="Y66" s="1271" t="s">
        <v>9117</v>
      </c>
      <c r="Z66" s="1536" t="s">
        <v>1518</v>
      </c>
      <c r="AA66" s="1536" t="s">
        <v>1400</v>
      </c>
      <c r="AB66" s="1630" t="s">
        <v>9777</v>
      </c>
      <c r="AC66" s="1536" t="s">
        <v>1916</v>
      </c>
      <c r="AD66" s="1536" t="s">
        <v>9778</v>
      </c>
      <c r="AE66" s="1536" t="s">
        <v>3792</v>
      </c>
      <c r="AF66" s="1536" t="s">
        <v>9779</v>
      </c>
      <c r="AG66" s="1536" t="s">
        <v>524</v>
      </c>
      <c r="AH66" s="1536" t="s">
        <v>9780</v>
      </c>
      <c r="AI66" s="1536" t="s">
        <v>5374</v>
      </c>
      <c r="AJ66" s="1536" t="s">
        <v>9781</v>
      </c>
      <c r="AK66" s="1536" t="s">
        <v>9782</v>
      </c>
      <c r="AL66" s="1536" t="s">
        <v>1659</v>
      </c>
      <c r="AM66" s="1536" t="s">
        <v>9605</v>
      </c>
      <c r="AN66" s="1536" t="s">
        <v>9783</v>
      </c>
      <c r="AO66" s="1536" t="s">
        <v>2722</v>
      </c>
      <c r="AP66" s="1536" t="s">
        <v>1994</v>
      </c>
      <c r="AQ66" s="1536" t="s">
        <v>756</v>
      </c>
      <c r="AR66" s="1536" t="s">
        <v>9405</v>
      </c>
      <c r="AS66" s="1536" t="s">
        <v>6879</v>
      </c>
      <c r="AT66" s="1536" t="s">
        <v>9784</v>
      </c>
      <c r="AU66" s="1536" t="s">
        <v>9785</v>
      </c>
      <c r="AV66" s="1624" t="str">
        <f t="shared" si="1"/>
        <v>4:14</v>
      </c>
      <c r="AW66" s="1625" t="s">
        <v>9786</v>
      </c>
    </row>
    <row r="67" ht="15.75" customHeight="1">
      <c r="A67" s="1503" t="s">
        <v>2139</v>
      </c>
      <c r="B67" s="1610" t="s">
        <v>8400</v>
      </c>
      <c r="C67" s="1458">
        <v>0.05173611111111111</v>
      </c>
      <c r="D67" s="1271" t="s">
        <v>9787</v>
      </c>
      <c r="E67" s="1536" t="s">
        <v>9788</v>
      </c>
      <c r="F67" s="1536" t="s">
        <v>9789</v>
      </c>
      <c r="G67" s="1536" t="s">
        <v>9790</v>
      </c>
      <c r="H67" s="1536" t="s">
        <v>7344</v>
      </c>
      <c r="I67" s="1536" t="s">
        <v>494</v>
      </c>
      <c r="J67" s="1536" t="s">
        <v>8738</v>
      </c>
      <c r="K67" s="1536" t="s">
        <v>9791</v>
      </c>
      <c r="L67" s="1536" t="s">
        <v>6955</v>
      </c>
      <c r="M67" s="1536" t="s">
        <v>3499</v>
      </c>
      <c r="N67" s="1536" t="s">
        <v>9792</v>
      </c>
      <c r="O67" s="1536" t="s">
        <v>9793</v>
      </c>
      <c r="P67" s="1536" t="s">
        <v>3722</v>
      </c>
      <c r="Q67" s="1536" t="s">
        <v>9794</v>
      </c>
      <c r="R67" s="1536" t="s">
        <v>9730</v>
      </c>
      <c r="S67" s="1536" t="s">
        <v>5509</v>
      </c>
      <c r="T67" s="1536" t="s">
        <v>9795</v>
      </c>
      <c r="U67" s="1536" t="s">
        <v>9796</v>
      </c>
      <c r="V67" s="1536" t="s">
        <v>360</v>
      </c>
      <c r="W67" s="1536" t="s">
        <v>5542</v>
      </c>
      <c r="X67" s="1536" t="s">
        <v>9632</v>
      </c>
      <c r="Y67" s="1536" t="s">
        <v>1166</v>
      </c>
      <c r="Z67" s="1536" t="s">
        <v>9797</v>
      </c>
      <c r="AA67" s="1536" t="s">
        <v>9017</v>
      </c>
      <c r="AB67" s="1536" t="s">
        <v>6364</v>
      </c>
      <c r="AC67" s="1536" t="s">
        <v>160</v>
      </c>
      <c r="AD67" s="1536" t="s">
        <v>9657</v>
      </c>
      <c r="AE67" s="1536" t="s">
        <v>9089</v>
      </c>
      <c r="AF67" s="1536" t="s">
        <v>9103</v>
      </c>
      <c r="AG67" s="1536" t="s">
        <v>4820</v>
      </c>
      <c r="AH67" s="1536" t="s">
        <v>9798</v>
      </c>
      <c r="AI67" s="1536" t="s">
        <v>9799</v>
      </c>
      <c r="AJ67" s="1536" t="s">
        <v>9800</v>
      </c>
      <c r="AK67" s="1536" t="s">
        <v>8706</v>
      </c>
      <c r="AL67" s="1536" t="s">
        <v>9801</v>
      </c>
      <c r="AM67" s="1536" t="s">
        <v>2808</v>
      </c>
      <c r="AN67" s="1536" t="s">
        <v>5114</v>
      </c>
      <c r="AO67" s="1536" t="s">
        <v>9557</v>
      </c>
      <c r="AP67" s="1536" t="s">
        <v>9802</v>
      </c>
      <c r="AQ67" s="1536" t="s">
        <v>9803</v>
      </c>
      <c r="AR67" s="1536" t="s">
        <v>418</v>
      </c>
      <c r="AS67" s="1536" t="s">
        <v>9804</v>
      </c>
      <c r="AT67" s="1536" t="s">
        <v>9805</v>
      </c>
      <c r="AU67" s="1536" t="s">
        <v>9806</v>
      </c>
      <c r="AV67" s="1624" t="str">
        <f t="shared" si="1"/>
        <v>3:51</v>
      </c>
      <c r="AW67" s="1625" t="s">
        <v>9807</v>
      </c>
    </row>
    <row r="68" ht="15.75" customHeight="1">
      <c r="A68" s="1503" t="s">
        <v>7754</v>
      </c>
      <c r="B68" s="1501" t="s">
        <v>8423</v>
      </c>
      <c r="C68" s="1458">
        <v>0.051805555555555556</v>
      </c>
      <c r="D68" s="1536" t="s">
        <v>9808</v>
      </c>
      <c r="E68" s="1536" t="s">
        <v>9809</v>
      </c>
      <c r="F68" s="1271" t="s">
        <v>9810</v>
      </c>
      <c r="G68" s="1536" t="s">
        <v>9811</v>
      </c>
      <c r="H68" s="1475" t="s">
        <v>9812</v>
      </c>
      <c r="I68" s="1475">
        <v>49.81</v>
      </c>
      <c r="J68" s="1475" t="s">
        <v>9813</v>
      </c>
      <c r="K68" s="1475" t="s">
        <v>6047</v>
      </c>
      <c r="L68" s="1475">
        <v>59.57</v>
      </c>
      <c r="M68" s="1475" t="s">
        <v>9814</v>
      </c>
      <c r="N68" s="1475" t="s">
        <v>9815</v>
      </c>
      <c r="O68" s="1474" t="s">
        <v>7262</v>
      </c>
      <c r="P68" s="1474" t="s">
        <v>9816</v>
      </c>
      <c r="Q68" s="1474" t="s">
        <v>9817</v>
      </c>
      <c r="R68" s="1475" t="s">
        <v>9818</v>
      </c>
      <c r="S68" s="1475" t="s">
        <v>9448</v>
      </c>
      <c r="T68" s="1475" t="s">
        <v>9819</v>
      </c>
      <c r="U68" s="1475" t="s">
        <v>9820</v>
      </c>
      <c r="V68" s="1475" t="s">
        <v>4361</v>
      </c>
      <c r="W68" s="1475" t="s">
        <v>9821</v>
      </c>
      <c r="X68" s="1475" t="s">
        <v>9822</v>
      </c>
      <c r="Y68" s="1474" t="s">
        <v>9333</v>
      </c>
      <c r="Z68" s="1631" t="s">
        <v>8441</v>
      </c>
      <c r="AA68" s="1475" t="s">
        <v>197</v>
      </c>
      <c r="AB68" s="1474" t="s">
        <v>4262</v>
      </c>
      <c r="AC68" s="1475">
        <v>49.53</v>
      </c>
      <c r="AD68" s="1475" t="s">
        <v>1858</v>
      </c>
      <c r="AE68" s="1474" t="s">
        <v>9823</v>
      </c>
      <c r="AF68" s="1475" t="s">
        <v>8600</v>
      </c>
      <c r="AG68" s="1475" t="s">
        <v>9824</v>
      </c>
      <c r="AH68" s="1475">
        <v>59.93</v>
      </c>
      <c r="AI68" s="1475" t="s">
        <v>9825</v>
      </c>
      <c r="AJ68" s="1475" t="s">
        <v>9826</v>
      </c>
      <c r="AK68" s="1475" t="s">
        <v>5732</v>
      </c>
      <c r="AL68" s="1475">
        <v>59.13</v>
      </c>
      <c r="AM68" s="1475" t="s">
        <v>9761</v>
      </c>
      <c r="AN68" s="1475">
        <v>57.86</v>
      </c>
      <c r="AO68" s="1475" t="s">
        <v>7562</v>
      </c>
      <c r="AP68" s="1475" t="s">
        <v>9827</v>
      </c>
      <c r="AQ68" s="1475" t="s">
        <v>9339</v>
      </c>
      <c r="AR68" s="1475" t="s">
        <v>5966</v>
      </c>
      <c r="AS68" s="1475">
        <v>47.67</v>
      </c>
      <c r="AT68" s="1536" t="s">
        <v>9828</v>
      </c>
      <c r="AU68" s="1536" t="s">
        <v>9829</v>
      </c>
      <c r="AV68" s="1624" t="str">
        <f t="shared" si="1"/>
        <v>2:57</v>
      </c>
      <c r="AW68" s="1632" t="s">
        <v>9830</v>
      </c>
    </row>
    <row r="69">
      <c r="A69" s="1633" t="s">
        <v>1323</v>
      </c>
      <c r="B69" s="1497" t="s">
        <v>8400</v>
      </c>
      <c r="C69" s="1634">
        <v>0.05181712962962963</v>
      </c>
      <c r="D69" s="1460" t="s">
        <v>9831</v>
      </c>
      <c r="E69" s="1553" t="s">
        <v>9832</v>
      </c>
      <c r="F69" s="1553" t="s">
        <v>9833</v>
      </c>
      <c r="G69" s="1553" t="s">
        <v>9834</v>
      </c>
      <c r="H69" s="1553" t="s">
        <v>9835</v>
      </c>
      <c r="I69" s="1460" t="s">
        <v>4971</v>
      </c>
      <c r="J69" s="1553" t="s">
        <v>8723</v>
      </c>
      <c r="K69" s="1553" t="s">
        <v>9008</v>
      </c>
      <c r="L69" s="1460" t="s">
        <v>9798</v>
      </c>
      <c r="M69" s="1460" t="s">
        <v>1451</v>
      </c>
      <c r="N69" s="1553" t="s">
        <v>9300</v>
      </c>
      <c r="O69" s="1553" t="s">
        <v>7316</v>
      </c>
      <c r="P69" s="1553" t="s">
        <v>8912</v>
      </c>
      <c r="Q69" s="1553" t="s">
        <v>9836</v>
      </c>
      <c r="R69" s="1460" t="s">
        <v>3095</v>
      </c>
      <c r="S69" s="1553" t="s">
        <v>4873</v>
      </c>
      <c r="T69" s="1460" t="s">
        <v>9837</v>
      </c>
      <c r="U69" s="1553" t="s">
        <v>9838</v>
      </c>
      <c r="V69" s="1553" t="s">
        <v>9751</v>
      </c>
      <c r="W69" s="1460" t="s">
        <v>9839</v>
      </c>
      <c r="X69" s="1460" t="s">
        <v>9395</v>
      </c>
      <c r="Y69" s="1460" t="s">
        <v>9840</v>
      </c>
      <c r="Z69" s="1553" t="s">
        <v>6130</v>
      </c>
      <c r="AA69" s="1553" t="s">
        <v>887</v>
      </c>
      <c r="AB69" s="1460" t="s">
        <v>9841</v>
      </c>
      <c r="AC69" s="1553" t="s">
        <v>2021</v>
      </c>
      <c r="AD69" s="1460" t="s">
        <v>9842</v>
      </c>
      <c r="AE69" s="1553" t="s">
        <v>6462</v>
      </c>
      <c r="AF69" s="1460" t="s">
        <v>9511</v>
      </c>
      <c r="AG69" s="1460" t="s">
        <v>401</v>
      </c>
      <c r="AH69" s="1460" t="s">
        <v>9843</v>
      </c>
      <c r="AI69" s="1553" t="s">
        <v>244</v>
      </c>
      <c r="AJ69" s="1553" t="s">
        <v>9844</v>
      </c>
      <c r="AK69" s="1553" t="s">
        <v>9107</v>
      </c>
      <c r="AL69" s="1553" t="s">
        <v>4692</v>
      </c>
      <c r="AM69" s="1460" t="s">
        <v>9845</v>
      </c>
      <c r="AN69" s="1460" t="s">
        <v>9157</v>
      </c>
      <c r="AO69" s="1460" t="s">
        <v>9846</v>
      </c>
      <c r="AP69" s="1553" t="s">
        <v>9847</v>
      </c>
      <c r="AQ69" s="1553" t="s">
        <v>9848</v>
      </c>
      <c r="AR69" s="1553" t="s">
        <v>9849</v>
      </c>
      <c r="AS69" s="1553" t="s">
        <v>353</v>
      </c>
      <c r="AT69" s="1460" t="s">
        <v>9850</v>
      </c>
      <c r="AU69" s="1466" t="s">
        <v>9851</v>
      </c>
      <c r="AV69" s="1527" t="str">
        <f t="shared" si="1"/>
        <v>3:49</v>
      </c>
      <c r="AW69" s="1635" t="s">
        <v>9852</v>
      </c>
    </row>
    <row r="70" ht="15.75" customHeight="1">
      <c r="A70" s="1456" t="s">
        <v>3009</v>
      </c>
      <c r="B70" s="1516" t="s">
        <v>8400</v>
      </c>
      <c r="C70" s="1590">
        <v>0.051863425925925924</v>
      </c>
      <c r="D70" s="1271" t="s">
        <v>9853</v>
      </c>
      <c r="E70" s="1624" t="s">
        <v>6257</v>
      </c>
      <c r="F70" s="1624" t="s">
        <v>9854</v>
      </c>
      <c r="G70" s="1624" t="s">
        <v>9855</v>
      </c>
      <c r="H70" s="1624" t="s">
        <v>9856</v>
      </c>
      <c r="I70" s="1624" t="s">
        <v>2038</v>
      </c>
      <c r="J70" s="1624" t="s">
        <v>1755</v>
      </c>
      <c r="K70" s="1624" t="s">
        <v>1591</v>
      </c>
      <c r="L70" s="1624" t="s">
        <v>3017</v>
      </c>
      <c r="M70" s="1624" t="s">
        <v>9626</v>
      </c>
      <c r="N70" s="1624" t="s">
        <v>5004</v>
      </c>
      <c r="O70" s="1624" t="s">
        <v>9857</v>
      </c>
      <c r="P70" s="1624" t="s">
        <v>1233</v>
      </c>
      <c r="Q70" s="1624" t="s">
        <v>9858</v>
      </c>
      <c r="R70" s="1624" t="s">
        <v>9859</v>
      </c>
      <c r="S70" s="1624" t="s">
        <v>9860</v>
      </c>
      <c r="T70" s="1624" t="s">
        <v>9861</v>
      </c>
      <c r="U70" s="1624" t="s">
        <v>9862</v>
      </c>
      <c r="V70" s="1624" t="s">
        <v>9414</v>
      </c>
      <c r="W70" s="1624" t="s">
        <v>9863</v>
      </c>
      <c r="X70" s="1624" t="s">
        <v>9756</v>
      </c>
      <c r="Y70" s="1624" t="s">
        <v>3145</v>
      </c>
      <c r="Z70" s="1624" t="s">
        <v>9864</v>
      </c>
      <c r="AA70" s="1624" t="s">
        <v>9865</v>
      </c>
      <c r="AB70" s="1624" t="s">
        <v>8274</v>
      </c>
      <c r="AC70" s="1624" t="s">
        <v>925</v>
      </c>
      <c r="AD70" s="1624" t="s">
        <v>9866</v>
      </c>
      <c r="AE70" s="1624" t="s">
        <v>1184</v>
      </c>
      <c r="AF70" s="1624" t="s">
        <v>9867</v>
      </c>
      <c r="AG70" s="1624" t="s">
        <v>9868</v>
      </c>
      <c r="AH70" s="1624" t="s">
        <v>5305</v>
      </c>
      <c r="AI70" s="1624" t="s">
        <v>9799</v>
      </c>
      <c r="AJ70" s="1624" t="s">
        <v>9869</v>
      </c>
      <c r="AK70" s="1624" t="s">
        <v>1908</v>
      </c>
      <c r="AL70" s="1624" t="s">
        <v>9843</v>
      </c>
      <c r="AM70" s="1624" t="s">
        <v>9870</v>
      </c>
      <c r="AN70" s="1624" t="s">
        <v>9321</v>
      </c>
      <c r="AO70" s="1624" t="s">
        <v>8594</v>
      </c>
      <c r="AP70" s="1624" t="s">
        <v>9871</v>
      </c>
      <c r="AQ70" s="1624" t="s">
        <v>9872</v>
      </c>
      <c r="AR70" s="1624" t="s">
        <v>2179</v>
      </c>
      <c r="AS70" s="1624" t="s">
        <v>4746</v>
      </c>
      <c r="AT70" s="1624" t="s">
        <v>9873</v>
      </c>
      <c r="AU70" s="1624" t="s">
        <v>9874</v>
      </c>
      <c r="AV70" s="1624" t="str">
        <f t="shared" si="1"/>
        <v>2:06</v>
      </c>
      <c r="AW70" s="1625" t="s">
        <v>9875</v>
      </c>
    </row>
    <row r="71" ht="15.75" customHeight="1">
      <c r="A71" s="1456" t="s">
        <v>1129</v>
      </c>
      <c r="B71" s="1457" t="s">
        <v>8372</v>
      </c>
      <c r="C71" s="1590">
        <v>0.051875</v>
      </c>
      <c r="D71" s="1271" t="s">
        <v>9876</v>
      </c>
      <c r="E71" s="1624" t="s">
        <v>3255</v>
      </c>
      <c r="F71" s="1624" t="s">
        <v>9877</v>
      </c>
      <c r="G71" s="1624" t="s">
        <v>9878</v>
      </c>
      <c r="H71" s="1624" t="s">
        <v>9879</v>
      </c>
      <c r="I71" s="1624" t="s">
        <v>9880</v>
      </c>
      <c r="J71" s="1624" t="s">
        <v>2523</v>
      </c>
      <c r="K71" s="1624" t="s">
        <v>9881</v>
      </c>
      <c r="L71" s="1624" t="s">
        <v>8462</v>
      </c>
      <c r="M71" s="1624" t="s">
        <v>7429</v>
      </c>
      <c r="N71" s="1624" t="s">
        <v>9514</v>
      </c>
      <c r="O71" s="1624" t="s">
        <v>4471</v>
      </c>
      <c r="P71" s="1624" t="s">
        <v>1523</v>
      </c>
      <c r="Q71" s="1624" t="s">
        <v>9882</v>
      </c>
      <c r="R71" s="1624" t="s">
        <v>9123</v>
      </c>
      <c r="S71" s="1624" t="s">
        <v>4436</v>
      </c>
      <c r="T71" s="1624" t="s">
        <v>9883</v>
      </c>
      <c r="U71" s="1624" t="s">
        <v>9673</v>
      </c>
      <c r="V71" s="1624" t="s">
        <v>6268</v>
      </c>
      <c r="W71" s="1624" t="s">
        <v>4471</v>
      </c>
      <c r="X71" s="1624" t="s">
        <v>9300</v>
      </c>
      <c r="Y71" s="1624" t="s">
        <v>9335</v>
      </c>
      <c r="Z71" s="1624" t="s">
        <v>9884</v>
      </c>
      <c r="AA71" s="1624" t="s">
        <v>421</v>
      </c>
      <c r="AB71" s="1624" t="s">
        <v>619</v>
      </c>
      <c r="AC71" s="1624" t="s">
        <v>9885</v>
      </c>
      <c r="AD71" s="1624" t="s">
        <v>9713</v>
      </c>
      <c r="AE71" s="1624" t="s">
        <v>936</v>
      </c>
      <c r="AF71" s="1624" t="s">
        <v>9886</v>
      </c>
      <c r="AG71" s="1624" t="s">
        <v>9887</v>
      </c>
      <c r="AH71" s="1624" t="s">
        <v>9624</v>
      </c>
      <c r="AI71" s="1624" t="s">
        <v>9888</v>
      </c>
      <c r="AJ71" s="1624" t="s">
        <v>9889</v>
      </c>
      <c r="AK71" s="1624" t="s">
        <v>9890</v>
      </c>
      <c r="AL71" s="1624" t="s">
        <v>5541</v>
      </c>
      <c r="AM71" s="1624" t="s">
        <v>9891</v>
      </c>
      <c r="AN71" s="1624" t="s">
        <v>6089</v>
      </c>
      <c r="AO71" s="1536" t="s">
        <v>9472</v>
      </c>
      <c r="AP71" s="1624" t="s">
        <v>9892</v>
      </c>
      <c r="AQ71" s="1624" t="s">
        <v>9893</v>
      </c>
      <c r="AR71" s="1624" t="s">
        <v>9144</v>
      </c>
      <c r="AS71" s="1624" t="s">
        <v>9212</v>
      </c>
      <c r="AT71" s="1624" t="s">
        <v>9894</v>
      </c>
      <c r="AU71" s="1536" t="s">
        <v>9895</v>
      </c>
      <c r="AV71" s="1624" t="str">
        <f t="shared" si="1"/>
        <v>0:37</v>
      </c>
      <c r="AW71" s="1629" t="s">
        <v>9896</v>
      </c>
    </row>
    <row r="72">
      <c r="A72" s="1503" t="s">
        <v>7725</v>
      </c>
      <c r="B72" s="1497" t="s">
        <v>8372</v>
      </c>
      <c r="C72" s="1458">
        <v>0.05188657407407407</v>
      </c>
      <c r="D72" s="1536" t="s">
        <v>9897</v>
      </c>
      <c r="E72" s="1271" t="s">
        <v>862</v>
      </c>
      <c r="F72" s="1271" t="s">
        <v>9898</v>
      </c>
      <c r="G72" s="1271" t="s">
        <v>9899</v>
      </c>
      <c r="H72" s="1271" t="s">
        <v>9900</v>
      </c>
      <c r="I72" s="1271" t="s">
        <v>676</v>
      </c>
      <c r="J72" s="1271" t="s">
        <v>4132</v>
      </c>
      <c r="K72" s="1271" t="s">
        <v>9118</v>
      </c>
      <c r="L72" s="1271" t="s">
        <v>2702</v>
      </c>
      <c r="M72" s="1271" t="s">
        <v>9901</v>
      </c>
      <c r="N72" s="1271" t="s">
        <v>4010</v>
      </c>
      <c r="O72" s="1271" t="s">
        <v>9902</v>
      </c>
      <c r="P72" s="1271" t="s">
        <v>5119</v>
      </c>
      <c r="Q72" s="1271" t="s">
        <v>9903</v>
      </c>
      <c r="R72" s="1271" t="s">
        <v>5491</v>
      </c>
      <c r="S72" s="1271" t="s">
        <v>9904</v>
      </c>
      <c r="T72" s="1271" t="s">
        <v>8446</v>
      </c>
      <c r="U72" s="1271" t="s">
        <v>9905</v>
      </c>
      <c r="V72" s="1271" t="s">
        <v>5403</v>
      </c>
      <c r="W72" s="1271" t="s">
        <v>9906</v>
      </c>
      <c r="X72" s="1271" t="s">
        <v>9907</v>
      </c>
      <c r="Y72" s="1271" t="s">
        <v>9908</v>
      </c>
      <c r="Z72" s="1271" t="s">
        <v>9129</v>
      </c>
      <c r="AA72" s="1271" t="s">
        <v>5091</v>
      </c>
      <c r="AB72" s="1271" t="s">
        <v>685</v>
      </c>
      <c r="AC72" s="1271" t="s">
        <v>9909</v>
      </c>
      <c r="AD72" s="1271" t="s">
        <v>9910</v>
      </c>
      <c r="AE72" s="1271" t="s">
        <v>5765</v>
      </c>
      <c r="AF72" s="1271" t="s">
        <v>9911</v>
      </c>
      <c r="AG72" s="1271" t="s">
        <v>2438</v>
      </c>
      <c r="AH72" s="1271" t="s">
        <v>2702</v>
      </c>
      <c r="AI72" s="1271" t="s">
        <v>196</v>
      </c>
      <c r="AJ72" s="1271" t="s">
        <v>9912</v>
      </c>
      <c r="AK72" s="1271" t="s">
        <v>9136</v>
      </c>
      <c r="AL72" s="1271" t="s">
        <v>9586</v>
      </c>
      <c r="AM72" s="1271" t="s">
        <v>9105</v>
      </c>
      <c r="AN72" s="1271" t="s">
        <v>3493</v>
      </c>
      <c r="AO72" s="1271" t="s">
        <v>8587</v>
      </c>
      <c r="AP72" s="1271" t="s">
        <v>9539</v>
      </c>
      <c r="AQ72" s="1271" t="s">
        <v>9893</v>
      </c>
      <c r="AR72" s="1271" t="s">
        <v>9913</v>
      </c>
      <c r="AS72" s="1271" t="s">
        <v>6272</v>
      </c>
      <c r="AT72" s="1271" t="s">
        <v>9914</v>
      </c>
      <c r="AU72" s="1536" t="s">
        <v>9915</v>
      </c>
      <c r="AV72" s="1624" t="str">
        <f t="shared" si="1"/>
        <v>4:21</v>
      </c>
      <c r="AW72" s="1625" t="s">
        <v>9916</v>
      </c>
    </row>
    <row r="73" ht="15.75" customHeight="1">
      <c r="A73" s="1456" t="s">
        <v>4809</v>
      </c>
      <c r="B73" s="1614" t="s">
        <v>8423</v>
      </c>
      <c r="C73" s="1458">
        <v>0.051909722222222225</v>
      </c>
      <c r="D73" s="1636" t="s">
        <v>9917</v>
      </c>
      <c r="E73" s="1532" t="s">
        <v>2194</v>
      </c>
      <c r="F73" s="1532" t="s">
        <v>9918</v>
      </c>
      <c r="G73" s="1532" t="s">
        <v>9919</v>
      </c>
      <c r="H73" s="1532" t="s">
        <v>9920</v>
      </c>
      <c r="I73" s="1636">
        <v>49.97</v>
      </c>
      <c r="J73" s="1532" t="s">
        <v>2177</v>
      </c>
      <c r="K73" s="1532" t="s">
        <v>9921</v>
      </c>
      <c r="L73" s="1532" t="s">
        <v>9922</v>
      </c>
      <c r="M73" s="1532" t="s">
        <v>2886</v>
      </c>
      <c r="N73" s="1532" t="s">
        <v>4694</v>
      </c>
      <c r="O73" s="1532" t="s">
        <v>5737</v>
      </c>
      <c r="P73" s="1636">
        <v>48.99</v>
      </c>
      <c r="Q73" s="1532" t="s">
        <v>9923</v>
      </c>
      <c r="R73" s="1532" t="s">
        <v>5711</v>
      </c>
      <c r="S73" s="1532" t="s">
        <v>4201</v>
      </c>
      <c r="T73" s="1532" t="s">
        <v>9924</v>
      </c>
      <c r="U73" s="1532" t="s">
        <v>9925</v>
      </c>
      <c r="V73" s="1532" t="s">
        <v>2444</v>
      </c>
      <c r="W73" s="1532" t="s">
        <v>9926</v>
      </c>
      <c r="X73" s="1532" t="s">
        <v>9629</v>
      </c>
      <c r="Y73" s="1637">
        <v>47.93</v>
      </c>
      <c r="Z73" s="1532" t="s">
        <v>9927</v>
      </c>
      <c r="AA73" s="1532" t="s">
        <v>5040</v>
      </c>
      <c r="AB73" s="1532" t="s">
        <v>9609</v>
      </c>
      <c r="AC73" s="1631">
        <v>49.24</v>
      </c>
      <c r="AD73" s="1532" t="s">
        <v>9028</v>
      </c>
      <c r="AE73" s="1636">
        <v>49.87</v>
      </c>
      <c r="AF73" s="1532" t="s">
        <v>9928</v>
      </c>
      <c r="AG73" s="1532" t="s">
        <v>9929</v>
      </c>
      <c r="AH73" s="1636">
        <v>59.9</v>
      </c>
      <c r="AI73" s="1532" t="s">
        <v>9930</v>
      </c>
      <c r="AJ73" s="1638" t="s">
        <v>8447</v>
      </c>
      <c r="AK73" s="1532" t="s">
        <v>1949</v>
      </c>
      <c r="AL73" s="1636">
        <v>58.74</v>
      </c>
      <c r="AM73" s="1532" t="s">
        <v>1996</v>
      </c>
      <c r="AN73" s="1636">
        <v>57.51</v>
      </c>
      <c r="AO73" s="1532" t="s">
        <v>4840</v>
      </c>
      <c r="AP73" s="1532" t="s">
        <v>9931</v>
      </c>
      <c r="AQ73" s="1532" t="s">
        <v>3287</v>
      </c>
      <c r="AR73" s="1638" t="s">
        <v>6365</v>
      </c>
      <c r="AS73" s="1636">
        <v>47.44</v>
      </c>
      <c r="AT73" s="1532" t="s">
        <v>9932</v>
      </c>
      <c r="AU73" s="1536" t="s">
        <v>9933</v>
      </c>
      <c r="AV73" s="1624" t="str">
        <f t="shared" si="1"/>
        <v>2:59</v>
      </c>
      <c r="AW73" s="1625" t="s">
        <v>7700</v>
      </c>
    </row>
    <row r="74">
      <c r="A74" s="1503" t="s">
        <v>8317</v>
      </c>
      <c r="B74" s="1501" t="s">
        <v>8372</v>
      </c>
      <c r="C74" s="1458">
        <v>0.05193287037037037</v>
      </c>
      <c r="D74" s="1600" t="s">
        <v>9934</v>
      </c>
      <c r="E74" s="1536" t="s">
        <v>7457</v>
      </c>
      <c r="F74" s="1536" t="s">
        <v>9935</v>
      </c>
      <c r="G74" s="1536" t="s">
        <v>9936</v>
      </c>
      <c r="H74" s="1536" t="s">
        <v>9937</v>
      </c>
      <c r="I74" s="1536" t="s">
        <v>2408</v>
      </c>
      <c r="J74" s="1536" t="s">
        <v>4229</v>
      </c>
      <c r="K74" s="1536" t="s">
        <v>9056</v>
      </c>
      <c r="L74" s="1536"/>
      <c r="M74" s="1536" t="s">
        <v>7073</v>
      </c>
      <c r="N74" s="1536" t="s">
        <v>9281</v>
      </c>
      <c r="O74" s="1536" t="s">
        <v>8439</v>
      </c>
      <c r="P74" s="1536" t="s">
        <v>9532</v>
      </c>
      <c r="Q74" s="1536" t="s">
        <v>9938</v>
      </c>
      <c r="R74" s="1536" t="s">
        <v>9939</v>
      </c>
      <c r="S74" s="1536" t="s">
        <v>8813</v>
      </c>
      <c r="T74" s="1536" t="s">
        <v>9073</v>
      </c>
      <c r="U74" s="1536" t="s">
        <v>2257</v>
      </c>
      <c r="V74" s="1536" t="s">
        <v>8866</v>
      </c>
      <c r="W74" s="1536" t="s">
        <v>5737</v>
      </c>
      <c r="X74" s="1536" t="s">
        <v>625</v>
      </c>
      <c r="Y74" s="1536" t="s">
        <v>8827</v>
      </c>
      <c r="Z74" s="1536" t="s">
        <v>8471</v>
      </c>
      <c r="AA74" s="1536" t="s">
        <v>7575</v>
      </c>
      <c r="AB74" s="1536" t="s">
        <v>9540</v>
      </c>
      <c r="AC74" s="1536" t="s">
        <v>2927</v>
      </c>
      <c r="AD74" s="1536" t="s">
        <v>9940</v>
      </c>
      <c r="AE74" s="1536" t="s">
        <v>9941</v>
      </c>
      <c r="AF74" s="1536" t="s">
        <v>9942</v>
      </c>
      <c r="AG74" s="1536" t="s">
        <v>9677</v>
      </c>
      <c r="AH74" s="1536" t="s">
        <v>9943</v>
      </c>
      <c r="AI74" s="1536" t="s">
        <v>9944</v>
      </c>
      <c r="AJ74" s="1536" t="s">
        <v>9945</v>
      </c>
      <c r="AK74" s="1536" t="s">
        <v>9946</v>
      </c>
      <c r="AL74" s="1536" t="s">
        <v>3140</v>
      </c>
      <c r="AM74" s="1536" t="s">
        <v>9947</v>
      </c>
      <c r="AN74" s="1536" t="s">
        <v>3504</v>
      </c>
      <c r="AO74" s="1536" t="s">
        <v>9948</v>
      </c>
      <c r="AP74" s="1536" t="s">
        <v>9949</v>
      </c>
      <c r="AQ74" s="1536" t="s">
        <v>9950</v>
      </c>
      <c r="AR74" s="1536" t="s">
        <v>9951</v>
      </c>
      <c r="AS74" s="1536" t="s">
        <v>3763</v>
      </c>
      <c r="AT74" s="1536" t="s">
        <v>9952</v>
      </c>
      <c r="AU74" s="1536" t="s">
        <v>9953</v>
      </c>
      <c r="AV74" s="1624" t="str">
        <f t="shared" si="1"/>
        <v>4:12</v>
      </c>
      <c r="AW74" s="1629"/>
    </row>
    <row r="75">
      <c r="A75" s="1503" t="s">
        <v>3598</v>
      </c>
      <c r="B75" s="1497" t="s">
        <v>8372</v>
      </c>
      <c r="C75" s="1458">
        <v>0.05196759259259259</v>
      </c>
      <c r="D75" s="1271" t="s">
        <v>9954</v>
      </c>
      <c r="E75" s="1536" t="s">
        <v>9955</v>
      </c>
      <c r="F75" s="1536" t="s">
        <v>1298</v>
      </c>
      <c r="G75" s="1536" t="s">
        <v>9956</v>
      </c>
      <c r="H75" s="1271" t="s">
        <v>9957</v>
      </c>
      <c r="I75" s="1536" t="s">
        <v>9647</v>
      </c>
      <c r="J75" s="1536" t="s">
        <v>4009</v>
      </c>
      <c r="K75" s="1536" t="s">
        <v>9262</v>
      </c>
      <c r="L75" s="1536" t="s">
        <v>4881</v>
      </c>
      <c r="M75" s="1536" t="s">
        <v>3157</v>
      </c>
      <c r="N75" s="1536" t="s">
        <v>9958</v>
      </c>
      <c r="O75" s="1536" t="s">
        <v>9959</v>
      </c>
      <c r="P75" s="1536" t="s">
        <v>8414</v>
      </c>
      <c r="Q75" s="1536" t="s">
        <v>9960</v>
      </c>
      <c r="R75" s="1536" t="s">
        <v>3157</v>
      </c>
      <c r="S75" s="1460" t="s">
        <v>2335</v>
      </c>
      <c r="T75" s="1536" t="s">
        <v>9510</v>
      </c>
      <c r="U75" s="1536" t="s">
        <v>9673</v>
      </c>
      <c r="V75" s="1536" t="s">
        <v>9071</v>
      </c>
      <c r="W75" s="1536" t="s">
        <v>9961</v>
      </c>
      <c r="X75" s="1536" t="s">
        <v>9692</v>
      </c>
      <c r="Y75" s="1536" t="s">
        <v>593</v>
      </c>
      <c r="Z75" s="1536" t="s">
        <v>9962</v>
      </c>
      <c r="AA75" s="1536" t="s">
        <v>9163</v>
      </c>
      <c r="AB75" s="1536" t="s">
        <v>489</v>
      </c>
      <c r="AC75" s="1536" t="s">
        <v>1073</v>
      </c>
      <c r="AD75" s="1536" t="s">
        <v>8384</v>
      </c>
      <c r="AE75" s="1536" t="s">
        <v>8789</v>
      </c>
      <c r="AF75" s="1536" t="s">
        <v>9963</v>
      </c>
      <c r="AG75" s="1536" t="s">
        <v>3625</v>
      </c>
      <c r="AH75" s="1536" t="s">
        <v>4967</v>
      </c>
      <c r="AI75" s="1536" t="s">
        <v>5994</v>
      </c>
      <c r="AJ75" s="1536" t="s">
        <v>9964</v>
      </c>
      <c r="AK75" s="1536" t="s">
        <v>460</v>
      </c>
      <c r="AL75" s="1536" t="s">
        <v>2208</v>
      </c>
      <c r="AM75" s="1536" t="s">
        <v>3250</v>
      </c>
      <c r="AN75" s="1536" t="s">
        <v>650</v>
      </c>
      <c r="AO75" s="1536" t="s">
        <v>9965</v>
      </c>
      <c r="AP75" s="1536" t="s">
        <v>9960</v>
      </c>
      <c r="AQ75" s="1536" t="s">
        <v>9966</v>
      </c>
      <c r="AR75" s="1536" t="s">
        <v>4009</v>
      </c>
      <c r="AS75" s="1536" t="s">
        <v>903</v>
      </c>
      <c r="AT75" s="1536" t="s">
        <v>9967</v>
      </c>
      <c r="AU75" s="1536" t="s">
        <v>9968</v>
      </c>
      <c r="AV75" s="1536" t="s">
        <v>8258</v>
      </c>
      <c r="AW75" s="1632" t="s">
        <v>9969</v>
      </c>
    </row>
    <row r="76" ht="15.75" customHeight="1">
      <c r="A76" s="1540" t="s">
        <v>9970</v>
      </c>
      <c r="B76" s="1457" t="s">
        <v>8372</v>
      </c>
      <c r="C76" s="1590">
        <v>0.05199074074074074</v>
      </c>
      <c r="D76" s="1271" t="s">
        <v>9971</v>
      </c>
      <c r="E76" s="1624" t="s">
        <v>9972</v>
      </c>
      <c r="F76" s="1624" t="s">
        <v>9973</v>
      </c>
      <c r="G76" s="1624" t="s">
        <v>9974</v>
      </c>
      <c r="H76" s="1624" t="s">
        <v>7373</v>
      </c>
      <c r="I76" s="1624" t="s">
        <v>9487</v>
      </c>
      <c r="J76" s="1624" t="s">
        <v>9975</v>
      </c>
      <c r="K76" s="1624" t="s">
        <v>9976</v>
      </c>
      <c r="L76" s="1624" t="s">
        <v>3017</v>
      </c>
      <c r="M76" s="1624" t="s">
        <v>9977</v>
      </c>
      <c r="N76" s="1624" t="s">
        <v>9208</v>
      </c>
      <c r="O76" s="1624" t="s">
        <v>9978</v>
      </c>
      <c r="P76" s="1624" t="s">
        <v>2374</v>
      </c>
      <c r="Q76" s="1624" t="s">
        <v>4980</v>
      </c>
      <c r="R76" s="1624" t="s">
        <v>5241</v>
      </c>
      <c r="S76" s="1624" t="s">
        <v>4812</v>
      </c>
      <c r="T76" s="1624" t="s">
        <v>5700</v>
      </c>
      <c r="U76" s="1624" t="s">
        <v>9979</v>
      </c>
      <c r="V76" s="1624" t="s">
        <v>6268</v>
      </c>
      <c r="W76" s="1624" t="s">
        <v>7733</v>
      </c>
      <c r="X76" s="1624" t="s">
        <v>9980</v>
      </c>
      <c r="Y76" s="1624" t="s">
        <v>2021</v>
      </c>
      <c r="Z76" s="1624" t="s">
        <v>9981</v>
      </c>
      <c r="AA76" s="1624" t="s">
        <v>9629</v>
      </c>
      <c r="AB76" s="1624" t="s">
        <v>9982</v>
      </c>
      <c r="AC76" s="1624" t="s">
        <v>8445</v>
      </c>
      <c r="AD76" s="1624" t="s">
        <v>9983</v>
      </c>
      <c r="AE76" s="1624" t="s">
        <v>6502</v>
      </c>
      <c r="AF76" s="1624" t="s">
        <v>9984</v>
      </c>
      <c r="AG76" s="1624" t="s">
        <v>9890</v>
      </c>
      <c r="AH76" s="1624" t="s">
        <v>9985</v>
      </c>
      <c r="AI76" s="1624" t="s">
        <v>9986</v>
      </c>
      <c r="AJ76" s="1624" t="s">
        <v>9987</v>
      </c>
      <c r="AK76" s="1624" t="s">
        <v>809</v>
      </c>
      <c r="AL76" s="1624" t="s">
        <v>3209</v>
      </c>
      <c r="AM76" s="1624" t="s">
        <v>9399</v>
      </c>
      <c r="AN76" s="1624" t="s">
        <v>9988</v>
      </c>
      <c r="AO76" s="1536" t="s">
        <v>7330</v>
      </c>
      <c r="AP76" s="1536" t="s">
        <v>9989</v>
      </c>
      <c r="AQ76" s="1624" t="s">
        <v>5277</v>
      </c>
      <c r="AR76" s="1624" t="s">
        <v>9990</v>
      </c>
      <c r="AS76" s="1624" t="s">
        <v>1091</v>
      </c>
      <c r="AT76" s="1624" t="s">
        <v>9533</v>
      </c>
      <c r="AU76" s="1627" t="str">
        <f>HYPERLINK("https://splits.io/m3t","1:18:40")</f>
        <v>1:18:40</v>
      </c>
      <c r="AV76" s="1624" t="str">
        <f t="shared" ref="AV76:AV79" si="2">TEXT(AU76-C76,"m:ss")</f>
        <v>3:48</v>
      </c>
      <c r="AW76" s="1628" t="s">
        <v>9991</v>
      </c>
    </row>
    <row r="77" ht="15.75" customHeight="1">
      <c r="A77" s="1540" t="s">
        <v>9992</v>
      </c>
      <c r="B77" s="1457" t="s">
        <v>8372</v>
      </c>
      <c r="C77" s="1590">
        <v>0.052002314814814814</v>
      </c>
      <c r="D77" s="1271" t="s">
        <v>9993</v>
      </c>
      <c r="E77" s="1624" t="s">
        <v>8663</v>
      </c>
      <c r="F77" s="1624" t="s">
        <v>9994</v>
      </c>
      <c r="G77" s="1624" t="s">
        <v>9995</v>
      </c>
      <c r="H77" s="1624" t="s">
        <v>9996</v>
      </c>
      <c r="I77" s="1624" t="s">
        <v>3505</v>
      </c>
      <c r="J77" s="1624" t="s">
        <v>9093</v>
      </c>
      <c r="K77" s="1624" t="s">
        <v>4436</v>
      </c>
      <c r="L77" s="1624" t="s">
        <v>3450</v>
      </c>
      <c r="M77" s="1624" t="s">
        <v>9672</v>
      </c>
      <c r="N77" s="1624" t="s">
        <v>4474</v>
      </c>
      <c r="O77" s="1624" t="s">
        <v>9997</v>
      </c>
      <c r="P77" s="1624" t="s">
        <v>9998</v>
      </c>
      <c r="Q77" s="1624" t="s">
        <v>4835</v>
      </c>
      <c r="R77" s="1624" t="s">
        <v>1451</v>
      </c>
      <c r="S77" s="1624" t="s">
        <v>9178</v>
      </c>
      <c r="T77" s="1624" t="s">
        <v>525</v>
      </c>
      <c r="U77" s="1624" t="s">
        <v>1843</v>
      </c>
      <c r="V77" s="1624" t="s">
        <v>464</v>
      </c>
      <c r="W77" s="1624" t="s">
        <v>5614</v>
      </c>
      <c r="X77" s="1624" t="s">
        <v>9442</v>
      </c>
      <c r="Y77" s="1624" t="s">
        <v>2385</v>
      </c>
      <c r="Z77" s="1624" t="s">
        <v>5385</v>
      </c>
      <c r="AA77" s="1624" t="s">
        <v>9208</v>
      </c>
      <c r="AB77" s="1624" t="s">
        <v>9999</v>
      </c>
      <c r="AC77" s="1624" t="s">
        <v>2882</v>
      </c>
      <c r="AD77" s="1624" t="s">
        <v>10000</v>
      </c>
      <c r="AE77" s="1624" t="s">
        <v>5119</v>
      </c>
      <c r="AF77" s="1624" t="s">
        <v>10001</v>
      </c>
      <c r="AG77" s="1624" t="s">
        <v>10002</v>
      </c>
      <c r="AH77" s="1624" t="s">
        <v>2204</v>
      </c>
      <c r="AI77" s="1624" t="s">
        <v>10003</v>
      </c>
      <c r="AJ77" s="1624" t="s">
        <v>10004</v>
      </c>
      <c r="AK77" s="1624" t="s">
        <v>4586</v>
      </c>
      <c r="AL77" s="1624" t="s">
        <v>8791</v>
      </c>
      <c r="AM77" s="1624" t="s">
        <v>1456</v>
      </c>
      <c r="AN77" s="1624" t="s">
        <v>8545</v>
      </c>
      <c r="AO77" s="1624" t="s">
        <v>8861</v>
      </c>
      <c r="AP77" s="1624" t="s">
        <v>10005</v>
      </c>
      <c r="AQ77" s="1624" t="s">
        <v>10006</v>
      </c>
      <c r="AR77" s="1624" t="s">
        <v>9924</v>
      </c>
      <c r="AS77" s="1624" t="s">
        <v>10007</v>
      </c>
      <c r="AT77" s="1624" t="s">
        <v>10008</v>
      </c>
      <c r="AU77" s="1624" t="s">
        <v>10009</v>
      </c>
      <c r="AV77" s="1624" t="str">
        <f t="shared" si="2"/>
        <v>3:32</v>
      </c>
      <c r="AW77" s="1628" t="s">
        <v>10010</v>
      </c>
    </row>
    <row r="78" ht="15.75" customHeight="1">
      <c r="A78" s="1540" t="s">
        <v>10011</v>
      </c>
      <c r="B78" s="1516" t="s">
        <v>8400</v>
      </c>
      <c r="C78" s="1590">
        <v>0.05201388888888889</v>
      </c>
      <c r="D78" s="1271" t="s">
        <v>10012</v>
      </c>
      <c r="E78" s="1536" t="s">
        <v>10013</v>
      </c>
      <c r="F78" s="1624" t="s">
        <v>10014</v>
      </c>
      <c r="G78" s="1624" t="s">
        <v>10015</v>
      </c>
      <c r="H78" s="1624" t="s">
        <v>1652</v>
      </c>
      <c r="I78" s="1624" t="s">
        <v>10016</v>
      </c>
      <c r="J78" s="1624" t="s">
        <v>10017</v>
      </c>
      <c r="K78" s="1624" t="s">
        <v>4201</v>
      </c>
      <c r="L78" s="1624" t="s">
        <v>10018</v>
      </c>
      <c r="M78" s="1624" t="s">
        <v>10019</v>
      </c>
      <c r="N78" s="1624" t="s">
        <v>10020</v>
      </c>
      <c r="O78" s="1624" t="s">
        <v>10021</v>
      </c>
      <c r="P78" s="1624" t="s">
        <v>160</v>
      </c>
      <c r="Q78" s="1624" t="s">
        <v>10022</v>
      </c>
      <c r="R78" s="1624" t="s">
        <v>7255</v>
      </c>
      <c r="S78" s="1624" t="s">
        <v>10023</v>
      </c>
      <c r="T78" s="1624" t="s">
        <v>10024</v>
      </c>
      <c r="U78" s="1624" t="s">
        <v>10025</v>
      </c>
      <c r="V78" s="1624" t="s">
        <v>7992</v>
      </c>
      <c r="W78" s="1624" t="s">
        <v>10026</v>
      </c>
      <c r="X78" s="1624" t="s">
        <v>9442</v>
      </c>
      <c r="Y78" s="1624" t="s">
        <v>302</v>
      </c>
      <c r="Z78" s="1624" t="s">
        <v>2402</v>
      </c>
      <c r="AA78" s="1624" t="s">
        <v>5753</v>
      </c>
      <c r="AB78" s="1624" t="s">
        <v>8687</v>
      </c>
      <c r="AC78" s="1624" t="s">
        <v>853</v>
      </c>
      <c r="AD78" s="1624" t="s">
        <v>10027</v>
      </c>
      <c r="AE78" s="1624" t="s">
        <v>1166</v>
      </c>
      <c r="AF78" s="1624" t="s">
        <v>10028</v>
      </c>
      <c r="AG78" s="1624" t="s">
        <v>2808</v>
      </c>
      <c r="AH78" s="1624" t="s">
        <v>5950</v>
      </c>
      <c r="AI78" s="1624" t="s">
        <v>1570</v>
      </c>
      <c r="AJ78" s="1624" t="s">
        <v>10029</v>
      </c>
      <c r="AK78" s="1624" t="s">
        <v>3481</v>
      </c>
      <c r="AL78" s="1624" t="s">
        <v>3834</v>
      </c>
      <c r="AM78" s="1624" t="s">
        <v>928</v>
      </c>
      <c r="AN78" s="1624" t="s">
        <v>9758</v>
      </c>
      <c r="AO78" s="1624" t="s">
        <v>2207</v>
      </c>
      <c r="AP78" s="1624" t="s">
        <v>10030</v>
      </c>
      <c r="AQ78" s="1624" t="s">
        <v>1004</v>
      </c>
      <c r="AR78" s="1624" t="s">
        <v>8440</v>
      </c>
      <c r="AS78" s="1624" t="s">
        <v>9518</v>
      </c>
      <c r="AT78" s="1624" t="s">
        <v>10031</v>
      </c>
      <c r="AU78" s="1624" t="s">
        <v>10032</v>
      </c>
      <c r="AV78" s="1624" t="str">
        <f t="shared" si="2"/>
        <v>2:58</v>
      </c>
      <c r="AW78" s="1629" t="s">
        <v>10033</v>
      </c>
    </row>
    <row r="79" ht="15.75" customHeight="1">
      <c r="A79" s="1456" t="s">
        <v>6336</v>
      </c>
      <c r="B79" s="1516" t="s">
        <v>8400</v>
      </c>
      <c r="C79" s="1590">
        <v>0.05207175925925926</v>
      </c>
      <c r="D79" s="1271" t="s">
        <v>10034</v>
      </c>
      <c r="E79" s="1624" t="s">
        <v>10035</v>
      </c>
      <c r="F79" s="1624" t="s">
        <v>10036</v>
      </c>
      <c r="G79" s="1624" t="s">
        <v>10037</v>
      </c>
      <c r="H79" s="1624" t="s">
        <v>8839</v>
      </c>
      <c r="I79" s="1624" t="s">
        <v>4857</v>
      </c>
      <c r="J79" s="1624" t="s">
        <v>9000</v>
      </c>
      <c r="K79" s="1624" t="s">
        <v>9637</v>
      </c>
      <c r="L79" s="1624" t="s">
        <v>10038</v>
      </c>
      <c r="M79" s="1624" t="s">
        <v>2686</v>
      </c>
      <c r="N79" s="1624" t="s">
        <v>10039</v>
      </c>
      <c r="O79" s="1624" t="s">
        <v>10040</v>
      </c>
      <c r="P79" s="1624" t="s">
        <v>764</v>
      </c>
      <c r="Q79" s="1624" t="s">
        <v>10041</v>
      </c>
      <c r="R79" s="1624" t="s">
        <v>4875</v>
      </c>
      <c r="S79" s="1624" t="s">
        <v>5898</v>
      </c>
      <c r="T79" s="1624" t="s">
        <v>5700</v>
      </c>
      <c r="U79" s="1624" t="s">
        <v>10042</v>
      </c>
      <c r="V79" s="1624" t="s">
        <v>2444</v>
      </c>
      <c r="W79" s="1624" t="s">
        <v>8444</v>
      </c>
      <c r="X79" s="1624" t="s">
        <v>10043</v>
      </c>
      <c r="Y79" s="1624" t="s">
        <v>1318</v>
      </c>
      <c r="Z79" s="1624" t="s">
        <v>7201</v>
      </c>
      <c r="AA79" s="1624" t="s">
        <v>1484</v>
      </c>
      <c r="AB79" s="1624" t="s">
        <v>10044</v>
      </c>
      <c r="AC79" s="1624" t="s">
        <v>238</v>
      </c>
      <c r="AD79" s="1624" t="s">
        <v>10045</v>
      </c>
      <c r="AE79" s="1624" t="s">
        <v>6028</v>
      </c>
      <c r="AF79" s="1624" t="s">
        <v>10046</v>
      </c>
      <c r="AG79" s="1624" t="s">
        <v>9442</v>
      </c>
      <c r="AH79" s="1624" t="s">
        <v>6958</v>
      </c>
      <c r="AI79" s="1624" t="s">
        <v>9799</v>
      </c>
      <c r="AJ79" s="1624" t="s">
        <v>10047</v>
      </c>
      <c r="AK79" s="1624" t="s">
        <v>10048</v>
      </c>
      <c r="AL79" s="1624" t="s">
        <v>4279</v>
      </c>
      <c r="AM79" s="1624" t="s">
        <v>9555</v>
      </c>
      <c r="AN79" s="1624" t="s">
        <v>3834</v>
      </c>
      <c r="AO79" s="1624" t="s">
        <v>4201</v>
      </c>
      <c r="AP79" s="1624" t="s">
        <v>9292</v>
      </c>
      <c r="AQ79" s="1624" t="s">
        <v>10049</v>
      </c>
      <c r="AR79" s="1624" t="s">
        <v>1483</v>
      </c>
      <c r="AS79" s="1624" t="s">
        <v>5993</v>
      </c>
      <c r="AT79" s="1624" t="s">
        <v>7519</v>
      </c>
      <c r="AU79" s="1624" t="s">
        <v>10050</v>
      </c>
      <c r="AV79" s="1624" t="str">
        <f t="shared" si="2"/>
        <v>3:10</v>
      </c>
      <c r="AW79" s="1629" t="s">
        <v>10051</v>
      </c>
    </row>
    <row r="80">
      <c r="A80" s="1633" t="s">
        <v>3918</v>
      </c>
      <c r="B80" s="1614" t="s">
        <v>8423</v>
      </c>
      <c r="C80" s="1639">
        <v>0.052141203703703703</v>
      </c>
      <c r="D80" s="1271" t="s">
        <v>10052</v>
      </c>
      <c r="E80" s="1507" t="s">
        <v>2919</v>
      </c>
      <c r="F80" s="1507" t="s">
        <v>10053</v>
      </c>
      <c r="G80" s="1532" t="s">
        <v>10054</v>
      </c>
      <c r="H80" s="1532" t="s">
        <v>10055</v>
      </c>
      <c r="I80" s="1532" t="s">
        <v>2369</v>
      </c>
      <c r="J80" s="1532" t="s">
        <v>6795</v>
      </c>
      <c r="K80" s="1640" t="s">
        <v>6055</v>
      </c>
      <c r="L80" s="1641" t="s">
        <v>6955</v>
      </c>
      <c r="M80" s="1532" t="s">
        <v>10056</v>
      </c>
      <c r="N80" s="1532" t="s">
        <v>5700</v>
      </c>
      <c r="O80" s="1532" t="s">
        <v>5494</v>
      </c>
      <c r="P80" s="1532" t="s">
        <v>1916</v>
      </c>
      <c r="Q80" s="1532" t="s">
        <v>10057</v>
      </c>
      <c r="R80" s="1532" t="s">
        <v>10058</v>
      </c>
      <c r="S80" s="1642" t="s">
        <v>2255</v>
      </c>
      <c r="T80" s="1532" t="s">
        <v>8829</v>
      </c>
      <c r="U80" s="1532" t="s">
        <v>3363</v>
      </c>
      <c r="V80" s="1532" t="s">
        <v>10059</v>
      </c>
      <c r="W80" s="1532" t="s">
        <v>10060</v>
      </c>
      <c r="X80" s="1532" t="s">
        <v>4460</v>
      </c>
      <c r="Y80" s="1532" t="s">
        <v>3542</v>
      </c>
      <c r="Z80" s="1532" t="s">
        <v>4171</v>
      </c>
      <c r="AA80" s="1532" t="s">
        <v>401</v>
      </c>
      <c r="AB80" s="1532" t="s">
        <v>622</v>
      </c>
      <c r="AC80" s="1532" t="s">
        <v>6028</v>
      </c>
      <c r="AD80" s="1460" t="s">
        <v>8757</v>
      </c>
      <c r="AE80" s="1532" t="s">
        <v>477</v>
      </c>
      <c r="AF80" s="1532" t="s">
        <v>10061</v>
      </c>
      <c r="AG80" s="1532" t="s">
        <v>10062</v>
      </c>
      <c r="AH80" s="1532" t="s">
        <v>4531</v>
      </c>
      <c r="AI80" s="1532" t="s">
        <v>10063</v>
      </c>
      <c r="AJ80" s="1532" t="s">
        <v>10064</v>
      </c>
      <c r="AK80" s="1532" t="s">
        <v>10065</v>
      </c>
      <c r="AL80" s="1532" t="s">
        <v>4982</v>
      </c>
      <c r="AM80" s="1532" t="s">
        <v>9679</v>
      </c>
      <c r="AN80" s="1532" t="s">
        <v>4364</v>
      </c>
      <c r="AO80" s="1532" t="s">
        <v>8738</v>
      </c>
      <c r="AP80" s="1532" t="s">
        <v>10066</v>
      </c>
      <c r="AQ80" s="1640" t="s">
        <v>8454</v>
      </c>
      <c r="AR80" s="1532" t="s">
        <v>10067</v>
      </c>
      <c r="AS80" s="1638" t="s">
        <v>753</v>
      </c>
      <c r="AT80" s="1532" t="s">
        <v>10068</v>
      </c>
      <c r="AU80" s="1495" t="s">
        <v>10069</v>
      </c>
      <c r="AV80" s="1495" t="s">
        <v>10070</v>
      </c>
      <c r="AW80" s="1643" t="s">
        <v>10071</v>
      </c>
    </row>
    <row r="81">
      <c r="A81" s="1503" t="s">
        <v>3859</v>
      </c>
      <c r="B81" s="1501" t="s">
        <v>8372</v>
      </c>
      <c r="C81" s="1458">
        <v>0.0522337962962963</v>
      </c>
      <c r="D81" s="1600" t="s">
        <v>10072</v>
      </c>
      <c r="E81" s="1536" t="s">
        <v>10073</v>
      </c>
      <c r="F81" s="1536" t="s">
        <v>10074</v>
      </c>
      <c r="G81" s="1536" t="s">
        <v>10075</v>
      </c>
      <c r="H81" s="1536" t="s">
        <v>10076</v>
      </c>
      <c r="I81" s="1536" t="s">
        <v>141</v>
      </c>
      <c r="J81" s="1536" t="s">
        <v>8067</v>
      </c>
      <c r="K81" s="1536" t="s">
        <v>4436</v>
      </c>
      <c r="L81" s="1536" t="s">
        <v>6068</v>
      </c>
      <c r="M81" s="1536" t="s">
        <v>10077</v>
      </c>
      <c r="N81" s="1536" t="s">
        <v>10078</v>
      </c>
      <c r="O81" s="1536" t="s">
        <v>10079</v>
      </c>
      <c r="P81" s="1536" t="s">
        <v>5119</v>
      </c>
      <c r="Q81" s="1536" t="s">
        <v>4822</v>
      </c>
      <c r="R81" s="1536" t="s">
        <v>6053</v>
      </c>
      <c r="S81" s="1536" t="s">
        <v>604</v>
      </c>
      <c r="T81" s="1536" t="s">
        <v>9845</v>
      </c>
      <c r="U81" s="1536" t="s">
        <v>8784</v>
      </c>
      <c r="V81" s="1536" t="s">
        <v>10080</v>
      </c>
      <c r="W81" s="1536" t="s">
        <v>10081</v>
      </c>
      <c r="X81" s="1536" t="s">
        <v>3625</v>
      </c>
      <c r="Y81" s="1536" t="s">
        <v>758</v>
      </c>
      <c r="Z81" s="1536" t="s">
        <v>10082</v>
      </c>
      <c r="AA81" s="1271" t="s">
        <v>8965</v>
      </c>
      <c r="AB81" s="1536" t="s">
        <v>6903</v>
      </c>
      <c r="AC81" s="1536" t="s">
        <v>9823</v>
      </c>
      <c r="AD81" s="1536" t="s">
        <v>7370</v>
      </c>
      <c r="AE81" s="1536" t="s">
        <v>4879</v>
      </c>
      <c r="AF81" s="1467" t="s">
        <v>10083</v>
      </c>
      <c r="AG81" s="1536" t="s">
        <v>10084</v>
      </c>
      <c r="AH81" s="1536" t="s">
        <v>5039</v>
      </c>
      <c r="AI81" s="1536" t="s">
        <v>6527</v>
      </c>
      <c r="AJ81" s="1536" t="s">
        <v>10085</v>
      </c>
      <c r="AK81" s="1536" t="s">
        <v>10086</v>
      </c>
      <c r="AL81" s="1536" t="s">
        <v>9759</v>
      </c>
      <c r="AM81" s="1536" t="s">
        <v>10087</v>
      </c>
      <c r="AN81" s="1536" t="s">
        <v>1081</v>
      </c>
      <c r="AO81" s="1536" t="s">
        <v>10088</v>
      </c>
      <c r="AP81" s="1536" t="s">
        <v>5544</v>
      </c>
      <c r="AQ81" s="1536" t="s">
        <v>10089</v>
      </c>
      <c r="AR81" s="1536" t="s">
        <v>688</v>
      </c>
      <c r="AS81" s="1467" t="s">
        <v>2824</v>
      </c>
      <c r="AT81" s="1536" t="s">
        <v>10090</v>
      </c>
      <c r="AU81" s="1536" t="s">
        <v>10091</v>
      </c>
      <c r="AV81" s="1624" t="str">
        <f t="shared" ref="AV81:AV99" si="3">TEXT(AU81-C81,"m:ss")</f>
        <v>4:32</v>
      </c>
      <c r="AW81" s="1625" t="s">
        <v>10092</v>
      </c>
    </row>
    <row r="82">
      <c r="A82" s="1503" t="s">
        <v>5150</v>
      </c>
      <c r="B82" s="1497" t="s">
        <v>8400</v>
      </c>
      <c r="C82" s="1458">
        <v>0.05232638888888889</v>
      </c>
      <c r="D82" s="1600" t="s">
        <v>10093</v>
      </c>
      <c r="E82" s="1536" t="s">
        <v>1230</v>
      </c>
      <c r="F82" s="1536" t="s">
        <v>10094</v>
      </c>
      <c r="G82" s="1536" t="s">
        <v>10095</v>
      </c>
      <c r="H82" s="1536" t="s">
        <v>10096</v>
      </c>
      <c r="I82" s="1536" t="s">
        <v>1259</v>
      </c>
      <c r="J82" s="1536" t="s">
        <v>7652</v>
      </c>
      <c r="K82" s="1536" t="s">
        <v>9648</v>
      </c>
      <c r="L82" s="1536" t="s">
        <v>10097</v>
      </c>
      <c r="M82" s="1536" t="s">
        <v>7398</v>
      </c>
      <c r="N82" s="1536" t="s">
        <v>10098</v>
      </c>
      <c r="O82" s="1536" t="s">
        <v>10099</v>
      </c>
      <c r="P82" s="1536" t="s">
        <v>517</v>
      </c>
      <c r="Q82" s="1536" t="s">
        <v>9483</v>
      </c>
      <c r="R82" s="1536" t="s">
        <v>5302</v>
      </c>
      <c r="S82" s="1536" t="s">
        <v>9300</v>
      </c>
      <c r="T82" s="1536" t="s">
        <v>10100</v>
      </c>
      <c r="U82" s="1536" t="s">
        <v>10101</v>
      </c>
      <c r="V82" s="1536" t="s">
        <v>10102</v>
      </c>
      <c r="W82" s="1536" t="s">
        <v>6137</v>
      </c>
      <c r="X82" s="1536" t="s">
        <v>311</v>
      </c>
      <c r="Y82" s="1536" t="s">
        <v>6378</v>
      </c>
      <c r="Z82" s="1536" t="s">
        <v>781</v>
      </c>
      <c r="AA82" s="1624" t="s">
        <v>9300</v>
      </c>
      <c r="AB82" s="1536" t="s">
        <v>10103</v>
      </c>
      <c r="AC82" s="1536" t="s">
        <v>6048</v>
      </c>
      <c r="AD82" s="1536" t="s">
        <v>10104</v>
      </c>
      <c r="AE82" s="1536" t="s">
        <v>223</v>
      </c>
      <c r="AF82" s="1536" t="s">
        <v>7985</v>
      </c>
      <c r="AG82" s="1536" t="s">
        <v>3106</v>
      </c>
      <c r="AH82" s="1536" t="s">
        <v>1808</v>
      </c>
      <c r="AI82" s="1536" t="s">
        <v>420</v>
      </c>
      <c r="AJ82" s="1536" t="s">
        <v>10105</v>
      </c>
      <c r="AK82" s="1536" t="s">
        <v>10106</v>
      </c>
      <c r="AL82" s="1536" t="s">
        <v>9801</v>
      </c>
      <c r="AM82" s="1536" t="s">
        <v>2808</v>
      </c>
      <c r="AN82" s="1536" t="s">
        <v>5836</v>
      </c>
      <c r="AO82" s="1536" t="s">
        <v>3576</v>
      </c>
      <c r="AP82" s="1536" t="s">
        <v>10107</v>
      </c>
      <c r="AQ82" s="1536" t="s">
        <v>7397</v>
      </c>
      <c r="AR82" s="1536" t="s">
        <v>6047</v>
      </c>
      <c r="AS82" s="1536" t="s">
        <v>10108</v>
      </c>
      <c r="AT82" s="1536" t="s">
        <v>10109</v>
      </c>
      <c r="AU82" s="1536" t="s">
        <v>10110</v>
      </c>
      <c r="AV82" s="1624" t="str">
        <f t="shared" si="3"/>
        <v>3:48</v>
      </c>
      <c r="AW82" s="1629"/>
    </row>
    <row r="83" ht="15.75" customHeight="1">
      <c r="A83" s="1456" t="s">
        <v>10111</v>
      </c>
      <c r="B83" s="1457" t="s">
        <v>8372</v>
      </c>
      <c r="C83" s="1590">
        <v>0.05240740740740741</v>
      </c>
      <c r="D83" s="1271" t="s">
        <v>10112</v>
      </c>
      <c r="E83" s="1624" t="s">
        <v>1656</v>
      </c>
      <c r="F83" s="1624" t="s">
        <v>7667</v>
      </c>
      <c r="G83" s="1624" t="s">
        <v>9781</v>
      </c>
      <c r="H83" s="1624" t="s">
        <v>10113</v>
      </c>
      <c r="I83" s="1624" t="s">
        <v>10114</v>
      </c>
      <c r="J83" s="1624" t="s">
        <v>10115</v>
      </c>
      <c r="K83" s="1624" t="s">
        <v>10116</v>
      </c>
      <c r="L83" s="1624" t="s">
        <v>4465</v>
      </c>
      <c r="M83" s="1624" t="s">
        <v>3167</v>
      </c>
      <c r="N83" s="1624" t="s">
        <v>4766</v>
      </c>
      <c r="O83" s="1624" t="s">
        <v>10117</v>
      </c>
      <c r="P83" s="1624" t="s">
        <v>10118</v>
      </c>
      <c r="Q83" s="1624" t="s">
        <v>4212</v>
      </c>
      <c r="R83" s="1624" t="s">
        <v>2229</v>
      </c>
      <c r="S83" s="1624" t="s">
        <v>9557</v>
      </c>
      <c r="T83" s="1624" t="s">
        <v>5040</v>
      </c>
      <c r="U83" s="1624" t="s">
        <v>10119</v>
      </c>
      <c r="V83" s="1624" t="s">
        <v>10120</v>
      </c>
      <c r="W83" s="1624" t="s">
        <v>10121</v>
      </c>
      <c r="X83" s="1624" t="s">
        <v>10122</v>
      </c>
      <c r="Y83" s="1624" t="s">
        <v>6282</v>
      </c>
      <c r="Z83" s="1624" t="s">
        <v>9981</v>
      </c>
      <c r="AA83" s="1624" t="s">
        <v>1935</v>
      </c>
      <c r="AB83" s="1624" t="s">
        <v>10123</v>
      </c>
      <c r="AC83" s="1624" t="s">
        <v>1538</v>
      </c>
      <c r="AD83" s="1624" t="s">
        <v>10124</v>
      </c>
      <c r="AE83" s="1624" t="s">
        <v>1538</v>
      </c>
      <c r="AF83" s="1624" t="s">
        <v>10125</v>
      </c>
      <c r="AG83" s="1624" t="s">
        <v>9715</v>
      </c>
      <c r="AH83" s="1624" t="s">
        <v>2102</v>
      </c>
      <c r="AI83" s="1624" t="s">
        <v>3148</v>
      </c>
      <c r="AJ83" s="1624" t="s">
        <v>10126</v>
      </c>
      <c r="AK83" s="1624" t="s">
        <v>6904</v>
      </c>
      <c r="AL83" s="1624" t="s">
        <v>10127</v>
      </c>
      <c r="AM83" s="1624" t="s">
        <v>1190</v>
      </c>
      <c r="AN83" s="1624" t="s">
        <v>2920</v>
      </c>
      <c r="AO83" s="1624" t="s">
        <v>10128</v>
      </c>
      <c r="AP83" s="1624" t="s">
        <v>3513</v>
      </c>
      <c r="AQ83" s="1624" t="s">
        <v>10129</v>
      </c>
      <c r="AR83" s="1624" t="s">
        <v>10130</v>
      </c>
      <c r="AS83" s="1624" t="s">
        <v>9022</v>
      </c>
      <c r="AT83" s="1624" t="s">
        <v>9106</v>
      </c>
      <c r="AU83" s="1624" t="s">
        <v>10131</v>
      </c>
      <c r="AV83" s="1624" t="str">
        <f t="shared" si="3"/>
        <v>3:40</v>
      </c>
      <c r="AW83" s="1628" t="s">
        <v>10132</v>
      </c>
    </row>
    <row r="84" ht="15.75" customHeight="1">
      <c r="A84" s="1540" t="s">
        <v>10133</v>
      </c>
      <c r="B84" s="1457" t="s">
        <v>8372</v>
      </c>
      <c r="C84" s="1590">
        <v>0.05263888888888889</v>
      </c>
      <c r="D84" s="1271" t="s">
        <v>10134</v>
      </c>
      <c r="E84" s="1624" t="s">
        <v>9832</v>
      </c>
      <c r="F84" s="1624" t="s">
        <v>10135</v>
      </c>
      <c r="G84" s="1624" t="s">
        <v>10136</v>
      </c>
      <c r="H84" s="1624" t="s">
        <v>10137</v>
      </c>
      <c r="I84" s="1624" t="s">
        <v>10138</v>
      </c>
      <c r="J84" s="1624" t="s">
        <v>10139</v>
      </c>
      <c r="K84" s="1624" t="s">
        <v>4132</v>
      </c>
      <c r="L84" s="1624" t="s">
        <v>4205</v>
      </c>
      <c r="M84" s="1624" t="s">
        <v>9127</v>
      </c>
      <c r="N84" s="1624" t="s">
        <v>10140</v>
      </c>
      <c r="O84" s="1624" t="s">
        <v>8413</v>
      </c>
      <c r="P84" s="1624" t="s">
        <v>481</v>
      </c>
      <c r="Q84" s="1624" t="s">
        <v>10141</v>
      </c>
      <c r="R84" s="1624" t="s">
        <v>5491</v>
      </c>
      <c r="S84" s="1624" t="s">
        <v>1911</v>
      </c>
      <c r="T84" s="1624" t="s">
        <v>10142</v>
      </c>
      <c r="U84" s="1624" t="s">
        <v>10143</v>
      </c>
      <c r="V84" s="1624" t="s">
        <v>10144</v>
      </c>
      <c r="W84" s="1624" t="s">
        <v>10145</v>
      </c>
      <c r="X84" s="1624" t="s">
        <v>5647</v>
      </c>
      <c r="Y84" s="1624" t="s">
        <v>1538</v>
      </c>
      <c r="Z84" s="1624" t="s">
        <v>6366</v>
      </c>
      <c r="AA84" s="1536" t="s">
        <v>7580</v>
      </c>
      <c r="AB84" s="1624" t="s">
        <v>9020</v>
      </c>
      <c r="AC84" s="1624" t="s">
        <v>9840</v>
      </c>
      <c r="AD84" s="1624" t="s">
        <v>2957</v>
      </c>
      <c r="AE84" s="1624" t="s">
        <v>1073</v>
      </c>
      <c r="AF84" s="1624" t="s">
        <v>10146</v>
      </c>
      <c r="AG84" s="1624" t="s">
        <v>2710</v>
      </c>
      <c r="AH84" s="1624" t="s">
        <v>6522</v>
      </c>
      <c r="AI84" s="1624" t="s">
        <v>10147</v>
      </c>
      <c r="AJ84" s="1624" t="s">
        <v>10148</v>
      </c>
      <c r="AK84" s="1624" t="s">
        <v>9438</v>
      </c>
      <c r="AL84" s="1624" t="s">
        <v>10149</v>
      </c>
      <c r="AM84" s="1624" t="s">
        <v>10150</v>
      </c>
      <c r="AN84" s="1624" t="s">
        <v>3833</v>
      </c>
      <c r="AO84" s="1624" t="s">
        <v>8738</v>
      </c>
      <c r="AP84" s="1624" t="s">
        <v>10151</v>
      </c>
      <c r="AQ84" s="1624" t="s">
        <v>10152</v>
      </c>
      <c r="AR84" s="1624" t="s">
        <v>154</v>
      </c>
      <c r="AS84" s="1624" t="s">
        <v>1091</v>
      </c>
      <c r="AT84" s="1624" t="s">
        <v>10153</v>
      </c>
      <c r="AU84" s="1624" t="s">
        <v>10154</v>
      </c>
      <c r="AV84" s="1624" t="str">
        <f t="shared" si="3"/>
        <v>4:28</v>
      </c>
      <c r="AW84" s="1628" t="s">
        <v>10155</v>
      </c>
    </row>
    <row r="85">
      <c r="A85" s="1503" t="s">
        <v>3477</v>
      </c>
      <c r="B85" s="1601" t="s">
        <v>8423</v>
      </c>
      <c r="C85" s="1458">
        <v>0.052662037037037035</v>
      </c>
      <c r="D85" s="1271" t="s">
        <v>10156</v>
      </c>
      <c r="E85" s="1271" t="s">
        <v>529</v>
      </c>
      <c r="F85" s="1271" t="s">
        <v>10157</v>
      </c>
      <c r="G85" s="1271" t="s">
        <v>10158</v>
      </c>
      <c r="H85" s="1271" t="s">
        <v>8614</v>
      </c>
      <c r="I85" s="1271" t="s">
        <v>10159</v>
      </c>
      <c r="J85" s="1271" t="s">
        <v>156</v>
      </c>
      <c r="K85" s="1271" t="s">
        <v>10160</v>
      </c>
      <c r="L85" s="1271" t="s">
        <v>2703</v>
      </c>
      <c r="M85" s="1271" t="s">
        <v>268</v>
      </c>
      <c r="N85" s="1271" t="s">
        <v>8894</v>
      </c>
      <c r="O85" s="1271" t="s">
        <v>10161</v>
      </c>
      <c r="P85" s="1271" t="s">
        <v>2060</v>
      </c>
      <c r="Q85" s="1271" t="s">
        <v>3420</v>
      </c>
      <c r="R85" s="1271" t="s">
        <v>10162</v>
      </c>
      <c r="S85" s="1271" t="s">
        <v>10163</v>
      </c>
      <c r="T85" s="1271" t="s">
        <v>10164</v>
      </c>
      <c r="U85" s="1271" t="s">
        <v>10165</v>
      </c>
      <c r="V85" s="1271" t="s">
        <v>10166</v>
      </c>
      <c r="W85" s="1271" t="s">
        <v>10167</v>
      </c>
      <c r="X85" s="1271" t="s">
        <v>2674</v>
      </c>
      <c r="Y85" s="1271" t="s">
        <v>2839</v>
      </c>
      <c r="Z85" s="1271" t="s">
        <v>6143</v>
      </c>
      <c r="AA85" s="1536" t="s">
        <v>10168</v>
      </c>
      <c r="AB85" s="1271" t="s">
        <v>10169</v>
      </c>
      <c r="AC85" s="1271" t="s">
        <v>6377</v>
      </c>
      <c r="AD85" s="1644" t="s">
        <v>8444</v>
      </c>
      <c r="AE85" s="1271" t="s">
        <v>335</v>
      </c>
      <c r="AF85" s="1271" t="s">
        <v>10170</v>
      </c>
      <c r="AG85" s="1271" t="s">
        <v>7318</v>
      </c>
      <c r="AH85" s="1271" t="s">
        <v>3665</v>
      </c>
      <c r="AI85" s="1271" t="s">
        <v>10171</v>
      </c>
      <c r="AJ85" s="1271" t="s">
        <v>10172</v>
      </c>
      <c r="AK85" s="1271" t="s">
        <v>10173</v>
      </c>
      <c r="AL85" s="1271" t="s">
        <v>4602</v>
      </c>
      <c r="AM85" s="1271" t="s">
        <v>5613</v>
      </c>
      <c r="AN85" s="1644" t="s">
        <v>8451</v>
      </c>
      <c r="AO85" s="1271" t="s">
        <v>10174</v>
      </c>
      <c r="AP85" s="1271" t="s">
        <v>10175</v>
      </c>
      <c r="AQ85" s="1271" t="s">
        <v>10176</v>
      </c>
      <c r="AR85" s="1271" t="s">
        <v>5867</v>
      </c>
      <c r="AS85" s="1271" t="s">
        <v>6843</v>
      </c>
      <c r="AT85" s="1271" t="s">
        <v>10177</v>
      </c>
      <c r="AU85" s="1645" t="s">
        <v>10178</v>
      </c>
      <c r="AV85" s="1624" t="str">
        <f t="shared" si="3"/>
        <v>4:43</v>
      </c>
      <c r="AW85" s="1632" t="s">
        <v>10179</v>
      </c>
    </row>
    <row r="86" ht="15.75" customHeight="1">
      <c r="A86" s="1503" t="s">
        <v>10180</v>
      </c>
      <c r="B86" s="1497" t="s">
        <v>8372</v>
      </c>
      <c r="C86" s="1458">
        <v>0.05267361111111111</v>
      </c>
      <c r="D86" s="1600" t="s">
        <v>9521</v>
      </c>
      <c r="E86" s="1536" t="s">
        <v>862</v>
      </c>
      <c r="F86" s="1536" t="s">
        <v>7343</v>
      </c>
      <c r="G86" s="1536" t="s">
        <v>10181</v>
      </c>
      <c r="H86" s="1536" t="s">
        <v>10182</v>
      </c>
      <c r="I86" s="1536" t="s">
        <v>5537</v>
      </c>
      <c r="J86" s="1271" t="s">
        <v>10183</v>
      </c>
      <c r="K86" s="1536" t="s">
        <v>10184</v>
      </c>
      <c r="L86" s="1536" t="s">
        <v>3665</v>
      </c>
      <c r="M86" s="1536" t="s">
        <v>7300</v>
      </c>
      <c r="N86" s="1536" t="s">
        <v>10185</v>
      </c>
      <c r="O86" s="1536" t="s">
        <v>10186</v>
      </c>
      <c r="P86" s="1536" t="s">
        <v>9487</v>
      </c>
      <c r="Q86" s="1536" t="s">
        <v>10187</v>
      </c>
      <c r="R86" s="1536" t="s">
        <v>5554</v>
      </c>
      <c r="S86" s="1536" t="s">
        <v>7336</v>
      </c>
      <c r="T86" s="1536" t="s">
        <v>10188</v>
      </c>
      <c r="U86" s="1536" t="s">
        <v>10189</v>
      </c>
      <c r="V86" s="1536" t="s">
        <v>3938</v>
      </c>
      <c r="W86" s="1536" t="s">
        <v>10190</v>
      </c>
      <c r="X86" s="1536" t="s">
        <v>2438</v>
      </c>
      <c r="Y86" s="1536" t="s">
        <v>9089</v>
      </c>
      <c r="Z86" s="1536" t="s">
        <v>8565</v>
      </c>
      <c r="AA86" s="1536" t="s">
        <v>10191</v>
      </c>
      <c r="AB86" s="1536" t="s">
        <v>9707</v>
      </c>
      <c r="AC86" s="1536" t="s">
        <v>8936</v>
      </c>
      <c r="AD86" s="1536" t="s">
        <v>10192</v>
      </c>
      <c r="AE86" s="1536" t="s">
        <v>2408</v>
      </c>
      <c r="AF86" s="1536" t="s">
        <v>10193</v>
      </c>
      <c r="AG86" s="1536" t="s">
        <v>10194</v>
      </c>
      <c r="AH86" s="1536" t="s">
        <v>4205</v>
      </c>
      <c r="AI86" s="1536" t="s">
        <v>10195</v>
      </c>
      <c r="AJ86" s="1536" t="s">
        <v>10196</v>
      </c>
      <c r="AK86" s="1536" t="s">
        <v>1687</v>
      </c>
      <c r="AL86" s="1536" t="s">
        <v>2599</v>
      </c>
      <c r="AM86" s="1536" t="s">
        <v>1687</v>
      </c>
      <c r="AN86" s="1536" t="s">
        <v>2599</v>
      </c>
      <c r="AO86" s="1536" t="s">
        <v>5966</v>
      </c>
      <c r="AP86" s="1536" t="s">
        <v>10197</v>
      </c>
      <c r="AQ86" s="1536" t="s">
        <v>2157</v>
      </c>
      <c r="AR86" s="1536" t="s">
        <v>10006</v>
      </c>
      <c r="AS86" s="1536" t="s">
        <v>10198</v>
      </c>
      <c r="AT86" s="1536" t="s">
        <v>10199</v>
      </c>
      <c r="AU86" s="1536" t="s">
        <v>10200</v>
      </c>
      <c r="AV86" s="1624" t="str">
        <f t="shared" si="3"/>
        <v>5:58</v>
      </c>
      <c r="AW86" s="1625" t="s">
        <v>10201</v>
      </c>
    </row>
    <row r="87" ht="15.75" customHeight="1">
      <c r="A87" s="1456" t="s">
        <v>5887</v>
      </c>
      <c r="B87" s="1516" t="s">
        <v>8400</v>
      </c>
      <c r="C87" s="1590">
        <v>0.05275462962962963</v>
      </c>
      <c r="D87" s="1271" t="s">
        <v>10202</v>
      </c>
      <c r="E87" s="1624" t="s">
        <v>9544</v>
      </c>
      <c r="F87" s="1624" t="s">
        <v>10203</v>
      </c>
      <c r="G87" s="1624" t="s">
        <v>8600</v>
      </c>
      <c r="H87" s="1624" t="s">
        <v>7172</v>
      </c>
      <c r="I87" s="1624" t="s">
        <v>2271</v>
      </c>
      <c r="J87" s="1624" t="s">
        <v>4148</v>
      </c>
      <c r="K87" s="1624" t="s">
        <v>9860</v>
      </c>
      <c r="L87" s="1624" t="s">
        <v>5220</v>
      </c>
      <c r="M87" s="1624" t="s">
        <v>4131</v>
      </c>
      <c r="N87" s="1624" t="s">
        <v>10204</v>
      </c>
      <c r="O87" s="1624" t="s">
        <v>10205</v>
      </c>
      <c r="P87" s="1624" t="s">
        <v>6113</v>
      </c>
      <c r="Q87" s="1624" t="s">
        <v>10206</v>
      </c>
      <c r="R87" s="1624" t="s">
        <v>10207</v>
      </c>
      <c r="S87" s="1624" t="s">
        <v>8390</v>
      </c>
      <c r="T87" s="1624" t="s">
        <v>2604</v>
      </c>
      <c r="U87" s="1624" t="s">
        <v>496</v>
      </c>
      <c r="V87" s="1624" t="s">
        <v>4099</v>
      </c>
      <c r="W87" s="1624" t="s">
        <v>10208</v>
      </c>
      <c r="X87" s="1624" t="s">
        <v>10209</v>
      </c>
      <c r="Y87" s="1624" t="s">
        <v>5632</v>
      </c>
      <c r="Z87" s="1624" t="s">
        <v>8687</v>
      </c>
      <c r="AA87" s="1624" t="s">
        <v>10210</v>
      </c>
      <c r="AB87" s="1624" t="s">
        <v>489</v>
      </c>
      <c r="AC87" s="1624" t="s">
        <v>9734</v>
      </c>
      <c r="AD87" s="1624" t="s">
        <v>10211</v>
      </c>
      <c r="AE87" s="1624" t="s">
        <v>10212</v>
      </c>
      <c r="AF87" s="1624" t="s">
        <v>9259</v>
      </c>
      <c r="AG87" s="1624" t="s">
        <v>3115</v>
      </c>
      <c r="AH87" s="1624" t="s">
        <v>721</v>
      </c>
      <c r="AI87" s="1624" t="s">
        <v>5248</v>
      </c>
      <c r="AJ87" s="1624" t="s">
        <v>10213</v>
      </c>
      <c r="AK87" s="1624" t="s">
        <v>8812</v>
      </c>
      <c r="AL87" s="1624" t="s">
        <v>5312</v>
      </c>
      <c r="AM87" s="1624" t="s">
        <v>3103</v>
      </c>
      <c r="AN87" s="1624" t="s">
        <v>6248</v>
      </c>
      <c r="AO87" s="1624" t="s">
        <v>10214</v>
      </c>
      <c r="AP87" s="1624" t="s">
        <v>10215</v>
      </c>
      <c r="AQ87" s="1624" t="s">
        <v>10216</v>
      </c>
      <c r="AR87" s="1624" t="s">
        <v>9795</v>
      </c>
      <c r="AS87" s="1624" t="s">
        <v>8699</v>
      </c>
      <c r="AT87" s="1624" t="s">
        <v>10217</v>
      </c>
      <c r="AU87" s="1624" t="s">
        <v>10218</v>
      </c>
      <c r="AV87" s="1624" t="str">
        <f t="shared" si="3"/>
        <v>3:59</v>
      </c>
      <c r="AW87" s="1629" t="s">
        <v>10219</v>
      </c>
    </row>
    <row r="88" ht="15.75" customHeight="1">
      <c r="A88" s="1540" t="s">
        <v>10220</v>
      </c>
      <c r="B88" s="1614" t="s">
        <v>8423</v>
      </c>
      <c r="C88" s="1590">
        <v>0.05291666666666667</v>
      </c>
      <c r="D88" s="1271" t="s">
        <v>10221</v>
      </c>
      <c r="E88" s="1624" t="s">
        <v>10222</v>
      </c>
      <c r="F88" s="1624" t="s">
        <v>5756</v>
      </c>
      <c r="G88" s="1624" t="s">
        <v>9400</v>
      </c>
      <c r="H88" s="1624" t="s">
        <v>9727</v>
      </c>
      <c r="I88" s="1624" t="s">
        <v>2889</v>
      </c>
      <c r="J88" s="1624" t="s">
        <v>10223</v>
      </c>
      <c r="K88" s="1624" t="s">
        <v>5376</v>
      </c>
      <c r="L88" s="1624" t="s">
        <v>7637</v>
      </c>
      <c r="M88" s="1624" t="s">
        <v>10224</v>
      </c>
      <c r="N88" s="1624" t="s">
        <v>10225</v>
      </c>
      <c r="O88" s="1624" t="s">
        <v>10226</v>
      </c>
      <c r="P88" s="1624" t="s">
        <v>9594</v>
      </c>
      <c r="Q88" s="1624" t="s">
        <v>10227</v>
      </c>
      <c r="R88" s="1624" t="s">
        <v>9484</v>
      </c>
      <c r="S88" s="1624" t="s">
        <v>4541</v>
      </c>
      <c r="T88" s="1624" t="s">
        <v>8599</v>
      </c>
      <c r="U88" s="1624" t="s">
        <v>5382</v>
      </c>
      <c r="V88" s="1624" t="s">
        <v>1149</v>
      </c>
      <c r="W88" s="1624" t="s">
        <v>1898</v>
      </c>
      <c r="X88" s="1624" t="s">
        <v>3142</v>
      </c>
      <c r="Y88" s="1624" t="s">
        <v>655</v>
      </c>
      <c r="Z88" s="1624" t="s">
        <v>10228</v>
      </c>
      <c r="AA88" s="1536" t="s">
        <v>7570</v>
      </c>
      <c r="AB88" s="1624" t="s">
        <v>3529</v>
      </c>
      <c r="AC88" s="1624" t="s">
        <v>2385</v>
      </c>
      <c r="AD88" s="1624" t="s">
        <v>10229</v>
      </c>
      <c r="AE88" s="1624" t="s">
        <v>10230</v>
      </c>
      <c r="AF88" s="1624" t="s">
        <v>10231</v>
      </c>
      <c r="AG88" s="1624" t="s">
        <v>10232</v>
      </c>
      <c r="AH88" s="1624" t="s">
        <v>10233</v>
      </c>
      <c r="AI88" s="1624" t="s">
        <v>10234</v>
      </c>
      <c r="AJ88" s="1624" t="s">
        <v>10235</v>
      </c>
      <c r="AK88" s="1624" t="s">
        <v>10236</v>
      </c>
      <c r="AL88" s="1624" t="s">
        <v>1659</v>
      </c>
      <c r="AM88" s="1624" t="s">
        <v>3264</v>
      </c>
      <c r="AN88" s="1624" t="s">
        <v>10237</v>
      </c>
      <c r="AO88" s="1624" t="s">
        <v>10238</v>
      </c>
      <c r="AP88" s="1624" t="s">
        <v>3100</v>
      </c>
      <c r="AQ88" s="1624" t="s">
        <v>10239</v>
      </c>
      <c r="AR88" s="1624" t="s">
        <v>10142</v>
      </c>
      <c r="AS88" s="1624" t="s">
        <v>4287</v>
      </c>
      <c r="AT88" s="1624" t="s">
        <v>10240</v>
      </c>
      <c r="AU88" s="1624" t="s">
        <v>10241</v>
      </c>
      <c r="AV88" s="1624" t="str">
        <f t="shared" si="3"/>
        <v>2:38</v>
      </c>
      <c r="AW88" s="1629"/>
    </row>
    <row r="89" ht="15.75" customHeight="1">
      <c r="A89" s="1503" t="s">
        <v>6178</v>
      </c>
      <c r="B89" s="1501" t="s">
        <v>8372</v>
      </c>
      <c r="C89" s="1458">
        <v>0.05324074074074074</v>
      </c>
      <c r="D89" s="1271" t="s">
        <v>10242</v>
      </c>
      <c r="E89" s="1271" t="s">
        <v>10243</v>
      </c>
      <c r="F89" s="1271" t="s">
        <v>10244</v>
      </c>
      <c r="G89" s="1271" t="s">
        <v>9133</v>
      </c>
      <c r="H89" s="1271" t="s">
        <v>10245</v>
      </c>
      <c r="I89" s="1271" t="s">
        <v>6028</v>
      </c>
      <c r="J89" s="1271" t="s">
        <v>1786</v>
      </c>
      <c r="K89" s="1271" t="s">
        <v>4324</v>
      </c>
      <c r="L89" s="1271" t="s">
        <v>10246</v>
      </c>
      <c r="M89" s="1271" t="s">
        <v>10247</v>
      </c>
      <c r="N89" s="1271" t="s">
        <v>10248</v>
      </c>
      <c r="O89" s="1271" t="s">
        <v>10249</v>
      </c>
      <c r="P89" s="1271" t="s">
        <v>10250</v>
      </c>
      <c r="Q89" s="1271" t="s">
        <v>10251</v>
      </c>
      <c r="R89" s="1271" t="s">
        <v>8387</v>
      </c>
      <c r="S89" s="1271" t="s">
        <v>10122</v>
      </c>
      <c r="T89" s="1271" t="s">
        <v>10252</v>
      </c>
      <c r="U89" s="1271" t="s">
        <v>10253</v>
      </c>
      <c r="V89" s="1271" t="s">
        <v>2724</v>
      </c>
      <c r="W89" s="1271" t="s">
        <v>10254</v>
      </c>
      <c r="X89" s="1271" t="s">
        <v>10255</v>
      </c>
      <c r="Y89" s="1271" t="s">
        <v>5537</v>
      </c>
      <c r="Z89" s="1271" t="s">
        <v>4065</v>
      </c>
      <c r="AA89" s="1536" t="s">
        <v>10256</v>
      </c>
      <c r="AB89" s="1271" t="s">
        <v>9527</v>
      </c>
      <c r="AC89" s="1271" t="s">
        <v>5490</v>
      </c>
      <c r="AD89" s="1271" t="s">
        <v>10257</v>
      </c>
      <c r="AE89" s="1271" t="s">
        <v>9335</v>
      </c>
      <c r="AF89" s="1271" t="s">
        <v>10258</v>
      </c>
      <c r="AG89" s="1271" t="s">
        <v>10062</v>
      </c>
      <c r="AH89" s="1271" t="s">
        <v>5615</v>
      </c>
      <c r="AI89" s="1271" t="s">
        <v>10259</v>
      </c>
      <c r="AJ89" s="1271" t="s">
        <v>10260</v>
      </c>
      <c r="AK89" s="1536" t="s">
        <v>10261</v>
      </c>
      <c r="AL89" s="1271" t="s">
        <v>9843</v>
      </c>
      <c r="AM89" s="1271" t="s">
        <v>10262</v>
      </c>
      <c r="AN89" s="1271" t="s">
        <v>9674</v>
      </c>
      <c r="AO89" s="1271" t="s">
        <v>4574</v>
      </c>
      <c r="AP89" s="1271" t="s">
        <v>10263</v>
      </c>
      <c r="AQ89" s="1271" t="s">
        <v>10264</v>
      </c>
      <c r="AR89" s="1536" t="s">
        <v>3664</v>
      </c>
      <c r="AS89" s="1271" t="s">
        <v>10265</v>
      </c>
      <c r="AT89" s="1271" t="s">
        <v>10266</v>
      </c>
      <c r="AU89" s="1536" t="s">
        <v>10178</v>
      </c>
      <c r="AV89" s="1624" t="str">
        <f t="shared" si="3"/>
        <v>3:53</v>
      </c>
      <c r="AW89" s="1625" t="s">
        <v>10267</v>
      </c>
    </row>
    <row r="90">
      <c r="A90" s="1503" t="s">
        <v>4703</v>
      </c>
      <c r="B90" s="1497" t="s">
        <v>8423</v>
      </c>
      <c r="C90" s="1458">
        <v>0.05331018518518518</v>
      </c>
      <c r="D90" s="1536" t="s">
        <v>10268</v>
      </c>
      <c r="E90" s="1536" t="s">
        <v>7718</v>
      </c>
      <c r="F90" s="1536" t="s">
        <v>10036</v>
      </c>
      <c r="G90" s="1536" t="s">
        <v>10269</v>
      </c>
      <c r="H90" s="1271" t="s">
        <v>10270</v>
      </c>
      <c r="I90" s="1536" t="s">
        <v>10271</v>
      </c>
      <c r="J90" s="1536" t="s">
        <v>9771</v>
      </c>
      <c r="K90" s="1536" t="s">
        <v>8594</v>
      </c>
      <c r="L90" s="1536" t="s">
        <v>4096</v>
      </c>
      <c r="M90" s="1536" t="s">
        <v>10272</v>
      </c>
      <c r="N90" s="1536" t="s">
        <v>9555</v>
      </c>
      <c r="O90" s="1536" t="s">
        <v>10273</v>
      </c>
      <c r="P90" s="1536" t="s">
        <v>6048</v>
      </c>
      <c r="Q90" s="1536" t="s">
        <v>10274</v>
      </c>
      <c r="R90" s="1536" t="s">
        <v>2137</v>
      </c>
      <c r="S90" s="1536" t="s">
        <v>7587</v>
      </c>
      <c r="T90" s="1536" t="s">
        <v>7153</v>
      </c>
      <c r="U90" s="1536" t="s">
        <v>10275</v>
      </c>
      <c r="V90" s="1536" t="s">
        <v>9751</v>
      </c>
      <c r="W90" s="1536" t="s">
        <v>10276</v>
      </c>
      <c r="X90" s="1536" t="s">
        <v>6790</v>
      </c>
      <c r="Y90" s="1536" t="s">
        <v>5422</v>
      </c>
      <c r="Z90" s="1536" t="s">
        <v>9557</v>
      </c>
      <c r="AA90" s="1536" t="s">
        <v>10277</v>
      </c>
      <c r="AB90" s="1536" t="s">
        <v>3381</v>
      </c>
      <c r="AC90" s="1536" t="s">
        <v>10278</v>
      </c>
      <c r="AD90" s="1536" t="s">
        <v>10279</v>
      </c>
      <c r="AE90" s="1536" t="s">
        <v>5632</v>
      </c>
      <c r="AF90" s="1536" t="s">
        <v>10280</v>
      </c>
      <c r="AG90" s="1536" t="s">
        <v>10281</v>
      </c>
      <c r="AH90" s="1536" t="s">
        <v>10282</v>
      </c>
      <c r="AI90" s="1536" t="s">
        <v>10283</v>
      </c>
      <c r="AJ90" s="1536" t="s">
        <v>10284</v>
      </c>
      <c r="AK90" s="1536" t="s">
        <v>2179</v>
      </c>
      <c r="AL90" s="1536" t="s">
        <v>2148</v>
      </c>
      <c r="AM90" s="1536" t="s">
        <v>10285</v>
      </c>
      <c r="AN90" s="1536" t="s">
        <v>10286</v>
      </c>
      <c r="AO90" s="1536" t="s">
        <v>10287</v>
      </c>
      <c r="AP90" s="1536" t="s">
        <v>2680</v>
      </c>
      <c r="AQ90" s="1536" t="s">
        <v>10288</v>
      </c>
      <c r="AR90" s="1536" t="s">
        <v>1673</v>
      </c>
      <c r="AS90" s="1536" t="s">
        <v>903</v>
      </c>
      <c r="AT90" s="1536" t="s">
        <v>10289</v>
      </c>
      <c r="AU90" s="1536" t="s">
        <v>10290</v>
      </c>
      <c r="AV90" s="1624" t="str">
        <f t="shared" si="3"/>
        <v>4:18</v>
      </c>
      <c r="AW90" s="1629"/>
    </row>
    <row r="91" ht="15.75" customHeight="1">
      <c r="A91" s="1540" t="s">
        <v>10291</v>
      </c>
      <c r="B91" s="1614" t="s">
        <v>8423</v>
      </c>
      <c r="C91" s="1458">
        <v>0.05348379629629629</v>
      </c>
      <c r="D91" s="1271" t="s">
        <v>10292</v>
      </c>
      <c r="E91" s="1624" t="s">
        <v>10073</v>
      </c>
      <c r="F91" s="1624" t="s">
        <v>6247</v>
      </c>
      <c r="G91" s="1624" t="s">
        <v>10293</v>
      </c>
      <c r="H91" s="1624" t="s">
        <v>10294</v>
      </c>
      <c r="I91" s="1624" t="s">
        <v>2340</v>
      </c>
      <c r="J91" s="1624" t="s">
        <v>8909</v>
      </c>
      <c r="K91" s="1624" t="s">
        <v>8436</v>
      </c>
      <c r="L91" s="1624" t="s">
        <v>4764</v>
      </c>
      <c r="M91" s="1624" t="s">
        <v>8847</v>
      </c>
      <c r="N91" s="1624" t="s">
        <v>10295</v>
      </c>
      <c r="O91" s="1624" t="s">
        <v>4366</v>
      </c>
      <c r="P91" s="1624" t="s">
        <v>853</v>
      </c>
      <c r="Q91" s="1536" t="s">
        <v>10296</v>
      </c>
      <c r="R91" s="1624" t="s">
        <v>9818</v>
      </c>
      <c r="S91" s="1624" t="s">
        <v>9165</v>
      </c>
      <c r="T91" s="1624" t="s">
        <v>10043</v>
      </c>
      <c r="U91" s="1624" t="s">
        <v>10297</v>
      </c>
      <c r="V91" s="1624" t="s">
        <v>3274</v>
      </c>
      <c r="W91" s="1624" t="s">
        <v>3641</v>
      </c>
      <c r="X91" s="1624" t="s">
        <v>3022</v>
      </c>
      <c r="Y91" s="1624" t="s">
        <v>114</v>
      </c>
      <c r="Z91" s="1624" t="s">
        <v>8782</v>
      </c>
      <c r="AA91" s="1536" t="s">
        <v>10298</v>
      </c>
      <c r="AB91" s="1624" t="s">
        <v>9565</v>
      </c>
      <c r="AC91" s="1624" t="s">
        <v>1155</v>
      </c>
      <c r="AD91" s="1624" t="s">
        <v>10299</v>
      </c>
      <c r="AE91" s="1624" t="s">
        <v>581</v>
      </c>
      <c r="AF91" s="1536" t="s">
        <v>10300</v>
      </c>
      <c r="AG91" s="1624" t="s">
        <v>5674</v>
      </c>
      <c r="AH91" s="1624" t="s">
        <v>9033</v>
      </c>
      <c r="AI91" s="1624" t="s">
        <v>2629</v>
      </c>
      <c r="AJ91" s="1624" t="s">
        <v>10301</v>
      </c>
      <c r="AK91" s="1624" t="s">
        <v>8819</v>
      </c>
      <c r="AL91" s="1624" t="s">
        <v>10302</v>
      </c>
      <c r="AM91" s="1624" t="s">
        <v>8396</v>
      </c>
      <c r="AN91" s="1624" t="s">
        <v>9843</v>
      </c>
      <c r="AO91" s="1624" t="s">
        <v>8772</v>
      </c>
      <c r="AP91" s="1624" t="s">
        <v>10303</v>
      </c>
      <c r="AQ91" s="1624" t="s">
        <v>4462</v>
      </c>
      <c r="AR91" s="1624" t="s">
        <v>154</v>
      </c>
      <c r="AS91" s="1624" t="s">
        <v>8609</v>
      </c>
      <c r="AT91" s="1624" t="s">
        <v>4665</v>
      </c>
      <c r="AU91" s="1624" t="s">
        <v>10304</v>
      </c>
      <c r="AV91" s="1624" t="str">
        <f t="shared" si="3"/>
        <v>3:27</v>
      </c>
      <c r="AW91" s="1625" t="s">
        <v>10305</v>
      </c>
    </row>
    <row r="92">
      <c r="A92" s="1503" t="s">
        <v>5329</v>
      </c>
      <c r="B92" s="1501" t="s">
        <v>8372</v>
      </c>
      <c r="C92" s="1458">
        <v>0.05376157407407407</v>
      </c>
      <c r="D92" s="1536" t="s">
        <v>10306</v>
      </c>
      <c r="E92" s="1536" t="s">
        <v>10307</v>
      </c>
      <c r="F92" s="1536" t="s">
        <v>10308</v>
      </c>
      <c r="G92" s="1536" t="s">
        <v>10309</v>
      </c>
      <c r="H92" s="1646" t="s">
        <v>10310</v>
      </c>
      <c r="I92" s="1271" t="s">
        <v>238</v>
      </c>
      <c r="J92" s="1536" t="s">
        <v>9438</v>
      </c>
      <c r="K92" s="1536" t="s">
        <v>10311</v>
      </c>
      <c r="L92" s="1536" t="s">
        <v>2512</v>
      </c>
      <c r="M92" s="1536" t="s">
        <v>1326</v>
      </c>
      <c r="N92" s="1536" t="s">
        <v>10312</v>
      </c>
      <c r="O92" s="1536" t="s">
        <v>10313</v>
      </c>
      <c r="P92" s="1536" t="s">
        <v>950</v>
      </c>
      <c r="Q92" s="1536" t="s">
        <v>4386</v>
      </c>
      <c r="R92" s="1536" t="s">
        <v>10314</v>
      </c>
      <c r="S92" s="1647" t="s">
        <v>10315</v>
      </c>
      <c r="T92" s="1647" t="s">
        <v>8963</v>
      </c>
      <c r="U92" s="1536" t="s">
        <v>10316</v>
      </c>
      <c r="V92" s="1536" t="s">
        <v>10317</v>
      </c>
      <c r="W92" s="1536" t="s">
        <v>7554</v>
      </c>
      <c r="X92" s="1536" t="s">
        <v>10318</v>
      </c>
      <c r="Y92" s="1536" t="s">
        <v>2113</v>
      </c>
      <c r="Z92" s="1536" t="s">
        <v>9565</v>
      </c>
      <c r="AA92" s="1536" t="s">
        <v>10319</v>
      </c>
      <c r="AB92" s="1536" t="s">
        <v>10320</v>
      </c>
      <c r="AC92" s="1536" t="s">
        <v>7507</v>
      </c>
      <c r="AD92" s="1536" t="s">
        <v>5802</v>
      </c>
      <c r="AE92" s="1536" t="s">
        <v>2385</v>
      </c>
      <c r="AF92" s="1536" t="s">
        <v>7592</v>
      </c>
      <c r="AG92" s="1536" t="s">
        <v>10321</v>
      </c>
      <c r="AH92" s="1536" t="s">
        <v>8994</v>
      </c>
      <c r="AI92" s="1536" t="s">
        <v>7390</v>
      </c>
      <c r="AJ92" s="1536" t="s">
        <v>10322</v>
      </c>
      <c r="AK92" s="1536" t="s">
        <v>4755</v>
      </c>
      <c r="AL92" s="1536" t="s">
        <v>10323</v>
      </c>
      <c r="AM92" s="1536" t="s">
        <v>4767</v>
      </c>
      <c r="AN92" s="1536" t="s">
        <v>10324</v>
      </c>
      <c r="AO92" s="1536" t="s">
        <v>8386</v>
      </c>
      <c r="AP92" s="1536" t="s">
        <v>10325</v>
      </c>
      <c r="AQ92" s="1536" t="s">
        <v>10326</v>
      </c>
      <c r="AR92" s="1536" t="s">
        <v>5115</v>
      </c>
      <c r="AS92" s="1536" t="s">
        <v>8558</v>
      </c>
      <c r="AT92" s="1536" t="s">
        <v>10327</v>
      </c>
      <c r="AU92" s="1536" t="s">
        <v>10328</v>
      </c>
      <c r="AV92" s="1624" t="str">
        <f t="shared" si="3"/>
        <v>4:58</v>
      </c>
      <c r="AW92" s="1648"/>
    </row>
    <row r="93" ht="15.75" customHeight="1">
      <c r="A93" s="1540" t="s">
        <v>6284</v>
      </c>
      <c r="B93" s="1614" t="s">
        <v>8423</v>
      </c>
      <c r="C93" s="1590">
        <v>0.05386574074074074</v>
      </c>
      <c r="D93" s="1624" t="s">
        <v>10329</v>
      </c>
      <c r="E93" s="1624" t="s">
        <v>7132</v>
      </c>
      <c r="F93" s="1624" t="s">
        <v>10330</v>
      </c>
      <c r="G93" s="1624" t="s">
        <v>4331</v>
      </c>
      <c r="H93" s="1624" t="s">
        <v>10331</v>
      </c>
      <c r="I93" s="1624" t="s">
        <v>10271</v>
      </c>
      <c r="J93" s="1624" t="s">
        <v>10332</v>
      </c>
      <c r="K93" s="1624" t="s">
        <v>10333</v>
      </c>
      <c r="L93" s="1624" t="s">
        <v>1432</v>
      </c>
      <c r="M93" s="1624" t="s">
        <v>4511</v>
      </c>
      <c r="N93" s="1624" t="s">
        <v>7292</v>
      </c>
      <c r="O93" s="1624" t="s">
        <v>10334</v>
      </c>
      <c r="P93" s="1624" t="s">
        <v>6048</v>
      </c>
      <c r="Q93" s="1624" t="s">
        <v>10335</v>
      </c>
      <c r="R93" s="1624" t="s">
        <v>10336</v>
      </c>
      <c r="S93" s="1624" t="s">
        <v>10337</v>
      </c>
      <c r="T93" s="1624" t="s">
        <v>9548</v>
      </c>
      <c r="U93" s="1624" t="s">
        <v>10338</v>
      </c>
      <c r="V93" s="1624" t="s">
        <v>10339</v>
      </c>
      <c r="W93" s="1624" t="s">
        <v>10340</v>
      </c>
      <c r="X93" s="1624" t="s">
        <v>1397</v>
      </c>
      <c r="Y93" s="1624" t="s">
        <v>1804</v>
      </c>
      <c r="Z93" s="1624" t="s">
        <v>9008</v>
      </c>
      <c r="AA93" s="1271" t="s">
        <v>10341</v>
      </c>
      <c r="AB93" s="1624" t="s">
        <v>10342</v>
      </c>
      <c r="AC93" s="1624" t="s">
        <v>6872</v>
      </c>
      <c r="AD93" s="1624" t="s">
        <v>10343</v>
      </c>
      <c r="AE93" s="1624" t="s">
        <v>10344</v>
      </c>
      <c r="AF93" s="1624" t="s">
        <v>9889</v>
      </c>
      <c r="AG93" s="1624" t="s">
        <v>10345</v>
      </c>
      <c r="AH93" s="1624" t="s">
        <v>10346</v>
      </c>
      <c r="AI93" s="1624" t="s">
        <v>3506</v>
      </c>
      <c r="AJ93" s="1624" t="s">
        <v>10347</v>
      </c>
      <c r="AK93" s="1624" t="s">
        <v>3073</v>
      </c>
      <c r="AL93" s="1624" t="s">
        <v>4568</v>
      </c>
      <c r="AM93" s="1624" t="s">
        <v>9536</v>
      </c>
      <c r="AN93" s="1624" t="s">
        <v>9071</v>
      </c>
      <c r="AO93" s="1536" t="s">
        <v>9249</v>
      </c>
      <c r="AP93" s="1624" t="s">
        <v>10348</v>
      </c>
      <c r="AQ93" s="1624" t="s">
        <v>10349</v>
      </c>
      <c r="AR93" s="1624" t="s">
        <v>10350</v>
      </c>
      <c r="AS93" s="1624" t="s">
        <v>8789</v>
      </c>
      <c r="AT93" s="1624" t="s">
        <v>10351</v>
      </c>
      <c r="AU93" s="1624" t="s">
        <v>10290</v>
      </c>
      <c r="AV93" s="1624" t="str">
        <f t="shared" si="3"/>
        <v>3:30</v>
      </c>
      <c r="AW93" s="1629"/>
    </row>
    <row r="94">
      <c r="A94" s="1503" t="s">
        <v>5198</v>
      </c>
      <c r="B94" s="1501" t="s">
        <v>8423</v>
      </c>
      <c r="C94" s="1458">
        <v>0.05482638888888889</v>
      </c>
      <c r="D94" s="1600" t="s">
        <v>10352</v>
      </c>
      <c r="E94" s="1536" t="s">
        <v>9158</v>
      </c>
      <c r="F94" s="1536" t="s">
        <v>10353</v>
      </c>
      <c r="G94" s="1536" t="s">
        <v>10354</v>
      </c>
      <c r="H94" s="1536" t="s">
        <v>10355</v>
      </c>
      <c r="I94" s="1536" t="s">
        <v>10356</v>
      </c>
      <c r="J94" s="1536" t="s">
        <v>10357</v>
      </c>
      <c r="K94" s="1536" t="s">
        <v>9569</v>
      </c>
      <c r="L94" s="1536" t="s">
        <v>10358</v>
      </c>
      <c r="M94" s="1536" t="s">
        <v>1671</v>
      </c>
      <c r="N94" s="1536" t="s">
        <v>10359</v>
      </c>
      <c r="O94" s="1536" t="s">
        <v>10360</v>
      </c>
      <c r="P94" s="1536" t="s">
        <v>6282</v>
      </c>
      <c r="Q94" s="1536" t="s">
        <v>10361</v>
      </c>
      <c r="R94" s="1536" t="s">
        <v>8787</v>
      </c>
      <c r="S94" s="1536" t="s">
        <v>10362</v>
      </c>
      <c r="T94" s="1536" t="s">
        <v>10277</v>
      </c>
      <c r="U94" s="1536" t="s">
        <v>10363</v>
      </c>
      <c r="V94" s="1536" t="s">
        <v>929</v>
      </c>
      <c r="W94" s="1536" t="s">
        <v>10364</v>
      </c>
      <c r="X94" s="1536" t="s">
        <v>10365</v>
      </c>
      <c r="Y94" s="1536" t="s">
        <v>1761</v>
      </c>
      <c r="Z94" s="1536" t="s">
        <v>9587</v>
      </c>
      <c r="AA94" s="1536" t="s">
        <v>2414</v>
      </c>
      <c r="AB94" s="1536" t="s">
        <v>5301</v>
      </c>
      <c r="AC94" s="1536" t="s">
        <v>10366</v>
      </c>
      <c r="AD94" s="1536" t="s">
        <v>10367</v>
      </c>
      <c r="AE94" s="1536" t="s">
        <v>1538</v>
      </c>
      <c r="AF94" s="1536" t="s">
        <v>10368</v>
      </c>
      <c r="AG94" s="1536" t="s">
        <v>10369</v>
      </c>
      <c r="AH94" s="1536" t="s">
        <v>10370</v>
      </c>
      <c r="AI94" s="1536" t="s">
        <v>10371</v>
      </c>
      <c r="AJ94" s="1536" t="s">
        <v>10372</v>
      </c>
      <c r="AK94" s="1536" t="s">
        <v>244</v>
      </c>
      <c r="AL94" s="1536" t="s">
        <v>6955</v>
      </c>
      <c r="AM94" s="1536" t="s">
        <v>4335</v>
      </c>
      <c r="AN94" s="1536" t="s">
        <v>10373</v>
      </c>
      <c r="AO94" s="1536" t="s">
        <v>1786</v>
      </c>
      <c r="AP94" s="1536" t="s">
        <v>971</v>
      </c>
      <c r="AQ94" s="1536" t="s">
        <v>10374</v>
      </c>
      <c r="AR94" s="1536" t="s">
        <v>10375</v>
      </c>
      <c r="AS94" s="1536" t="s">
        <v>2174</v>
      </c>
      <c r="AT94" s="1536" t="s">
        <v>10376</v>
      </c>
      <c r="AU94" s="1536" t="s">
        <v>10377</v>
      </c>
      <c r="AV94" s="1624" t="str">
        <f t="shared" si="3"/>
        <v>3:40</v>
      </c>
      <c r="AW94" s="1625" t="s">
        <v>10378</v>
      </c>
    </row>
    <row r="95">
      <c r="A95" s="1503" t="s">
        <v>5383</v>
      </c>
      <c r="B95" s="1501" t="s">
        <v>8372</v>
      </c>
      <c r="C95" s="1458">
        <v>0.05482638888888889</v>
      </c>
      <c r="D95" s="1479" t="s">
        <v>10379</v>
      </c>
      <c r="E95" s="1479" t="s">
        <v>9007</v>
      </c>
      <c r="F95" s="1479" t="s">
        <v>10380</v>
      </c>
      <c r="G95" s="1479" t="s">
        <v>10381</v>
      </c>
      <c r="H95" s="1479" t="s">
        <v>10382</v>
      </c>
      <c r="I95" s="1479">
        <v>50.26</v>
      </c>
      <c r="J95" s="1479" t="s">
        <v>10357</v>
      </c>
      <c r="K95" s="1479" t="s">
        <v>10383</v>
      </c>
      <c r="L95" s="1479" t="s">
        <v>10384</v>
      </c>
      <c r="M95" s="1479" t="s">
        <v>2203</v>
      </c>
      <c r="N95" s="1479" t="s">
        <v>10385</v>
      </c>
      <c r="O95" s="1479" t="s">
        <v>10386</v>
      </c>
      <c r="P95" s="1479">
        <v>49.15</v>
      </c>
      <c r="Q95" s="1479" t="s">
        <v>10387</v>
      </c>
      <c r="R95" s="1479" t="s">
        <v>3233</v>
      </c>
      <c r="S95" s="1479" t="s">
        <v>10388</v>
      </c>
      <c r="T95" s="1479" t="s">
        <v>5040</v>
      </c>
      <c r="U95" s="1479" t="s">
        <v>10389</v>
      </c>
      <c r="V95" s="1479" t="s">
        <v>10390</v>
      </c>
      <c r="W95" s="1479" t="s">
        <v>10391</v>
      </c>
      <c r="X95" s="1479" t="s">
        <v>10392</v>
      </c>
      <c r="Y95" s="1479">
        <v>51.87</v>
      </c>
      <c r="Z95" s="1479" t="s">
        <v>6047</v>
      </c>
      <c r="AA95" s="1479" t="s">
        <v>6259</v>
      </c>
      <c r="AB95" s="1479" t="s">
        <v>1911</v>
      </c>
      <c r="AC95" s="1479">
        <v>49.75</v>
      </c>
      <c r="AD95" s="1479" t="s">
        <v>10393</v>
      </c>
      <c r="AE95" s="1479">
        <v>50.16</v>
      </c>
      <c r="AF95" s="1479" t="s">
        <v>10394</v>
      </c>
      <c r="AG95" s="1479" t="s">
        <v>10395</v>
      </c>
      <c r="AH95" s="1479" t="s">
        <v>6134</v>
      </c>
      <c r="AI95" s="1479" t="s">
        <v>1926</v>
      </c>
      <c r="AJ95" s="1479" t="s">
        <v>10396</v>
      </c>
      <c r="AK95" s="1479" t="s">
        <v>10312</v>
      </c>
      <c r="AL95" s="1479">
        <v>59.29</v>
      </c>
      <c r="AM95" s="1479" t="s">
        <v>4462</v>
      </c>
      <c r="AN95" s="1479" t="s">
        <v>620</v>
      </c>
      <c r="AO95" s="1479" t="s">
        <v>8848</v>
      </c>
      <c r="AP95" s="1479" t="s">
        <v>10397</v>
      </c>
      <c r="AQ95" s="1479" t="s">
        <v>10398</v>
      </c>
      <c r="AR95" s="1479" t="s">
        <v>7195</v>
      </c>
      <c r="AS95" s="1479">
        <v>47.7</v>
      </c>
      <c r="AT95" s="1479" t="s">
        <v>10399</v>
      </c>
      <c r="AU95" s="1486" t="s">
        <v>10400</v>
      </c>
      <c r="AV95" s="1624" t="str">
        <f t="shared" si="3"/>
        <v>5:51</v>
      </c>
      <c r="AW95" s="1632" t="s">
        <v>10401</v>
      </c>
    </row>
    <row r="96">
      <c r="A96" s="1503" t="s">
        <v>5451</v>
      </c>
      <c r="B96" s="1497" t="s">
        <v>8372</v>
      </c>
      <c r="C96" s="1458">
        <v>0.05559027777777778</v>
      </c>
      <c r="D96" s="1600" t="s">
        <v>10402</v>
      </c>
      <c r="E96" s="1536" t="s">
        <v>10403</v>
      </c>
      <c r="F96" s="1536" t="s">
        <v>10404</v>
      </c>
      <c r="G96" s="1536" t="s">
        <v>8071</v>
      </c>
      <c r="H96" s="1536" t="s">
        <v>5767</v>
      </c>
      <c r="I96" s="1536" t="s">
        <v>1913</v>
      </c>
      <c r="J96" s="1536" t="s">
        <v>10405</v>
      </c>
      <c r="K96" s="1536" t="s">
        <v>6052</v>
      </c>
      <c r="L96" s="1536" t="s">
        <v>8215</v>
      </c>
      <c r="M96" s="1536" t="s">
        <v>7201</v>
      </c>
      <c r="N96" s="1536" t="s">
        <v>10406</v>
      </c>
      <c r="O96" s="1536" t="s">
        <v>10407</v>
      </c>
      <c r="P96" s="1536" t="s">
        <v>291</v>
      </c>
      <c r="Q96" s="1536" t="s">
        <v>1752</v>
      </c>
      <c r="R96" s="1536" t="s">
        <v>10408</v>
      </c>
      <c r="S96" s="1536" t="s">
        <v>5189</v>
      </c>
      <c r="T96" s="1536" t="s">
        <v>10409</v>
      </c>
      <c r="U96" s="1536" t="s">
        <v>10410</v>
      </c>
      <c r="V96" s="1536" t="s">
        <v>6280</v>
      </c>
      <c r="W96" s="1536" t="s">
        <v>9139</v>
      </c>
      <c r="X96" s="1536" t="s">
        <v>10411</v>
      </c>
      <c r="Y96" s="1536" t="s">
        <v>2971</v>
      </c>
      <c r="Z96" s="1536" t="s">
        <v>10412</v>
      </c>
      <c r="AA96" s="1536" t="s">
        <v>10171</v>
      </c>
      <c r="AB96" s="1536" t="s">
        <v>3457</v>
      </c>
      <c r="AC96" s="1536" t="s">
        <v>4678</v>
      </c>
      <c r="AD96" s="1536" t="s">
        <v>9409</v>
      </c>
      <c r="AE96" s="1536" t="s">
        <v>947</v>
      </c>
      <c r="AF96" s="1536" t="s">
        <v>10413</v>
      </c>
      <c r="AG96" s="1536" t="s">
        <v>3699</v>
      </c>
      <c r="AH96" s="1536" t="s">
        <v>8105</v>
      </c>
      <c r="AI96" s="1536" t="s">
        <v>10414</v>
      </c>
      <c r="AJ96" s="1536" t="s">
        <v>10415</v>
      </c>
      <c r="AK96" s="1536" t="s">
        <v>4505</v>
      </c>
      <c r="AL96" s="1536" t="s">
        <v>125</v>
      </c>
      <c r="AM96" s="1536" t="s">
        <v>10416</v>
      </c>
      <c r="AN96" s="1536" t="s">
        <v>10417</v>
      </c>
      <c r="AO96" s="1536" t="s">
        <v>1039</v>
      </c>
      <c r="AP96" s="1536" t="s">
        <v>10418</v>
      </c>
      <c r="AQ96" s="1536" t="s">
        <v>10419</v>
      </c>
      <c r="AR96" s="1536" t="s">
        <v>10420</v>
      </c>
      <c r="AS96" s="1536" t="s">
        <v>917</v>
      </c>
      <c r="AT96" s="1536" t="s">
        <v>10421</v>
      </c>
      <c r="AU96" s="1536" t="s">
        <v>10422</v>
      </c>
      <c r="AV96" s="1624" t="str">
        <f t="shared" si="3"/>
        <v>5:05</v>
      </c>
      <c r="AW96" s="1625" t="s">
        <v>10423</v>
      </c>
    </row>
    <row r="97">
      <c r="A97" s="1503" t="s">
        <v>4871</v>
      </c>
      <c r="B97" s="1497" t="s">
        <v>8400</v>
      </c>
      <c r="C97" s="1538">
        <v>0.05565972222222222</v>
      </c>
      <c r="D97" s="1536" t="s">
        <v>10424</v>
      </c>
      <c r="E97" s="1536" t="s">
        <v>3254</v>
      </c>
      <c r="F97" s="1536" t="s">
        <v>10425</v>
      </c>
      <c r="G97" s="1536" t="s">
        <v>10426</v>
      </c>
      <c r="H97" s="1271" t="s">
        <v>8874</v>
      </c>
      <c r="I97" s="1536" t="s">
        <v>3453</v>
      </c>
      <c r="J97" s="1536" t="s">
        <v>9148</v>
      </c>
      <c r="K97" s="1536" t="s">
        <v>804</v>
      </c>
      <c r="L97" s="1536" t="s">
        <v>10427</v>
      </c>
      <c r="M97" s="1536" t="s">
        <v>10428</v>
      </c>
      <c r="N97" s="1536" t="s">
        <v>6155</v>
      </c>
      <c r="O97" s="1536" t="s">
        <v>10429</v>
      </c>
      <c r="P97" s="1536" t="s">
        <v>9823</v>
      </c>
      <c r="Q97" s="1536" t="s">
        <v>10430</v>
      </c>
      <c r="R97" s="1536" t="s">
        <v>9589</v>
      </c>
      <c r="S97" s="1536" t="s">
        <v>420</v>
      </c>
      <c r="T97" s="1536" t="s">
        <v>10431</v>
      </c>
      <c r="U97" s="1536" t="s">
        <v>10432</v>
      </c>
      <c r="V97" s="1536" t="s">
        <v>10433</v>
      </c>
      <c r="W97" s="1536" t="s">
        <v>10434</v>
      </c>
      <c r="X97" s="1536" t="s">
        <v>10435</v>
      </c>
      <c r="Y97" s="1536" t="s">
        <v>2385</v>
      </c>
      <c r="Z97" s="1536" t="s">
        <v>5264</v>
      </c>
      <c r="AA97" s="1536" t="s">
        <v>9756</v>
      </c>
      <c r="AB97" s="1536" t="s">
        <v>10116</v>
      </c>
      <c r="AC97" s="1536" t="s">
        <v>9594</v>
      </c>
      <c r="AD97" s="1536" t="s">
        <v>10436</v>
      </c>
      <c r="AE97" s="1536" t="s">
        <v>10437</v>
      </c>
      <c r="AF97" s="1536" t="s">
        <v>10438</v>
      </c>
      <c r="AG97" s="1536" t="s">
        <v>10439</v>
      </c>
      <c r="AH97" s="1536" t="s">
        <v>10440</v>
      </c>
      <c r="AI97" s="1536" t="s">
        <v>10441</v>
      </c>
      <c r="AJ97" s="1536" t="s">
        <v>10442</v>
      </c>
      <c r="AK97" s="1536" t="s">
        <v>7153</v>
      </c>
      <c r="AL97" s="1536" t="s">
        <v>3727</v>
      </c>
      <c r="AM97" s="1536" t="s">
        <v>4767</v>
      </c>
      <c r="AN97" s="1536" t="s">
        <v>10443</v>
      </c>
      <c r="AO97" s="1536" t="s">
        <v>1977</v>
      </c>
      <c r="AP97" s="1536" t="s">
        <v>10444</v>
      </c>
      <c r="AQ97" s="1536" t="s">
        <v>10445</v>
      </c>
      <c r="AR97" s="1536" t="s">
        <v>10446</v>
      </c>
      <c r="AS97" s="1536" t="s">
        <v>2232</v>
      </c>
      <c r="AT97" s="1536" t="s">
        <v>10447</v>
      </c>
      <c r="AU97" s="1536" t="s">
        <v>10448</v>
      </c>
      <c r="AV97" s="1624" t="str">
        <f t="shared" si="3"/>
        <v>8:24</v>
      </c>
      <c r="AW97" s="1625" t="s">
        <v>9451</v>
      </c>
    </row>
    <row r="98">
      <c r="A98" s="1540" t="s">
        <v>10449</v>
      </c>
      <c r="B98" s="1516" t="s">
        <v>8400</v>
      </c>
      <c r="C98" s="1590">
        <v>0.057881944444444444</v>
      </c>
      <c r="D98" s="1536" t="s">
        <v>10450</v>
      </c>
      <c r="E98" s="1624" t="s">
        <v>10451</v>
      </c>
      <c r="F98" s="1536" t="s">
        <v>10452</v>
      </c>
      <c r="G98" s="1536" t="s">
        <v>10453</v>
      </c>
      <c r="H98" s="1624" t="s">
        <v>10454</v>
      </c>
      <c r="I98" s="1624" t="s">
        <v>1027</v>
      </c>
      <c r="J98" s="1624" t="s">
        <v>10455</v>
      </c>
      <c r="K98" s="1624" t="s">
        <v>3566</v>
      </c>
      <c r="L98" s="1624" t="s">
        <v>3616</v>
      </c>
      <c r="M98" s="1624" t="s">
        <v>6635</v>
      </c>
      <c r="N98" s="1624" t="s">
        <v>10456</v>
      </c>
      <c r="O98" s="1624" t="s">
        <v>10457</v>
      </c>
      <c r="P98" s="1624" t="s">
        <v>2356</v>
      </c>
      <c r="Q98" s="1624" t="s">
        <v>10458</v>
      </c>
      <c r="R98" s="1624" t="s">
        <v>10459</v>
      </c>
      <c r="S98" s="1624" t="s">
        <v>10460</v>
      </c>
      <c r="T98" s="1624" t="s">
        <v>1759</v>
      </c>
      <c r="U98" s="1624" t="s">
        <v>10461</v>
      </c>
      <c r="V98" s="1624" t="s">
        <v>10462</v>
      </c>
      <c r="W98" s="1624" t="s">
        <v>10463</v>
      </c>
      <c r="X98" s="1624" t="s">
        <v>10464</v>
      </c>
      <c r="Y98" s="1624" t="s">
        <v>2805</v>
      </c>
      <c r="Z98" s="1624" t="s">
        <v>10465</v>
      </c>
      <c r="AA98" s="1536" t="s">
        <v>10466</v>
      </c>
      <c r="AB98" s="1624" t="s">
        <v>8909</v>
      </c>
      <c r="AC98" s="1624" t="s">
        <v>3417</v>
      </c>
      <c r="AD98" s="1624" t="s">
        <v>5230</v>
      </c>
      <c r="AE98" s="1624" t="s">
        <v>2606</v>
      </c>
      <c r="AF98" s="1624" t="s">
        <v>10467</v>
      </c>
      <c r="AG98" s="1624" t="s">
        <v>5677</v>
      </c>
      <c r="AH98" s="1624" t="s">
        <v>10468</v>
      </c>
      <c r="AI98" s="1624" t="s">
        <v>4789</v>
      </c>
      <c r="AJ98" s="1624" t="s">
        <v>10469</v>
      </c>
      <c r="AK98" s="1624" t="s">
        <v>10470</v>
      </c>
      <c r="AL98" s="1624" t="s">
        <v>3915</v>
      </c>
      <c r="AM98" s="1624" t="s">
        <v>4798</v>
      </c>
      <c r="AN98" s="1624" t="s">
        <v>10471</v>
      </c>
      <c r="AO98" s="1624" t="s">
        <v>9824</v>
      </c>
      <c r="AP98" s="1624" t="s">
        <v>10472</v>
      </c>
      <c r="AQ98" s="1624" t="s">
        <v>7171</v>
      </c>
      <c r="AR98" s="1624" t="s">
        <v>10473</v>
      </c>
      <c r="AS98" s="1624" t="s">
        <v>615</v>
      </c>
      <c r="AT98" s="1624" t="s">
        <v>10474</v>
      </c>
      <c r="AU98" s="1624" t="s">
        <v>10475</v>
      </c>
      <c r="AV98" s="1624" t="str">
        <f t="shared" si="3"/>
        <v>2:11</v>
      </c>
      <c r="AW98" s="1629" t="s">
        <v>10476</v>
      </c>
    </row>
    <row r="99" ht="15.75" customHeight="1">
      <c r="A99" s="1503" t="s">
        <v>6119</v>
      </c>
      <c r="B99" s="1516" t="s">
        <v>8400</v>
      </c>
      <c r="C99" s="1458">
        <v>0.06635416666666667</v>
      </c>
      <c r="D99" s="1271" t="s">
        <v>10477</v>
      </c>
      <c r="E99" s="1271" t="s">
        <v>8271</v>
      </c>
      <c r="F99" s="1271" t="s">
        <v>8971</v>
      </c>
      <c r="G99" s="1271" t="s">
        <v>10478</v>
      </c>
      <c r="H99" s="1271" t="s">
        <v>10479</v>
      </c>
      <c r="I99" s="1271" t="s">
        <v>3426</v>
      </c>
      <c r="J99" s="1271" t="s">
        <v>10480</v>
      </c>
      <c r="K99" s="1271" t="s">
        <v>3885</v>
      </c>
      <c r="L99" s="1271" t="s">
        <v>7202</v>
      </c>
      <c r="M99" s="1271" t="s">
        <v>864</v>
      </c>
      <c r="N99" s="1271" t="s">
        <v>10481</v>
      </c>
      <c r="O99" s="1271" t="s">
        <v>10482</v>
      </c>
      <c r="P99" s="1271" t="s">
        <v>5143</v>
      </c>
      <c r="Q99" s="1271" t="s">
        <v>10483</v>
      </c>
      <c r="R99" s="1271" t="s">
        <v>4520</v>
      </c>
      <c r="S99" s="1271" t="s">
        <v>10484</v>
      </c>
      <c r="T99" s="1271" t="s">
        <v>10364</v>
      </c>
      <c r="U99" s="1271" t="s">
        <v>10485</v>
      </c>
      <c r="V99" s="1271" t="s">
        <v>7718</v>
      </c>
      <c r="W99" s="1271" t="s">
        <v>10486</v>
      </c>
      <c r="X99" s="1271" t="s">
        <v>10487</v>
      </c>
      <c r="Y99" s="1271" t="s">
        <v>755</v>
      </c>
      <c r="Z99" s="1271" t="s">
        <v>10488</v>
      </c>
      <c r="AA99" s="1624"/>
      <c r="AB99" s="1271" t="s">
        <v>10489</v>
      </c>
      <c r="AC99" s="1271" t="s">
        <v>883</v>
      </c>
      <c r="AD99" s="1271" t="s">
        <v>10490</v>
      </c>
      <c r="AE99" s="1271" t="s">
        <v>10491</v>
      </c>
      <c r="AF99" s="1271" t="s">
        <v>10492</v>
      </c>
      <c r="AG99" s="1271" t="s">
        <v>10493</v>
      </c>
      <c r="AH99" s="1271" t="s">
        <v>4107</v>
      </c>
      <c r="AI99" s="1271" t="s">
        <v>10494</v>
      </c>
      <c r="AJ99" s="1271" t="s">
        <v>10495</v>
      </c>
      <c r="AK99" s="1271" t="s">
        <v>10496</v>
      </c>
      <c r="AL99" s="1271" t="s">
        <v>10497</v>
      </c>
      <c r="AM99" s="1271" t="s">
        <v>10498</v>
      </c>
      <c r="AN99" s="1271" t="s">
        <v>9012</v>
      </c>
      <c r="AO99" s="1271" t="s">
        <v>2319</v>
      </c>
      <c r="AP99" s="1271" t="s">
        <v>10499</v>
      </c>
      <c r="AQ99" s="1271" t="s">
        <v>129</v>
      </c>
      <c r="AR99" s="1271" t="s">
        <v>10500</v>
      </c>
      <c r="AS99" s="1271" t="s">
        <v>4015</v>
      </c>
      <c r="AT99" s="1271" t="s">
        <v>10501</v>
      </c>
      <c r="AU99" s="1519" t="s">
        <v>10502</v>
      </c>
      <c r="AV99" s="1624" t="str">
        <f t="shared" si="3"/>
        <v>9:53</v>
      </c>
      <c r="AW99" s="1632" t="s">
        <v>10503</v>
      </c>
    </row>
    <row r="100">
      <c r="A100" s="1503" t="s">
        <v>4631</v>
      </c>
      <c r="B100" s="1501" t="s">
        <v>8400</v>
      </c>
      <c r="C100" s="1458"/>
      <c r="D100" s="1507"/>
      <c r="E100" s="1507"/>
      <c r="F100" s="1507"/>
      <c r="G100" s="1507"/>
      <c r="H100" s="1271"/>
      <c r="I100" s="1559"/>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5" t="s">
        <v>8415</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6327</v>
      </c>
      <c r="B101" s="1497" t="s">
        <v>8400</v>
      </c>
      <c r="C101" s="1590"/>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8867</v>
      </c>
      <c r="X101" s="1479"/>
      <c r="Y101" s="1479"/>
      <c r="Z101" s="1479"/>
      <c r="AA101" s="1479"/>
      <c r="AB101" s="1649" t="s">
        <v>2813</v>
      </c>
      <c r="AC101" s="1479"/>
      <c r="AD101" s="1479"/>
      <c r="AE101" s="1486"/>
      <c r="AF101" s="1479"/>
      <c r="AG101" s="1479"/>
      <c r="AH101" s="1479"/>
      <c r="AI101" s="1479"/>
      <c r="AJ101" s="1479"/>
      <c r="AK101" s="1479"/>
      <c r="AL101" s="1479"/>
      <c r="AM101" s="1649" t="s">
        <v>2425</v>
      </c>
      <c r="AN101" s="1479"/>
      <c r="AO101" s="1479"/>
      <c r="AP101" s="1479"/>
      <c r="AQ101" s="1479"/>
      <c r="AR101" s="1479"/>
      <c r="AS101" s="1479"/>
      <c r="AT101" s="1479"/>
      <c r="AU101" s="1464"/>
      <c r="AV101" s="1464"/>
      <c r="AW101" s="1537"/>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7"/>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7"/>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7"/>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7"/>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7"/>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7"/>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7"/>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7"/>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7"/>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7"/>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7"/>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7"/>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7"/>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7"/>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7"/>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7"/>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7"/>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7"/>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7"/>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7"/>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7"/>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7"/>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7"/>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7"/>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7"/>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7"/>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7"/>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7"/>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7"/>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7"/>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7"/>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7"/>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7"/>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7"/>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7"/>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7"/>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7"/>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7"/>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7"/>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7"/>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7"/>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7"/>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7"/>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7"/>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7"/>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7"/>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7"/>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7"/>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8" t="s">
        <v>8334</v>
      </c>
      <c r="C1" s="1389" t="s">
        <v>8335</v>
      </c>
      <c r="D1" s="1666" t="s">
        <v>10504</v>
      </c>
      <c r="E1" s="1667" t="s">
        <v>6551</v>
      </c>
      <c r="F1" s="1668" t="s">
        <v>6839</v>
      </c>
      <c r="G1" s="1669" t="s">
        <v>38</v>
      </c>
      <c r="H1" s="1670" t="s">
        <v>36</v>
      </c>
      <c r="I1" s="1666" t="s">
        <v>10505</v>
      </c>
      <c r="J1" s="1671" t="s">
        <v>39</v>
      </c>
      <c r="K1" s="1672" t="s">
        <v>6780</v>
      </c>
      <c r="L1" s="1397" t="s">
        <v>8367</v>
      </c>
      <c r="M1" s="1673" t="s">
        <v>8368</v>
      </c>
      <c r="N1" s="1674" t="s">
        <v>8369</v>
      </c>
      <c r="O1" s="1387" t="s">
        <v>8370</v>
      </c>
    </row>
    <row r="2" ht="15.75" customHeight="1">
      <c r="A2" s="1400" t="s">
        <v>8371</v>
      </c>
      <c r="B2" s="1675" t="s">
        <v>8372</v>
      </c>
      <c r="C2" s="1676">
        <v>0.04982638888888889</v>
      </c>
      <c r="D2" s="1677" t="s">
        <v>10506</v>
      </c>
      <c r="E2" s="1678" t="s">
        <v>10507</v>
      </c>
      <c r="F2" s="1679" t="s">
        <v>10508</v>
      </c>
      <c r="G2" s="1680" t="s">
        <v>10509</v>
      </c>
      <c r="H2" s="1681" t="s">
        <v>10510</v>
      </c>
      <c r="I2" s="1682" t="s">
        <v>10511</v>
      </c>
      <c r="J2" s="1683" t="s">
        <v>10512</v>
      </c>
      <c r="K2" s="1684" t="s">
        <v>10513</v>
      </c>
      <c r="L2" s="1685" t="s">
        <v>8559</v>
      </c>
      <c r="M2" s="1676">
        <v>0.050590277777777776</v>
      </c>
      <c r="N2" s="1686" t="str">
        <f t="shared" ref="N2:N39" si="1">TEXT(M2-C2, "m:ss")</f>
        <v>1:06</v>
      </c>
      <c r="O2" s="1424"/>
    </row>
    <row r="3" ht="15.75" customHeight="1">
      <c r="A3" s="1425" t="s">
        <v>8399</v>
      </c>
      <c r="B3" s="1687" t="s">
        <v>8400</v>
      </c>
      <c r="C3" s="1688">
        <v>0.051458333333333335</v>
      </c>
      <c r="D3" s="1428" t="s">
        <v>10514</v>
      </c>
      <c r="E3" s="1689" t="s">
        <v>5813</v>
      </c>
      <c r="F3" s="1430" t="s">
        <v>10515</v>
      </c>
      <c r="G3" s="1431" t="s">
        <v>10516</v>
      </c>
      <c r="H3" s="1434" t="s">
        <v>10517</v>
      </c>
      <c r="I3" s="1428" t="s">
        <v>10518</v>
      </c>
      <c r="J3" s="1436" t="s">
        <v>10519</v>
      </c>
      <c r="K3" s="1438" t="s">
        <v>10520</v>
      </c>
      <c r="L3" s="1439" t="s">
        <v>9003</v>
      </c>
      <c r="M3" s="1688">
        <v>0.05236111111111111</v>
      </c>
      <c r="N3" s="1690" t="str">
        <f t="shared" si="1"/>
        <v>1:18</v>
      </c>
    </row>
    <row r="4" ht="15.75" customHeight="1">
      <c r="A4" s="1441" t="s">
        <v>8422</v>
      </c>
      <c r="B4" s="1691" t="s">
        <v>8423</v>
      </c>
      <c r="C4" s="1692">
        <f>C24</f>
        <v>0.05158564815</v>
      </c>
      <c r="D4" s="1444" t="s">
        <v>10521</v>
      </c>
      <c r="E4" s="1693" t="s">
        <v>10522</v>
      </c>
      <c r="F4" s="1446" t="s">
        <v>10523</v>
      </c>
      <c r="G4" s="1447" t="s">
        <v>10524</v>
      </c>
      <c r="H4" s="1448" t="s">
        <v>10525</v>
      </c>
      <c r="I4" s="1444" t="s">
        <v>10526</v>
      </c>
      <c r="J4" s="1450" t="s">
        <v>10527</v>
      </c>
      <c r="K4" s="1451" t="s">
        <v>10528</v>
      </c>
      <c r="L4" s="1453" t="s">
        <v>8455</v>
      </c>
      <c r="M4" s="1694">
        <f>M24</f>
        <v>0.0521412037</v>
      </c>
      <c r="N4" s="1694" t="str">
        <f t="shared" si="1"/>
        <v>0:48</v>
      </c>
    </row>
    <row r="5" ht="15.75" customHeight="1">
      <c r="A5" s="1633" t="s">
        <v>1060</v>
      </c>
      <c r="B5" s="1610" t="s">
        <v>8372</v>
      </c>
      <c r="C5" s="1695">
        <v>0.04997685185185185</v>
      </c>
      <c r="D5" s="1696" t="s">
        <v>10506</v>
      </c>
      <c r="E5" s="1480" t="s">
        <v>10529</v>
      </c>
      <c r="F5" s="1696" t="s">
        <v>10508</v>
      </c>
      <c r="G5" s="1696" t="s">
        <v>10509</v>
      </c>
      <c r="H5" s="1697" t="s">
        <v>10530</v>
      </c>
      <c r="I5" s="1477" t="s">
        <v>10531</v>
      </c>
      <c r="J5" s="1477" t="s">
        <v>10532</v>
      </c>
      <c r="K5" s="1696" t="s">
        <v>10513</v>
      </c>
      <c r="L5" s="1477" t="s">
        <v>2067</v>
      </c>
      <c r="M5" s="1518" t="s">
        <v>8398</v>
      </c>
      <c r="N5" s="1698" t="str">
        <f t="shared" si="1"/>
        <v>0:53</v>
      </c>
      <c r="O5" s="1477" t="s">
        <v>10533</v>
      </c>
    </row>
    <row r="6" ht="15.75" customHeight="1">
      <c r="A6" s="1699" t="s">
        <v>436</v>
      </c>
      <c r="B6" s="1457" t="s">
        <v>8372</v>
      </c>
      <c r="C6" s="1700">
        <v>0.04998842592592593</v>
      </c>
      <c r="D6" s="1477" t="s">
        <v>10534</v>
      </c>
      <c r="E6" s="1701" t="s">
        <v>10507</v>
      </c>
      <c r="F6" s="1477" t="s">
        <v>10535</v>
      </c>
      <c r="G6" s="1477" t="s">
        <v>10536</v>
      </c>
      <c r="H6" s="1518" t="s">
        <v>10510</v>
      </c>
      <c r="I6" s="1477" t="s">
        <v>10537</v>
      </c>
      <c r="J6" s="1518" t="s">
        <v>10512</v>
      </c>
      <c r="K6" s="1477" t="s">
        <v>10538</v>
      </c>
      <c r="L6" s="1477" t="s">
        <v>8472</v>
      </c>
      <c r="M6" s="1477" t="s">
        <v>8493</v>
      </c>
      <c r="N6" s="1702" t="str">
        <f t="shared" si="1"/>
        <v>1:18</v>
      </c>
      <c r="O6" s="1477" t="s">
        <v>10539</v>
      </c>
    </row>
    <row r="7" ht="15.75" customHeight="1">
      <c r="A7" s="1662" t="s">
        <v>1879</v>
      </c>
      <c r="B7" s="1457" t="s">
        <v>8372</v>
      </c>
      <c r="C7" s="1695">
        <v>0.050150462962962966</v>
      </c>
      <c r="D7" s="1477" t="s">
        <v>10540</v>
      </c>
      <c r="E7" s="1477" t="s">
        <v>10541</v>
      </c>
      <c r="F7" s="1477" t="s">
        <v>10542</v>
      </c>
      <c r="G7" s="1477" t="s">
        <v>10543</v>
      </c>
      <c r="H7" s="1477" t="s">
        <v>10544</v>
      </c>
      <c r="I7" s="1477" t="s">
        <v>10545</v>
      </c>
      <c r="J7" s="1477" t="s">
        <v>10546</v>
      </c>
      <c r="K7" s="1477" t="s">
        <v>10547</v>
      </c>
      <c r="L7" s="1477" t="s">
        <v>10548</v>
      </c>
      <c r="M7" s="1703">
        <v>0.05077546296296296</v>
      </c>
      <c r="N7" s="1702" t="str">
        <f t="shared" si="1"/>
        <v>0:54</v>
      </c>
      <c r="O7" s="1477" t="s">
        <v>10539</v>
      </c>
    </row>
    <row r="8" ht="15.75" customHeight="1">
      <c r="A8" s="1699" t="s">
        <v>6262</v>
      </c>
      <c r="B8" s="1542" t="s">
        <v>8372</v>
      </c>
      <c r="C8" s="1704">
        <v>0.05025462962962963</v>
      </c>
      <c r="D8" s="1705" t="s">
        <v>10549</v>
      </c>
      <c r="E8" s="1478" t="s">
        <v>10550</v>
      </c>
      <c r="F8" s="1477" t="s">
        <v>10551</v>
      </c>
      <c r="G8" s="1477" t="s">
        <v>10552</v>
      </c>
      <c r="H8" s="1477" t="s">
        <v>10553</v>
      </c>
      <c r="I8" s="1477" t="s">
        <v>10335</v>
      </c>
      <c r="J8" s="1477" t="s">
        <v>10554</v>
      </c>
      <c r="K8" s="1477" t="s">
        <v>10555</v>
      </c>
      <c r="L8" s="1477" t="s">
        <v>8579</v>
      </c>
      <c r="M8" s="1703" t="s">
        <v>8580</v>
      </c>
      <c r="N8" s="1702" t="str">
        <f t="shared" si="1"/>
        <v>0:36</v>
      </c>
      <c r="O8" s="1477"/>
    </row>
    <row r="9" ht="15.75" customHeight="1">
      <c r="A9" s="1662" t="s">
        <v>6338</v>
      </c>
      <c r="B9" s="1457" t="s">
        <v>8372</v>
      </c>
      <c r="C9" s="1704">
        <v>0.050416666666666665</v>
      </c>
      <c r="D9" s="1477" t="s">
        <v>10556</v>
      </c>
      <c r="E9" s="1478" t="s">
        <v>10557</v>
      </c>
      <c r="F9" s="1480" t="s">
        <v>10558</v>
      </c>
      <c r="G9" s="1480" t="s">
        <v>10559</v>
      </c>
      <c r="H9" s="1477" t="s">
        <v>10560</v>
      </c>
      <c r="I9" s="1518" t="s">
        <v>10511</v>
      </c>
      <c r="J9" s="1477" t="s">
        <v>10561</v>
      </c>
      <c r="K9" s="1477" t="s">
        <v>10562</v>
      </c>
      <c r="L9" s="1480" t="s">
        <v>10548</v>
      </c>
      <c r="M9" s="1703">
        <v>0.0512037037037037</v>
      </c>
      <c r="N9" s="1702" t="str">
        <f t="shared" si="1"/>
        <v>1:08</v>
      </c>
      <c r="O9" s="1477" t="s">
        <v>10539</v>
      </c>
    </row>
    <row r="10">
      <c r="A10" s="1706" t="s">
        <v>912</v>
      </c>
      <c r="B10" s="1707" t="s">
        <v>8372</v>
      </c>
      <c r="C10" s="1704">
        <v>0.05047453703703704</v>
      </c>
      <c r="D10" s="1552" t="s">
        <v>10563</v>
      </c>
      <c r="E10" s="1478" t="s">
        <v>10564</v>
      </c>
      <c r="F10" s="1697" t="s">
        <v>10565</v>
      </c>
      <c r="G10" s="1477" t="s">
        <v>10566</v>
      </c>
      <c r="H10" s="1477" t="s">
        <v>10567</v>
      </c>
      <c r="I10" s="1477" t="s">
        <v>10568</v>
      </c>
      <c r="J10" s="1477" t="s">
        <v>10569</v>
      </c>
      <c r="K10" s="1477" t="s">
        <v>10570</v>
      </c>
      <c r="L10" s="1477" t="s">
        <v>3527</v>
      </c>
      <c r="M10" s="1703">
        <v>0.051354166666666666</v>
      </c>
      <c r="N10" s="1702" t="str">
        <f t="shared" si="1"/>
        <v>1:16</v>
      </c>
      <c r="O10" s="1477" t="s">
        <v>10571</v>
      </c>
    </row>
    <row r="11" ht="15.75" customHeight="1">
      <c r="A11" s="1633" t="s">
        <v>1551</v>
      </c>
      <c r="B11" s="1401" t="s">
        <v>8372</v>
      </c>
      <c r="C11" s="1704">
        <v>0.05061342592592592</v>
      </c>
      <c r="D11" s="1708" t="s">
        <v>10572</v>
      </c>
      <c r="E11" s="1478" t="s">
        <v>10573</v>
      </c>
      <c r="F11" s="1709" t="s">
        <v>10574</v>
      </c>
      <c r="G11" s="1477" t="s">
        <v>10575</v>
      </c>
      <c r="H11" s="1709" t="s">
        <v>10576</v>
      </c>
      <c r="I11" s="1709" t="s">
        <v>10577</v>
      </c>
      <c r="J11" s="1477" t="s">
        <v>10578</v>
      </c>
      <c r="K11" s="1477" t="s">
        <v>10579</v>
      </c>
      <c r="L11" s="1477" t="s">
        <v>3464</v>
      </c>
      <c r="M11" s="1703">
        <v>0.05122685185185185</v>
      </c>
      <c r="N11" s="1702" t="str">
        <f t="shared" si="1"/>
        <v>0:53</v>
      </c>
      <c r="O11" s="1477" t="s">
        <v>10580</v>
      </c>
    </row>
    <row r="12" ht="15.75" customHeight="1">
      <c r="A12" s="1650" t="s">
        <v>2008</v>
      </c>
      <c r="B12" s="1457" t="s">
        <v>8372</v>
      </c>
      <c r="C12" s="1700">
        <v>0.05061342592592592</v>
      </c>
      <c r="D12" s="1552" t="s">
        <v>10581</v>
      </c>
      <c r="E12" s="1710" t="s">
        <v>10582</v>
      </c>
      <c r="F12" s="1477" t="s">
        <v>10583</v>
      </c>
      <c r="G12" s="1477" t="s">
        <v>10584</v>
      </c>
      <c r="H12" s="1477" t="s">
        <v>10585</v>
      </c>
      <c r="I12" s="1477" t="s">
        <v>10586</v>
      </c>
      <c r="J12" s="1477" t="s">
        <v>10587</v>
      </c>
      <c r="K12" s="1477" t="s">
        <v>10588</v>
      </c>
      <c r="L12" s="1477" t="s">
        <v>6255</v>
      </c>
      <c r="M12" s="1703">
        <v>0.05153935185185185</v>
      </c>
      <c r="N12" s="1702" t="str">
        <f t="shared" si="1"/>
        <v>1:20</v>
      </c>
      <c r="O12" s="1477" t="s">
        <v>10539</v>
      </c>
    </row>
    <row r="13" ht="15.75" customHeight="1">
      <c r="A13" s="1699" t="s">
        <v>330</v>
      </c>
      <c r="B13" s="1457" t="s">
        <v>8372</v>
      </c>
      <c r="C13" s="1700">
        <v>0.05068287037037037</v>
      </c>
      <c r="D13" s="1477" t="s">
        <v>10589</v>
      </c>
      <c r="E13" s="1710" t="s">
        <v>10590</v>
      </c>
      <c r="F13" s="1477" t="s">
        <v>10591</v>
      </c>
      <c r="G13" s="1477" t="s">
        <v>10592</v>
      </c>
      <c r="H13" s="1477" t="s">
        <v>10593</v>
      </c>
      <c r="I13" s="1477" t="s">
        <v>10594</v>
      </c>
      <c r="J13" s="1477" t="s">
        <v>10595</v>
      </c>
      <c r="K13" s="1477" t="s">
        <v>10596</v>
      </c>
      <c r="L13" s="1711" t="s">
        <v>8559</v>
      </c>
      <c r="M13" s="1703">
        <v>0.05164351851851852</v>
      </c>
      <c r="N13" s="1702" t="str">
        <f t="shared" si="1"/>
        <v>1:23</v>
      </c>
      <c r="O13" s="1477" t="s">
        <v>10539</v>
      </c>
    </row>
    <row r="14" ht="15.75" customHeight="1">
      <c r="A14" s="1712" t="s">
        <v>2639</v>
      </c>
      <c r="B14" s="1457" t="s">
        <v>8372</v>
      </c>
      <c r="C14" s="1713">
        <v>0.05103009259259259</v>
      </c>
      <c r="D14" s="1477" t="s">
        <v>10597</v>
      </c>
      <c r="E14" s="1710" t="s">
        <v>10146</v>
      </c>
      <c r="F14" s="1477" t="s">
        <v>10598</v>
      </c>
      <c r="G14" s="1477" t="s">
        <v>10599</v>
      </c>
      <c r="H14" s="1697" t="s">
        <v>10600</v>
      </c>
      <c r="I14" s="1477" t="s">
        <v>10601</v>
      </c>
      <c r="J14" s="1477" t="s">
        <v>10602</v>
      </c>
      <c r="K14" s="1477" t="s">
        <v>10603</v>
      </c>
      <c r="L14" s="1477" t="s">
        <v>10604</v>
      </c>
      <c r="M14" s="1703">
        <v>0.051909722222222225</v>
      </c>
      <c r="N14" s="1702" t="str">
        <f t="shared" si="1"/>
        <v>1:16</v>
      </c>
      <c r="O14" s="1477" t="s">
        <v>10539</v>
      </c>
    </row>
    <row r="15">
      <c r="A15" s="1714" t="s">
        <v>3096</v>
      </c>
      <c r="B15" s="1715" t="s">
        <v>8372</v>
      </c>
      <c r="C15" s="1700">
        <v>0.05113321759259259</v>
      </c>
      <c r="D15" s="1716" t="s">
        <v>10605</v>
      </c>
      <c r="E15" s="1717" t="s">
        <v>10606</v>
      </c>
      <c r="F15" s="1697" t="s">
        <v>10607</v>
      </c>
      <c r="G15" s="1697" t="s">
        <v>10608</v>
      </c>
      <c r="H15" s="1697" t="s">
        <v>10609</v>
      </c>
      <c r="I15" s="1697" t="s">
        <v>10610</v>
      </c>
      <c r="J15" s="1697" t="s">
        <v>10611</v>
      </c>
      <c r="K15" s="1697" t="s">
        <v>10612</v>
      </c>
      <c r="L15" s="1697" t="s">
        <v>8971</v>
      </c>
      <c r="M15" s="1703">
        <v>0.05224537037037037</v>
      </c>
      <c r="N15" s="1703" t="str">
        <f t="shared" si="1"/>
        <v>1:36</v>
      </c>
      <c r="O15" s="1477"/>
    </row>
    <row r="16" ht="15.75" customHeight="1">
      <c r="A16" s="1718" t="s">
        <v>2251</v>
      </c>
      <c r="B16" s="1542" t="s">
        <v>8372</v>
      </c>
      <c r="C16" s="1700">
        <v>0.051145833333333335</v>
      </c>
      <c r="D16" s="1552" t="s">
        <v>10613</v>
      </c>
      <c r="E16" s="1478" t="s">
        <v>10614</v>
      </c>
      <c r="F16" s="1477" t="s">
        <v>10615</v>
      </c>
      <c r="G16" s="1477" t="s">
        <v>10616</v>
      </c>
      <c r="H16" s="1477" t="s">
        <v>10617</v>
      </c>
      <c r="I16" s="1477" t="s">
        <v>10618</v>
      </c>
      <c r="J16" s="1477" t="s">
        <v>10619</v>
      </c>
      <c r="K16" s="1477" t="s">
        <v>10620</v>
      </c>
      <c r="L16" s="1477" t="s">
        <v>2890</v>
      </c>
      <c r="M16" s="1703">
        <v>0.05228009259259259</v>
      </c>
      <c r="N16" s="1702" t="str">
        <f t="shared" si="1"/>
        <v>1:38</v>
      </c>
      <c r="O16" s="1477" t="s">
        <v>10621</v>
      </c>
    </row>
    <row r="17" ht="15.75" customHeight="1">
      <c r="A17" s="1699" t="s">
        <v>1413</v>
      </c>
      <c r="B17" s="1457" t="s">
        <v>8372</v>
      </c>
      <c r="C17" s="1700">
        <v>0.05122685185185185</v>
      </c>
      <c r="D17" s="1477" t="s">
        <v>10622</v>
      </c>
      <c r="E17" s="1710" t="s">
        <v>8427</v>
      </c>
      <c r="F17" s="1477" t="s">
        <v>10623</v>
      </c>
      <c r="G17" s="1477" t="s">
        <v>10624</v>
      </c>
      <c r="H17" s="1477" t="s">
        <v>10509</v>
      </c>
      <c r="I17" s="1477" t="s">
        <v>8377</v>
      </c>
      <c r="J17" s="1477" t="s">
        <v>10625</v>
      </c>
      <c r="K17" s="1477" t="s">
        <v>10626</v>
      </c>
      <c r="L17" s="1477" t="s">
        <v>10627</v>
      </c>
      <c r="M17" s="1703">
        <v>0.052037037037037034</v>
      </c>
      <c r="N17" s="1702" t="str">
        <f t="shared" si="1"/>
        <v>1:10</v>
      </c>
      <c r="O17" s="1477" t="s">
        <v>10539</v>
      </c>
    </row>
    <row r="18" ht="15.75" customHeight="1">
      <c r="A18" s="1718" t="s">
        <v>1722</v>
      </c>
      <c r="B18" s="1542" t="s">
        <v>8372</v>
      </c>
      <c r="C18" s="1700">
        <v>0.05122685185185185</v>
      </c>
      <c r="D18" s="1705" t="s">
        <v>10628</v>
      </c>
      <c r="E18" s="1478" t="s">
        <v>10629</v>
      </c>
      <c r="F18" s="1477" t="s">
        <v>10630</v>
      </c>
      <c r="G18" s="1477" t="s">
        <v>10631</v>
      </c>
      <c r="H18" s="1477" t="s">
        <v>10632</v>
      </c>
      <c r="I18" s="1477" t="s">
        <v>10633</v>
      </c>
      <c r="J18" s="1477" t="s">
        <v>10634</v>
      </c>
      <c r="K18" s="1477" t="s">
        <v>10635</v>
      </c>
      <c r="L18" s="1477" t="s">
        <v>5881</v>
      </c>
      <c r="M18" s="1703">
        <v>0.05224537037037037</v>
      </c>
      <c r="N18" s="1702" t="str">
        <f t="shared" si="1"/>
        <v>1:28</v>
      </c>
      <c r="O18" s="1477" t="s">
        <v>10636</v>
      </c>
    </row>
    <row r="19" ht="15.75" customHeight="1">
      <c r="A19" s="1718" t="s">
        <v>6327</v>
      </c>
      <c r="B19" s="1542" t="s">
        <v>8372</v>
      </c>
      <c r="C19" s="1700">
        <v>0.05133101851851852</v>
      </c>
      <c r="D19" s="1477" t="s">
        <v>10637</v>
      </c>
      <c r="E19" s="1478" t="s">
        <v>10638</v>
      </c>
      <c r="F19" s="1477" t="s">
        <v>10639</v>
      </c>
      <c r="G19" s="1480" t="s">
        <v>10640</v>
      </c>
      <c r="H19" s="1480" t="s">
        <v>10641</v>
      </c>
      <c r="I19" s="1477" t="s">
        <v>10642</v>
      </c>
      <c r="J19" s="1477" t="s">
        <v>10643</v>
      </c>
      <c r="K19" s="1477" t="s">
        <v>10644</v>
      </c>
      <c r="L19" s="1477" t="s">
        <v>10645</v>
      </c>
      <c r="M19" s="1703">
        <v>0.05197916666666667</v>
      </c>
      <c r="N19" s="1702" t="str">
        <f t="shared" si="1"/>
        <v>0:56</v>
      </c>
      <c r="O19" s="1477" t="s">
        <v>10646</v>
      </c>
    </row>
    <row r="20" ht="15.75" customHeight="1">
      <c r="A20" s="1718" t="s">
        <v>2216</v>
      </c>
      <c r="B20" s="1610" t="s">
        <v>8400</v>
      </c>
      <c r="C20" s="1704">
        <v>0.05140046296296296</v>
      </c>
      <c r="D20" s="1705" t="s">
        <v>10647</v>
      </c>
      <c r="E20" s="1719" t="s">
        <v>10648</v>
      </c>
      <c r="F20" s="1719" t="s">
        <v>10649</v>
      </c>
      <c r="G20" s="1719" t="s">
        <v>10650</v>
      </c>
      <c r="H20" s="1719" t="s">
        <v>10651</v>
      </c>
      <c r="I20" s="1719" t="s">
        <v>10652</v>
      </c>
      <c r="J20" s="1719" t="s">
        <v>10653</v>
      </c>
      <c r="K20" s="1477" t="s">
        <v>10654</v>
      </c>
      <c r="L20" s="1720" t="s">
        <v>8854</v>
      </c>
      <c r="M20" s="1703">
        <v>0.05299768518518518</v>
      </c>
      <c r="N20" s="1702" t="str">
        <f t="shared" si="1"/>
        <v>2:18</v>
      </c>
      <c r="O20" s="1477" t="s">
        <v>10655</v>
      </c>
    </row>
    <row r="21" ht="15.75" customHeight="1">
      <c r="A21" s="1662" t="s">
        <v>8778</v>
      </c>
      <c r="B21" s="1457" t="s">
        <v>8372</v>
      </c>
      <c r="C21" s="1704">
        <v>0.05144675925925926</v>
      </c>
      <c r="D21" s="1477" t="s">
        <v>10656</v>
      </c>
      <c r="E21" s="1710" t="s">
        <v>10657</v>
      </c>
      <c r="F21" s="1477" t="s">
        <v>10658</v>
      </c>
      <c r="G21" s="1477" t="s">
        <v>10659</v>
      </c>
      <c r="H21" s="1477" t="s">
        <v>10660</v>
      </c>
      <c r="I21" s="1477" t="s">
        <v>10661</v>
      </c>
      <c r="J21" s="1477" t="s">
        <v>10662</v>
      </c>
      <c r="K21" s="1477" t="s">
        <v>10663</v>
      </c>
      <c r="L21" s="1721" t="s">
        <v>8669</v>
      </c>
      <c r="M21" s="1703">
        <v>0.05258101851851852</v>
      </c>
      <c r="N21" s="1702" t="str">
        <f t="shared" si="1"/>
        <v>1:38</v>
      </c>
      <c r="O21" s="1477" t="s">
        <v>10539</v>
      </c>
    </row>
    <row r="22" ht="15.75" customHeight="1">
      <c r="A22" s="1718" t="s">
        <v>8988</v>
      </c>
      <c r="B22" s="1542" t="s">
        <v>8400</v>
      </c>
      <c r="C22" s="1700">
        <v>0.05146990740740741</v>
      </c>
      <c r="D22" s="1719" t="s">
        <v>10514</v>
      </c>
      <c r="E22" s="1478" t="s">
        <v>9974</v>
      </c>
      <c r="F22" s="1478" t="s">
        <v>10515</v>
      </c>
      <c r="G22" s="1478" t="s">
        <v>10516</v>
      </c>
      <c r="H22" s="1478" t="s">
        <v>10517</v>
      </c>
      <c r="I22" s="1477" t="s">
        <v>10664</v>
      </c>
      <c r="J22" s="1552" t="s">
        <v>10519</v>
      </c>
      <c r="K22" s="1719" t="s">
        <v>10520</v>
      </c>
      <c r="L22" s="1552" t="s">
        <v>9003</v>
      </c>
      <c r="M22" s="1722">
        <v>0.05236111111111111</v>
      </c>
      <c r="N22" s="1702" t="str">
        <f t="shared" si="1"/>
        <v>1:17</v>
      </c>
      <c r="O22" s="1477" t="s">
        <v>10539</v>
      </c>
    </row>
    <row r="23" ht="15.75" customHeight="1">
      <c r="A23" s="1699" t="s">
        <v>826</v>
      </c>
      <c r="B23" s="1457" t="s">
        <v>8372</v>
      </c>
      <c r="C23" s="1704">
        <v>0.051550925925925924</v>
      </c>
      <c r="D23" s="1477" t="s">
        <v>10665</v>
      </c>
      <c r="E23" s="1710" t="s">
        <v>9942</v>
      </c>
      <c r="F23" s="1477" t="s">
        <v>10666</v>
      </c>
      <c r="G23" s="1477" t="s">
        <v>10667</v>
      </c>
      <c r="H23" s="1477" t="s">
        <v>10668</v>
      </c>
      <c r="I23" s="1477" t="s">
        <v>10669</v>
      </c>
      <c r="J23" s="1477" t="s">
        <v>10670</v>
      </c>
      <c r="K23" s="1477" t="s">
        <v>10671</v>
      </c>
      <c r="L23" s="1721" t="s">
        <v>10672</v>
      </c>
      <c r="M23" s="1703">
        <v>0.05229166666666667</v>
      </c>
      <c r="N23" s="1702" t="str">
        <f t="shared" si="1"/>
        <v>1:04</v>
      </c>
      <c r="O23" s="1477" t="s">
        <v>10539</v>
      </c>
    </row>
    <row r="24">
      <c r="A24" s="1714" t="s">
        <v>1879</v>
      </c>
      <c r="B24" s="1610" t="s">
        <v>8423</v>
      </c>
      <c r="C24" s="1700">
        <v>0.05158564814814815</v>
      </c>
      <c r="D24" s="1723" t="s">
        <v>10521</v>
      </c>
      <c r="E24" s="1724" t="s">
        <v>10522</v>
      </c>
      <c r="F24" s="1723" t="s">
        <v>10523</v>
      </c>
      <c r="G24" s="1723" t="s">
        <v>10524</v>
      </c>
      <c r="H24" s="1723" t="s">
        <v>10525</v>
      </c>
      <c r="I24" s="1723" t="s">
        <v>10526</v>
      </c>
      <c r="J24" s="1723" t="s">
        <v>10527</v>
      </c>
      <c r="K24" s="1723" t="s">
        <v>10528</v>
      </c>
      <c r="L24" s="1723" t="s">
        <v>8455</v>
      </c>
      <c r="M24" s="1725">
        <v>0.052141203703703703</v>
      </c>
      <c r="N24" s="1702" t="str">
        <f t="shared" si="1"/>
        <v>0:48</v>
      </c>
      <c r="O24" s="1477" t="s">
        <v>10673</v>
      </c>
    </row>
    <row r="25" ht="15.75" customHeight="1">
      <c r="A25" s="1633" t="s">
        <v>2819</v>
      </c>
      <c r="B25" s="1542" t="s">
        <v>8372</v>
      </c>
      <c r="C25" s="1704">
        <v>0.051706365740740744</v>
      </c>
      <c r="D25" s="1552" t="s">
        <v>10674</v>
      </c>
      <c r="E25" s="1478" t="s">
        <v>10675</v>
      </c>
      <c r="F25" s="1477" t="s">
        <v>10676</v>
      </c>
      <c r="G25" s="1477" t="s">
        <v>10677</v>
      </c>
      <c r="H25" s="1477" t="s">
        <v>10678</v>
      </c>
      <c r="I25" s="1477" t="s">
        <v>10679</v>
      </c>
      <c r="J25" s="1477" t="s">
        <v>10680</v>
      </c>
      <c r="K25" s="1477" t="s">
        <v>10681</v>
      </c>
      <c r="L25" s="1477" t="s">
        <v>9305</v>
      </c>
      <c r="M25" s="1703">
        <v>0.0525</v>
      </c>
      <c r="N25" s="1703" t="str">
        <f t="shared" si="1"/>
        <v>1:09</v>
      </c>
      <c r="O25" s="1477"/>
    </row>
    <row r="26" ht="15.75" customHeight="1">
      <c r="A26" s="1726" t="s">
        <v>2093</v>
      </c>
      <c r="B26" s="1601" t="s">
        <v>8372</v>
      </c>
      <c r="C26" s="1704">
        <v>0.05171296296296296</v>
      </c>
      <c r="D26" s="1727" t="s">
        <v>10682</v>
      </c>
      <c r="E26" s="1727" t="s">
        <v>10683</v>
      </c>
      <c r="F26" s="1727" t="s">
        <v>10684</v>
      </c>
      <c r="G26" s="1727" t="s">
        <v>10685</v>
      </c>
      <c r="H26" s="1552" t="s">
        <v>10686</v>
      </c>
      <c r="I26" s="1727" t="s">
        <v>10687</v>
      </c>
      <c r="J26" s="1552" t="s">
        <v>10688</v>
      </c>
      <c r="K26" s="1727" t="s">
        <v>10689</v>
      </c>
      <c r="L26" s="1552" t="s">
        <v>7871</v>
      </c>
      <c r="M26" s="1703">
        <v>0.054375</v>
      </c>
      <c r="N26" s="1702" t="str">
        <f t="shared" si="1"/>
        <v>3:50</v>
      </c>
      <c r="O26" s="1477" t="s">
        <v>10690</v>
      </c>
    </row>
    <row r="27" ht="15.75" customHeight="1">
      <c r="A27" s="1718" t="s">
        <v>2866</v>
      </c>
      <c r="B27" s="1542" t="s">
        <v>8372</v>
      </c>
      <c r="C27" s="1700">
        <v>0.05180160879629629</v>
      </c>
      <c r="D27" s="1552" t="s">
        <v>10691</v>
      </c>
      <c r="E27" s="1478" t="s">
        <v>10692</v>
      </c>
      <c r="F27" s="1477" t="s">
        <v>10693</v>
      </c>
      <c r="G27" s="1477" t="s">
        <v>10694</v>
      </c>
      <c r="H27" s="1477" t="s">
        <v>10695</v>
      </c>
      <c r="I27" s="1477" t="s">
        <v>10696</v>
      </c>
      <c r="J27" s="1477" t="s">
        <v>10697</v>
      </c>
      <c r="K27" s="1477" t="s">
        <v>10698</v>
      </c>
      <c r="L27" s="1477" t="s">
        <v>10699</v>
      </c>
      <c r="M27" s="1703">
        <v>0.05303240740740741</v>
      </c>
      <c r="N27" s="1702" t="str">
        <f t="shared" si="1"/>
        <v>1:46</v>
      </c>
      <c r="O27" s="1477"/>
    </row>
    <row r="28" ht="15.75" customHeight="1">
      <c r="A28" s="1633" t="s">
        <v>1255</v>
      </c>
      <c r="B28" s="1610" t="s">
        <v>8423</v>
      </c>
      <c r="C28" s="1704">
        <v>0.052088194444444444</v>
      </c>
      <c r="D28" s="1552" t="s">
        <v>10700</v>
      </c>
      <c r="E28" s="1478" t="s">
        <v>10701</v>
      </c>
      <c r="F28" s="1477" t="s">
        <v>10702</v>
      </c>
      <c r="G28" s="1477" t="s">
        <v>10703</v>
      </c>
      <c r="H28" s="1477" t="s">
        <v>10704</v>
      </c>
      <c r="I28" s="1477" t="s">
        <v>10705</v>
      </c>
      <c r="J28" s="1477" t="s">
        <v>10706</v>
      </c>
      <c r="K28" s="1477" t="s">
        <v>10707</v>
      </c>
      <c r="L28" s="1477" t="s">
        <v>9599</v>
      </c>
      <c r="M28" s="1703">
        <v>0.053043981481481484</v>
      </c>
      <c r="N28" s="1702" t="str">
        <f t="shared" si="1"/>
        <v>1:23</v>
      </c>
      <c r="O28" s="1477" t="s">
        <v>10539</v>
      </c>
    </row>
    <row r="29" ht="15.75" customHeight="1">
      <c r="A29" s="1633" t="s">
        <v>2572</v>
      </c>
      <c r="B29" s="1542" t="s">
        <v>8400</v>
      </c>
      <c r="C29" s="1704">
        <v>0.05215277777777778</v>
      </c>
      <c r="D29" s="1477" t="s">
        <v>10708</v>
      </c>
      <c r="E29" s="1477" t="s">
        <v>5813</v>
      </c>
      <c r="F29" s="1477" t="s">
        <v>10709</v>
      </c>
      <c r="G29" s="1477" t="s">
        <v>10710</v>
      </c>
      <c r="H29" s="1477" t="s">
        <v>10711</v>
      </c>
      <c r="I29" s="1477" t="s">
        <v>10573</v>
      </c>
      <c r="J29" s="1477" t="s">
        <v>10712</v>
      </c>
      <c r="K29" s="1477" t="s">
        <v>10713</v>
      </c>
      <c r="L29" s="1477" t="s">
        <v>9357</v>
      </c>
      <c r="M29" s="1703">
        <v>0.05399305555555556</v>
      </c>
      <c r="N29" s="1702" t="str">
        <f t="shared" si="1"/>
        <v>2:39</v>
      </c>
      <c r="O29" s="1477" t="s">
        <v>10714</v>
      </c>
    </row>
    <row r="30" ht="15.75" customHeight="1">
      <c r="A30" s="1718" t="s">
        <v>2902</v>
      </c>
      <c r="B30" s="1542" t="s">
        <v>8372</v>
      </c>
      <c r="C30" s="1728">
        <v>0.05216435185185185</v>
      </c>
      <c r="D30" s="1477" t="s">
        <v>10715</v>
      </c>
      <c r="E30" s="1478" t="s">
        <v>10716</v>
      </c>
      <c r="F30" s="1477" t="s">
        <v>10717</v>
      </c>
      <c r="G30" s="1477" t="s">
        <v>10718</v>
      </c>
      <c r="H30" s="1477" t="s">
        <v>10719</v>
      </c>
      <c r="I30" s="1477" t="s">
        <v>10720</v>
      </c>
      <c r="J30" s="1477" t="s">
        <v>10721</v>
      </c>
      <c r="K30" s="1477" t="s">
        <v>10722</v>
      </c>
      <c r="L30" s="1477" t="s">
        <v>10723</v>
      </c>
      <c r="M30" s="1729">
        <v>0.05337962962962963</v>
      </c>
      <c r="N30" s="1702" t="str">
        <f t="shared" si="1"/>
        <v>1:45</v>
      </c>
      <c r="O30" s="1477" t="s">
        <v>10724</v>
      </c>
    </row>
    <row r="31" ht="15.75" customHeight="1">
      <c r="A31" s="1633" t="s">
        <v>736</v>
      </c>
      <c r="B31" s="1542" t="s">
        <v>8400</v>
      </c>
      <c r="C31" s="1704">
        <v>0.05224537037037037</v>
      </c>
      <c r="D31" s="1477" t="s">
        <v>10725</v>
      </c>
      <c r="E31" s="1730" t="s">
        <v>10726</v>
      </c>
      <c r="F31" s="1477" t="s">
        <v>10727</v>
      </c>
      <c r="G31" s="1477" t="s">
        <v>10728</v>
      </c>
      <c r="H31" s="1477" t="s">
        <v>10729</v>
      </c>
      <c r="I31" s="1477" t="s">
        <v>10518</v>
      </c>
      <c r="J31" s="1477" t="s">
        <v>10730</v>
      </c>
      <c r="K31" s="1480" t="s">
        <v>10731</v>
      </c>
      <c r="L31" s="1477" t="s">
        <v>10732</v>
      </c>
      <c r="M31" s="1703">
        <v>0.053043981481481484</v>
      </c>
      <c r="N31" s="1702" t="str">
        <f t="shared" si="1"/>
        <v>1:09</v>
      </c>
      <c r="O31" s="1477" t="s">
        <v>10733</v>
      </c>
    </row>
    <row r="32" ht="15.75" customHeight="1">
      <c r="A32" s="1718" t="s">
        <v>2866</v>
      </c>
      <c r="B32" s="1610" t="s">
        <v>8400</v>
      </c>
      <c r="C32" s="1700">
        <v>0.052316898148148154</v>
      </c>
      <c r="D32" s="1552" t="s">
        <v>10734</v>
      </c>
      <c r="E32" s="1478" t="s">
        <v>10735</v>
      </c>
      <c r="F32" s="1477" t="s">
        <v>10736</v>
      </c>
      <c r="G32" s="1477" t="s">
        <v>10737</v>
      </c>
      <c r="H32" s="1477" t="s">
        <v>10738</v>
      </c>
      <c r="I32" s="1477" t="s">
        <v>10739</v>
      </c>
      <c r="J32" s="1477" t="s">
        <v>10740</v>
      </c>
      <c r="K32" s="1477" t="s">
        <v>10741</v>
      </c>
      <c r="L32" s="1477" t="s">
        <v>9080</v>
      </c>
      <c r="M32" s="1703">
        <v>0.0537625</v>
      </c>
      <c r="N32" s="1702" t="str">
        <f t="shared" si="1"/>
        <v>2:05</v>
      </c>
      <c r="O32" s="1477" t="s">
        <v>10539</v>
      </c>
    </row>
    <row r="33" ht="15.75" customHeight="1">
      <c r="A33" s="1633" t="s">
        <v>3986</v>
      </c>
      <c r="B33" s="1542" t="s">
        <v>8372</v>
      </c>
      <c r="C33" s="1704">
        <v>0.05238425925925926</v>
      </c>
      <c r="D33" s="1705" t="s">
        <v>10742</v>
      </c>
      <c r="E33" s="1478" t="s">
        <v>10716</v>
      </c>
      <c r="F33" s="1477" t="s">
        <v>10743</v>
      </c>
      <c r="G33" s="1731" t="s">
        <v>10744</v>
      </c>
      <c r="H33" s="1477" t="s">
        <v>10745</v>
      </c>
      <c r="I33" s="1477" t="s">
        <v>10746</v>
      </c>
      <c r="J33" s="1477" t="s">
        <v>10747</v>
      </c>
      <c r="K33" s="1477" t="s">
        <v>10748</v>
      </c>
      <c r="L33" s="1477" t="s">
        <v>9617</v>
      </c>
      <c r="M33" s="1703">
        <v>0.05340277777777778</v>
      </c>
      <c r="N33" s="1702" t="str">
        <f t="shared" si="1"/>
        <v>1:28</v>
      </c>
      <c r="O33" s="1477" t="s">
        <v>10749</v>
      </c>
    </row>
    <row r="34" ht="15.75" customHeight="1">
      <c r="A34" s="1718" t="s">
        <v>9643</v>
      </c>
      <c r="B34" s="1542" t="s">
        <v>8372</v>
      </c>
      <c r="C34" s="1700">
        <v>0.05268518518518518</v>
      </c>
      <c r="D34" s="1552" t="s">
        <v>10750</v>
      </c>
      <c r="E34" s="1478" t="s">
        <v>10751</v>
      </c>
      <c r="F34" s="1477" t="s">
        <v>10752</v>
      </c>
      <c r="G34" s="1477" t="s">
        <v>10753</v>
      </c>
      <c r="H34" s="1477" t="s">
        <v>10754</v>
      </c>
      <c r="I34" s="1477" t="s">
        <v>10755</v>
      </c>
      <c r="J34" s="1477" t="s">
        <v>10756</v>
      </c>
      <c r="K34" s="1477" t="s">
        <v>10757</v>
      </c>
      <c r="L34" s="1477" t="s">
        <v>9661</v>
      </c>
      <c r="M34" s="1703">
        <v>0.05331018518518518</v>
      </c>
      <c r="N34" s="1702" t="str">
        <f t="shared" si="1"/>
        <v>0:54</v>
      </c>
      <c r="O34" s="1477" t="s">
        <v>10758</v>
      </c>
    </row>
    <row r="35" ht="15.75" customHeight="1">
      <c r="A35" s="1732" t="s">
        <v>3714</v>
      </c>
      <c r="B35" s="1707" t="s">
        <v>8372</v>
      </c>
      <c r="C35" s="1700">
        <v>0.05270034722222223</v>
      </c>
      <c r="D35" s="1705" t="s">
        <v>10759</v>
      </c>
      <c r="E35" s="1478" t="s">
        <v>10760</v>
      </c>
      <c r="F35" s="1477" t="s">
        <v>10761</v>
      </c>
      <c r="G35" s="1477" t="s">
        <v>10762</v>
      </c>
      <c r="H35" s="1477" t="s">
        <v>10763</v>
      </c>
      <c r="I35" s="1477" t="s">
        <v>10764</v>
      </c>
      <c r="J35" s="1477" t="s">
        <v>10765</v>
      </c>
      <c r="K35" s="1477" t="s">
        <v>10766</v>
      </c>
      <c r="L35" s="1477" t="s">
        <v>10767</v>
      </c>
      <c r="M35" s="1703">
        <v>0.05425925925925926</v>
      </c>
      <c r="N35" s="1702" t="str">
        <f t="shared" si="1"/>
        <v>2:15</v>
      </c>
      <c r="O35" s="1477" t="s">
        <v>10539</v>
      </c>
    </row>
    <row r="36">
      <c r="A36" s="1733" t="s">
        <v>3387</v>
      </c>
      <c r="B36" s="1707" t="s">
        <v>8372</v>
      </c>
      <c r="C36" s="1700">
        <v>0.053009259259259256</v>
      </c>
      <c r="D36" s="1705" t="s">
        <v>10768</v>
      </c>
      <c r="E36" s="1478" t="s">
        <v>10769</v>
      </c>
      <c r="F36" s="1477" t="s">
        <v>10770</v>
      </c>
      <c r="G36" s="1477" t="s">
        <v>10771</v>
      </c>
      <c r="H36" s="1477" t="s">
        <v>10772</v>
      </c>
      <c r="I36" s="1477" t="s">
        <v>10773</v>
      </c>
      <c r="J36" s="1477" t="s">
        <v>10774</v>
      </c>
      <c r="K36" s="1477" t="s">
        <v>10775</v>
      </c>
      <c r="L36" s="1477" t="s">
        <v>10776</v>
      </c>
      <c r="M36" s="1703">
        <v>0.05372685185185185</v>
      </c>
      <c r="N36" s="1702" t="str">
        <f t="shared" si="1"/>
        <v>1:02</v>
      </c>
      <c r="O36" s="1477" t="s">
        <v>10539</v>
      </c>
    </row>
    <row r="37" ht="15.75" customHeight="1">
      <c r="A37" s="1633" t="s">
        <v>3598</v>
      </c>
      <c r="B37" s="1542" t="s">
        <v>8372</v>
      </c>
      <c r="C37" s="1704">
        <v>0.05340277777777778</v>
      </c>
      <c r="D37" s="1552" t="s">
        <v>10777</v>
      </c>
      <c r="E37" s="1478" t="s">
        <v>10778</v>
      </c>
      <c r="F37" s="1477" t="s">
        <v>10779</v>
      </c>
      <c r="G37" s="1477" t="s">
        <v>10780</v>
      </c>
      <c r="H37" s="1477" t="s">
        <v>10781</v>
      </c>
      <c r="I37" s="1477" t="s">
        <v>10782</v>
      </c>
      <c r="J37" s="1477" t="s">
        <v>10783</v>
      </c>
      <c r="K37" s="1477" t="s">
        <v>10784</v>
      </c>
      <c r="L37" s="1477" t="s">
        <v>10785</v>
      </c>
      <c r="M37" s="1703">
        <v>0.05466435185185185</v>
      </c>
      <c r="N37" s="1702" t="str">
        <f t="shared" si="1"/>
        <v>1:49</v>
      </c>
      <c r="O37" s="1477" t="s">
        <v>10786</v>
      </c>
    </row>
    <row r="38" ht="15.75" customHeight="1">
      <c r="A38" s="1633" t="s">
        <v>985</v>
      </c>
      <c r="B38" s="1687" t="s">
        <v>8400</v>
      </c>
      <c r="C38" s="1704">
        <v>0.05378472222222222</v>
      </c>
      <c r="D38" s="1552" t="s">
        <v>10787</v>
      </c>
      <c r="E38" s="1478" t="s">
        <v>10788</v>
      </c>
      <c r="F38" s="1477" t="s">
        <v>10789</v>
      </c>
      <c r="G38" s="1477" t="s">
        <v>10790</v>
      </c>
      <c r="H38" s="1477" t="s">
        <v>10791</v>
      </c>
      <c r="I38" s="1477" t="s">
        <v>7985</v>
      </c>
      <c r="J38" s="1477" t="s">
        <v>10792</v>
      </c>
      <c r="K38" s="1477" t="s">
        <v>10793</v>
      </c>
      <c r="L38" s="1477" t="s">
        <v>9406</v>
      </c>
      <c r="M38" s="1703">
        <v>0.054560185185185184</v>
      </c>
      <c r="N38" s="1702" t="str">
        <f t="shared" si="1"/>
        <v>1:07</v>
      </c>
      <c r="O38" s="1477"/>
    </row>
    <row r="39" ht="15.75" customHeight="1">
      <c r="A39" s="1633" t="s">
        <v>4871</v>
      </c>
      <c r="B39" s="1610" t="s">
        <v>8400</v>
      </c>
      <c r="C39" s="1704">
        <v>0.05748842592592593</v>
      </c>
      <c r="D39" s="1552" t="s">
        <v>10794</v>
      </c>
      <c r="E39" s="1478" t="s">
        <v>10795</v>
      </c>
      <c r="F39" s="1477" t="s">
        <v>10796</v>
      </c>
      <c r="G39" s="1477" t="s">
        <v>10797</v>
      </c>
      <c r="H39" s="1477" t="s">
        <v>10798</v>
      </c>
      <c r="I39" s="1477" t="s">
        <v>10799</v>
      </c>
      <c r="J39" s="1477" t="s">
        <v>10800</v>
      </c>
      <c r="K39" s="1477" t="s">
        <v>10801</v>
      </c>
      <c r="L39" s="1477" t="s">
        <v>10447</v>
      </c>
      <c r="M39" s="1703">
        <v>0.06149305555555556</v>
      </c>
      <c r="N39" s="1702" t="str">
        <f t="shared" si="1"/>
        <v>5:46</v>
      </c>
      <c r="O39" s="1477" t="s">
        <v>10539</v>
      </c>
    </row>
    <row r="40">
      <c r="A40" s="1718"/>
      <c r="B40" s="1734"/>
      <c r="C40" s="1700"/>
      <c r="D40" s="1653"/>
      <c r="E40" s="1710"/>
      <c r="F40" s="1477"/>
      <c r="G40" s="1477"/>
      <c r="H40" s="1477"/>
      <c r="I40" s="1477"/>
      <c r="J40" s="1477"/>
      <c r="K40" s="1477"/>
      <c r="L40" s="1477"/>
      <c r="M40" s="1703"/>
      <c r="N40" s="1703"/>
      <c r="O40" s="1477"/>
    </row>
    <row r="41" ht="15.75" customHeight="1">
      <c r="A41" s="1662"/>
      <c r="B41" s="1516"/>
      <c r="C41" s="1735"/>
      <c r="D41" s="1609"/>
      <c r="E41" s="1710"/>
      <c r="F41" s="1477"/>
      <c r="G41" s="1477"/>
      <c r="H41" s="1477"/>
      <c r="I41" s="1477"/>
      <c r="J41" s="1477"/>
      <c r="K41" s="1477"/>
      <c r="L41" s="1477"/>
      <c r="M41" s="1703"/>
      <c r="N41" s="1703"/>
      <c r="O41" s="1477"/>
    </row>
    <row r="42" ht="15.75" customHeight="1">
      <c r="A42" s="1650"/>
      <c r="B42" s="1457"/>
      <c r="C42" s="1736"/>
      <c r="D42" s="1653"/>
      <c r="E42" s="1710"/>
      <c r="F42" s="1477"/>
      <c r="G42" s="1477"/>
      <c r="H42" s="1477"/>
      <c r="I42" s="1477"/>
      <c r="J42" s="1477"/>
      <c r="K42" s="1477"/>
      <c r="L42" s="1477"/>
      <c r="M42" s="1703"/>
      <c r="N42" s="1703"/>
      <c r="O42" s="1477"/>
    </row>
    <row r="43">
      <c r="A43" s="1714"/>
      <c r="B43" s="1715"/>
      <c r="C43" s="1700"/>
      <c r="D43" s="1609"/>
      <c r="E43" s="1710"/>
      <c r="F43" s="1477"/>
      <c r="G43" s="1477"/>
      <c r="H43" s="1477"/>
      <c r="I43" s="1477"/>
      <c r="J43" s="1477"/>
      <c r="K43" s="1477"/>
      <c r="L43" s="1477"/>
      <c r="M43" s="1703"/>
      <c r="N43" s="1703"/>
      <c r="O43" s="1477"/>
    </row>
    <row r="44" ht="15.75" customHeight="1">
      <c r="A44" s="1718"/>
      <c r="B44" s="1542"/>
      <c r="C44" s="1700"/>
      <c r="D44" s="1653"/>
      <c r="E44" s="1710"/>
      <c r="F44" s="1477"/>
      <c r="G44" s="1477"/>
      <c r="H44" s="1477"/>
      <c r="I44" s="1477"/>
      <c r="J44" s="1477"/>
      <c r="K44" s="1477"/>
      <c r="L44" s="1477"/>
      <c r="M44" s="1703"/>
      <c r="N44" s="1703"/>
      <c r="O44" s="1477"/>
    </row>
    <row r="45" ht="15.75" customHeight="1">
      <c r="A45" s="1650"/>
      <c r="B45" s="1614"/>
      <c r="C45" s="1736"/>
      <c r="D45" s="1609"/>
      <c r="E45" s="1710"/>
      <c r="F45" s="1477"/>
      <c r="G45" s="1477"/>
      <c r="H45" s="1477"/>
      <c r="I45" s="1477"/>
      <c r="J45" s="1477"/>
      <c r="K45" s="1477"/>
      <c r="L45" s="1477"/>
      <c r="M45" s="1703"/>
      <c r="N45" s="1703"/>
      <c r="O45" s="1477"/>
    </row>
    <row r="46">
      <c r="A46" s="1733"/>
      <c r="B46" s="1707"/>
      <c r="C46" s="1737"/>
      <c r="D46" s="1653"/>
      <c r="E46" s="1710"/>
      <c r="F46" s="1477"/>
      <c r="G46" s="1477"/>
      <c r="H46" s="1477"/>
      <c r="I46" s="1477"/>
      <c r="J46" s="1477"/>
      <c r="K46" s="1477"/>
      <c r="L46" s="1477"/>
      <c r="M46" s="1703"/>
      <c r="N46" s="1703"/>
      <c r="O46" s="1477"/>
    </row>
    <row r="47" ht="15.75" customHeight="1">
      <c r="A47" s="1662"/>
      <c r="B47" s="1457"/>
      <c r="C47" s="1735"/>
      <c r="D47" s="1609"/>
      <c r="E47" s="1710"/>
      <c r="F47" s="1477"/>
      <c r="G47" s="1477"/>
      <c r="H47" s="1477"/>
      <c r="I47" s="1477"/>
      <c r="J47" s="1477"/>
      <c r="K47" s="1477"/>
      <c r="L47" s="1477"/>
      <c r="M47" s="1703"/>
      <c r="N47" s="1703"/>
      <c r="O47" s="1477"/>
    </row>
    <row r="48" ht="15.75" customHeight="1">
      <c r="A48" s="1650"/>
      <c r="B48" s="1457"/>
      <c r="C48" s="1736"/>
      <c r="D48" s="1653"/>
      <c r="E48" s="1710"/>
      <c r="F48" s="1477"/>
      <c r="G48" s="1477"/>
      <c r="H48" s="1477"/>
      <c r="I48" s="1477"/>
      <c r="J48" s="1477"/>
      <c r="K48" s="1477"/>
      <c r="L48" s="1477"/>
      <c r="M48" s="1703"/>
      <c r="N48" s="1703"/>
      <c r="O48" s="1477"/>
    </row>
    <row r="49" ht="15.75" customHeight="1">
      <c r="A49" s="1714"/>
      <c r="B49" s="1715"/>
      <c r="C49" s="1700"/>
      <c r="D49" s="1609"/>
      <c r="E49" s="1710"/>
      <c r="F49" s="1477"/>
      <c r="G49" s="1477"/>
      <c r="H49" s="1477"/>
      <c r="I49" s="1477"/>
      <c r="J49" s="1477"/>
      <c r="K49" s="1477"/>
      <c r="L49" s="1477"/>
      <c r="M49" s="1703"/>
      <c r="N49" s="1703"/>
      <c r="O49" s="1477"/>
    </row>
    <row r="50" ht="15.75" customHeight="1">
      <c r="A50" s="1662"/>
      <c r="B50" s="1516"/>
      <c r="C50" s="1735"/>
      <c r="D50" s="1653"/>
      <c r="E50" s="1710"/>
      <c r="F50" s="1477"/>
      <c r="G50" s="1477"/>
      <c r="H50" s="1477"/>
      <c r="I50" s="1477"/>
      <c r="J50" s="1477"/>
      <c r="K50" s="1477"/>
      <c r="L50" s="1477"/>
      <c r="M50" s="1703"/>
      <c r="N50" s="1703"/>
      <c r="O50" s="1477"/>
    </row>
    <row r="51" ht="15.75" customHeight="1">
      <c r="A51" s="1650"/>
      <c r="B51" s="1614"/>
      <c r="C51" s="1736"/>
      <c r="D51" s="1609"/>
      <c r="E51" s="1710"/>
      <c r="F51" s="1477"/>
      <c r="G51" s="1477"/>
      <c r="H51" s="1477"/>
      <c r="I51" s="1477"/>
      <c r="J51" s="1477"/>
      <c r="K51" s="1477"/>
      <c r="L51" s="1477"/>
      <c r="M51" s="1703"/>
      <c r="N51" s="1703"/>
      <c r="O51" s="1477"/>
    </row>
    <row r="52" ht="15.75" customHeight="1">
      <c r="A52" s="1714"/>
      <c r="B52" s="1542"/>
      <c r="C52" s="1700"/>
      <c r="D52" s="1653"/>
      <c r="E52" s="1710"/>
      <c r="F52" s="1477"/>
      <c r="G52" s="1477"/>
      <c r="H52" s="1477"/>
      <c r="I52" s="1477"/>
      <c r="J52" s="1477"/>
      <c r="K52" s="1477"/>
      <c r="L52" s="1477"/>
      <c r="M52" s="1703"/>
      <c r="N52" s="1703"/>
      <c r="O52" s="1477"/>
    </row>
    <row r="53" ht="15.75" customHeight="1">
      <c r="A53" s="1718"/>
      <c r="B53" s="1610"/>
      <c r="C53" s="1700"/>
      <c r="D53" s="1609"/>
      <c r="E53" s="1710"/>
      <c r="F53" s="1477"/>
      <c r="G53" s="1477"/>
      <c r="H53" s="1477"/>
      <c r="I53" s="1477"/>
      <c r="J53" s="1477"/>
      <c r="K53" s="1477"/>
      <c r="L53" s="1477"/>
      <c r="M53" s="1703"/>
      <c r="N53" s="1703"/>
      <c r="O53" s="1477"/>
    </row>
    <row r="54" ht="15.75" customHeight="1">
      <c r="A54" s="1714"/>
      <c r="B54" s="1715"/>
      <c r="C54" s="1700"/>
      <c r="D54" s="1653"/>
      <c r="E54" s="1710"/>
      <c r="F54" s="1477"/>
      <c r="G54" s="1477"/>
      <c r="H54" s="1477"/>
      <c r="I54" s="1477"/>
      <c r="J54" s="1477"/>
      <c r="K54" s="1477"/>
      <c r="L54" s="1477"/>
      <c r="M54" s="1703"/>
      <c r="N54" s="1703"/>
      <c r="O54" s="1477"/>
    </row>
    <row r="55" ht="15.75" customHeight="1">
      <c r="A55" s="1650"/>
      <c r="B55" s="1614"/>
      <c r="C55" s="1736"/>
      <c r="D55" s="1609"/>
      <c r="E55" s="1710"/>
      <c r="F55" s="1477"/>
      <c r="G55" s="1477"/>
      <c r="H55" s="1477"/>
      <c r="I55" s="1477"/>
      <c r="J55" s="1477"/>
      <c r="K55" s="1477"/>
      <c r="L55" s="1477"/>
      <c r="M55" s="1703"/>
      <c r="N55" s="1703"/>
      <c r="O55" s="1477"/>
    </row>
    <row r="56" ht="16.5" customHeight="1">
      <c r="A56" s="1662"/>
      <c r="B56" s="1614"/>
      <c r="C56" s="1735"/>
      <c r="D56" s="1653"/>
      <c r="E56" s="1710"/>
      <c r="F56" s="1477"/>
      <c r="G56" s="1477"/>
      <c r="H56" s="1477"/>
      <c r="I56" s="1477"/>
      <c r="J56" s="1477"/>
      <c r="K56" s="1477"/>
      <c r="L56" s="1477"/>
      <c r="M56" s="1703"/>
      <c r="N56" s="1703"/>
      <c r="O56" s="1477"/>
    </row>
    <row r="57">
      <c r="A57" s="1714"/>
      <c r="B57" s="1715"/>
      <c r="C57" s="1704"/>
      <c r="D57" s="1609"/>
      <c r="E57" s="1710"/>
      <c r="F57" s="1477"/>
      <c r="G57" s="1477"/>
      <c r="H57" s="1477"/>
      <c r="I57" s="1477"/>
      <c r="J57" s="1477"/>
      <c r="K57" s="1477"/>
      <c r="L57" s="1477"/>
      <c r="M57" s="1703"/>
      <c r="N57" s="1703"/>
      <c r="O57" s="1477"/>
    </row>
    <row r="58">
      <c r="A58" s="1733"/>
      <c r="B58" s="1601"/>
      <c r="C58" s="1704"/>
      <c r="D58" s="1609"/>
      <c r="E58" s="1710"/>
      <c r="F58" s="1477"/>
      <c r="G58" s="1477"/>
      <c r="H58" s="1477"/>
      <c r="I58" s="1477"/>
      <c r="J58" s="1477"/>
      <c r="K58" s="1477"/>
      <c r="L58" s="1477"/>
      <c r="M58" s="1703"/>
      <c r="N58" s="1703"/>
      <c r="O58" s="1477"/>
    </row>
    <row r="59">
      <c r="A59" s="1714"/>
      <c r="B59" s="1715"/>
      <c r="C59" s="1700"/>
      <c r="D59" s="1477"/>
      <c r="E59" s="1710"/>
      <c r="F59" s="1477"/>
      <c r="G59" s="1477"/>
      <c r="H59" s="1477"/>
      <c r="I59" s="1477"/>
      <c r="J59" s="1477"/>
      <c r="K59" s="1477"/>
      <c r="L59" s="1477"/>
      <c r="M59" s="1703"/>
      <c r="N59" s="1703"/>
      <c r="O59" s="1477"/>
    </row>
    <row r="60">
      <c r="A60" s="1650"/>
      <c r="B60" s="1516"/>
      <c r="C60" s="1736"/>
      <c r="D60" s="1477"/>
      <c r="E60" s="1710"/>
      <c r="F60" s="1477"/>
      <c r="G60" s="1477"/>
      <c r="H60" s="1477"/>
      <c r="I60" s="1477"/>
      <c r="J60" s="1477"/>
      <c r="K60" s="1477"/>
      <c r="L60" s="1477"/>
      <c r="M60" s="1703"/>
      <c r="N60" s="1703"/>
      <c r="O60" s="1477"/>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8" t="s">
        <v>8334</v>
      </c>
      <c r="C1" s="1758" t="s">
        <v>10504</v>
      </c>
      <c r="D1" s="1759" t="s">
        <v>6551</v>
      </c>
      <c r="E1" s="1760" t="s">
        <v>6839</v>
      </c>
      <c r="F1" s="1761" t="s">
        <v>38</v>
      </c>
      <c r="G1" s="1762" t="s">
        <v>36</v>
      </c>
      <c r="H1" s="1758" t="s">
        <v>10505</v>
      </c>
      <c r="I1" s="1763" t="s">
        <v>39</v>
      </c>
      <c r="J1" s="1764" t="s">
        <v>6780</v>
      </c>
      <c r="K1" s="1387" t="s">
        <v>8368</v>
      </c>
      <c r="L1" s="1387" t="s">
        <v>8370</v>
      </c>
    </row>
    <row r="2" ht="15.75" customHeight="1">
      <c r="A2" s="1400" t="s">
        <v>8371</v>
      </c>
      <c r="B2" s="1675" t="s">
        <v>8372</v>
      </c>
      <c r="C2" s="1677" t="s">
        <v>10506</v>
      </c>
      <c r="D2" s="1405" t="s">
        <v>10802</v>
      </c>
      <c r="E2" s="1765" t="s">
        <v>10803</v>
      </c>
      <c r="F2" s="1766" t="s">
        <v>10804</v>
      </c>
      <c r="G2" s="1767" t="s">
        <v>10805</v>
      </c>
      <c r="H2" s="1677" t="s">
        <v>10806</v>
      </c>
      <c r="I2" s="1768" t="s">
        <v>10807</v>
      </c>
      <c r="J2" s="1769" t="s">
        <v>10808</v>
      </c>
      <c r="K2" s="1770" t="s">
        <v>8398</v>
      </c>
      <c r="L2" s="1771"/>
    </row>
    <row r="3" ht="15.75" customHeight="1">
      <c r="A3" s="1425" t="s">
        <v>8399</v>
      </c>
      <c r="B3" s="1687" t="s">
        <v>8400</v>
      </c>
      <c r="C3" s="1428" t="s">
        <v>10708</v>
      </c>
      <c r="D3" s="1429" t="s">
        <v>10809</v>
      </c>
      <c r="E3" s="1430" t="s">
        <v>10810</v>
      </c>
      <c r="F3" s="1431" t="s">
        <v>10811</v>
      </c>
      <c r="G3" s="1434" t="s">
        <v>10812</v>
      </c>
      <c r="H3" s="1428" t="s">
        <v>10813</v>
      </c>
      <c r="I3" s="1436" t="s">
        <v>10814</v>
      </c>
      <c r="J3" s="1438" t="s">
        <v>10815</v>
      </c>
      <c r="K3" s="1688">
        <v>0.053043981481481484</v>
      </c>
    </row>
    <row r="4" ht="15.75" customHeight="1">
      <c r="A4" s="1441" t="s">
        <v>8422</v>
      </c>
      <c r="B4" s="1691" t="s">
        <v>8423</v>
      </c>
      <c r="C4" s="1444" t="s">
        <v>10700</v>
      </c>
      <c r="D4" s="1445" t="s">
        <v>10816</v>
      </c>
      <c r="E4" s="1446" t="s">
        <v>10817</v>
      </c>
      <c r="F4" s="1447" t="s">
        <v>10818</v>
      </c>
      <c r="G4" s="1448" t="s">
        <v>10819</v>
      </c>
      <c r="H4" s="1444" t="s">
        <v>10820</v>
      </c>
      <c r="I4" s="1450" t="s">
        <v>10821</v>
      </c>
      <c r="J4" s="1451" t="s">
        <v>10822</v>
      </c>
      <c r="K4" s="1692">
        <v>0.053043981481481484</v>
      </c>
    </row>
    <row r="5" ht="15.75" customHeight="1">
      <c r="A5" s="1633" t="s">
        <v>1060</v>
      </c>
      <c r="B5" s="1542" t="s">
        <v>8372</v>
      </c>
      <c r="C5" s="1696" t="s">
        <v>10506</v>
      </c>
      <c r="D5" s="1696" t="s">
        <v>10802</v>
      </c>
      <c r="E5" s="1696" t="s">
        <v>10803</v>
      </c>
      <c r="F5" s="1696" t="s">
        <v>10804</v>
      </c>
      <c r="G5" s="1696" t="s">
        <v>10805</v>
      </c>
      <c r="H5" s="1696" t="s">
        <v>10806</v>
      </c>
      <c r="I5" s="1696" t="s">
        <v>10807</v>
      </c>
      <c r="J5" s="1696" t="s">
        <v>10808</v>
      </c>
      <c r="K5" s="1772" t="s">
        <v>8398</v>
      </c>
      <c r="L5" s="1477" t="s">
        <v>10823</v>
      </c>
    </row>
    <row r="6" ht="15.75" customHeight="1">
      <c r="A6" s="1773" t="s">
        <v>6262</v>
      </c>
      <c r="B6" s="1542" t="s">
        <v>8372</v>
      </c>
      <c r="C6" s="1641" t="s">
        <v>10549</v>
      </c>
      <c r="D6" s="1477" t="s">
        <v>10824</v>
      </c>
      <c r="E6" s="1477" t="s">
        <v>10825</v>
      </c>
      <c r="F6" s="1477" t="s">
        <v>10826</v>
      </c>
      <c r="G6" s="1477" t="s">
        <v>10827</v>
      </c>
      <c r="H6" s="1477" t="s">
        <v>10828</v>
      </c>
      <c r="I6" s="1477" t="s">
        <v>10829</v>
      </c>
      <c r="J6" s="1477" t="s">
        <v>10830</v>
      </c>
      <c r="K6" s="1477" t="s">
        <v>8580</v>
      </c>
      <c r="L6" s="1477"/>
    </row>
    <row r="7" ht="15.75" customHeight="1">
      <c r="A7" s="1662" t="s">
        <v>1879</v>
      </c>
      <c r="B7" s="1774" t="s">
        <v>8372</v>
      </c>
      <c r="C7" s="1477" t="s">
        <v>10540</v>
      </c>
      <c r="D7" s="1477" t="s">
        <v>10831</v>
      </c>
      <c r="E7" s="1697" t="s">
        <v>10832</v>
      </c>
      <c r="F7" s="1480" t="s">
        <v>10833</v>
      </c>
      <c r="G7" s="1775" t="s">
        <v>10834</v>
      </c>
      <c r="H7" s="1775" t="s">
        <v>10835</v>
      </c>
      <c r="I7" s="1477" t="s">
        <v>10836</v>
      </c>
      <c r="J7" s="1776" t="s">
        <v>10837</v>
      </c>
      <c r="K7" s="1776" t="s">
        <v>8535</v>
      </c>
      <c r="L7" s="1477" t="s">
        <v>10838</v>
      </c>
    </row>
    <row r="8" ht="15.75" customHeight="1">
      <c r="A8" s="1699" t="s">
        <v>436</v>
      </c>
      <c r="B8" s="1457" t="s">
        <v>8372</v>
      </c>
      <c r="C8" s="1480" t="s">
        <v>10534</v>
      </c>
      <c r="D8" s="1477" t="s">
        <v>10839</v>
      </c>
      <c r="E8" s="1477" t="s">
        <v>10840</v>
      </c>
      <c r="F8" s="1477" t="s">
        <v>10841</v>
      </c>
      <c r="G8" s="1477" t="s">
        <v>10842</v>
      </c>
      <c r="H8" s="1477" t="s">
        <v>10843</v>
      </c>
      <c r="I8" s="1477" t="s">
        <v>10844</v>
      </c>
      <c r="J8" s="1477" t="s">
        <v>10845</v>
      </c>
      <c r="K8" s="1477" t="s">
        <v>8493</v>
      </c>
      <c r="L8" s="1477"/>
    </row>
    <row r="9" ht="15.75" customHeight="1">
      <c r="A9" s="1662" t="s">
        <v>6338</v>
      </c>
      <c r="B9" s="1457" t="s">
        <v>8372</v>
      </c>
      <c r="C9" s="1477" t="s">
        <v>10846</v>
      </c>
      <c r="D9" s="1477" t="s">
        <v>10847</v>
      </c>
      <c r="E9" s="1477" t="s">
        <v>10848</v>
      </c>
      <c r="F9" s="1480" t="s">
        <v>10849</v>
      </c>
      <c r="G9" s="1480" t="s">
        <v>10850</v>
      </c>
      <c r="H9" s="1777" t="s">
        <v>10851</v>
      </c>
      <c r="I9" s="1480" t="s">
        <v>10852</v>
      </c>
      <c r="J9" s="1480" t="s">
        <v>10853</v>
      </c>
      <c r="K9" s="1477" t="s">
        <v>8515</v>
      </c>
      <c r="L9" s="1477"/>
    </row>
    <row r="10" ht="15.75" customHeight="1">
      <c r="A10" s="1633" t="s">
        <v>1551</v>
      </c>
      <c r="B10" s="1542" t="s">
        <v>8372</v>
      </c>
      <c r="C10" s="1778" t="s">
        <v>10572</v>
      </c>
      <c r="D10" s="1709" t="s">
        <v>10854</v>
      </c>
      <c r="E10" s="1709" t="s">
        <v>10855</v>
      </c>
      <c r="F10" s="1477" t="s">
        <v>10856</v>
      </c>
      <c r="G10" s="1731" t="s">
        <v>10857</v>
      </c>
      <c r="H10" s="1731" t="s">
        <v>10858</v>
      </c>
      <c r="I10" s="1731" t="s">
        <v>10859</v>
      </c>
      <c r="J10" s="1731" t="s">
        <v>10860</v>
      </c>
      <c r="K10" s="1731" t="s">
        <v>8730</v>
      </c>
      <c r="L10" s="1477" t="s">
        <v>10861</v>
      </c>
    </row>
    <row r="11" ht="15.75" customHeight="1">
      <c r="A11" s="1718" t="s">
        <v>912</v>
      </c>
      <c r="B11" s="1610" t="s">
        <v>8372</v>
      </c>
      <c r="C11" s="1779" t="s">
        <v>10563</v>
      </c>
      <c r="D11" s="1477" t="s">
        <v>10862</v>
      </c>
      <c r="E11" s="1477" t="s">
        <v>10863</v>
      </c>
      <c r="F11" s="1477" t="s">
        <v>10864</v>
      </c>
      <c r="G11" s="1477" t="s">
        <v>10865</v>
      </c>
      <c r="H11" s="1477" t="s">
        <v>10866</v>
      </c>
      <c r="I11" s="1477" t="s">
        <v>10867</v>
      </c>
      <c r="J11" s="1477" t="s">
        <v>10868</v>
      </c>
      <c r="K11" s="1477" t="s">
        <v>8603</v>
      </c>
      <c r="L11" s="1477" t="s">
        <v>10869</v>
      </c>
    </row>
    <row r="12" ht="15.75" customHeight="1">
      <c r="A12" s="1650" t="s">
        <v>2008</v>
      </c>
      <c r="B12" s="1457" t="s">
        <v>8372</v>
      </c>
      <c r="C12" s="1778" t="s">
        <v>10581</v>
      </c>
      <c r="D12" s="1477" t="s">
        <v>10870</v>
      </c>
      <c r="E12" s="1477" t="s">
        <v>10871</v>
      </c>
      <c r="F12" s="1477" t="s">
        <v>10872</v>
      </c>
      <c r="G12" s="1477" t="s">
        <v>10873</v>
      </c>
      <c r="H12" s="1477" t="s">
        <v>10874</v>
      </c>
      <c r="I12" s="1477" t="s">
        <v>10875</v>
      </c>
      <c r="J12" s="1477" t="s">
        <v>10876</v>
      </c>
      <c r="K12" s="1477" t="s">
        <v>8708</v>
      </c>
      <c r="L12" s="1477"/>
    </row>
    <row r="13" ht="15.75" customHeight="1">
      <c r="A13" s="1699" t="s">
        <v>330</v>
      </c>
      <c r="B13" s="1457" t="s">
        <v>8372</v>
      </c>
      <c r="C13" s="1477" t="s">
        <v>10877</v>
      </c>
      <c r="D13" s="1477" t="s">
        <v>10878</v>
      </c>
      <c r="E13" s="1477" t="s">
        <v>10879</v>
      </c>
      <c r="F13" s="1477" t="s">
        <v>10880</v>
      </c>
      <c r="G13" s="1477" t="s">
        <v>10881</v>
      </c>
      <c r="H13" s="1477" t="s">
        <v>10882</v>
      </c>
      <c r="I13" s="1477" t="s">
        <v>10883</v>
      </c>
      <c r="J13" s="1477" t="s">
        <v>10884</v>
      </c>
      <c r="K13" s="1477" t="s">
        <v>8560</v>
      </c>
      <c r="L13" s="1477"/>
    </row>
    <row r="14" ht="16.5" customHeight="1">
      <c r="A14" s="1712" t="s">
        <v>2639</v>
      </c>
      <c r="B14" s="1457" t="s">
        <v>8372</v>
      </c>
      <c r="C14" s="1477" t="s">
        <v>10597</v>
      </c>
      <c r="D14" s="1477" t="s">
        <v>10885</v>
      </c>
      <c r="E14" s="1477" t="s">
        <v>10886</v>
      </c>
      <c r="F14" s="1477" t="s">
        <v>10887</v>
      </c>
      <c r="G14" s="1477" t="s">
        <v>10888</v>
      </c>
      <c r="H14" s="1477" t="s">
        <v>10889</v>
      </c>
      <c r="I14" s="1477" t="s">
        <v>10890</v>
      </c>
      <c r="J14" s="1477" t="s">
        <v>10891</v>
      </c>
      <c r="K14" s="1477" t="s">
        <v>10892</v>
      </c>
      <c r="L14" s="1477" t="s">
        <v>10893</v>
      </c>
    </row>
    <row r="15" ht="15.0" customHeight="1">
      <c r="A15" s="1726" t="s">
        <v>1630</v>
      </c>
      <c r="B15" s="1601" t="s">
        <v>8372</v>
      </c>
      <c r="C15" s="1779" t="s">
        <v>10894</v>
      </c>
      <c r="D15" s="1477" t="s">
        <v>10895</v>
      </c>
      <c r="E15" s="1477" t="s">
        <v>10896</v>
      </c>
      <c r="F15" s="1477" t="s">
        <v>10897</v>
      </c>
      <c r="G15" s="1477" t="s">
        <v>10898</v>
      </c>
      <c r="H15" s="1477" t="s">
        <v>10899</v>
      </c>
      <c r="I15" s="1477" t="s">
        <v>10900</v>
      </c>
      <c r="J15" s="1477" t="s">
        <v>10901</v>
      </c>
      <c r="K15" s="1477" t="s">
        <v>9059</v>
      </c>
      <c r="L15" s="1477"/>
    </row>
    <row r="16" ht="15.75" customHeight="1">
      <c r="A16" s="1633" t="s">
        <v>6327</v>
      </c>
      <c r="B16" s="1457" t="s">
        <v>8372</v>
      </c>
      <c r="C16" s="1477" t="s">
        <v>10637</v>
      </c>
      <c r="D16" s="1477" t="s">
        <v>10902</v>
      </c>
      <c r="E16" s="1477" t="s">
        <v>10903</v>
      </c>
      <c r="F16" s="1477" t="s">
        <v>10904</v>
      </c>
      <c r="G16" s="1477" t="s">
        <v>10905</v>
      </c>
      <c r="H16" s="1477" t="s">
        <v>10906</v>
      </c>
      <c r="I16" s="1477" t="s">
        <v>10907</v>
      </c>
      <c r="J16" s="1477" t="s">
        <v>10908</v>
      </c>
      <c r="K16" s="1477" t="s">
        <v>8920</v>
      </c>
      <c r="L16" s="1477" t="s">
        <v>10909</v>
      </c>
    </row>
    <row r="17" ht="15.75" customHeight="1">
      <c r="A17" s="1699" t="s">
        <v>1413</v>
      </c>
      <c r="B17" s="1457" t="s">
        <v>8372</v>
      </c>
      <c r="C17" s="1477" t="s">
        <v>10910</v>
      </c>
      <c r="D17" s="1477" t="s">
        <v>10911</v>
      </c>
      <c r="E17" s="1477" t="s">
        <v>10912</v>
      </c>
      <c r="F17" s="1477" t="s">
        <v>10913</v>
      </c>
      <c r="G17" s="1477" t="s">
        <v>10914</v>
      </c>
      <c r="H17" s="1477" t="s">
        <v>10915</v>
      </c>
      <c r="I17" s="1477" t="s">
        <v>10916</v>
      </c>
      <c r="J17" s="1477" t="s">
        <v>10917</v>
      </c>
      <c r="K17" s="1477" t="s">
        <v>8896</v>
      </c>
      <c r="L17" s="1477"/>
    </row>
    <row r="18" ht="15.75" customHeight="1">
      <c r="A18" s="1633" t="s">
        <v>3096</v>
      </c>
      <c r="B18" s="1542" t="s">
        <v>8372</v>
      </c>
      <c r="C18" s="1716" t="s">
        <v>10605</v>
      </c>
      <c r="D18" s="1697" t="s">
        <v>10918</v>
      </c>
      <c r="E18" s="1697" t="s">
        <v>10919</v>
      </c>
      <c r="F18" s="1697" t="s">
        <v>10920</v>
      </c>
      <c r="G18" s="1697" t="s">
        <v>10921</v>
      </c>
      <c r="H18" s="1697" t="s">
        <v>10922</v>
      </c>
      <c r="I18" s="1697" t="s">
        <v>10923</v>
      </c>
      <c r="J18" s="1697" t="s">
        <v>10924</v>
      </c>
      <c r="K18" s="1697" t="s">
        <v>8972</v>
      </c>
      <c r="L18" s="1477"/>
    </row>
    <row r="19" ht="15.75" customHeight="1">
      <c r="A19" s="1633" t="s">
        <v>2251</v>
      </c>
      <c r="B19" s="1610" t="s">
        <v>8372</v>
      </c>
      <c r="C19" s="1779" t="s">
        <v>10613</v>
      </c>
      <c r="D19" s="1477" t="s">
        <v>10925</v>
      </c>
      <c r="E19" s="1477" t="s">
        <v>10926</v>
      </c>
      <c r="F19" s="1477" t="s">
        <v>10927</v>
      </c>
      <c r="G19" s="1477" t="s">
        <v>10928</v>
      </c>
      <c r="H19" s="1477" t="s">
        <v>10929</v>
      </c>
      <c r="I19" s="1477" t="s">
        <v>10930</v>
      </c>
      <c r="J19" s="1477" t="s">
        <v>10931</v>
      </c>
      <c r="K19" s="1477" t="s">
        <v>8776</v>
      </c>
      <c r="L19" s="1477" t="s">
        <v>10932</v>
      </c>
    </row>
    <row r="20" ht="15.75" customHeight="1">
      <c r="A20" s="1699" t="s">
        <v>826</v>
      </c>
      <c r="B20" s="1457" t="s">
        <v>8372</v>
      </c>
      <c r="C20" s="1477" t="s">
        <v>10933</v>
      </c>
      <c r="D20" s="1477" t="s">
        <v>10934</v>
      </c>
      <c r="E20" s="1477" t="s">
        <v>10935</v>
      </c>
      <c r="F20" s="1477" t="s">
        <v>10936</v>
      </c>
      <c r="G20" s="1477" t="s">
        <v>10937</v>
      </c>
      <c r="H20" s="1477" t="s">
        <v>10938</v>
      </c>
      <c r="I20" s="1477" t="s">
        <v>10939</v>
      </c>
      <c r="J20" s="1477" t="s">
        <v>10940</v>
      </c>
      <c r="K20" s="1477" t="s">
        <v>9214</v>
      </c>
      <c r="L20" s="1477"/>
    </row>
    <row r="21" ht="15.75" customHeight="1">
      <c r="A21" s="1633" t="s">
        <v>1722</v>
      </c>
      <c r="B21" s="1542" t="s">
        <v>8372</v>
      </c>
      <c r="C21" s="1477" t="s">
        <v>10941</v>
      </c>
      <c r="D21" s="1477" t="s">
        <v>10942</v>
      </c>
      <c r="E21" s="1731" t="s">
        <v>10943</v>
      </c>
      <c r="F21" s="1477" t="s">
        <v>10944</v>
      </c>
      <c r="G21" s="1477" t="s">
        <v>10945</v>
      </c>
      <c r="H21" s="1477" t="s">
        <v>10946</v>
      </c>
      <c r="I21" s="1477" t="s">
        <v>10947</v>
      </c>
      <c r="J21" s="1477" t="s">
        <v>10948</v>
      </c>
      <c r="K21" s="1477" t="s">
        <v>8946</v>
      </c>
      <c r="L21" s="1477"/>
    </row>
    <row r="22" ht="15.75" customHeight="1">
      <c r="A22" s="1662" t="s">
        <v>8778</v>
      </c>
      <c r="B22" s="1457" t="s">
        <v>8372</v>
      </c>
      <c r="C22" s="1477" t="s">
        <v>10656</v>
      </c>
      <c r="D22" s="1477" t="s">
        <v>10949</v>
      </c>
      <c r="E22" s="1477" t="s">
        <v>10950</v>
      </c>
      <c r="F22" s="1477" t="s">
        <v>10951</v>
      </c>
      <c r="G22" s="1477" t="s">
        <v>10952</v>
      </c>
      <c r="H22" s="1477" t="s">
        <v>10953</v>
      </c>
      <c r="I22" s="1477" t="s">
        <v>10954</v>
      </c>
      <c r="J22" s="1477" t="s">
        <v>10955</v>
      </c>
      <c r="K22" s="1477" t="s">
        <v>8794</v>
      </c>
      <c r="L22" s="1477"/>
    </row>
    <row r="23" ht="15.75" customHeight="1">
      <c r="A23" s="1633" t="s">
        <v>736</v>
      </c>
      <c r="B23" s="1542" t="s">
        <v>8400</v>
      </c>
      <c r="C23" s="1477" t="s">
        <v>10956</v>
      </c>
      <c r="D23" s="1719" t="s">
        <v>10809</v>
      </c>
      <c r="E23" s="1719" t="s">
        <v>10810</v>
      </c>
      <c r="F23" s="1719" t="s">
        <v>10811</v>
      </c>
      <c r="G23" s="1719" t="s">
        <v>10812</v>
      </c>
      <c r="H23" s="1719" t="s">
        <v>10813</v>
      </c>
      <c r="I23" s="1719" t="s">
        <v>10814</v>
      </c>
      <c r="J23" s="1719" t="s">
        <v>10815</v>
      </c>
      <c r="K23" s="1719" t="s">
        <v>8752</v>
      </c>
      <c r="L23" s="1477" t="s">
        <v>10957</v>
      </c>
    </row>
    <row r="24" ht="15.75" customHeight="1">
      <c r="A24" s="1718" t="s">
        <v>1255</v>
      </c>
      <c r="B24" s="1542" t="s">
        <v>8423</v>
      </c>
      <c r="C24" s="1602" t="s">
        <v>10700</v>
      </c>
      <c r="D24" s="1602" t="s">
        <v>10816</v>
      </c>
      <c r="E24" s="1602" t="s">
        <v>10817</v>
      </c>
      <c r="F24" s="1602" t="s">
        <v>10818</v>
      </c>
      <c r="G24" s="1602" t="s">
        <v>10819</v>
      </c>
      <c r="H24" s="1602" t="s">
        <v>10820</v>
      </c>
      <c r="I24" s="1602" t="s">
        <v>10821</v>
      </c>
      <c r="J24" s="1602" t="s">
        <v>10822</v>
      </c>
      <c r="K24" s="1602" t="s">
        <v>8752</v>
      </c>
      <c r="L24" s="1477"/>
    </row>
    <row r="25" ht="16.5" customHeight="1">
      <c r="A25" s="1718" t="s">
        <v>10958</v>
      </c>
      <c r="B25" s="1542" t="s">
        <v>8372</v>
      </c>
      <c r="C25" s="1727" t="s">
        <v>10682</v>
      </c>
      <c r="D25" s="1477" t="s">
        <v>10959</v>
      </c>
      <c r="E25" s="1477" t="s">
        <v>10960</v>
      </c>
      <c r="F25" s="1477" t="s">
        <v>10961</v>
      </c>
      <c r="G25" s="1477" t="s">
        <v>10952</v>
      </c>
      <c r="H25" s="1477" t="s">
        <v>10962</v>
      </c>
      <c r="I25" s="1477" t="s">
        <v>10963</v>
      </c>
      <c r="J25" s="1477" t="s">
        <v>10964</v>
      </c>
      <c r="K25" s="1477" t="s">
        <v>9381</v>
      </c>
      <c r="L25" s="1477"/>
    </row>
    <row r="26" ht="15.75" customHeight="1">
      <c r="A26" s="1718" t="s">
        <v>2902</v>
      </c>
      <c r="B26" s="1542" t="s">
        <v>8372</v>
      </c>
      <c r="C26" s="1477" t="s">
        <v>10965</v>
      </c>
      <c r="D26" s="1477" t="s">
        <v>10966</v>
      </c>
      <c r="E26" s="1477" t="s">
        <v>10967</v>
      </c>
      <c r="F26" s="1477" t="s">
        <v>10968</v>
      </c>
      <c r="G26" s="1477" t="s">
        <v>10969</v>
      </c>
      <c r="H26" s="1477" t="s">
        <v>10970</v>
      </c>
      <c r="I26" s="1477" t="s">
        <v>10971</v>
      </c>
      <c r="J26" s="1477" t="s">
        <v>10972</v>
      </c>
      <c r="K26" s="1477" t="s">
        <v>10973</v>
      </c>
      <c r="L26" s="1477" t="s">
        <v>10974</v>
      </c>
    </row>
    <row r="27">
      <c r="A27" s="1733" t="s">
        <v>2866</v>
      </c>
      <c r="B27" s="1707" t="s">
        <v>8400</v>
      </c>
      <c r="C27" s="1779" t="s">
        <v>10975</v>
      </c>
      <c r="D27" s="1477"/>
      <c r="E27" s="1477" t="s">
        <v>10976</v>
      </c>
      <c r="F27" s="1477" t="s">
        <v>10977</v>
      </c>
      <c r="G27" s="1477"/>
      <c r="H27" s="1477"/>
      <c r="I27" s="1477"/>
      <c r="J27" s="1477"/>
      <c r="K27" s="1477" t="s">
        <v>9495</v>
      </c>
      <c r="L27" s="1477"/>
    </row>
    <row r="28">
      <c r="A28" s="1714" t="s">
        <v>2216</v>
      </c>
      <c r="B28" s="1610" t="s">
        <v>8400</v>
      </c>
      <c r="C28" s="1477" t="s">
        <v>10978</v>
      </c>
      <c r="D28" s="1477" t="s">
        <v>10979</v>
      </c>
      <c r="E28" s="1477" t="s">
        <v>10980</v>
      </c>
      <c r="F28" s="1477" t="s">
        <v>10981</v>
      </c>
      <c r="G28" s="1477" t="s">
        <v>10982</v>
      </c>
      <c r="H28" s="1477" t="s">
        <v>10983</v>
      </c>
      <c r="I28" s="1477" t="s">
        <v>10984</v>
      </c>
      <c r="J28" s="1477" t="s">
        <v>10985</v>
      </c>
      <c r="K28" s="1477" t="s">
        <v>10986</v>
      </c>
      <c r="L28" s="1477" t="s">
        <v>10987</v>
      </c>
    </row>
    <row r="29" ht="15.75" customHeight="1">
      <c r="A29" s="1633" t="s">
        <v>2572</v>
      </c>
      <c r="B29" s="1601" t="s">
        <v>8400</v>
      </c>
      <c r="C29" s="1719" t="s">
        <v>10708</v>
      </c>
      <c r="D29" s="1477" t="s">
        <v>10988</v>
      </c>
      <c r="E29" s="1477" t="s">
        <v>10989</v>
      </c>
      <c r="F29" s="1477" t="s">
        <v>10990</v>
      </c>
      <c r="G29" s="1477" t="s">
        <v>10991</v>
      </c>
      <c r="H29" s="1477" t="s">
        <v>10992</v>
      </c>
      <c r="I29" s="1477" t="s">
        <v>10993</v>
      </c>
      <c r="J29" s="1477" t="s">
        <v>10994</v>
      </c>
      <c r="K29" s="1477" t="s">
        <v>9358</v>
      </c>
      <c r="L29" s="1477"/>
    </row>
    <row r="30" ht="15.75" customHeight="1">
      <c r="A30" s="1718" t="s">
        <v>5383</v>
      </c>
      <c r="B30" s="1542" t="s">
        <v>8372</v>
      </c>
      <c r="C30" s="1779" t="s">
        <v>10995</v>
      </c>
      <c r="D30" s="1477" t="s">
        <v>10996</v>
      </c>
      <c r="E30" s="1477" t="s">
        <v>10997</v>
      </c>
      <c r="F30" s="1477" t="s">
        <v>10998</v>
      </c>
      <c r="G30" s="1477" t="s">
        <v>10999</v>
      </c>
      <c r="H30" s="1477" t="s">
        <v>11000</v>
      </c>
      <c r="I30" s="1477" t="s">
        <v>11001</v>
      </c>
      <c r="J30" s="1477" t="s">
        <v>11002</v>
      </c>
      <c r="K30" s="1477" t="s">
        <v>11003</v>
      </c>
      <c r="L30" s="1477" t="s">
        <v>11004</v>
      </c>
    </row>
    <row r="31" ht="15.75" customHeight="1">
      <c r="A31" s="1718" t="s">
        <v>4871</v>
      </c>
      <c r="B31" s="1542" t="s">
        <v>8400</v>
      </c>
      <c r="C31" s="1779" t="s">
        <v>10794</v>
      </c>
      <c r="D31" s="1477" t="s">
        <v>11005</v>
      </c>
      <c r="E31" s="1477" t="s">
        <v>11006</v>
      </c>
      <c r="F31" s="1477" t="s">
        <v>11007</v>
      </c>
      <c r="G31" s="1477" t="s">
        <v>11008</v>
      </c>
      <c r="H31" s="1477" t="s">
        <v>11009</v>
      </c>
      <c r="I31" s="1477" t="s">
        <v>11010</v>
      </c>
      <c r="J31" s="1477" t="s">
        <v>11011</v>
      </c>
      <c r="K31" s="1477" t="s">
        <v>10448</v>
      </c>
      <c r="L31" s="1477" t="s">
        <v>11012</v>
      </c>
    </row>
    <row r="32" ht="15.75" customHeight="1">
      <c r="A32" s="1650"/>
      <c r="B32" s="1457"/>
      <c r="C32" s="1780"/>
      <c r="D32" s="1477"/>
      <c r="E32" s="1477"/>
      <c r="F32" s="1477"/>
      <c r="G32" s="1477"/>
      <c r="H32" s="1477"/>
      <c r="I32" s="1477"/>
      <c r="J32" s="1477"/>
      <c r="K32" s="1477"/>
      <c r="L32" s="1477"/>
    </row>
    <row r="33" ht="15.75" customHeight="1">
      <c r="A33" s="1662"/>
      <c r="B33" s="1457"/>
      <c r="C33" s="1780"/>
      <c r="D33" s="1477"/>
      <c r="E33" s="1477"/>
      <c r="F33" s="1477"/>
      <c r="G33" s="1477"/>
      <c r="H33" s="1477"/>
      <c r="I33" s="1477"/>
      <c r="J33" s="1477"/>
      <c r="K33" s="1477"/>
      <c r="L33" s="1477"/>
    </row>
    <row r="34" ht="15.75" customHeight="1">
      <c r="A34" s="1650"/>
      <c r="B34" s="1457"/>
      <c r="C34" s="1780"/>
      <c r="D34" s="1477"/>
      <c r="E34" s="1477"/>
      <c r="F34" s="1477"/>
      <c r="G34" s="1477"/>
      <c r="H34" s="1477"/>
      <c r="I34" s="1477"/>
      <c r="J34" s="1477"/>
      <c r="K34" s="1477"/>
      <c r="L34" s="1477"/>
    </row>
    <row r="35" ht="15.75" customHeight="1">
      <c r="A35" s="1662"/>
      <c r="B35" s="1457"/>
      <c r="C35" s="1780"/>
      <c r="D35" s="1477"/>
      <c r="E35" s="1477"/>
      <c r="F35" s="1477"/>
      <c r="G35" s="1477"/>
      <c r="H35" s="1477"/>
      <c r="I35" s="1477"/>
      <c r="J35" s="1477"/>
      <c r="K35" s="1477"/>
      <c r="L35" s="1477"/>
    </row>
    <row r="36">
      <c r="A36" s="1714"/>
      <c r="B36" s="1715"/>
      <c r="C36" s="1780"/>
      <c r="D36" s="1477"/>
      <c r="E36" s="1477"/>
      <c r="F36" s="1477"/>
      <c r="G36" s="1477"/>
      <c r="H36" s="1477"/>
      <c r="I36" s="1477"/>
      <c r="J36" s="1477"/>
      <c r="K36" s="1477"/>
      <c r="L36" s="1477"/>
    </row>
    <row r="37" ht="15.75" customHeight="1">
      <c r="A37" s="1718"/>
      <c r="B37" s="1614"/>
      <c r="C37" s="1780"/>
      <c r="D37" s="1477"/>
      <c r="E37" s="1477"/>
      <c r="F37" s="1477"/>
      <c r="G37" s="1477"/>
      <c r="H37" s="1477"/>
      <c r="I37" s="1477"/>
      <c r="J37" s="1477"/>
      <c r="K37" s="1477"/>
      <c r="L37" s="1477"/>
    </row>
    <row r="38" ht="15.75" customHeight="1">
      <c r="A38" s="1633"/>
      <c r="B38" s="1516"/>
      <c r="C38" s="1780"/>
      <c r="D38" s="1477"/>
      <c r="E38" s="1477"/>
      <c r="F38" s="1477"/>
      <c r="G38" s="1477"/>
      <c r="H38" s="1477"/>
      <c r="I38" s="1477"/>
      <c r="J38" s="1477"/>
      <c r="K38" s="1477"/>
      <c r="L38" s="1477"/>
    </row>
    <row r="39">
      <c r="A39" s="1733"/>
      <c r="B39" s="1707"/>
      <c r="C39" s="1780"/>
      <c r="D39" s="1477"/>
      <c r="E39" s="1477"/>
      <c r="F39" s="1477"/>
      <c r="G39" s="1477"/>
      <c r="H39" s="1477"/>
      <c r="I39" s="1477"/>
      <c r="J39" s="1477"/>
      <c r="K39" s="1477"/>
      <c r="L39" s="1477"/>
    </row>
    <row r="40" ht="15.75" customHeight="1">
      <c r="A40" s="1650"/>
      <c r="B40" s="1516"/>
      <c r="C40" s="1780"/>
      <c r="D40" s="1477"/>
      <c r="E40" s="1477"/>
      <c r="F40" s="1477"/>
      <c r="G40" s="1477"/>
      <c r="H40" s="1477"/>
      <c r="I40" s="1477"/>
      <c r="J40" s="1477"/>
      <c r="K40" s="1477"/>
      <c r="L40" s="1477"/>
    </row>
    <row r="41">
      <c r="A41" s="1718"/>
      <c r="B41" s="1734"/>
      <c r="C41" s="1780"/>
      <c r="D41" s="1477"/>
      <c r="E41" s="1477"/>
      <c r="F41" s="1477"/>
      <c r="G41" s="1477"/>
      <c r="H41" s="1477"/>
      <c r="I41" s="1477"/>
      <c r="J41" s="1477"/>
      <c r="K41" s="1477"/>
      <c r="L41" s="1477"/>
    </row>
    <row r="42" ht="15.75" customHeight="1">
      <c r="A42" s="1662"/>
      <c r="B42" s="1516"/>
      <c r="C42" s="1780"/>
      <c r="D42" s="1477"/>
      <c r="E42" s="1477"/>
      <c r="F42" s="1477"/>
      <c r="G42" s="1477"/>
      <c r="H42" s="1477"/>
      <c r="I42" s="1477"/>
      <c r="J42" s="1477"/>
      <c r="K42" s="1477"/>
      <c r="L42" s="1477"/>
    </row>
    <row r="43" ht="15.75" customHeight="1">
      <c r="A43" s="1650"/>
      <c r="B43" s="1457"/>
      <c r="C43" s="1780"/>
      <c r="D43" s="1477"/>
      <c r="E43" s="1477"/>
      <c r="F43" s="1477"/>
      <c r="G43" s="1477"/>
      <c r="H43" s="1477"/>
      <c r="I43" s="1477"/>
      <c r="J43" s="1477"/>
      <c r="K43" s="1477"/>
      <c r="L43" s="1477"/>
    </row>
    <row r="44">
      <c r="A44" s="1714"/>
      <c r="B44" s="1715"/>
      <c r="C44" s="1780"/>
      <c r="D44" s="1477"/>
      <c r="E44" s="1477"/>
      <c r="F44" s="1477"/>
      <c r="G44" s="1477"/>
      <c r="H44" s="1477"/>
      <c r="I44" s="1477"/>
      <c r="J44" s="1477"/>
      <c r="K44" s="1477"/>
      <c r="L44" s="1477"/>
    </row>
    <row r="45" ht="15.75" customHeight="1">
      <c r="A45" s="1650"/>
      <c r="B45" s="1457"/>
      <c r="C45" s="1780"/>
      <c r="D45" s="1477"/>
      <c r="E45" s="1477"/>
      <c r="F45" s="1477"/>
      <c r="G45" s="1477"/>
      <c r="H45" s="1477"/>
      <c r="I45" s="1477"/>
      <c r="J45" s="1477"/>
      <c r="K45" s="1477"/>
      <c r="L45" s="1477"/>
    </row>
    <row r="46" ht="15.75" customHeight="1">
      <c r="A46" s="1662"/>
      <c r="B46" s="1457"/>
      <c r="C46" s="1780"/>
      <c r="D46" s="1477"/>
      <c r="E46" s="1477"/>
      <c r="F46" s="1477"/>
      <c r="G46" s="1477"/>
      <c r="H46" s="1477"/>
      <c r="I46" s="1477"/>
      <c r="J46" s="1477"/>
      <c r="K46" s="1477"/>
      <c r="L46" s="1477"/>
    </row>
    <row r="47" ht="15.75" customHeight="1">
      <c r="A47" s="1650"/>
      <c r="B47" s="1516"/>
      <c r="C47" s="1780"/>
      <c r="D47" s="1477"/>
      <c r="E47" s="1477"/>
      <c r="F47" s="1477"/>
      <c r="G47" s="1477"/>
      <c r="H47" s="1477"/>
      <c r="I47" s="1477"/>
      <c r="J47" s="1477"/>
      <c r="K47" s="1477"/>
      <c r="L47" s="1477"/>
    </row>
    <row r="48" ht="15.0" customHeight="1">
      <c r="A48" s="1662"/>
      <c r="B48" s="1516"/>
      <c r="C48" s="1780"/>
      <c r="D48" s="1477"/>
      <c r="E48" s="1477"/>
      <c r="F48" s="1477"/>
      <c r="G48" s="1477"/>
      <c r="H48" s="1477"/>
      <c r="I48" s="1477"/>
      <c r="J48" s="1477"/>
      <c r="K48" s="1477"/>
      <c r="L48" s="1477"/>
    </row>
    <row r="49" ht="15.75" customHeight="1">
      <c r="A49" s="1718"/>
      <c r="B49" s="1542"/>
      <c r="C49" s="1780"/>
      <c r="D49" s="1477"/>
      <c r="E49" s="1477"/>
      <c r="F49" s="1477"/>
      <c r="G49" s="1477"/>
      <c r="H49" s="1477"/>
      <c r="I49" s="1477"/>
      <c r="J49" s="1477"/>
      <c r="K49" s="1477"/>
      <c r="L49" s="1477"/>
    </row>
    <row r="50" ht="15.75" customHeight="1">
      <c r="A50" s="1650"/>
      <c r="B50" s="1614"/>
      <c r="C50" s="1780"/>
      <c r="D50" s="1477"/>
      <c r="E50" s="1477"/>
      <c r="F50" s="1477"/>
      <c r="G50" s="1477"/>
      <c r="H50" s="1477"/>
      <c r="I50" s="1477"/>
      <c r="J50" s="1477"/>
      <c r="K50" s="1477"/>
      <c r="L50" s="1477"/>
    </row>
    <row r="51">
      <c r="A51" s="1733"/>
      <c r="B51" s="1707"/>
      <c r="C51" s="1780"/>
      <c r="D51" s="1477"/>
      <c r="E51" s="1477"/>
      <c r="F51" s="1477"/>
      <c r="G51" s="1477"/>
      <c r="H51" s="1477"/>
      <c r="I51" s="1477"/>
      <c r="J51" s="1477"/>
      <c r="K51" s="1477"/>
      <c r="L51" s="1477"/>
    </row>
    <row r="52" ht="15.75" customHeight="1">
      <c r="A52" s="1662"/>
      <c r="B52" s="1457"/>
      <c r="C52" s="1780"/>
      <c r="D52" s="1477"/>
      <c r="E52" s="1477"/>
      <c r="F52" s="1477"/>
      <c r="G52" s="1477"/>
      <c r="H52" s="1477"/>
      <c r="I52" s="1477"/>
      <c r="J52" s="1477"/>
      <c r="K52" s="1477"/>
      <c r="L52" s="1477"/>
    </row>
    <row r="53" ht="15.75" customHeight="1">
      <c r="A53" s="1650"/>
      <c r="B53" s="1457"/>
      <c r="C53" s="1780"/>
      <c r="D53" s="1477"/>
      <c r="E53" s="1477"/>
      <c r="F53" s="1477"/>
      <c r="G53" s="1477"/>
      <c r="H53" s="1477"/>
      <c r="I53" s="1477"/>
      <c r="J53" s="1477"/>
      <c r="K53" s="1477"/>
      <c r="L53" s="1477"/>
    </row>
    <row r="54" ht="15.75" customHeight="1">
      <c r="A54" s="1714"/>
      <c r="B54" s="1715"/>
      <c r="C54" s="1780"/>
      <c r="D54" s="1477"/>
      <c r="E54" s="1477"/>
      <c r="F54" s="1477"/>
      <c r="G54" s="1477"/>
      <c r="H54" s="1477"/>
      <c r="I54" s="1477"/>
      <c r="J54" s="1477"/>
      <c r="K54" s="1477"/>
      <c r="L54" s="1477"/>
    </row>
    <row r="55" ht="15.75" customHeight="1">
      <c r="A55" s="1662"/>
      <c r="B55" s="1516"/>
      <c r="C55" s="1780"/>
      <c r="D55" s="1477"/>
      <c r="E55" s="1477"/>
      <c r="F55" s="1477"/>
      <c r="G55" s="1477"/>
      <c r="H55" s="1477"/>
      <c r="I55" s="1477"/>
      <c r="J55" s="1477"/>
      <c r="K55" s="1477"/>
      <c r="L55" s="1477"/>
    </row>
    <row r="56" ht="15.75" customHeight="1">
      <c r="A56" s="1650"/>
      <c r="B56" s="1614"/>
      <c r="C56" s="1780"/>
      <c r="D56" s="1477"/>
      <c r="E56" s="1477"/>
      <c r="F56" s="1477"/>
      <c r="G56" s="1477"/>
      <c r="H56" s="1477"/>
      <c r="I56" s="1477"/>
      <c r="J56" s="1477"/>
      <c r="K56" s="1477"/>
      <c r="L56" s="1477"/>
    </row>
    <row r="57" ht="15.75" customHeight="1">
      <c r="A57" s="1714"/>
      <c r="B57" s="1542"/>
      <c r="C57" s="1780"/>
      <c r="D57" s="1477"/>
      <c r="E57" s="1477"/>
      <c r="F57" s="1477"/>
      <c r="G57" s="1477"/>
      <c r="H57" s="1477"/>
      <c r="I57" s="1477"/>
      <c r="J57" s="1477"/>
      <c r="K57" s="1477"/>
      <c r="L57" s="1477"/>
    </row>
    <row r="58" ht="15.75" customHeight="1">
      <c r="A58" s="1718"/>
      <c r="B58" s="1610"/>
      <c r="C58" s="1780"/>
      <c r="D58" s="1477"/>
      <c r="E58" s="1477"/>
      <c r="F58" s="1477"/>
      <c r="G58" s="1477"/>
      <c r="H58" s="1477"/>
      <c r="I58" s="1477"/>
      <c r="J58" s="1477"/>
      <c r="K58" s="1477"/>
      <c r="L58" s="1477"/>
    </row>
    <row r="59" ht="15.75" customHeight="1">
      <c r="A59" s="1714"/>
      <c r="B59" s="1715"/>
      <c r="C59" s="1780"/>
      <c r="D59" s="1477"/>
      <c r="E59" s="1477"/>
      <c r="F59" s="1477"/>
      <c r="G59" s="1477"/>
      <c r="H59" s="1477"/>
      <c r="I59" s="1477"/>
      <c r="J59" s="1477"/>
      <c r="K59" s="1477"/>
      <c r="L59" s="1477"/>
    </row>
    <row r="60" ht="15.75" customHeight="1">
      <c r="A60" s="1650"/>
      <c r="B60" s="1614"/>
      <c r="C60" s="1780"/>
      <c r="D60" s="1477"/>
      <c r="E60" s="1477"/>
      <c r="F60" s="1477"/>
      <c r="G60" s="1477"/>
      <c r="H60" s="1477"/>
      <c r="I60" s="1477"/>
      <c r="J60" s="1477"/>
      <c r="K60" s="1477"/>
      <c r="L60" s="1477"/>
    </row>
    <row r="61" ht="16.5" customHeight="1">
      <c r="A61" s="1662"/>
      <c r="B61" s="1614"/>
      <c r="C61" s="1780"/>
      <c r="D61" s="1477"/>
      <c r="E61" s="1477"/>
      <c r="F61" s="1477"/>
      <c r="G61" s="1477"/>
      <c r="H61" s="1477"/>
      <c r="I61" s="1477"/>
      <c r="J61" s="1477"/>
      <c r="K61" s="1477"/>
      <c r="L61" s="1477"/>
    </row>
    <row r="62">
      <c r="A62" s="1714"/>
      <c r="B62" s="1715"/>
      <c r="C62" s="1477"/>
      <c r="D62" s="1477"/>
      <c r="E62" s="1477"/>
      <c r="F62" s="1477"/>
      <c r="G62" s="1477"/>
      <c r="H62" s="1477"/>
      <c r="I62" s="1477"/>
      <c r="J62" s="1477"/>
      <c r="K62" s="1477"/>
      <c r="L62" s="1477"/>
    </row>
    <row r="63" ht="17.25" customHeight="1">
      <c r="A63" s="1633"/>
      <c r="B63" s="1610"/>
      <c r="C63" s="1477"/>
      <c r="D63" s="1477"/>
      <c r="E63" s="1477"/>
      <c r="F63" s="1477"/>
      <c r="G63" s="1477"/>
      <c r="H63" s="1477"/>
      <c r="I63" s="1477"/>
      <c r="J63" s="1477"/>
      <c r="K63" s="1477"/>
      <c r="L63" s="1477"/>
    </row>
    <row r="64">
      <c r="A64" s="1733"/>
      <c r="B64" s="1601"/>
      <c r="C64" s="1477"/>
      <c r="D64" s="1477"/>
      <c r="E64" s="1477"/>
      <c r="F64" s="1477"/>
      <c r="G64" s="1477"/>
      <c r="H64" s="1477"/>
      <c r="I64" s="1477"/>
      <c r="J64" s="1477"/>
      <c r="K64" s="1477"/>
      <c r="L64" s="1477"/>
    </row>
    <row r="65">
      <c r="A65" s="1714"/>
      <c r="B65" s="1715"/>
      <c r="C65" s="1477"/>
      <c r="D65" s="1477"/>
      <c r="E65" s="1477"/>
      <c r="F65" s="1477"/>
      <c r="G65" s="1477"/>
      <c r="H65" s="1477"/>
      <c r="I65" s="1477"/>
      <c r="J65" s="1477"/>
      <c r="K65" s="1477"/>
      <c r="L65" s="1477"/>
    </row>
    <row r="66">
      <c r="A66" s="1650"/>
      <c r="B66" s="1516"/>
      <c r="C66" s="1477"/>
      <c r="D66" s="1477"/>
      <c r="E66" s="1477"/>
      <c r="F66" s="1477"/>
      <c r="G66" s="1477"/>
      <c r="H66" s="1477"/>
      <c r="I66" s="1477"/>
      <c r="J66" s="1477"/>
      <c r="K66" s="1477"/>
      <c r="L66" s="1477"/>
    </row>
    <row r="67">
      <c r="A67" s="1718"/>
      <c r="B67" s="1601"/>
      <c r="C67" s="1477"/>
      <c r="D67" s="1477"/>
      <c r="E67" s="1477"/>
      <c r="F67" s="1477"/>
      <c r="G67" s="1477"/>
      <c r="H67" s="1477"/>
      <c r="I67" s="1477"/>
      <c r="J67" s="1477"/>
      <c r="K67" s="1477"/>
      <c r="L67" s="1477"/>
    </row>
    <row r="68" ht="17.25" customHeight="1">
      <c r="A68" s="1733"/>
      <c r="B68" s="1516"/>
      <c r="C68" s="1477"/>
      <c r="D68" s="1477"/>
      <c r="E68" s="1477"/>
      <c r="F68" s="1477"/>
      <c r="G68" s="1477"/>
      <c r="H68" s="1477"/>
      <c r="I68" s="1477"/>
      <c r="J68" s="1477"/>
      <c r="K68" s="1477"/>
      <c r="L68" s="1477"/>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11013</v>
      </c>
      <c r="C1" s="1784" t="s">
        <v>43</v>
      </c>
      <c r="D1" s="1785" t="s">
        <v>11014</v>
      </c>
      <c r="E1" s="1784" t="s">
        <v>11015</v>
      </c>
      <c r="F1" s="1786" t="s">
        <v>11016</v>
      </c>
    </row>
    <row r="2">
      <c r="A2" s="1787"/>
      <c r="B2" s="1788"/>
      <c r="C2" s="1788"/>
      <c r="D2" s="1788"/>
      <c r="E2" s="1788"/>
      <c r="F2" s="1788"/>
    </row>
    <row r="3">
      <c r="A3" s="1787"/>
      <c r="B3" s="1788"/>
      <c r="C3" s="1788"/>
      <c r="D3" s="1788"/>
      <c r="E3" s="1788"/>
      <c r="F3" s="1788"/>
    </row>
    <row r="4">
      <c r="A4" s="1789" t="s">
        <v>11017</v>
      </c>
      <c r="B4" s="1790" t="s">
        <v>11018</v>
      </c>
      <c r="C4" s="1791"/>
      <c r="D4" s="1791"/>
      <c r="E4" s="1791"/>
      <c r="F4" s="1792"/>
    </row>
    <row r="5">
      <c r="A5" s="1788"/>
      <c r="B5" s="1793"/>
      <c r="C5" s="1794"/>
      <c r="D5" s="1794"/>
      <c r="E5" s="1794"/>
      <c r="F5" s="1795"/>
    </row>
    <row r="6">
      <c r="A6" s="1796" t="s">
        <v>11018</v>
      </c>
      <c r="B6" s="1797" t="s">
        <v>11019</v>
      </c>
      <c r="C6" s="1798" t="s">
        <v>4260</v>
      </c>
      <c r="D6" s="1799" t="s">
        <v>11020</v>
      </c>
      <c r="E6" s="1798" t="s">
        <v>11021</v>
      </c>
      <c r="F6" s="1800">
        <v>44233.0</v>
      </c>
    </row>
    <row r="7">
      <c r="A7" s="1796" t="s">
        <v>11022</v>
      </c>
      <c r="B7" s="1801" t="s">
        <v>11023</v>
      </c>
      <c r="C7" s="1798" t="s">
        <v>826</v>
      </c>
      <c r="D7" s="1799" t="s">
        <v>11024</v>
      </c>
      <c r="E7" s="1798" t="s">
        <v>11021</v>
      </c>
      <c r="F7" s="1800">
        <v>43878.0</v>
      </c>
    </row>
    <row r="8">
      <c r="A8" s="1796" t="s">
        <v>11025</v>
      </c>
      <c r="B8" s="1802" t="s">
        <v>11026</v>
      </c>
      <c r="C8" s="1798" t="s">
        <v>330</v>
      </c>
      <c r="D8" s="1799" t="s">
        <v>11027</v>
      </c>
      <c r="E8" s="1798" t="s">
        <v>11021</v>
      </c>
      <c r="F8" s="1800">
        <v>43879.0</v>
      </c>
    </row>
    <row r="9">
      <c r="A9" s="1796" t="s">
        <v>11028</v>
      </c>
      <c r="B9" s="1803" t="s">
        <v>11029</v>
      </c>
      <c r="C9" s="1798" t="s">
        <v>3986</v>
      </c>
      <c r="D9" s="1799" t="s">
        <v>11030</v>
      </c>
      <c r="E9" s="1798" t="s">
        <v>11031</v>
      </c>
      <c r="F9" s="1800">
        <v>44084.0</v>
      </c>
    </row>
    <row r="10">
      <c r="A10" s="1796" t="s">
        <v>11032</v>
      </c>
      <c r="B10" s="1803" t="s">
        <v>11033</v>
      </c>
      <c r="C10" s="1804"/>
      <c r="D10" s="1805"/>
      <c r="E10" s="1804"/>
      <c r="F10" s="1804"/>
    </row>
    <row r="11">
      <c r="A11" s="1796" t="s">
        <v>11034</v>
      </c>
      <c r="B11" s="1790" t="s">
        <v>11022</v>
      </c>
      <c r="C11" s="1791"/>
      <c r="D11" s="1791"/>
      <c r="E11" s="1791"/>
      <c r="F11" s="1792"/>
    </row>
    <row r="12">
      <c r="A12" s="1796" t="s">
        <v>11035</v>
      </c>
      <c r="B12" s="1793"/>
      <c r="C12" s="1794"/>
      <c r="D12" s="1794"/>
      <c r="E12" s="1794"/>
      <c r="F12" s="1795"/>
    </row>
    <row r="13">
      <c r="A13" s="1796" t="s">
        <v>11036</v>
      </c>
      <c r="B13" s="1797" t="s">
        <v>11019</v>
      </c>
      <c r="C13" s="1798" t="s">
        <v>4260</v>
      </c>
      <c r="D13" s="1799" t="s">
        <v>11037</v>
      </c>
      <c r="E13" s="1798" t="s">
        <v>11021</v>
      </c>
      <c r="F13" s="1800">
        <v>44250.0</v>
      </c>
    </row>
    <row r="14" ht="15.75" customHeight="1">
      <c r="A14" s="1796" t="s">
        <v>11038</v>
      </c>
      <c r="B14" s="1801" t="s">
        <v>11023</v>
      </c>
      <c r="C14" s="1798" t="s">
        <v>4230</v>
      </c>
      <c r="D14" s="1799" t="s">
        <v>11039</v>
      </c>
      <c r="E14" s="1798" t="s">
        <v>11021</v>
      </c>
      <c r="F14" s="1800">
        <v>43364.0</v>
      </c>
    </row>
    <row r="15">
      <c r="A15" s="1796" t="s">
        <v>11040</v>
      </c>
      <c r="B15" s="1802" t="s">
        <v>11026</v>
      </c>
      <c r="C15" s="1798" t="s">
        <v>11041</v>
      </c>
      <c r="D15" s="1799" t="s">
        <v>11042</v>
      </c>
      <c r="E15" s="1798" t="s">
        <v>11031</v>
      </c>
      <c r="F15" s="1800">
        <v>43757.0</v>
      </c>
    </row>
    <row r="16">
      <c r="A16" s="1796" t="s">
        <v>11043</v>
      </c>
      <c r="B16" s="1803" t="s">
        <v>11029</v>
      </c>
      <c r="C16" s="1798" t="s">
        <v>11044</v>
      </c>
      <c r="D16" s="1799" t="s">
        <v>11045</v>
      </c>
      <c r="E16" s="1798" t="s">
        <v>11031</v>
      </c>
      <c r="F16" s="1800">
        <v>43438.0</v>
      </c>
    </row>
    <row r="17">
      <c r="A17" s="1796" t="s">
        <v>11046</v>
      </c>
      <c r="B17" s="1803" t="s">
        <v>11033</v>
      </c>
      <c r="C17" s="1804"/>
      <c r="D17" s="1805"/>
      <c r="E17" s="1804"/>
      <c r="F17" s="1804"/>
    </row>
    <row r="18">
      <c r="A18" s="1796" t="s">
        <v>11047</v>
      </c>
      <c r="B18" s="1806" t="s">
        <v>11025</v>
      </c>
      <c r="C18" s="1791"/>
      <c r="D18" s="1791"/>
      <c r="E18" s="1791"/>
      <c r="F18" s="1792"/>
    </row>
    <row r="19">
      <c r="A19" s="1796" t="s">
        <v>11048</v>
      </c>
      <c r="B19" s="1794"/>
      <c r="C19" s="1794"/>
      <c r="D19" s="1794"/>
      <c r="E19" s="1794"/>
      <c r="F19" s="1795"/>
    </row>
    <row r="20">
      <c r="A20" s="1807"/>
      <c r="B20" s="1797" t="s">
        <v>11019</v>
      </c>
      <c r="C20" s="1798" t="s">
        <v>11049</v>
      </c>
      <c r="D20" s="1799" t="s">
        <v>11050</v>
      </c>
      <c r="E20" s="1798" t="s">
        <v>11021</v>
      </c>
      <c r="F20" s="1800">
        <v>44021.0</v>
      </c>
    </row>
    <row r="21">
      <c r="A21" s="1807"/>
      <c r="B21" s="1801" t="s">
        <v>11023</v>
      </c>
      <c r="C21" s="1798" t="s">
        <v>5198</v>
      </c>
      <c r="D21" s="1799" t="s">
        <v>11051</v>
      </c>
      <c r="E21" s="1798" t="s">
        <v>11031</v>
      </c>
      <c r="F21" s="1800">
        <v>44022.0</v>
      </c>
    </row>
    <row r="22">
      <c r="A22" s="1808"/>
      <c r="B22" s="1802" t="s">
        <v>11026</v>
      </c>
      <c r="C22" s="1798" t="s">
        <v>11052</v>
      </c>
      <c r="D22" s="1799" t="s">
        <v>11053</v>
      </c>
      <c r="E22" s="1798" t="s">
        <v>11054</v>
      </c>
      <c r="F22" s="1800">
        <v>43884.0</v>
      </c>
    </row>
    <row r="23">
      <c r="A23" s="1808"/>
      <c r="B23" s="1803" t="s">
        <v>11029</v>
      </c>
      <c r="C23" s="1798" t="s">
        <v>5383</v>
      </c>
      <c r="D23" s="1799" t="s">
        <v>11055</v>
      </c>
      <c r="E23" s="1798" t="s">
        <v>11021</v>
      </c>
      <c r="F23" s="1800">
        <v>43892.0</v>
      </c>
    </row>
    <row r="24">
      <c r="A24" s="1808"/>
      <c r="B24" s="1803" t="s">
        <v>11033</v>
      </c>
      <c r="C24" s="1804"/>
      <c r="D24" s="1805"/>
      <c r="E24" s="1804"/>
      <c r="F24" s="1804"/>
    </row>
    <row r="25">
      <c r="A25" s="1808"/>
      <c r="B25" s="1790" t="s">
        <v>11028</v>
      </c>
      <c r="C25" s="1791"/>
      <c r="D25" s="1791"/>
      <c r="E25" s="1791"/>
      <c r="F25" s="1792"/>
    </row>
    <row r="26">
      <c r="A26" s="1808"/>
      <c r="B26" s="1793"/>
      <c r="C26" s="1794"/>
      <c r="D26" s="1794"/>
      <c r="E26" s="1794"/>
      <c r="F26" s="1795"/>
    </row>
    <row r="27">
      <c r="A27" s="1808"/>
      <c r="B27" s="1809" t="s">
        <v>11056</v>
      </c>
      <c r="C27" s="1791"/>
      <c r="D27" s="1791"/>
      <c r="E27" s="1791"/>
      <c r="F27" s="1792"/>
    </row>
    <row r="28">
      <c r="A28" s="1808"/>
      <c r="B28" s="1793"/>
      <c r="C28" s="1794"/>
      <c r="D28" s="1794"/>
      <c r="E28" s="1794"/>
      <c r="F28" s="1795"/>
    </row>
    <row r="29">
      <c r="A29" s="1808"/>
      <c r="B29" s="1797" t="s">
        <v>11019</v>
      </c>
      <c r="C29" s="1810" t="s">
        <v>436</v>
      </c>
      <c r="D29" s="1799" t="s">
        <v>11057</v>
      </c>
      <c r="E29" s="1798" t="s">
        <v>11021</v>
      </c>
      <c r="F29" s="1800">
        <v>43659.0</v>
      </c>
    </row>
    <row r="30">
      <c r="A30" s="1808"/>
      <c r="B30" s="1801" t="s">
        <v>11023</v>
      </c>
      <c r="C30" s="1798" t="s">
        <v>1630</v>
      </c>
      <c r="D30" s="1799" t="s">
        <v>11058</v>
      </c>
      <c r="E30" s="1798" t="s">
        <v>11021</v>
      </c>
      <c r="F30" s="1800">
        <v>43228.0</v>
      </c>
    </row>
    <row r="31">
      <c r="A31" s="1808"/>
      <c r="B31" s="1802" t="s">
        <v>11026</v>
      </c>
      <c r="C31" s="1804"/>
      <c r="D31" s="1811"/>
      <c r="E31" s="1804"/>
      <c r="F31" s="1804"/>
    </row>
    <row r="32">
      <c r="A32" s="1808"/>
      <c r="B32" s="1803" t="s">
        <v>11029</v>
      </c>
      <c r="C32" s="1804"/>
      <c r="D32" s="1811"/>
      <c r="E32" s="1804"/>
      <c r="F32" s="1804"/>
    </row>
    <row r="33">
      <c r="A33" s="1808"/>
      <c r="B33" s="1803" t="s">
        <v>11033</v>
      </c>
      <c r="C33" s="1804"/>
      <c r="D33" s="1811"/>
      <c r="E33" s="1804"/>
      <c r="F33" s="1804"/>
    </row>
    <row r="34">
      <c r="A34" s="1808"/>
      <c r="B34" s="1809" t="s">
        <v>11059</v>
      </c>
      <c r="C34" s="1791"/>
      <c r="D34" s="1791"/>
      <c r="E34" s="1791"/>
      <c r="F34" s="1792"/>
    </row>
    <row r="35">
      <c r="A35" s="1808"/>
      <c r="B35" s="1793"/>
      <c r="C35" s="1794"/>
      <c r="D35" s="1794"/>
      <c r="E35" s="1794"/>
      <c r="F35" s="1795"/>
    </row>
    <row r="36">
      <c r="A36" s="1808"/>
      <c r="B36" s="1797" t="s">
        <v>11019</v>
      </c>
      <c r="C36" s="1798" t="s">
        <v>1630</v>
      </c>
      <c r="D36" s="1799" t="s">
        <v>11060</v>
      </c>
      <c r="E36" s="1798" t="s">
        <v>11021</v>
      </c>
      <c r="F36" s="1800">
        <v>43352.0</v>
      </c>
    </row>
    <row r="37">
      <c r="A37" s="1808"/>
      <c r="B37" s="1801" t="s">
        <v>11023</v>
      </c>
      <c r="C37" s="1798" t="s">
        <v>11061</v>
      </c>
      <c r="D37" s="1799" t="s">
        <v>11062</v>
      </c>
      <c r="E37" s="1798" t="s">
        <v>11021</v>
      </c>
      <c r="F37" s="1800">
        <v>43799.0</v>
      </c>
    </row>
    <row r="38">
      <c r="A38" s="1808"/>
      <c r="B38" s="1802" t="s">
        <v>11026</v>
      </c>
      <c r="C38" s="1804"/>
      <c r="D38" s="1805"/>
      <c r="E38" s="1804"/>
      <c r="F38" s="1804"/>
    </row>
    <row r="39">
      <c r="A39" s="1808"/>
      <c r="B39" s="1803" t="s">
        <v>11029</v>
      </c>
      <c r="C39" s="1804"/>
      <c r="D39" s="1805"/>
      <c r="E39" s="1804"/>
      <c r="F39" s="1804"/>
    </row>
    <row r="40">
      <c r="A40" s="1808"/>
      <c r="B40" s="1803" t="s">
        <v>11033</v>
      </c>
      <c r="C40" s="1804"/>
      <c r="D40" s="1805"/>
      <c r="E40" s="1804"/>
      <c r="F40" s="1804"/>
    </row>
    <row r="41">
      <c r="A41" s="1808"/>
      <c r="B41" s="1790" t="s">
        <v>11032</v>
      </c>
      <c r="C41" s="1791"/>
      <c r="D41" s="1791"/>
      <c r="E41" s="1791"/>
      <c r="F41" s="1792"/>
    </row>
    <row r="42">
      <c r="A42" s="1808"/>
      <c r="B42" s="1793"/>
      <c r="C42" s="1794"/>
      <c r="D42" s="1794"/>
      <c r="E42" s="1794"/>
      <c r="F42" s="1795"/>
    </row>
    <row r="43">
      <c r="A43" s="1808"/>
      <c r="B43" s="1797" t="s">
        <v>11019</v>
      </c>
      <c r="C43" s="1798" t="s">
        <v>7077</v>
      </c>
      <c r="D43" s="1812" t="s">
        <v>11063</v>
      </c>
      <c r="E43" s="1798" t="s">
        <v>11021</v>
      </c>
      <c r="F43" s="1813">
        <v>44511.0</v>
      </c>
    </row>
    <row r="44">
      <c r="A44" s="1808"/>
      <c r="B44" s="1801" t="s">
        <v>11023</v>
      </c>
      <c r="C44" s="1798" t="s">
        <v>11061</v>
      </c>
      <c r="D44" s="1812" t="s">
        <v>11064</v>
      </c>
      <c r="E44" s="1798" t="s">
        <v>11021</v>
      </c>
      <c r="F44" s="1813">
        <v>43740.0</v>
      </c>
    </row>
    <row r="45">
      <c r="A45" s="1808"/>
      <c r="B45" s="1802" t="s">
        <v>11026</v>
      </c>
      <c r="C45" s="1798" t="s">
        <v>10133</v>
      </c>
      <c r="D45" s="1812" t="s">
        <v>11065</v>
      </c>
      <c r="E45" s="1798" t="s">
        <v>11021</v>
      </c>
      <c r="F45" s="1813">
        <v>42098.0</v>
      </c>
    </row>
    <row r="46">
      <c r="A46" s="1808"/>
      <c r="B46" s="1803" t="s">
        <v>11029</v>
      </c>
      <c r="C46" s="1798"/>
      <c r="D46" s="1812"/>
      <c r="E46" s="1798"/>
      <c r="F46" s="1813"/>
    </row>
    <row r="47">
      <c r="A47" s="1808"/>
      <c r="B47" s="1803" t="s">
        <v>11033</v>
      </c>
      <c r="C47" s="1804"/>
      <c r="D47" s="1814"/>
      <c r="E47" s="1804"/>
      <c r="F47" s="1808"/>
    </row>
    <row r="48">
      <c r="A48" s="1808"/>
      <c r="B48" s="1790" t="s">
        <v>11034</v>
      </c>
      <c r="C48" s="1791"/>
      <c r="D48" s="1791"/>
      <c r="E48" s="1791"/>
      <c r="F48" s="1792"/>
    </row>
    <row r="49">
      <c r="A49" s="1808"/>
      <c r="B49" s="1793"/>
      <c r="C49" s="1794"/>
      <c r="D49" s="1794"/>
      <c r="E49" s="1794"/>
      <c r="F49" s="1795"/>
    </row>
    <row r="50">
      <c r="A50" s="1808"/>
      <c r="B50" s="1797" t="s">
        <v>11019</v>
      </c>
      <c r="C50" s="1798" t="s">
        <v>11066</v>
      </c>
      <c r="D50" s="1812" t="s">
        <v>11067</v>
      </c>
      <c r="E50" s="1798" t="s">
        <v>11068</v>
      </c>
      <c r="F50" s="1813">
        <v>43395.0</v>
      </c>
    </row>
    <row r="51">
      <c r="A51" s="1808"/>
      <c r="B51" s="1801" t="s">
        <v>11023</v>
      </c>
      <c r="C51" s="1798" t="s">
        <v>2251</v>
      </c>
      <c r="D51" s="1812" t="s">
        <v>11069</v>
      </c>
      <c r="E51" s="1798" t="s">
        <v>11031</v>
      </c>
      <c r="F51" s="1813">
        <v>43376.0</v>
      </c>
    </row>
    <row r="52">
      <c r="A52" s="1808"/>
      <c r="B52" s="1802" t="s">
        <v>11026</v>
      </c>
      <c r="C52" s="1804"/>
      <c r="D52" s="1814"/>
      <c r="E52" s="1804"/>
      <c r="F52" s="1808"/>
    </row>
    <row r="53">
      <c r="A53" s="1808"/>
      <c r="B53" s="1803" t="s">
        <v>11029</v>
      </c>
      <c r="C53" s="1804"/>
      <c r="D53" s="1814"/>
      <c r="E53" s="1804"/>
      <c r="F53" s="1808"/>
    </row>
    <row r="54">
      <c r="A54" s="1808"/>
      <c r="B54" s="1803" t="s">
        <v>11033</v>
      </c>
      <c r="C54" s="1804"/>
      <c r="D54" s="1814"/>
      <c r="E54" s="1804"/>
      <c r="F54" s="1808"/>
    </row>
    <row r="55">
      <c r="A55" s="1808"/>
      <c r="B55" s="1790" t="s">
        <v>11035</v>
      </c>
      <c r="C55" s="1791"/>
      <c r="D55" s="1791"/>
      <c r="E55" s="1791"/>
      <c r="F55" s="1792"/>
    </row>
    <row r="56">
      <c r="A56" s="1808"/>
      <c r="B56" s="1793"/>
      <c r="C56" s="1794"/>
      <c r="D56" s="1794"/>
      <c r="E56" s="1794"/>
      <c r="F56" s="1795"/>
    </row>
    <row r="57">
      <c r="A57" s="1808"/>
      <c r="B57" s="1815" t="s">
        <v>11070</v>
      </c>
      <c r="C57" s="1791"/>
      <c r="D57" s="1791"/>
      <c r="E57" s="1791"/>
      <c r="F57" s="1792"/>
    </row>
    <row r="58">
      <c r="A58" s="1808"/>
      <c r="B58" s="1793"/>
      <c r="C58" s="1794"/>
      <c r="D58" s="1794"/>
      <c r="E58" s="1794"/>
      <c r="F58" s="1795"/>
    </row>
    <row r="59">
      <c r="A59" s="1808"/>
      <c r="B59" s="1797" t="s">
        <v>11019</v>
      </c>
      <c r="C59" s="1816" t="s">
        <v>436</v>
      </c>
      <c r="D59" s="1812" t="s">
        <v>11071</v>
      </c>
      <c r="E59" s="1798" t="s">
        <v>11021</v>
      </c>
      <c r="F59" s="1813">
        <v>43758.0</v>
      </c>
    </row>
    <row r="60">
      <c r="A60" s="1808"/>
      <c r="B60" s="1801" t="s">
        <v>11023</v>
      </c>
      <c r="C60" s="1804"/>
      <c r="D60" s="1814"/>
      <c r="E60" s="1804"/>
      <c r="F60" s="1808"/>
    </row>
    <row r="61">
      <c r="A61" s="1808"/>
      <c r="B61" s="1802" t="s">
        <v>11026</v>
      </c>
      <c r="C61" s="1804"/>
      <c r="D61" s="1814"/>
      <c r="E61" s="1804"/>
      <c r="F61" s="1808"/>
    </row>
    <row r="62">
      <c r="A62" s="1808"/>
      <c r="B62" s="1803" t="s">
        <v>11029</v>
      </c>
      <c r="C62" s="1804"/>
      <c r="D62" s="1814"/>
      <c r="E62" s="1804"/>
      <c r="F62" s="1808"/>
    </row>
    <row r="63">
      <c r="A63" s="1808"/>
      <c r="B63" s="1803" t="s">
        <v>11033</v>
      </c>
      <c r="C63" s="1804"/>
      <c r="D63" s="1814"/>
      <c r="E63" s="1804"/>
      <c r="F63" s="1808"/>
    </row>
    <row r="64">
      <c r="A64" s="1808"/>
      <c r="B64" s="1815" t="s">
        <v>11059</v>
      </c>
      <c r="C64" s="1791"/>
      <c r="D64" s="1791"/>
      <c r="E64" s="1791"/>
      <c r="F64" s="1792"/>
    </row>
    <row r="65">
      <c r="A65" s="1808"/>
      <c r="B65" s="1793"/>
      <c r="C65" s="1794"/>
      <c r="D65" s="1794"/>
      <c r="E65" s="1794"/>
      <c r="F65" s="1795"/>
    </row>
    <row r="66">
      <c r="A66" s="1808"/>
      <c r="B66" s="1797" t="s">
        <v>11019</v>
      </c>
      <c r="C66" s="1798" t="s">
        <v>11072</v>
      </c>
      <c r="D66" s="1817" t="s">
        <v>11073</v>
      </c>
      <c r="E66" s="1798" t="s">
        <v>11021</v>
      </c>
      <c r="F66" s="1813">
        <v>44805.0</v>
      </c>
    </row>
    <row r="67">
      <c r="A67" s="1808"/>
      <c r="B67" s="1801" t="s">
        <v>11023</v>
      </c>
      <c r="C67" s="1798" t="s">
        <v>11074</v>
      </c>
      <c r="D67" s="1812" t="s">
        <v>11075</v>
      </c>
      <c r="E67" s="1798" t="s">
        <v>11021</v>
      </c>
      <c r="F67" s="1813">
        <v>43307.0</v>
      </c>
    </row>
    <row r="68">
      <c r="A68" s="1808"/>
      <c r="B68" s="1802" t="s">
        <v>11026</v>
      </c>
      <c r="C68" s="1804"/>
      <c r="D68" s="1814"/>
      <c r="E68" s="1804"/>
      <c r="F68" s="1808"/>
    </row>
    <row r="69">
      <c r="A69" s="1808"/>
      <c r="B69" s="1803" t="s">
        <v>11029</v>
      </c>
      <c r="C69" s="1804"/>
      <c r="D69" s="1814"/>
      <c r="E69" s="1804"/>
      <c r="F69" s="1808"/>
    </row>
    <row r="70">
      <c r="A70" s="1808"/>
      <c r="B70" s="1803" t="s">
        <v>11033</v>
      </c>
      <c r="C70" s="1804"/>
      <c r="D70" s="1814"/>
      <c r="E70" s="1804"/>
      <c r="F70" s="1808"/>
    </row>
    <row r="71">
      <c r="A71" s="1808"/>
      <c r="B71" s="1790" t="s">
        <v>11036</v>
      </c>
      <c r="C71" s="1791"/>
      <c r="D71" s="1791"/>
      <c r="E71" s="1791"/>
      <c r="F71" s="1792"/>
    </row>
    <row r="72">
      <c r="A72" s="1808"/>
      <c r="B72" s="1793"/>
      <c r="C72" s="1794"/>
      <c r="D72" s="1794"/>
      <c r="E72" s="1794"/>
      <c r="F72" s="1795"/>
    </row>
    <row r="73">
      <c r="A73" s="1808"/>
      <c r="B73" s="1815" t="s">
        <v>11076</v>
      </c>
      <c r="C73" s="1791"/>
      <c r="D73" s="1791"/>
      <c r="E73" s="1791"/>
      <c r="F73" s="1792"/>
    </row>
    <row r="74">
      <c r="A74" s="1808"/>
      <c r="B74" s="1793"/>
      <c r="C74" s="1794"/>
      <c r="D74" s="1794"/>
      <c r="E74" s="1794"/>
      <c r="F74" s="1795"/>
    </row>
    <row r="75">
      <c r="A75" s="1808"/>
      <c r="B75" s="1797" t="s">
        <v>11019</v>
      </c>
      <c r="C75" s="1798" t="s">
        <v>4260</v>
      </c>
      <c r="D75" s="1812" t="s">
        <v>11077</v>
      </c>
      <c r="E75" s="1798" t="s">
        <v>11021</v>
      </c>
      <c r="F75" s="1813">
        <v>44246.0</v>
      </c>
    </row>
    <row r="76">
      <c r="A76" s="1808"/>
      <c r="B76" s="1801" t="s">
        <v>11023</v>
      </c>
      <c r="C76" s="1798" t="s">
        <v>11066</v>
      </c>
      <c r="D76" s="1812" t="s">
        <v>11078</v>
      </c>
      <c r="E76" s="1798" t="s">
        <v>11068</v>
      </c>
      <c r="F76" s="1813">
        <v>43637.0</v>
      </c>
    </row>
    <row r="77">
      <c r="A77" s="1808"/>
      <c r="B77" s="1802" t="s">
        <v>11026</v>
      </c>
      <c r="C77" s="1804"/>
      <c r="D77" s="1814"/>
      <c r="E77" s="1804"/>
      <c r="F77" s="1808"/>
    </row>
    <row r="78">
      <c r="A78" s="1808"/>
      <c r="B78" s="1803" t="s">
        <v>11029</v>
      </c>
      <c r="C78" s="1804"/>
      <c r="D78" s="1814"/>
      <c r="E78" s="1804"/>
      <c r="F78" s="1808"/>
    </row>
    <row r="79">
      <c r="A79" s="1808"/>
      <c r="B79" s="1803" t="s">
        <v>11033</v>
      </c>
      <c r="C79" s="1804"/>
      <c r="D79" s="1814"/>
      <c r="E79" s="1804"/>
      <c r="F79" s="1808"/>
    </row>
    <row r="80">
      <c r="A80" s="1808"/>
      <c r="B80" s="1815" t="s">
        <v>11079</v>
      </c>
      <c r="C80" s="1791"/>
      <c r="D80" s="1791"/>
      <c r="E80" s="1791"/>
      <c r="F80" s="1792"/>
    </row>
    <row r="81">
      <c r="A81" s="1808"/>
      <c r="B81" s="1793"/>
      <c r="C81" s="1794"/>
      <c r="D81" s="1794"/>
      <c r="E81" s="1794"/>
      <c r="F81" s="1795"/>
    </row>
    <row r="82">
      <c r="A82" s="1808"/>
      <c r="B82" s="1797" t="s">
        <v>11019</v>
      </c>
      <c r="C82" s="1798" t="s">
        <v>6097</v>
      </c>
      <c r="D82" s="1812" t="s">
        <v>11080</v>
      </c>
      <c r="E82" s="1798" t="s">
        <v>11021</v>
      </c>
      <c r="F82" s="1813">
        <v>43592.0</v>
      </c>
    </row>
    <row r="83">
      <c r="A83" s="1808"/>
      <c r="B83" s="1801" t="s">
        <v>11023</v>
      </c>
      <c r="C83" s="1798" t="s">
        <v>11081</v>
      </c>
      <c r="D83" s="1812" t="s">
        <v>11082</v>
      </c>
      <c r="E83" s="1798" t="s">
        <v>11021</v>
      </c>
      <c r="F83" s="1813">
        <v>43396.0</v>
      </c>
    </row>
    <row r="84">
      <c r="A84" s="1808"/>
      <c r="B84" s="1802" t="s">
        <v>11026</v>
      </c>
      <c r="C84" s="1804"/>
      <c r="D84" s="1814"/>
      <c r="E84" s="1804"/>
      <c r="F84" s="1808"/>
    </row>
    <row r="85">
      <c r="A85" s="1808"/>
      <c r="B85" s="1803" t="s">
        <v>11029</v>
      </c>
      <c r="C85" s="1804"/>
      <c r="D85" s="1814"/>
      <c r="E85" s="1804"/>
      <c r="F85" s="1808"/>
    </row>
    <row r="86">
      <c r="A86" s="1808"/>
      <c r="B86" s="1803" t="s">
        <v>11033</v>
      </c>
      <c r="C86" s="1804"/>
      <c r="D86" s="1814"/>
      <c r="E86" s="1804"/>
      <c r="F86" s="1808"/>
    </row>
    <row r="87">
      <c r="A87" s="1808"/>
      <c r="B87" s="1790" t="s">
        <v>11038</v>
      </c>
      <c r="C87" s="1791"/>
      <c r="D87" s="1791"/>
      <c r="E87" s="1791"/>
      <c r="F87" s="1792"/>
    </row>
    <row r="88">
      <c r="A88" s="1808"/>
      <c r="B88" s="1793"/>
      <c r="C88" s="1794"/>
      <c r="D88" s="1794"/>
      <c r="E88" s="1794"/>
      <c r="F88" s="1795"/>
    </row>
    <row r="89">
      <c r="A89" s="1808"/>
      <c r="B89" s="1797" t="s">
        <v>11019</v>
      </c>
      <c r="C89" s="1816" t="s">
        <v>436</v>
      </c>
      <c r="D89" s="1812" t="s">
        <v>11083</v>
      </c>
      <c r="E89" s="1798" t="s">
        <v>11021</v>
      </c>
      <c r="F89" s="1813">
        <v>43457.0</v>
      </c>
    </row>
    <row r="90">
      <c r="A90" s="1808"/>
      <c r="B90" s="1801" t="s">
        <v>11023</v>
      </c>
      <c r="C90" s="1798" t="s">
        <v>2453</v>
      </c>
      <c r="D90" s="1812" t="s">
        <v>11084</v>
      </c>
      <c r="E90" s="1798" t="s">
        <v>11021</v>
      </c>
      <c r="F90" s="1813">
        <v>43925.0</v>
      </c>
    </row>
    <row r="91">
      <c r="A91" s="1808"/>
      <c r="B91" s="1802" t="s">
        <v>11026</v>
      </c>
      <c r="C91" s="1798" t="s">
        <v>4703</v>
      </c>
      <c r="D91" s="1812" t="s">
        <v>11085</v>
      </c>
      <c r="E91" s="1798" t="s">
        <v>11054</v>
      </c>
      <c r="F91" s="1813">
        <v>43433.0</v>
      </c>
    </row>
    <row r="92">
      <c r="A92" s="1808"/>
      <c r="B92" s="1803" t="s">
        <v>11029</v>
      </c>
      <c r="C92" s="1804"/>
      <c r="D92" s="1814"/>
      <c r="E92" s="1804"/>
      <c r="F92" s="1808"/>
    </row>
    <row r="93">
      <c r="A93" s="1808"/>
      <c r="B93" s="1803" t="s">
        <v>11033</v>
      </c>
      <c r="C93" s="1804"/>
      <c r="D93" s="1814"/>
      <c r="E93" s="1804"/>
      <c r="F93" s="1808"/>
    </row>
    <row r="94">
      <c r="A94" s="1808"/>
      <c r="B94" s="1790" t="s">
        <v>11040</v>
      </c>
      <c r="C94" s="1791"/>
      <c r="D94" s="1791"/>
      <c r="E94" s="1791"/>
      <c r="F94" s="1792"/>
    </row>
    <row r="95">
      <c r="A95" s="1808"/>
      <c r="B95" s="1793"/>
      <c r="C95" s="1794"/>
      <c r="D95" s="1794"/>
      <c r="E95" s="1794"/>
      <c r="F95" s="1795"/>
    </row>
    <row r="96">
      <c r="A96" s="1808"/>
      <c r="B96" s="1815" t="s">
        <v>11086</v>
      </c>
      <c r="C96" s="1791"/>
      <c r="D96" s="1791"/>
      <c r="E96" s="1791"/>
      <c r="F96" s="1792"/>
    </row>
    <row r="97">
      <c r="A97" s="1808"/>
      <c r="B97" s="1793"/>
      <c r="C97" s="1794"/>
      <c r="D97" s="1794"/>
      <c r="E97" s="1794"/>
      <c r="F97" s="1795"/>
    </row>
    <row r="98">
      <c r="A98" s="1808"/>
      <c r="B98" s="1797" t="s">
        <v>11019</v>
      </c>
      <c r="C98" s="1798" t="s">
        <v>11061</v>
      </c>
      <c r="D98" s="1812" t="s">
        <v>11087</v>
      </c>
      <c r="E98" s="1798" t="s">
        <v>11021</v>
      </c>
      <c r="F98" s="1813">
        <v>43862.0</v>
      </c>
    </row>
    <row r="99">
      <c r="A99" s="1808"/>
      <c r="B99" s="1801" t="s">
        <v>11023</v>
      </c>
      <c r="C99" s="1804"/>
      <c r="D99" s="1814"/>
      <c r="E99" s="1804"/>
      <c r="F99" s="1808"/>
    </row>
    <row r="100">
      <c r="A100" s="1808"/>
      <c r="B100" s="1802" t="s">
        <v>11026</v>
      </c>
      <c r="C100" s="1804"/>
      <c r="D100" s="1814"/>
      <c r="E100" s="1804"/>
      <c r="F100" s="1808"/>
    </row>
    <row r="101">
      <c r="A101" s="1808"/>
      <c r="B101" s="1803" t="s">
        <v>11029</v>
      </c>
      <c r="C101" s="1804"/>
      <c r="D101" s="1814"/>
      <c r="E101" s="1804"/>
      <c r="F101" s="1808"/>
    </row>
    <row r="102">
      <c r="A102" s="1808"/>
      <c r="B102" s="1803" t="s">
        <v>11033</v>
      </c>
      <c r="C102" s="1804"/>
      <c r="D102" s="1814"/>
      <c r="E102" s="1804"/>
      <c r="F102" s="1808"/>
    </row>
    <row r="103">
      <c r="A103" s="1808"/>
      <c r="B103" s="1815" t="s">
        <v>11088</v>
      </c>
      <c r="C103" s="1791"/>
      <c r="D103" s="1791"/>
      <c r="E103" s="1791"/>
      <c r="F103" s="1792"/>
    </row>
    <row r="104">
      <c r="A104" s="1808"/>
      <c r="B104" s="1793"/>
      <c r="C104" s="1794"/>
      <c r="D104" s="1794"/>
      <c r="E104" s="1794"/>
      <c r="F104" s="1795"/>
    </row>
    <row r="105">
      <c r="A105" s="1808"/>
      <c r="B105" s="1797" t="s">
        <v>11019</v>
      </c>
      <c r="C105" s="1798" t="s">
        <v>11061</v>
      </c>
      <c r="D105" s="1812" t="s">
        <v>11089</v>
      </c>
      <c r="E105" s="1798" t="s">
        <v>11021</v>
      </c>
      <c r="F105" s="1813">
        <v>43862.0</v>
      </c>
    </row>
    <row r="106">
      <c r="A106" s="1808"/>
      <c r="B106" s="1801" t="s">
        <v>11023</v>
      </c>
      <c r="C106" s="1818" t="s">
        <v>6013</v>
      </c>
      <c r="D106" s="1812" t="s">
        <v>11090</v>
      </c>
      <c r="E106" s="1798" t="s">
        <v>11068</v>
      </c>
      <c r="F106" s="1813">
        <v>43630.0</v>
      </c>
    </row>
    <row r="107">
      <c r="A107" s="1808"/>
      <c r="B107" s="1802" t="s">
        <v>11026</v>
      </c>
      <c r="C107" s="1804"/>
      <c r="D107" s="1814"/>
      <c r="E107" s="1804"/>
      <c r="F107" s="1808"/>
    </row>
    <row r="108">
      <c r="A108" s="1808"/>
      <c r="B108" s="1803" t="s">
        <v>11029</v>
      </c>
      <c r="C108" s="1804"/>
      <c r="D108" s="1814"/>
      <c r="E108" s="1804"/>
      <c r="F108" s="1808"/>
    </row>
    <row r="109">
      <c r="A109" s="1808"/>
      <c r="B109" s="1803" t="s">
        <v>11033</v>
      </c>
      <c r="C109" s="1804"/>
      <c r="D109" s="1814"/>
      <c r="E109" s="1804"/>
      <c r="F109" s="1808"/>
    </row>
    <row r="110">
      <c r="A110" s="1808"/>
      <c r="B110" s="1790" t="s">
        <v>11043</v>
      </c>
      <c r="C110" s="1791"/>
      <c r="D110" s="1791"/>
      <c r="E110" s="1791"/>
      <c r="F110" s="1792"/>
    </row>
    <row r="111">
      <c r="A111" s="1808"/>
      <c r="B111" s="1793"/>
      <c r="C111" s="1794"/>
      <c r="D111" s="1794"/>
      <c r="E111" s="1794"/>
      <c r="F111" s="1795"/>
    </row>
    <row r="112">
      <c r="A112" s="1808"/>
      <c r="B112" s="1797" t="s">
        <v>11019</v>
      </c>
      <c r="C112" s="1798" t="s">
        <v>5198</v>
      </c>
      <c r="D112" s="1812" t="s">
        <v>11091</v>
      </c>
      <c r="E112" s="1798" t="s">
        <v>11031</v>
      </c>
      <c r="F112" s="1813">
        <v>44132.0</v>
      </c>
    </row>
    <row r="113">
      <c r="A113" s="1808"/>
      <c r="B113" s="1801" t="s">
        <v>11023</v>
      </c>
      <c r="C113" s="1804"/>
      <c r="D113" s="1814"/>
      <c r="E113" s="1804"/>
      <c r="F113" s="1808"/>
    </row>
    <row r="114">
      <c r="A114" s="1808"/>
      <c r="B114" s="1802" t="s">
        <v>11026</v>
      </c>
      <c r="C114" s="1804"/>
      <c r="D114" s="1814"/>
      <c r="E114" s="1804"/>
      <c r="F114" s="1808"/>
    </row>
    <row r="115">
      <c r="A115" s="1808"/>
      <c r="B115" s="1803" t="s">
        <v>11029</v>
      </c>
      <c r="C115" s="1804"/>
      <c r="D115" s="1814"/>
      <c r="E115" s="1804"/>
      <c r="F115" s="1808"/>
    </row>
    <row r="116">
      <c r="A116" s="1808"/>
      <c r="B116" s="1803" t="s">
        <v>11033</v>
      </c>
      <c r="C116" s="1804"/>
      <c r="D116" s="1814"/>
      <c r="E116" s="1804"/>
      <c r="F116" s="1808"/>
    </row>
    <row r="117">
      <c r="A117" s="1808"/>
      <c r="B117" s="1790" t="s">
        <v>11046</v>
      </c>
      <c r="C117" s="1791"/>
      <c r="D117" s="1791"/>
      <c r="E117" s="1791"/>
      <c r="F117" s="1792"/>
    </row>
    <row r="118">
      <c r="A118" s="1808"/>
      <c r="B118" s="1793"/>
      <c r="C118" s="1794"/>
      <c r="D118" s="1794"/>
      <c r="E118" s="1794"/>
      <c r="F118" s="1795"/>
    </row>
    <row r="119">
      <c r="A119" s="1808"/>
      <c r="B119" s="1797" t="s">
        <v>11019</v>
      </c>
      <c r="C119" s="1798" t="s">
        <v>6075</v>
      </c>
      <c r="D119" s="1812" t="s">
        <v>11092</v>
      </c>
      <c r="E119" s="1798" t="s">
        <v>11021</v>
      </c>
      <c r="F119" s="1813">
        <v>43741.0</v>
      </c>
    </row>
    <row r="120">
      <c r="A120" s="1808"/>
      <c r="B120" s="1801" t="s">
        <v>11023</v>
      </c>
      <c r="C120" s="1798" t="s">
        <v>11093</v>
      </c>
      <c r="D120" s="1812" t="s">
        <v>11094</v>
      </c>
      <c r="E120" s="1798" t="s">
        <v>11054</v>
      </c>
      <c r="F120" s="1813">
        <v>43748.0</v>
      </c>
    </row>
    <row r="121">
      <c r="A121" s="1808"/>
      <c r="B121" s="1802" t="s">
        <v>11026</v>
      </c>
      <c r="C121" s="1798" t="s">
        <v>2139</v>
      </c>
      <c r="D121" s="1812" t="s">
        <v>11095</v>
      </c>
      <c r="E121" s="1798" t="s">
        <v>11068</v>
      </c>
      <c r="F121" s="1813">
        <v>43729.0</v>
      </c>
    </row>
    <row r="122">
      <c r="A122" s="1808"/>
      <c r="B122" s="1803" t="s">
        <v>11029</v>
      </c>
      <c r="C122" s="1816" t="s">
        <v>436</v>
      </c>
      <c r="D122" s="1812" t="s">
        <v>11096</v>
      </c>
      <c r="E122" s="1798" t="s">
        <v>11021</v>
      </c>
      <c r="F122" s="1813">
        <v>44470.0</v>
      </c>
    </row>
    <row r="123">
      <c r="A123" s="1808"/>
      <c r="B123" s="1803" t="s">
        <v>11033</v>
      </c>
      <c r="C123" s="1798" t="s">
        <v>5198</v>
      </c>
      <c r="D123" s="1812" t="s">
        <v>11097</v>
      </c>
      <c r="E123" s="1798" t="s">
        <v>11031</v>
      </c>
      <c r="F123" s="1813">
        <v>44020.0</v>
      </c>
    </row>
    <row r="124">
      <c r="A124" s="1819" t="s">
        <v>11098</v>
      </c>
      <c r="B124" s="1790" t="s">
        <v>11047</v>
      </c>
      <c r="C124" s="1791"/>
      <c r="D124" s="1791"/>
      <c r="E124" s="1791"/>
      <c r="F124" s="1792"/>
    </row>
    <row r="125">
      <c r="A125" s="1819" t="s">
        <v>11099</v>
      </c>
      <c r="B125" s="1793"/>
      <c r="C125" s="1794"/>
      <c r="D125" s="1794"/>
      <c r="E125" s="1794"/>
      <c r="F125" s="1795"/>
    </row>
    <row r="126">
      <c r="A126" s="1820"/>
      <c r="B126" s="1797" t="s">
        <v>11019</v>
      </c>
      <c r="C126" s="1798" t="s">
        <v>985</v>
      </c>
      <c r="D126" s="1821">
        <v>0.06525462962962963</v>
      </c>
      <c r="E126" s="1798" t="s">
        <v>11031</v>
      </c>
      <c r="F126" s="1800">
        <v>44652.0</v>
      </c>
    </row>
    <row r="127">
      <c r="A127" s="1820"/>
      <c r="B127" s="1801" t="s">
        <v>11023</v>
      </c>
      <c r="C127" s="1798" t="s">
        <v>4112</v>
      </c>
      <c r="D127" s="1821">
        <v>0.06892361111111112</v>
      </c>
      <c r="E127" s="1798" t="s">
        <v>11031</v>
      </c>
      <c r="F127" s="1800">
        <v>44652.0</v>
      </c>
    </row>
    <row r="128">
      <c r="A128" s="1820"/>
      <c r="B128" s="1802" t="s">
        <v>11026</v>
      </c>
      <c r="C128" s="1807" t="s">
        <v>5329</v>
      </c>
      <c r="D128" s="1822">
        <v>0.07195601851851852</v>
      </c>
      <c r="E128" s="1807" t="s">
        <v>11031</v>
      </c>
      <c r="F128" s="1813">
        <v>44652.0</v>
      </c>
    </row>
    <row r="129">
      <c r="A129" s="1820"/>
      <c r="B129" s="1803" t="s">
        <v>11029</v>
      </c>
      <c r="C129" s="1804" t="s">
        <v>11100</v>
      </c>
      <c r="D129" s="1823">
        <v>0.07211805555555556</v>
      </c>
      <c r="E129" s="1824" t="s">
        <v>11101</v>
      </c>
      <c r="F129" s="1813">
        <v>44652.0</v>
      </c>
    </row>
    <row r="130">
      <c r="A130" s="1820"/>
      <c r="B130" s="1803" t="s">
        <v>11033</v>
      </c>
      <c r="C130" s="1804"/>
      <c r="D130" s="1804"/>
      <c r="E130" s="1804"/>
      <c r="F130" s="1804"/>
    </row>
    <row r="131">
      <c r="A131" s="1825" t="s">
        <v>11048</v>
      </c>
      <c r="B131" s="1790" t="s">
        <v>11048</v>
      </c>
      <c r="C131" s="1791"/>
      <c r="D131" s="1791"/>
      <c r="E131" s="1791"/>
      <c r="F131" s="1792"/>
    </row>
    <row r="132">
      <c r="A132" s="1820"/>
      <c r="B132" s="1793"/>
      <c r="C132" s="1794"/>
      <c r="D132" s="1794"/>
      <c r="E132" s="1794"/>
      <c r="F132" s="1795"/>
    </row>
    <row r="133">
      <c r="A133" s="1820"/>
      <c r="B133" s="1797" t="s">
        <v>11019</v>
      </c>
      <c r="C133" s="1798" t="s">
        <v>2453</v>
      </c>
      <c r="D133" s="1826" t="s">
        <v>11102</v>
      </c>
      <c r="E133" s="1798" t="s">
        <v>11021</v>
      </c>
      <c r="F133" s="1800">
        <v>45152.0</v>
      </c>
    </row>
    <row r="134">
      <c r="A134" s="1820"/>
      <c r="B134" s="1801" t="s">
        <v>11023</v>
      </c>
      <c r="C134" s="1798" t="s">
        <v>4230</v>
      </c>
      <c r="D134" s="1826" t="s">
        <v>11103</v>
      </c>
      <c r="E134" s="1798" t="s">
        <v>11021</v>
      </c>
      <c r="F134" s="1800">
        <v>44866.0</v>
      </c>
    </row>
    <row r="135">
      <c r="A135" s="1820"/>
      <c r="B135" s="1802" t="s">
        <v>11026</v>
      </c>
      <c r="C135" s="1804"/>
      <c r="D135" s="1823"/>
      <c r="E135" s="1824"/>
      <c r="F135" s="1813"/>
    </row>
    <row r="136">
      <c r="A136" s="1820"/>
      <c r="B136" s="1803" t="s">
        <v>11029</v>
      </c>
      <c r="C136" s="1804"/>
      <c r="D136" s="1823"/>
      <c r="E136" s="1824"/>
      <c r="F136" s="1813"/>
    </row>
    <row r="137">
      <c r="A137" s="1820"/>
      <c r="B137" s="1803" t="s">
        <v>11033</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