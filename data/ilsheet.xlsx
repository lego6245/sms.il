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<sst xmlns="http://schemas.openxmlformats.org/spreadsheetml/2006/main" count="27190" uniqueCount="11253">
  <si>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</si>
  <si>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</si>
  <si>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</si>
  <si>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</si>
  <si>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</si>
  <si>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</si>
  <si>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</si>
  <si>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</si>
  <si>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</si>
  <si>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</si>
  <si>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</si>
  <si>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</si>
  <si>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</si>
  <si>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</si>
  <si>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</si>
  <si>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</si>
  <si>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</si>
  <si>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</si>
  <si>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</si>
  <si>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</si>
  <si>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</si>
  <si>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</si>
  <si>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</si>
  <si>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</si>
  <si>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</si>
  <si>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</si>
  <si>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</si>
  <si>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</si>
  <si>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</si>
  <si>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</si>
  <si>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</si>
  <si>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</si>
  <si>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</si>
  <si>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</si>
  <si>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</si>
  <si>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</si>
  <si>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</si>
  <si>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</si>
  <si>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</si>
  <si>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</si>
  <si>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</si>
  <si>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</si>
  <si>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</si>
  <si>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</si>
  <si>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</si>
  <si>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</si>
  <si>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</si>
  <si>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</si>
  <si>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</si>
  <si>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</si>
  <si>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</si>
  <si>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</si>
  <si>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</si>
  <si>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</si>
  <si>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</si>
  <si>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</si>
  <si>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</si>
  <si>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</si>
  <si>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</si>
  <si>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</si>
  <si>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</si>
  <si>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</si>
  <si>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</si>
  <si>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</si>
  <si>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</si>
  <si>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</si>
  <si>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</si>
  <si>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</si>
  <si>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</si>
  <si>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</si>
  <si>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</si>
  <si>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</si>
  <si>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</si>
  <si>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</si>
  <si>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</si>
  <si>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</si>
  <si>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</si>
  <si>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</si>
  <si>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</si>
  <si>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</si>
  <si>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</si>
  <si>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</si>
  <si>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</si>
  <si>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</si>
  <si>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</si>
  <si>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</si>
  <si>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</si>
  <si>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</si>
  <si>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</si>
  <si>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</si>
  <si>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</si>
  <si>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</si>
  <si>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</si>
  <si>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</si>
  <si>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</si>
  <si>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</si>
  <si>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</si>
  <si>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</si>
  <si>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</si>
  <si>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</si>
  <si>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</si>
  <si>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</si>
  <si>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</si>
  <si>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</si>
  <si>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</si>
  <si>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</si>
  <si>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</si>
  <si>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</si>
  <si>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</si>
  <si>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</si>
  <si>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</si>
  <si>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</si>
  <si>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</si>
  <si>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</si>
  <si>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</si>
  <si>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</si>
  <si>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</si>
  <si>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</si>
  <si>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</si>
  <si>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</si>
  <si>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</si>
  <si>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</si>
  <si>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</si>
  <si>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</si>
  <si>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</si>
  <si>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</si>
  <si>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</si>
  <si>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</si>
  <si>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</si>
  <si>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</si>
  <si>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</si>
  <si>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</si>
  <si>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</si>
  <si>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</si>
  <si>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</si>
  <si>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</si>
  <si>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</si>
  <si>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</si>
  <si>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</si>
  <si>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</si>
  <si>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</si>
  <si>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</si>
  <si>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</si>
  <si>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</si>
  <si>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</si>
  <si>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</si>
  <si>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</si>
  <si>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</si>
  <si>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</si>
  <si>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</si>
  <si>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</si>
  <si>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</si>
  <si>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</si>
  <si>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</si>
  <si>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</si>
  <si>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</si>
  <si>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</si>
  <si>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</si>
  <si>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</si>
  <si>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</si>
  <si>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</si>
  <si>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</si>
  <si>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</si>
  <si>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</si>
  <si>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</si>
  <si>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</si>
  <si>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</si>
  <si>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</si>
  <si>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</si>
  <si>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</si>
  <si>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</si>
  <si>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</si>
  <si>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</si>
  <si>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</si>
  <si>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</si>
  <si>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</si>
  <si>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</si>
  <si>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</si>
  <si>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</si>
  <si>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</si>
  <si>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</si>
  <si>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</si>
  <si>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</si>
  <si>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</si>
  <si>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</si>
  <si>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</si>
  <si>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</si>
  <si>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</si>
  <si>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</si>
  <si>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</si>
  <si>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</si>
  <si>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</si>
  <si>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</si>
  <si>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</si>
  <si>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</si>
  <si>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</si>
  <si>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</si>
  <si>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</si>
  <si>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</si>
  <si>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</si>
  <si>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</si>
  <si>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</si>
  <si>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</si>
  <si>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</si>
  <si>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</si>
  <si>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</si>
  <si>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</si>
  <si>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</si>
  <si>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</si>
  <si>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</si>
  <si>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</si>
  <si>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</si>
  <si>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</si>
  <si>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</si>
  <si>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</si>
  <si>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</si>
  <si>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</si>
  <si>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</si>
  <si>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</si>
  <si>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</si>
  <si>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</si>
  <si>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</si>
  <si>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</si>
  <si>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</si>
  <si>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</si>
  <si>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</si>
  <si>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</si>
  <si>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</si>
  <si>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</si>
  <si>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</si>
  <si>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</si>
  <si>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</si>
  <si>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</si>
  <si>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</si>
  <si>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</si>
  <si>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</si>
  <si>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</si>
  <si>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</si>
  <si>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</si>
  <si>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</si>
  <si>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</si>
  <si>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</si>
  <si>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</si>
  <si>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</si>
  <si>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</si>
  <si>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</si>
  <si>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</si>
  <si>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</si>
  <si>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</si>
  <si>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</si>
  <si>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</si>
  <si>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</si>
  <si>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</si>
  <si>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</si>
  <si>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</si>
  <si>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</si>
  <si>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</si>
  <si>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</si>
  <si>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</si>
  <si>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</si>
  <si>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</si>
  <si>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</si>
  <si>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</si>
  <si>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</si>
  <si>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</si>
  <si>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</si>
  <si>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</si>
  <si>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</si>
  <si>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</si>
  <si>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</si>
  <si>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</si>
  <si>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</si>
  <si>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</si>
  <si>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</si>
  <si>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</si>
  <si>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</si>
  <si>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</si>
  <si>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</si>
  <si>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</si>
  <si>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</si>
  <si>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</si>
  <si>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</si>
  <si>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</si>
  <si>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</si>
  <si>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</si>
  <si>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</si>
  <si>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</si>
  <si>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</si>
  <si>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</si>
  <si>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</si>
  <si>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</si>
  <si>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</si>
  <si>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</si>
  <si>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</si>
  <si>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</si>
  <si>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</si>
  <si>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</si>
  <si>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</si>
  <si>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</si>
  <si>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</si>
  <si>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</si>
  <si>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</si>
  <si>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</si>
  <si>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</si>
  <si>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</si>
  <si>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</si>
  <si>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</si>
  <si>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</si>
  <si>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</si>
  <si>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</si>
  <si>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</si>
  <si>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</si>
  <si>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</si>
  <si>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</si>
  <si>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</si>
  <si>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</si>
  <si>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</si>
  <si>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</si>
  <si>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</si>
  <si>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</si>
  <si>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</si>
  <si>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</si>
  <si>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</si>
  <si>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</si>
  <si>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</si>
  <si>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</si>
  <si>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</si>
  <si>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</si>
  <si>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</si>
  <si>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</si>
  <si>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</si>
  <si>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</si>
  <si>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</si>
  <si>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</si>
  <si>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</si>
  <si>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</si>
  <si>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</si>
  <si>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</si>
  <si>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</si>
  <si>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</si>
  <si>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</si>
  <si>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</si>
  <si>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</si>
  <si>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</si>
  <si>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</si>
  <si>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</si>
  <si>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</si>
  <si>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</si>
  <si>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</si>
  <si>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</si>
  <si>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</si>
  <si>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</si>
  <si>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</si>
  <si>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</si>
  <si>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</si>
  <si>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</si>
  <si>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</si>
  <si>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</si>
  <si>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</si>
  <si>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</si>
  <si>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</si>
  <si>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</si>
  <si>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</si>
  <si>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</si>
  <si>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</si>
  <si>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</si>
  <si>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</si>
  <si>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</si>
  <si>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</si>
  <si>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</si>
  <si>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</si>
  <si>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</si>
  <si>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</si>
  <si>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</si>
  <si>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</si>
  <si>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</si>
  <si>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</si>
  <si>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</si>
  <si>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</si>
  <si>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</si>
  <si>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</si>
  <si>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</si>
  <si>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</si>
  <si>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</si>
  <si>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</si>
  <si>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</si>
  <si>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</si>
  <si>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</si>
  <si>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</si>
  <si>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</si>
  <si>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</si>
  <si>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</si>
  <si>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</si>
  <si>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</si>
  <si>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</si>
  <si>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</si>
  <si>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</si>
  <si>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</si>
  <si>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</si>
  <si>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</si>
  <si>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</si>
  <si>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</si>
  <si>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</si>
  <si>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</si>
  <si>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</si>
  <si>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</si>
  <si>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</si>
  <si>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</si>
  <si>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</si>
  <si>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</si>
  <si>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</si>
  <si>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</si>
  <si>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</si>
  <si>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</si>
  <si>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</si>
  <si>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</si>
  <si>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</si>
  <si>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</si>
  <si>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</si>
  <si>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</si>
  <si>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</si>
  <si>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</si>
  <si>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</si>
  <si>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</si>
  <si>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</si>
  <si>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</si>
  <si>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</si>
  <si>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</si>
  <si>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</si>
  <si>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</si>
  <si>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</si>
  <si>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</si>
  <si>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</si>
  <si>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</si>
  <si>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</si>
  <si>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</si>
  <si>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</si>
  <si>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</si>
  <si>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</si>
  <si>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</si>
  <si>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</si>
  <si>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</si>
  <si>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</si>
  <si>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</si>
  <si>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</si>
  <si>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</si>
  <si>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</si>
  <si>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</si>
  <si>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</si>
  <si>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</si>
  <si>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</si>
  <si>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</si>
  <si>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</si>
  <si>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</si>
  <si>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</si>
  <si>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</si>
  <si>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</si>
  <si>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</si>
  <si>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</si>
  <si>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</si>
  <si>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</si>
  <si>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</si>
  <si>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</si>
  <si>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</si>
  <si>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</si>
  <si>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</si>
  <si>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</si>
  <si>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</si>
  <si>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</si>
  <si>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</si>
  <si>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</si>
  <si>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</si>
  <si>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</si>
  <si>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</si>
  <si>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</si>
  <si>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</si>
  <si>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</si>
  <si>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</si>
  <si>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</si>
  <si>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</si>
  <si>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</si>
  <si>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</si>
  <si>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</si>
  <si>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</si>
  <si>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</si>
  <si>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</si>
  <si>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</si>
  <si>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</si>
  <si>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</si>
  <si>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</si>
  <si>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</si>
  <si>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</si>
  <si>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</si>
  <si>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</si>
  <si>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</si>
  <si>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</si>
  <si>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</si>
  <si>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</si>
  <si>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</si>
  <si>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</si>
  <si>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</si>
  <si>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</si>
  <si>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</si>
  <si>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</si>
  <si>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</si>
  <si>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</si>
  <si>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</si>
  <si>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</si>
  <si>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</si>
  <si>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</si>
  <si>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</si>
  <si>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</si>
  <si>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</si>
  <si>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</si>
  <si>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</si>
  <si>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</si>
  <si>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</si>
  <si>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</si>
  <si>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</si>
  <si>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</si>
  <si>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</si>
  <si>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</si>
  <si>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</si>
  <si>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</si>
  <si>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</si>
  <si>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</si>
  <si>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</si>
  <si>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</si>
  <si>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</si>
  <si>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</si>
  <si>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</si>
  <si>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</si>
  <si>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</si>
  <si>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</si>
  <si>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</si>
  <si>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</si>
  <si>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</si>
  <si>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</si>
  <si>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</si>
  <si>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</si>
  <si>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</si>
  <si>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</si>
  <si>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</si>
  <si>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</si>
  <si>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</si>
  <si>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</si>
  <si>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</si>
  <si>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</si>
  <si>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</si>
  <si>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</si>
  <si>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</si>
  <si>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</si>
  <si>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</si>
  <si>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</si>
  <si>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</si>
  <si>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</si>
  <si>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</si>
  <si>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</si>
  <si>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</si>
  <si>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</si>
  <si>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</si>
  <si>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</si>
  <si>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</si>
  <si>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</si>
  <si>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</si>
  <si>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</si>
  <si>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</si>
  <si>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</si>
  <si>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</si>
  <si>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</si>
  <si>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</si>
  <si>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</si>
  <si>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</si>
  <si>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</si>
  <si>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</si>
  <si>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</si>
  <si>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</si>
  <si>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</si>
  <si>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</si>
  <si>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</si>
  <si>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</si>
  <si>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</si>
  <si>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</si>
  <si>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</si>
  <si>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</si>
  <si>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</si>
  <si>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</si>
  <si>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</si>
  <si>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</si>
  <si>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</si>
  <si>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</si>
  <si>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</si>
  <si>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</si>
  <si>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</si>
  <si>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</si>
  <si>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</si>
  <si>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</si>
  <si>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</si>
  <si>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</si>
  <si>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</si>
  <si>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</si>
  <si>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</si>
  <si>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</si>
  <si>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</si>
  <si>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</si>
  <si>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</si>
  <si>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</si>
  <si>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</si>
  <si>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</si>
  <si>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</si>
  <si>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</si>
  <si>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</si>
  <si>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</si>
  <si>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</si>
  <si>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</si>
  <si>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</si>
  <si>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</si>
  <si>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</si>
  <si>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</si>
  <si>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</si>
  <si>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</si>
  <si>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</si>
  <si>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</si>
  <si>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</si>
  <si>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</si>
  <si>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</si>
  <si>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</si>
  <si>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</si>
  <si>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</si>
  <si>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</si>
  <si>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</si>
  <si>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</si>
  <si>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</si>
  <si>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</si>
  <si>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</si>
  <si>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</si>
  <si>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</si>
  <si>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</si>
  <si>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</si>
  <si>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</si>
  <si>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</si>
  <si>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</si>
  <si>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</si>
  <si>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</si>
  <si>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</si>
  <si>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</si>
  <si>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</si>
  <si>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</si>
  <si>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</si>
  <si>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</si>
  <si>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</si>
  <si>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</si>
  <si>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</si>
  <si>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</si>
  <si>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</si>
  <si>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</si>
  <si>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</si>
  <si>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</si>
  <si>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</si>
  <si>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</si>
  <si>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</si>
  <si>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</si>
  <si>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</si>
  <si>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</si>
  <si>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</si>
  <si>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</si>
  <si>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</si>
  <si>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</si>
  <si>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</si>
  <si>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</si>
  <si>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</si>
  <si>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</si>
  <si>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</si>
  <si>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</si>
  <si>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</si>
  <si>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</si>
  <si>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</si>
  <si>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</si>
  <si>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</si>
  <si>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</si>
  <si>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</si>
  <si>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</si>
  <si>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</si>
  <si>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</si>
  <si>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</si>
  <si>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</si>
  <si>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</si>
  <si>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</si>
  <si>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</si>
  <si>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</si>
  <si>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</si>
  <si>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</si>
  <si>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</si>
  <si>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</si>
  <si>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</si>
  <si>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</si>
  <si>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</si>
  <si>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</si>
  <si>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</si>
  <si>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</si>
  <si>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</si>
  <si>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</si>
  <si>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</si>
  <si>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</si>
  <si>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</si>
  <si>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</si>
  <si>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</si>
  <si>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</si>
  <si>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</si>
  <si>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</si>
  <si>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</si>
  <si>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</si>
  <si>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</si>
  <si>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</si>
  <si>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</si>
  <si>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</si>
  <si>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</si>
  <si>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</si>
  <si>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</si>
  <si>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</si>
  <si>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</si>
  <si>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</si>
  <si>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</si>
  <si>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</si>
  <si>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</si>
  <si>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</si>
  <si>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</si>
  <si>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</si>
  <si>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</si>
  <si>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</si>
  <si>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</si>
  <si>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</si>
  <si>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</si>
  <si>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</si>
  <si>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</si>
  <si>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</si>
  <si>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</si>
  <si>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</si>
  <si>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</si>
  <si>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</si>
  <si>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</si>
  <si>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</si>
  <si>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</si>
  <si>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</si>
  <si>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</si>
  <si>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</si>
  <si>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</si>
  <si>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</si>
  <si>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</si>
  <si>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</si>
  <si>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</si>
  <si>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</si>
  <si>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</si>
  <si>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</si>
  <si>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</si>
  <si>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</si>
  <si>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</si>
  <si>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</si>
  <si>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</si>
  <si>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</si>
  <si>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</si>
  <si>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</si>
  <si>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</si>
  <si>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</si>
  <si>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</si>
  <si>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</si>
  <si>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</si>
  <si>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</si>
  <si>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</si>
  <si>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</si>
  <si>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</si>
  <si>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</si>
  <si>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</si>
  <si>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</si>
  <si>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</si>
  <si>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</si>
  <si>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</si>
  <si>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</si>
  <si>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</si>
  <si>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</si>
  <si>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</si>
  <si>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</si>
  <si>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</si>
  <si>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</si>
  <si>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</si>
  <si>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</si>
  <si>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</si>
  <si>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</si>
  <si>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</si>
  <si>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</si>
  <si>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</si>
  <si>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</si>
  <si>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</si>
  <si>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</si>
  <si>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</si>
  <si>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</si>
  <si>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</si>
  <si>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</si>
  <si>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</si>
  <si>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</si>
  <si>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</si>
  <si>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</si>
  <si>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</si>
  <si>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</si>
  <si>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</si>
  <si>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</si>
  <si>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</si>
  <si>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</si>
  <si>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</si>
  <si>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</si>
  <si>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</si>
  <si>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</si>
  <si>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</si>
  <si>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</si>
  <si>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</si>
  <si>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</si>
  <si>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</si>
  <si>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</si>
  <si>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</si>
  <si>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</si>
  <si>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</si>
  <si>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</si>
  <si>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</si>
  <si>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</si>
  <si>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</si>
  <si>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</si>
  <si>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</si>
  <si>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</si>
  <si>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</si>
  <si>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</si>
  <si>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</si>
  <si>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</si>
  <si>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</si>
  <si>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</si>
  <si>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</si>
  <si>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</si>
  <si>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</si>
  <si>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</si>
  <si>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</si>
  <si>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</si>
  <si>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</si>
  <si>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</si>
  <si>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</si>
  <si>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</si>
  <si>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</si>
  <si>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</si>
  <si>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</si>
  <si>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</si>
  <si>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</si>
  <si>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</si>
  <si>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</si>
  <si>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</si>
  <si>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</si>
  <si>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</si>
  <si>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</si>
  <si>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</si>
  <si>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</si>
  <si>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</si>
  <si>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</si>
  <si>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</si>
  <si>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</si>
  <si>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</si>
  <si>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</si>
  <si>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</si>
  <si>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</si>
  <si>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</si>
  <si>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</si>
  <si>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</si>
  <si>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</si>
  <si>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</si>
  <si>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</si>
  <si>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</si>
  <si>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</si>
  <si>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</si>
  <si>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</si>
  <si>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</si>
  <si>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</si>
  <si>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</si>
  <si>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</si>
  <si>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</si>
  <si>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</si>
  <si>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</si>
  <si>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</si>
  <si>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</si>
  <si>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</si>
  <si>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</si>
  <si>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</si>
  <si>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</si>
  <si>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</si>
  <si>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</si>
  <si>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</si>
  <si>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</si>
  <si>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</si>
  <si>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</si>
  <si>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</si>
  <si>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</si>
  <si>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</si>
  <si>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</si>
  <si>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</si>
  <si>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</si>
  <si>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</si>
  <si>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</si>
  <si>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</si>
  <si>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</si>
  <si>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</si>
  <si>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</si>
  <si>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</si>
  <si>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</si>
  <si>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</si>
  <si>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</si>
  <si>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</si>
  <si>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</si>
  <si>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</si>
  <si>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</si>
  <si>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</si>
  <si>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</si>
  <si>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</si>
  <si>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</si>
  <si>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</si>
  <si>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</si>
  <si>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</si>
  <si>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</si>
  <si>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</si>
  <si>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</si>
  <si>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</si>
  <si>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</si>
  <si>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</si>
  <si>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</si>
  <si>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</si>
  <si>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</si>
  <si>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</si>
  <si>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</si>
  <si>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</si>
  <si>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</si>
  <si>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</si>
  <si>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</si>
  <si>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</si>
  <si>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</si>
  <si>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</si>
  <si>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</si>
  <si>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</si>
  <si>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</si>
  <si>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</si>
  <si>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</si>
  <si>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</si>
  <si>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</si>
  <si>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</si>
  <si>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</si>
  <si>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</si>
  <si>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</si>
  <si>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</si>
  <si>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</si>
  <si>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</si>
  <si>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</si>
  <si>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</si>
  <si>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</si>
  <si>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</si>
  <si>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</si>
  <si>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</si>
  <si>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</si>
  <si>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</si>
  <si>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</si>
  <si>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</si>
  <si>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</si>
  <si>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</si>
  <si>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</si>
  <si>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</si>
  <si>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</si>
  <si>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</si>
  <si>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</si>
  <si>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</si>
  <si>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</si>
  <si>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</si>
  <si>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</si>
  <si>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</si>
  <si>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</si>
  <si>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</si>
  <si>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</si>
  <si>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</si>
  <si>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</si>
  <si>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</si>
  <si>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</si>
  <si>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</si>
  <si>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</si>
  <si>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</si>
  <si>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</si>
  <si>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</si>
  <si>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</si>
  <si>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</si>
  <si>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</si>
  <si>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</si>
  <si>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</si>
  <si>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</si>
  <si>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</si>
  <si>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</si>
  <si>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</si>
  <si>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</si>
  <si>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</si>
  <si>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</si>
  <si>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</si>
  <si>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</si>
  <si>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</si>
  <si>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</si>
  <si>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</si>
  <si>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</si>
  <si>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</si>
  <si>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</si>
  <si>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</si>
  <si>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</si>
  <si>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</si>
  <si>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</si>
  <si>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</si>
  <si>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</si>
  <si>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</si>
  <si>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</si>
  <si>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</si>
  <si>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</si>
  <si>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</si>
  <si>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</si>
  <si>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</si>
  <si>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</si>
  <si>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</si>
  <si>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</si>
  <si>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</si>
  <si>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</si>
  <si>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</si>
  <si>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</si>
  <si>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</si>
  <si>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</si>
  <si>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</si>
  <si>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</si>
  <si>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</si>
  <si>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</si>
  <si>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</si>
  <si>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</si>
  <si>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</si>
  <si>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</si>
  <si>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</si>
  <si>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</si>
  <si>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</si>
  <si>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</si>
  <si>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</si>
  <si>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</si>
  <si>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</si>
  <si>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</si>
  <si>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</si>
  <si>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</si>
  <si>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</si>
  <si>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</si>
  <si>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</si>
  <si>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</si>
  <si>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</si>
  <si>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</si>
  <si>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</si>
  <si>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</si>
  <si>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</si>
  <si>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</si>
  <si>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</si>
  <si>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</si>
  <si>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</si>
  <si>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</si>
  <si>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</si>
  <si>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</si>
  <si>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</si>
  <si>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</si>
  <si>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</si>
  <si>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</si>
  <si>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</si>
  <si>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</si>
  <si>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</si>
  <si>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</si>
  <si>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</si>
  <si>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</si>
  <si>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</si>
  <si>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</si>
  <si>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</si>
  <si>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</si>
  <si>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</si>
  <si>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</si>
  <si>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</si>
  <si>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</si>
  <si>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</si>
  <si>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</si>
  <si>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</si>
  <si>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</si>
  <si>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</si>
  <si>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</si>
  <si>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</si>
  <si>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</si>
  <si>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</si>
  <si>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</si>
  <si>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</si>
  <si>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</si>
  <si>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</si>
  <si>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</si>
  <si>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</si>
  <si>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</si>
  <si>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</si>
  <si>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</si>
  <si>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</si>
  <si>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</si>
  <si>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</si>
  <si>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</si>
  <si>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</si>
  <si>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</si>
  <si>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</si>
  <si>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</si>
  <si>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</si>
  <si>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</si>
  <si>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</si>
  <si>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</si>
  <si>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</si>
  <si>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</si>
  <si>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</si>
  <si>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</si>
  <si>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</si>
  <si>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</si>
  <si>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</si>
  <si>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</si>
  <si>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</si>
  <si>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</si>
  <si>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</si>
  <si>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</si>
  <si>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</si>
  <si>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</si>
  <si>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</si>
  <si>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</si>
  <si>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</si>
  <si>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</si>
  <si>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</si>
  <si>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</si>
  <si>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</si>
  <si>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</si>
  <si>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</si>
  <si>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</si>
  <si>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</si>
  <si>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</si>
  <si>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</si>
  <si>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</si>
  <si>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</si>
  <si>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</si>
  <si>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</si>
  <si>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</si>
  <si>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</si>
  <si>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</si>
  <si>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</si>
  <si>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</si>
  <si>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</si>
  <si>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</si>
  <si>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</si>
  <si>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</si>
  <si>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</si>
  <si>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</si>
  <si>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</si>
  <si>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</si>
  <si>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</si>
  <si>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</si>
  <si>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</si>
  <si>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</si>
  <si>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</si>
  <si>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</si>
  <si>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</si>
  <si>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</si>
  <si>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</si>
  <si>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</si>
  <si>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</si>
  <si>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</si>
  <si>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</si>
  <si>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</si>
  <si>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</si>
  <si>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</si>
  <si>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</si>
  <si>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</si>
  <si>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</si>
  <si>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</si>
  <si>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</si>
  <si>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</si>
  <si>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</si>
  <si>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</si>
  <si>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</si>
  <si>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</si>
  <si>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</si>
  <si>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</si>
  <si>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</si>
  <si>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</si>
  <si>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</si>
  <si>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</si>
  <si>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</si>
  <si>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</si>
  <si>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</si>
  <si>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</si>
  <si>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</si>
  <si>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</si>
  <si>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</si>
  <si>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</si>
  <si>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</si>
  <si>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</si>
  <si>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</si>
  <si>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</si>
  <si>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</si>
  <si>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</si>
  <si>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</si>
  <si>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</si>
  <si>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</si>
  <si>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</si>
  <si>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</si>
  <si>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</si>
  <si>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</si>
  <si>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</si>
  <si>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</si>
  <si>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</si>
  <si>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</si>
  <si>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</si>
  <si>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</si>
  <si>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</si>
  <si>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</si>
  <si>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</si>
  <si>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</si>
  <si>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</si>
  <si>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</si>
  <si>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</si>
  <si>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</si>
  <si>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</si>
  <si>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</si>
  <si>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</si>
  <si>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</si>
  <si>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</si>
  <si>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</si>
  <si>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</si>
  <si>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</si>
  <si>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</si>
  <si>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</si>
  <si>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</si>
  <si>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</si>
  <si>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</si>
  <si>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</si>
  <si>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</si>
  <si>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</si>
  <si>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</si>
  <si>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</si>
  <si>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</si>
  <si>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</si>
  <si>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</si>
  <si>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</si>
  <si>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</si>
  <si>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</si>
  <si>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</si>
  <si>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</si>
  <si>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</si>
  <si>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</si>
  <si>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</si>
  <si>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</si>
  <si>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</si>
  <si>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</si>
  <si>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</si>
  <si>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</si>
  <si>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</si>
  <si>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</si>
  <si>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</si>
  <si>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</si>
  <si>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</si>
  <si>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8199</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</si>
  <si>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</si>
  <si>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</si>
  <si>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</si>
  <si>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</si>
  <si>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</si>
  <si>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</si>
  <si>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</si>
  <si>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</si>
  <si>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</si>
  <si>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</si>
  <si>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</si>
  <si>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</si>
  <si>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</si>
  <si>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</si>
  <si>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</si>
  <si>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</si>
  <si>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</si>
  <si>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</si>
  <si>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</si>
  <si>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</si>
  <si>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</si>
  <si>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</si>
  <si>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</si>
  <si>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</si>
  <si>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</si>
  <si>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</si>
  <si>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</si>
  <si>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</si>
  <si>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</si>
  <si>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</si>
  <si>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</si>
  <si>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</si>
  <si>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</si>
  <si>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</si>
  <si>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</si>
  <si>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</si>
  <si>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</si>
  <si>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</si>
  <si>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</si>
  <si>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</si>
  <si>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</si>
  <si>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</si>
  <si>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</si>
  <si>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</si>
  <si>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</si>
  <si>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</si>
  <si>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</si>
  <si>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</si>
  <si>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</si>
  <si>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</si>
  <si>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</si>
  <si>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</si>
  <si>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</si>
  <si>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</si>
  <si>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</si>
  <si>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</si>
  <si>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</si>
  <si>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</si>
  <si>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</si>
  <si>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</si>
  <si>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</si>
  <si>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</si>
  <si>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</si>
  <si>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</si>
  <si>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</si>
  <si>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</si>
  <si>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</si>
  <si>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</si>
  <si>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</si>
  <si>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</si>
  <si>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</si>
  <si>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</si>
  <si>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</si>
  <si>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</si>
  <si>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</si>
  <si>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</si>
  <si>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</si>
  <si>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</si>
  <si>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</si>
  <si>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</si>
  <si>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</si>
  <si>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</si>
  <si>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</si>
  <si>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</si>
  <si>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</si>
  <si>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</si>
  <si>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</si>
  <si>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</si>
  <si>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</si>
  <si>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</si>
  <si>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</si>
  <si>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</si>
  <si>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</si>
  <si>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</si>
  <si>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</si>
  <si>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</si>
  <si>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</si>
  <si>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</si>
  <si>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</si>
  <si>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</si>
  <si>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</si>
  <si>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</si>
  <si>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</si>
  <si>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</si>
  <si>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</si>
  <si>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</si>
  <si>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</si>
  <si>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</si>
  <si>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</si>
  <si>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</si>
  <si>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</si>
  <si>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</si>
  <si>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</si>
  <si>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</si>
  <si>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</si>
  <si>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</si>
  <si>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</si>
  <si>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</si>
  <si>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</si>
  <si>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</si>
  <si>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</si>
  <si>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</si>
  <si>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</si>
  <si>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</si>
  <si>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</si>
  <si>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</si>
  <si>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</si>
  <si>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</si>
  <si>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</si>
  <si>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</si>
  <si>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</si>
  <si>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</si>
  <si>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</si>
  <si>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</si>
  <si>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</si>
  <si>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</si>
  <si>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</si>
  <si>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</si>
  <si>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</si>
  <si>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</si>
  <si>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</si>
  <si>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</si>
  <si>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</si>
  <si>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</si>
  <si>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</si>
  <si>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</si>
  <si>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</si>
  <si>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</si>
  <si>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</si>
  <si>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</si>
  <si>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</si>
  <si>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</si>
  <si>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</si>
  <si>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</si>
  <si>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</si>
  <si>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</si>
  <si>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</si>
  <si>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</si>
  <si>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</si>
  <si>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</si>
  <si>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</si>
  <si>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</si>
  <si>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</si>
  <si>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</si>
  <si>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</si>
  <si>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</si>
  <si>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</si>
  <si>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</si>
  <si>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</si>
  <si>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</si>
  <si>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</si>
  <si>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</si>
  <si>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</si>
  <si>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</si>
  <si>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</si>
  <si>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</si>
  <si>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</si>
  <si>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</si>
  <si>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</si>
  <si>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</si>
  <si>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</si>
  <si>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</si>
  <si>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</si>
  <si>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</si>
  <si>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</si>
  <si>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</si>
  <si>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</si>
  <si>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</si>
  <si>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</si>
  <si>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</si>
  <si>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</si>
  <si>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</si>
  <si>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</si>
  <si>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</si>
  <si>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</si>
  <si>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</si>
  <si>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</si>
  <si>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</si>
  <si>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</si>
  <si>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</si>
  <si>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</si>
  <si>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</si>
  <si>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</si>
  <si>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</si>
  <si>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</si>
  <si>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</si>
  <si>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</si>
  <si>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</si>
  <si>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</si>
  <si>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</si>
  <si>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</si>
  <si>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</si>
  <si>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</si>
  <si>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</si>
  <si>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</si>
  <si>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</si>
  <si>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</si>
  <si>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</si>
  <si>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</si>
  <si>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</si>
  <si>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</si>
  <si>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</si>
  <si>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</si>
  <si>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</si>
  <si>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</si>
  <si>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</si>
  <si>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</si>
  <si>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</si>
  <si>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</si>
  <si>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</si>
  <si>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</si>
  <si>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</si>
  <si>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</si>
  <si>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</si>
  <si>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</si>
  <si>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</si>
  <si>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</si>
  <si>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</si>
  <si>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</si>
  <si>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</si>
  <si>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</si>
  <si>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</si>
  <si>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</si>
  <si>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</si>
  <si>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</si>
  <si>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</si>
  <si>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</si>
  <si>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</si>
  <si>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</si>
  <si>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</si>
  <si>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</si>
  <si>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</si>
  <si>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</si>
  <si>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</si>
  <si>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</si>
  <si>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</si>
  <si>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</si>
  <si>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</si>
  <si>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</si>
  <si>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</si>
  <si>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</si>
  <si>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</si>
  <si>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</si>
  <si>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</si>
  <si>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</si>
  <si>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</si>
  <si>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</si>
  <si>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</si>
  <si>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</si>
  <si>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</si>
  <si>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</si>
  <si>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</si>
  <si>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</si>
  <si>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</si>
  <si>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</si>
  <si>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</si>
  <si>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</si>
  <si>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</si>
  <si>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</si>
  <si>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</si>
  <si>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</si>
  <si>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</si>
  <si>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</si>
  <si>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</si>
  <si>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</si>
  <si>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</si>
  <si>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</si>
  <si>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</si>
  <si>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</si>
  <si>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</si>
  <si>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</si>
  <si>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</si>
  <si>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</si>
  <si>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</si>
  <si>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</si>
  <si>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</si>
  <si>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</si>
  <si>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</si>
  <si>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</si>
  <si>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</si>
  <si>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</si>
  <si>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</si>
  <si>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</si>
  <si>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</si>
  <si>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</si>
  <si>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</si>
  <si>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</si>
  <si>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</si>
  <si>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</si>
  <si>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</si>
  <si>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</si>
  <si>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</si>
  <si>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</si>
  <si>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</si>
  <si>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</si>
  <si>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</si>
  <si>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</si>
  <si>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</si>
  <si>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</si>
  <si>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</si>
  <si>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</si>
  <si>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</si>
  <si>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</si>
  <si>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</si>
  <si>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</si>
  <si>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</si>
  <si>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</si>
  <si>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</si>
  <si>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</si>
  <si>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</si>
  <si>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</si>
  <si>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</si>
  <si>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</si>
  <si>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</si>
  <si>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</si>
  <si>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</si>
  <si>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</si>
  <si>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</si>
  <si>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</si>
  <si>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</si>
  <si>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</si>
  <si>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</si>
  <si>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</si>
  <si>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</si>
  <si>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</si>
  <si>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</si>
  <si>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</si>
  <si>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</si>
  <si>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</si>
  <si>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</si>
  <si>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</si>
  <si>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</si>
  <si>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</si>
  <si>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</si>
  <si>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</si>
  <si>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</si>
  <si>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</si>
  <si>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</si>
  <si>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</si>
  <si>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</si>
  <si>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</si>
  <si>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</si>
  <si>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</si>
  <si>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</si>
  <si>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</si>
  <si>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</si>
  <si>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</si>
  <si>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</si>
  <si>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</si>
  <si>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</si>
  <si>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</si>
  <si>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</si>
  <si>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</si>
  <si>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</si>
  <si>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</si>
  <si>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</si>
  <si>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</si>
  <si>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</si>
  <si>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</si>
  <si>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</si>
  <si>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</si>
  <si>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</si>
  <si>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</si>
  <si>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</si>
  <si>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</si>
  <si>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</si>
  <si>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</si>
  <si>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</si>
  <si>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</si>
  <si>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</si>
  <si>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</si>
  <si>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</si>
  <si>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</si>
  <si>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</si>
  <si>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</si>
  <si>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</si>
  <si>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</si>
  <si>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</si>
  <si>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</si>
  <si>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</si>
  <si>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</si>
  <si>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</si>
  <si>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</si>
  <si>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</si>
  <si>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</si>
  <si>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</si>
  <si>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</si>
  <si>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</si>
  <si>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</si>
  <si>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</si>
  <si>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</si>
  <si>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</si>
  <si>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</si>
  <si>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</si>
  <si>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</si>
  <si>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</si>
  <si>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</si>
  <si>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</si>
  <si>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</si>
  <si>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</si>
  <si>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</si>
  <si>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</si>
  <si>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</si>
  <si>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</si>
  <si>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</si>
  <si>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</si>
  <si>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</si>
  <si>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</si>
  <si>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</si>
  <si>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</si>
  <si>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</si>
  <si>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</si>
  <si>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</si>
  <si>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</si>
  <si>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</si>
  <si>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</si>
  <si>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</si>
  <si>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</si>
  <si>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</si>
  <si>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</si>
  <si>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</si>
  <si>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</si>
  <si>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</si>
  <si>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</si>
  <si>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</si>
  <si>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</si>
  <si>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</si>
  <si>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</si>
  <si>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</si>
  <si>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</si>
  <si>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</si>
  <si>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</si>
  <si>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</si>
  <si>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</si>
  <si>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</si>
  <si>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</si>
  <si>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</si>
  <si>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</si>
  <si>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</si>
  <si>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</si>
  <si>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</si>
  <si>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</si>
  <si>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</si>
  <si>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</si>
  <si>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</si>
  <si>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</si>
  <si>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</si>
  <si>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</si>
  <si>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</si>
  <si>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</si>
  <si>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</si>
  <si>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</si>
  <si>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</si>
  <si>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</si>
  <si>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</si>
  <si>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</si>
  <si>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</si>
  <si>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</si>
  <si>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</si>
  <si>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</si>
  <si>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</si>
  <si>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</si>
  <si>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</si>
  <si>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</si>
  <si>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</si>
  <si>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</si>
  <si>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</si>
  <si>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</si>
  <si>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</si>
  <si>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</si>
  <si>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</si>
  <si>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</si>
  <si>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</si>
  <si>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</si>
  <si>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</si>
  <si>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</si>
  <si>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</si>
  <si>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</si>
  <si>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</si>
  <si>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</si>
  <si>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</si>
  <si>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</si>
  <si>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</si>
  <si>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</si>
  <si>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</si>
  <si>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</si>
  <si>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</si>
  <si>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</si>
  <si>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</si>
  <si>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</si>
  <si>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</si>
  <si>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</si>
  <si>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</si>
  <si>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</si>
  <si>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</si>
  <si>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</si>
  <si>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</si>
  <si>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</si>
  <si>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</si>
  <si>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</si>
  <si>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</si>
  <si>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</si>
  <si>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</si>
  <si>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</si>
  <si>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</si>
  <si>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</si>
  <si>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</si>
  <si>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</si>
  <si>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</si>
  <si>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</si>
  <si>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</si>
  <si>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</si>
  <si>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</si>
  <si>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</si>
  <si>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</si>
  <si>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</si>
  <si>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</si>
  <si>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</si>
  <si>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</si>
  <si>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</si>
  <si>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</si>
  <si>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</si>
  <si>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</si>
  <si>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</si>
  <si>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</si>
  <si>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</si>
  <si>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</si>
  <si>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</si>
  <si>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</si>
  <si>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</si>
  <si>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</si>
  <si>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</si>
  <si>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</si>
  <si>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</si>
  <si>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</si>
  <si>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</si>
  <si>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</si>
  <si>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</si>
  <si>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</si>
  <si>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</si>
  <si>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</si>
  <si>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</si>
  <si>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</si>
  <si>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</si>
  <si>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</si>
  <si>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</si>
  <si>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</si>
  <si>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</si>
  <si>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</si>
  <si>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</si>
  <si>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</si>
  <si>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</si>
  <si>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</si>
  <si>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</si>
  <si>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</si>
  <si>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</si>
  <si>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</si>
  <si>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</si>
  <si>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</si>
  <si>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</si>
  <si>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</si>
  <si>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</si>
  <si>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</si>
  <si>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</si>
  <si>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</si>
  <si>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</si>
  <si>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</si>
  <si>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</si>
  <si>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</si>
  <si>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</si>
  <si>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</si>
  <si>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</si>
  <si>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</si>
  <si>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</si>
  <si>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</si>
  <si>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</si>
  <si>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</si>
  <si>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</si>
  <si>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</si>
  <si>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</si>
  <si>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</si>
  <si>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</si>
  <si>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</si>
  <si>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</si>
  <si>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</si>
  <si>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</si>
  <si>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</si>
  <si>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</si>
  <si>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</si>
  <si>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</si>
  <si>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</si>
  <si>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</si>
  <si>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</si>
  <si>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</si>
  <si>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</si>
  <si>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</si>
  <si>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</si>
  <si>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</si>
  <si>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</si>
  <si>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</si>
  <si>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</si>
  <si>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</si>
  <si>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</si>
  <si>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</si>
  <si>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</si>
  <si>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</si>
  <si>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</si>
  <si>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</si>
  <si>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</si>
  <si>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</si>
  <si>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</si>
  <si>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</si>
  <si>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</si>
  <si>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</si>
  <si>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</si>
  <si>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</si>
  <si>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</si>
  <si>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</si>
  <si>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</si>
  <si>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</si>
  <si>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</si>
  <si>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</si>
  <si>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</si>
  <si>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</si>
  <si>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</si>
  <si>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</si>
  <si>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</si>
  <si>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</si>
  <si>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</si>
  <si>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</si>
  <si>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</si>
  <si>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</si>
  <si>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</si>
  <si>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</si>
  <si>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</si>
  <si>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</si>
  <si>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</si>
  <si>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</si>
  <si>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</si>
  <si>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</si>
  <si>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</si>
  <si>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</si>
  <si>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</si>
  <si>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</si>
  <si>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</si>
  <si>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</si>
  <si>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</si>
  <si>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</si>
  <si>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</si>
  <si>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</si>
  <si>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</si>
  <si>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</si>
  <si>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</si>
  <si>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</si>
  <si>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</si>
  <si>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</si>
  <si>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</si>
  <si>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</si>
  <si>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</si>
  <si>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</si>
  <si>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</si>
  <si>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</si>
  <si>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</si>
  <si>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</si>
  <si>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</si>
  <si>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</si>
  <si>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</si>
  <si>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</si>
  <si>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</si>
  <si>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</si>
  <si>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</si>
  <si>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</si>
  <si>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</si>
  <si>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</si>
  <si>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</si>
  <si>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</si>
  <si>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</si>
  <si>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</si>
  <si>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</si>
  <si>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</si>
  <si>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</si>
  <si>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</si>
  <si>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</si>
  <si>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</si>
  <si>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</si>
  <si>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</si>
  <si>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</si>
  <si>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</si>
  <si>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</si>
  <si>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</si>
  <si>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</si>
  <si>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</si>
  <si>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</si>
  <si>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</si>
  <si>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</si>
  <si>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</si>
  <si>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</si>
  <si>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</si>
  <si>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</si>
  <si>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</si>
  <si>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</si>
  <si>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</si>
  <si>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</si>
  <si>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</si>
  <si>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</si>
  <si>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</si>
  <si>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</si>
  <si>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</si>
  <si>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</si>
  <si>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</si>
  <si>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</si>
  <si>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</si>
  <si>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</si>
  <si>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</si>
  <si>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</si>
  <si>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</si>
  <si>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</si>
  <si>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</si>
  <si>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</si>
  <si>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</si>
  <si>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</si>
  <si>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</si>
  <si>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</si>
  <si>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</si>
  <si>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</si>
  <si>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</si>
  <si>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</si>
  <si>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</si>
  <si>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</si>
  <si>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</si>
  <si>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</si>
  <si>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</si>
  <si>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</si>
  <si>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</si>
  <si>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</si>
  <si>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</si>
  <si>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</si>
  <si>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</si>
  <si>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</si>
  <si>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</si>
  <si>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</si>
  <si>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</si>
  <si>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</si>
  <si>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</si>
  <si>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</si>
  <si>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</si>
  <si>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</si>
  <si>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</si>
  <si>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</si>
  <si>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</si>
  <si>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</si>
  <si>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</si>
  <si>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</si>
  <si>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</si>
  <si>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</si>
  <si>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</si>
  <si>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</si>
  <si>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</si>
  <si>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</si>
  <si>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</si>
  <si>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</si>
  <si>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</si>
  <si>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</si>
  <si>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</si>
  <si>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</si>
  <si>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</si>
  <si>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</si>
  <si>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</si>
  <si>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</si>
  <si>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</si>
  <si>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</si>
  <si>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</si>
  <si>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</si>
  <si>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</si>
  <si>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</si>
  <si>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</si>
  <si>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</si>
  <si>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</si>
  <si>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</si>
  <si>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</si>
  <si>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</si>
  <si>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</si>
  <si>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</si>
  <si>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</si>
  <si>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</si>
  <si>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</si>
  <si>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</si>
  <si>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</si>
  <si>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</si>
  <si>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</si>
  <si>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</si>
  <si>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</si>
  <si>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</si>
  <si>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</si>
  <si>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</si>
  <si>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</si>
  <si>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</si>
  <si>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</si>
  <si>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</si>
  <si>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</si>
  <si>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</si>
  <si>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</si>
  <si>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</si>
  <si>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</si>
  <si>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</si>
  <si>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</si>
  <si>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</si>
  <si>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</si>
  <si>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</si>
  <si>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</si>
  <si>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</si>
  <si>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</si>
  <si>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</si>
  <si>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</si>
  <si>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</si>
  <si>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</si>
  <si>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</si>
  <si>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</si>
  <si>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</si>
  <si>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</si>
  <si>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</si>
  <si>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</si>
  <si>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</si>
  <si>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</si>
  <si>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</si>
  <si>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</si>
  <si>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</si>
  <si>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</si>
  <si>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</si>
  <si>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</si>
  <si>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</si>
  <si>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</si>
  <si>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</si>
  <si>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</si>
  <si>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</si>
  <si>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</si>
  <si>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</si>
  <si>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</si>
  <si>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</si>
  <si>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</si>
  <si>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</si>
  <si>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</si>
  <si>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</si>
  <si>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</si>
  <si>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</si>
  <si>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</si>
  <si>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</si>
  <si>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</si>
  <si>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</si>
  <si>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</si>
  <si>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</si>
  <si>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</si>
  <si>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</si>
  <si>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</si>
  <si>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</si>
  <si>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</si>
  <si>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</si>
  <si>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</si>
  <si>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</si>
  <si>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</si>
  <si>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</si>
  <si>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</si>
  <si>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</si>
  <si>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</si>
  <si>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</si>
  <si>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</si>
  <si>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</si>
  <si>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</si>
  <si>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</si>
  <si>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</si>
  <si>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</si>
  <si>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</si>
  <si>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</si>
  <si>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</si>
  <si>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</si>
  <si>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</si>
  <si>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</si>
  <si>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</si>
  <si>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</si>
  <si>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</si>
  <si>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</si>
  <si>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</si>
  <si>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</si>
  <si>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</si>
  <si>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</si>
  <si>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</si>
  <si>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</si>
  <si>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</si>
  <si>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</si>
  <si>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</si>
  <si>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</si>
  <si>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</si>
  <si>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</si>
  <si>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</si>
  <si>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</si>
  <si>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</si>
  <si>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</si>
  <si>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</si>
  <si>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</si>
  <si>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</si>
  <si>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</si>
  <si>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</si>
  <si>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</si>
  <si>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</si>
  <si>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</si>
  <si>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</si>
  <si>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</si>
  <si>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</si>
  <si>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</si>
  <si>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</si>
  <si>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</si>
  <si>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</si>
  <si>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</si>
  <si>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</si>
  <si>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</si>
  <si>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</si>
  <si>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</si>
  <si>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</si>
  <si>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</si>
  <si>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</si>
  <si>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</si>
  <si>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</si>
  <si>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</si>
  <si>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</si>
  <si>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</si>
  <si>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</si>
  <si>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</si>
  <si>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</si>
  <si>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</si>
  <si>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</si>
  <si>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</si>
  <si>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</si>
  <si>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</si>
  <si>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</si>
  <si>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</si>
  <si>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</si>
  <si>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</si>
  <si>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</si>
  <si>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</si>
  <si>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</si>
  <si>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</si>
  <si>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</si>
  <si>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</si>
  <si>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</si>
  <si>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</si>
  <si>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</si>
  <si>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</si>
  <si>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</si>
  <si>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</si>
  <si>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</si>
  <si>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</si>
  <si>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</si>
  <si>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</si>
  <si>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</si>
  <si>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</si>
  <si>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</si>
  <si>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</si>
  <si>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</si>
  <si>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</si>
  <si>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</si>
  <si>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</si>
  <si>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</si>
  <si>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</si>
  <si>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</si>
  <si>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</si>
  <si>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</si>
  <si>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</si>
  <si>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</si>
  <si>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</si>
  <si>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</si>
  <si>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</si>
  <si>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</si>
  <si>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</si>
  <si>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</si>
  <si>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</si>
  <si>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</si>
  <si>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</si>
  <si>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</si>
  <si>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</si>
  <si>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</si>
  <si>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</si>
  <si>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</si>
  <si>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</si>
  <si>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</si>
  <si>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</si>
  <si>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</si>
  <si>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</si>
  <si>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</si>
  <si>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</si>
  <si>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</si>
  <si>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</si>
  <si>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</si>
  <si>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</si>
  <si>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</si>
  <si>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</si>
  <si>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</si>
  <si>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</si>
  <si>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</si>
  <si>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</si>
  <si>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</si>
  <si>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</si>
  <si>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</si>
  <si>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</si>
  <si>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</si>
  <si>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</si>
  <si>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</si>
  <si>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</si>
  <si>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</si>
  <si>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</si>
  <si>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</si>
  <si>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</si>
  <si>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</si>
  <si>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</si>
  <si>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</si>
  <si>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</si>
  <si>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</si>
  <si>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</si>
  <si>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</si>
  <si>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</si>
  <si>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</si>
  <si>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</si>
  <si>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</si>
  <si>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</si>
  <si>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</si>
  <si>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</si>
  <si>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</si>
  <si>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</si>
  <si>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</si>
  <si>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</si>
  <si>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</si>
  <si>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</si>
  <si>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</si>
  <si>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</si>
  <si>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</si>
  <si>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</si>
  <si>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</si>
  <si>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</si>
  <si>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</si>
  <si>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</si>
  <si>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</si>
  <si>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</si>
  <si>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</si>
  <si>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</si>
  <si>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</si>
  <si>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</si>
  <si>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</si>
  <si>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</si>
  <si>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</si>
  <si>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</si>
  <si>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</si>
  <si>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</si>
  <si>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</si>
  <si>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</si>
  <si>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</si>
  <si>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</si>
  <si>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</si>
  <si>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</si>
  <si>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</si>
  <si>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</si>
  <si>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</si>
  <si>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</si>
  <si>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</si>
  <si>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</si>
  <si>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</si>
  <si>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</si>
  <si>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</si>
  <si>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</si>
  <si>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</si>
  <si>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</si>
  <si>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</si>
  <si>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</si>
  <si>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</si>
  <si>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</si>
  <si>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</si>
  <si>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</si>
  <si>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</si>
  <si>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</si>
  <si>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</si>
  <si>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</si>
  <si>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</si>
  <si>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</si>
  <si>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</si>
  <si>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</si>
  <si>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</si>
  <si>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</si>
  <si>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</si>
  <si>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</si>
  <si>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</si>
  <si>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</si>
  <si>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</si>
  <si>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</si>
  <si>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</si>
  <si>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</si>
  <si>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</si>
  <si>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</si>
  <si>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</si>
  <si>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</si>
  <si>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</si>
  <si>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</si>
  <si>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</si>
  <si>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</si>
  <si>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</si>
  <si>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</si>
  <si>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</si>
  <si>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</si>
  <si>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</si>
  <si>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</si>
  <si>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</si>
  <si>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</si>
  <si>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</si>
  <si>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</si>
  <si>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</si>
  <si>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</si>
  <si>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</si>
  <si>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</si>
  <si>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</si>
  <si>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</si>
  <si>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</si>
  <si>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</si>
  <si>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</si>
  <si>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</si>
  <si>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</si>
  <si>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</si>
  <si>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</si>
  <si>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</si>
  <si>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</si>
  <si>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</si>
  <si>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</si>
  <si>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</si>
  <si>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</si>
  <si>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</si>
  <si>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</si>
  <si>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</si>
  <si>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</si>
  <si>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</si>
  <si>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</si>
  <si>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</si>
  <si>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</si>
  <si>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</si>
  <si>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</si>
  <si>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</si>
  <si>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</si>
  <si>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</si>
  <si>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</si>
  <si>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</si>
  <si>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</si>
  <si>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</si>
  <si>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</si>
  <si>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</si>
  <si>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</si>
  <si>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</si>
  <si>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</si>
  <si>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</si>
  <si>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</si>
  <si>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</si>
  <si>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</si>
  <si>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</si>
  <si>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</si>
  <si>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</si>
  <si>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</si>
  <si>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</si>
  <si>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</si>
  <si>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</si>
  <si>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</si>
  <si>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</si>
  <si>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</si>
  <si>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</si>
  <si>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</si>
  <si>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</si>
  <si>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</si>
  <si>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</si>
  <si>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</si>
  <si>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</si>
  <si>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</si>
  <si>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</si>
  <si>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</si>
  <si>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</si>
  <si>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</si>
  <si>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</si>
  <si>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</si>
  <si>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</si>
  <si>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</si>
  <si>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</si>
  <si>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</si>
  <si>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</si>
  <si>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</si>
  <si>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</si>
  <si>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</si>
  <si>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</si>
  <si>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</si>
  <si>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</si>
  <si>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</si>
  <si>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</si>
  <si>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</si>
  <si>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</si>
  <si>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</si>
  <si>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</si>
  <si>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</si>
  <si>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</si>
  <si>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</si>
  <si>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</si>
  <si>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</si>
  <si>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</si>
  <si>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</si>
  <si>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</si>
  <si>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</si>
  <si>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</si>
  <si>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</si>
  <si>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</si>
  <si>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</si>
  <si>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</si>
  <si>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</si>
  <si>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</si>
  <si>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</si>
  <si>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</si>
  <si>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</si>
  <si>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</si>
  <si>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</si>
  <si>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</si>
  <si>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</si>
  <si>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</si>
  <si>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</si>
  <si>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</si>
  <si>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</si>
  <si>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</si>
  <si>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</si>
  <si>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</si>
  <si>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</si>
  <si>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</si>
  <si>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</si>
  <si>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</si>
  <si>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</si>
  <si>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</si>
  <si>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</si>
  <si>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</si>
  <si>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</si>
  <si>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</si>
  <si>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</si>
  <si>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</si>
  <si>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</si>
  <si>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</si>
  <si>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</si>
  <si>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</si>
  <si>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</si>
  <si>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</si>
  <si>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</si>
  <si>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</si>
  <si>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</si>
  <si>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</si>
  <si>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</si>
  <si>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</si>
  <si>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</si>
  <si>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</si>
  <si>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</si>
  <si>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</si>
  <si>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</si>
  <si>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</si>
  <si>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</si>
  <si>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</si>
  <si>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</si>
  <si>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</si>
  <si>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</si>
  <si>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</si>
  <si>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</si>
  <si>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</si>
  <si>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</si>
  <si>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</si>
  <si>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</si>
  <si>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</si>
  <si>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</si>
  <si>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</si>
  <si>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</si>
  <si>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</si>
  <si>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</si>
  <si>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</si>
  <si>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</si>
  <si>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</si>
  <si>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</si>
  <si>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</si>
  <si>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</si>
  <si>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</si>
  <si>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</si>
  <si>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</si>
  <si>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</si>
  <si>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</si>
  <si>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</si>
  <si>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</si>
  <si>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</si>
  <si>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</si>
  <si>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</si>
  <si>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</si>
  <si>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</si>
  <si>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</si>
  <si>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</si>
  <si>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</si>
  <si>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</si>
  <si>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</si>
  <si>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</si>
  <si>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</si>
  <si>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</si>
  <si>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</si>
  <si>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</si>
  <si>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</si>
  <si>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</si>
  <si>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</si>
  <si>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</si>
  <si>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</si>
  <si>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</si>
  <si>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</si>
  <si>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</si>
  <si>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</si>
  <si>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</si>
  <si>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</si>
  <si>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</si>
  <si>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</si>
  <si>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</si>
  <si>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</si>
  <si>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</si>
  <si>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</si>
  <si>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</si>
  <si>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</si>
  <si>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</si>
  <si>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</si>
  <si>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</si>
  <si>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</si>
  <si>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</si>
  <si>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</si>
  <si>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</si>
  <si>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</si>
  <si>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</si>
  <si>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</si>
  <si>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</si>
  <si>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</si>
  <si>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</si>
  <si>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</si>
  <si>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</si>
  <si>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</si>
  <si>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</si>
  <si>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</si>
  <si>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</si>
  <si>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</si>
  <si>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</si>
  <si>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</si>
  <si>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</si>
  <si>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</si>
  <si>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</si>
  <si>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</si>
  <si>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</si>
  <si>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</si>
  <si>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</si>
  <si>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</si>
  <si>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</si>
  <si>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</si>
  <si>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</si>
  <si>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</si>
  <si>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</si>
  <si>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</si>
  <si>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</si>
  <si>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</si>
  <si>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</si>
  <si>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</si>
  <si>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</si>
  <si>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</si>
  <si>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</si>
  <si>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</si>
  <si>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</si>
  <si>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</si>
  <si>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</si>
  <si>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</si>
  <si>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</si>
  <si>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</si>
  <si>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</si>
  <si>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</si>
  <si>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</si>
  <si>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</si>
  <si>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</si>
  <si>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</si>
  <si>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</si>
  <si>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</si>
  <si>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</si>
  <si>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</si>
  <si>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</si>
  <si>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</si>
  <si>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</si>
  <si>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</si>
  <si>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</si>
  <si>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</si>
  <si>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</si>
  <si>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</si>
  <si>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</si>
  <si>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</si>
  <si>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</si>
  <si>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</si>
  <si>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</si>
  <si>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</si>
  <si>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</si>
  <si>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</si>
  <si>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</si>
  <si>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</si>
  <si>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</si>
  <si>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</si>
  <si>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</si>
  <si>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</si>
  <si>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</si>
  <si>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</si>
  <si>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</si>
  <si>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</si>
  <si>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</si>
  <si>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</si>
  <si>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</si>
  <si>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</si>
  <si>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</si>
  <si>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</si>
  <si>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</si>
  <si>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</si>
  <si>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</si>
  <si>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</si>
  <si>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</si>
  <si>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</si>
  <si>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</si>
  <si>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</si>
  <si>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</si>
  <si>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</si>
  <si>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</si>
  <si>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</si>
  <si>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</si>
  <si>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</si>
  <si>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</si>
  <si>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</si>
  <si>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</si>
  <si>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</si>
  <si>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</si>
  <si>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</si>
  <si>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</si>
  <si>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</si>
  <si>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</si>
  <si>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</si>
  <si>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</si>
  <si>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</si>
  <si>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</si>
  <si>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</si>
  <si>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</si>
  <si>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</si>
  <si>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</si>
  <si>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</si>
  <si>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</si>
  <si>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</si>
  <si>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</si>
  <si>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</si>
  <si>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</si>
  <si>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</si>
  <si>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</si>
  <si>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</si>
  <si>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</si>
  <si>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</si>
  <si>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</si>
  <si>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</si>
  <si>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</si>
  <si>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</si>
  <si>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</si>
  <si>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</si>
  <si>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</si>
  <si>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</si>
  <si>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</si>
  <si>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</si>
  <si>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</si>
  <si>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</si>
  <si>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</si>
  <si>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</si>
  <si>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</si>
  <si>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</si>
  <si>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</si>
  <si>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</si>
  <si>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</si>
  <si>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</si>
  <si>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</si>
  <si>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</si>
  <si>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</si>
  <si>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</si>
  <si>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</si>
  <si>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</si>
  <si>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</si>
  <si>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</si>
  <si>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</si>
  <si>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</si>
  <si>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</si>
  <si>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</si>
  <si>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</si>
  <si>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</si>
  <si>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</si>
  <si>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</si>
  <si>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</si>
  <si>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</si>
  <si>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</si>
  <si>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</si>
  <si>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</si>
  <si>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</si>
  <si>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</si>
  <si>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</si>
  <si>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</si>
  <si>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</si>
  <si>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</si>
  <si>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</si>
  <si>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</si>
  <si>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</si>
  <si>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</si>
  <si>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</si>
  <si>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</si>
  <si>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</si>
  <si>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</si>
  <si>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</si>
  <si>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</si>
  <si>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</si>
  <si>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</si>
  <si>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</si>
  <si>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</si>
  <si>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</si>
  <si>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</si>
  <si>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</si>
  <si>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</si>
  <si>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</si>
  <si>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</si>
  <si>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</si>
  <si>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</si>
  <si>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</si>
  <si>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</si>
  <si>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</si>
  <si>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</si>
  <si>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</si>
  <si>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</si>
  <si>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</si>
  <si>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</si>
  <si>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</si>
  <si>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</si>
  <si>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</si>
  <si>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</si>
  <si>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</si>
  <si>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</si>
  <si>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</si>
  <si>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</si>
  <si>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</si>
  <si>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</si>
  <si>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</si>
  <si>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</si>
  <si>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</si>
  <si>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</si>
  <si>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</si>
  <si>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</si>
  <si>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</si>
  <si>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</si>
  <si>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</si>
  <si>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</si>
  <si>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</si>
  <si>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</si>
  <si>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</si>
  <si>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</si>
  <si>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</si>
  <si>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</si>
  <si>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</si>
  <si>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</si>
  <si>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</si>
  <si>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</si>
  <si>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</si>
  <si>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</si>
  <si>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</si>
  <si>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</si>
  <si>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</si>
  <si>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</si>
  <si>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</si>
  <si>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</si>
  <si>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</si>
  <si>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</si>
  <si>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</si>
  <si>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</si>
  <si>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</si>
  <si>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</si>
  <si>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</si>
  <si>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</si>
  <si>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</si>
  <si>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</si>
  <si>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</si>
  <si>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</si>
  <si>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</si>
  <si>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</si>
  <si>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</si>
  <si>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</si>
  <si>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</si>
  <si>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</si>
  <si>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</si>
  <si>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</si>
  <si>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</si>
  <si>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</si>
  <si>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</si>
  <si>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</si>
  <si>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</si>
  <si>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</si>
  <si>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</si>
  <si>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</si>
  <si>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</si>
  <si>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</si>
  <si>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</si>
  <si>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</si>
  <si>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</si>
  <si>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</si>
  <si>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</si>
  <si>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</si>
  <si>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</si>
  <si>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</si>
  <si>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</si>
  <si>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</si>
  <si>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</si>
  <si>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</si>
  <si>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</si>
  <si>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</si>
  <si>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</si>
  <si>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</si>
  <si>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</si>
  <si>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</si>
  <si>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</si>
  <si>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</si>
  <si>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</si>
  <si>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</si>
  <si>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</si>
  <si>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</si>
  <si>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</si>
  <si>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</si>
  <si>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</si>
  <si>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</si>
  <si>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</si>
  <si>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</si>
  <si>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</si>
  <si>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</si>
  <si>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</si>
  <si>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</si>
  <si>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</si>
  <si>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</si>
  <si>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</si>
  <si>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</si>
  <si>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</si>
  <si>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</si>
  <si>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</si>
  <si>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</si>
  <si>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</si>
  <si>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</si>
  <si>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</si>
  <si>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</si>
  <si>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</si>
  <si>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</si>
  <si>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</si>
  <si>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</si>
  <si>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</si>
  <si>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</si>
  <si>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</si>
  <si>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</si>
  <si>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</si>
  <si>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</si>
  <si>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</si>
  <si>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</si>
  <si>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</si>
  <si>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</si>
  <si>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</si>
  <si>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</si>
  <si>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</si>
  <si>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</si>
  <si>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</si>
  <si>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</si>
  <si>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</si>
  <si>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</si>
  <si>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</si>
  <si>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</si>
  <si>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</si>
  <si>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</si>
  <si>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</si>
  <si>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</si>
  <si>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</si>
  <si>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</si>
  <si>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</si>
  <si>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</si>
  <si>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</si>
  <si>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</si>
  <si>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</si>
  <si>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</si>
  <si>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</si>
  <si>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</si>
  <si>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</si>
  <si>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</si>
  <si>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</si>
  <si>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</si>
  <si>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</si>
  <si>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</si>
  <si>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</si>
  <si>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</si>
  <si>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</si>
  <si>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</si>
  <si>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</si>
  <si>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</si>
  <si>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</si>
  <si>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</si>
  <si>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</si>
  <si>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</si>
  <si>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</si>
  <si>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</si>
  <si>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</si>
  <si>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</si>
  <si>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</si>
  <si>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</si>
  <si>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</si>
  <si>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</si>
  <si>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</si>
  <si>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</si>
  <si>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</si>
  <si>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</si>
  <si>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</si>
  <si>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</si>
  <si>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</si>
  <si>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</si>
  <si>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</si>
  <si>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</si>
  <si>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</si>
  <si>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</si>
  <si>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</si>
  <si>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</si>
  <si>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</si>
  <si>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</si>
  <si>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</si>
  <si>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</si>
  <si>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</si>
  <si>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</si>
  <si>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</si>
  <si>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</si>
  <si>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</si>
  <si>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</si>
  <si>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</si>
  <si>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</si>
  <si>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</si>
  <si>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</si>
  <si>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</si>
  <si>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</si>
  <si>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</si>
  <si>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</si>
  <si>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</si>
  <si>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</si>
  <si>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</si>
  <si>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</si>
  <si>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</si>
  <si>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</si>
  <si>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</si>
  <si>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</si>
  <si>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</si>
  <si>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</si>
  <si>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</si>
  <si>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</si>
  <si>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</si>
  <si>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</si>
  <si>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</si>
  <si>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</si>
  <si>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</si>
  <si>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</si>
  <si>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</si>
  <si>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</si>
  <si>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</si>
  <si>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</si>
  <si>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</si>
  <si>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</si>
  <si>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</si>
  <si>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</si>
  <si>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</si>
  <si>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</si>
  <si>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</si>
  <si>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</si>
  <si>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</si>
  <si>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</si>
  <si>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</si>
  <si>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</si>
  <si>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</si>
  <si>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</si>
  <si>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</si>
  <si>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</si>
  <si>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</si>
  <si>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</si>
  <si>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</si>
  <si>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</si>
  <si>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</si>
  <si>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</si>
  <si>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</si>
  <si>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</si>
  <si>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</si>
  <si>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</si>
  <si>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</si>
  <si>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</si>
  <si>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</si>
  <si>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</si>
  <si>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</si>
  <si>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</si>
  <si>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</si>
  <si>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</si>
  <si>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</si>
  <si>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</si>
  <si>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</si>
  <si>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</si>
  <si>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</si>
  <si>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</si>
  <si>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</si>
  <si>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</si>
  <si>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</si>
  <si>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</si>
  <si>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</si>
  <si>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</si>
  <si>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</si>
  <si>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</si>
  <si>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</si>
  <si>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</si>
  <si>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</si>
  <si>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</si>
  <si>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</si>
  <si>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</si>
  <si>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</si>
  <si>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</si>
  <si>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</si>
  <si>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</si>
  <si>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</si>
  <si>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</si>
  <si>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</si>
  <si>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</si>
  <si>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</si>
  <si>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</si>
  <si>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</si>
  <si>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</si>
  <si>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</si>
  <si>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</si>
  <si>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</si>
  <si>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</si>
  <si>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</si>
  <si>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</si>
  <si>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</si>
  <si>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</si>
  <si>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</si>
  <si>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</si>
  <si>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</si>
  <si>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</si>
  <si>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</si>
  <si>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</si>
  <si>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</si>
  <si>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</si>
  <si>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</si>
  <si>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</si>
  <si>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</si>
  <si>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</si>
  <si>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</si>
  <si>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</si>
  <si>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</si>
  <si>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</si>
  <si>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</si>
  <si>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</si>
  <si>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</si>
  <si>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</si>
  <si>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</si>
  <si>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</si>
  <si>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</si>
  <si>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</si>
  <si>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</si>
  <si>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</si>
  <si>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</si>
  <si>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</si>
  <si>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</si>
  <si>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</si>
  <si>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</si>
  <si>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</si>
  <si>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</si>
  <si>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</si>
  <si>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</si>
  <si>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</si>
  <si>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</si>
  <si>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</si>
  <si>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</si>
  <si>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</si>
  <si>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</si>
  <si>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</si>
  <si>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</si>
  <si>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</si>
  <si>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</si>
  <si>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</si>
  <si>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</si>
  <si>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</si>
  <si>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</si>
  <si>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</si>
  <si>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</si>
  <si>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</si>
  <si>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</si>
  <si>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</si>
  <si>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</si>
  <si>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</si>
  <si>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</si>
  <si>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</si>
  <si>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</si>
  <si>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</si>
  <si>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</si>
  <si>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</si>
  <si>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</si>
  <si>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</si>
  <si>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</si>
  <si>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</si>
  <si>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</si>
  <si>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</si>
  <si>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</si>
  <si>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</si>
  <si>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</si>
  <si>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</si>
  <si>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</si>
  <si>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</si>
  <si>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</si>
  <si>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</si>
  <si>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</si>
  <si>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</si>
  <si>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</si>
  <si>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</si>
  <si>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</si>
  <si>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</si>
  <si>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</si>
  <si>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</si>
  <si>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</si>
  <si>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</si>
  <si>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</si>
  <si>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</si>
  <si>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</si>
  <si>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</si>
  <si>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</si>
  <si>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</si>
  <si>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</si>
  <si>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</si>
  <si>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</si>
  <si>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</si>
  <si>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</si>
  <si>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</si>
  <si>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</si>
  <si>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</si>
  <si>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</si>
  <si>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</si>
  <si>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</si>
  <si>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</si>
  <si>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</si>
  <si>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</si>
  <si>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</si>
  <si>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</si>
  <si>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</si>
  <si>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</si>
  <si>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</si>
  <si>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</si>
  <si>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</si>
  <si>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</si>
  <si>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</si>
  <si>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</si>
  <si>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</si>
  <si>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</si>
  <si>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</si>
  <si>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</si>
  <si>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</si>
  <si>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</si>
  <si>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</si>
  <si>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</si>
  <si>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</si>
  <si>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</si>
  <si>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</si>
  <si>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</si>
  <si>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</si>
  <si>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</si>
  <si>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</si>
  <si>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</si>
  <si>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</si>
  <si>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</si>
  <si>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</si>
  <si>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</si>
  <si>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</si>
  <si>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</si>
  <si>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</si>
  <si>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</si>
  <si>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</si>
  <si>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</si>
  <si>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</si>
  <si>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</si>
  <si>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</si>
  <si>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</si>
  <si>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</si>
  <si>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</si>
  <si>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</si>
  <si>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</si>
  <si>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</si>
  <si>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</si>
  <si>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</si>
  <si>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</si>
  <si>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</si>
  <si>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</si>
  <si>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</si>
  <si>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</si>
  <si>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</si>
  <si>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</si>
  <si>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</si>
  <si>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</si>
  <si>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</si>
  <si>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</si>
  <si>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</si>
  <si>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</si>
  <si>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</si>
  <si>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</si>
  <si>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</si>
  <si>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</si>
  <si>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</si>
  <si>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</si>
  <si>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</si>
  <si>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</si>
  <si>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</si>
  <si>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</si>
  <si>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</si>
  <si>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</si>
  <si>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</si>
  <si>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</si>
  <si>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</si>
  <si>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</si>
  <si>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</si>
  <si>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</si>
  <si>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</si>
  <si>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</si>
  <si>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</si>
  <si>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</si>
  <si>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</si>
  <si>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</si>
  <si>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</si>
  <si>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</si>
  <si>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</si>
  <si>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</si>
  <si>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</si>
  <si>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</si>
  <si>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</si>
  <si>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</si>
  <si>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</si>
  <si>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</si>
  <si>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</si>
  <si>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</si>
  <si>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</si>
  <si>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</si>
  <si>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</si>
  <si>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</si>
  <si>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</si>
  <si>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</si>
  <si>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</si>
  <si>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</si>
  <si>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</si>
  <si>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</si>
  <si>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</si>
  <si>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</si>
  <si>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</si>
  <si>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</si>
  <si>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</si>
  <si>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</si>
  <si>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</si>
  <si>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</si>
  <si>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</si>
  <si>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</si>
  <si>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</si>
  <si>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</si>
  <si>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</si>
  <si>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</si>
  <si>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</si>
  <si>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</si>
  <si>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</si>
  <si>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</si>
  <si>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</si>
  <si>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</si>
  <si>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</si>
  <si>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</si>
  <si>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</si>
  <si>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</si>
  <si>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</si>
  <si>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</si>
  <si>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</si>
  <si>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</si>
  <si>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</si>
  <si>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</si>
  <si>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</si>
  <si>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</si>
  <si>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</si>
  <si>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</si>
  <si>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</si>
  <si>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</si>
  <si>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</si>
  <si>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</si>
  <si>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</si>
  <si>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</si>
  <si>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</si>
  <si>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</si>
  <si>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</si>
  <si>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</si>
  <si>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</si>
  <si>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</si>
  <si>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</si>
  <si>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</si>
  <si>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</si>
  <si>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</si>
  <si>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</si>
  <si>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</si>
  <si>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</si>
  <si>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</si>
  <si>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</si>
  <si>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</si>
  <si>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</si>
  <si>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</si>
  <si>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</si>
  <si>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</si>
  <si>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</si>
  <si>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</si>
  <si>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</si>
  <si>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</si>
  <si>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</si>
  <si>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</si>
  <si>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</si>
  <si>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</si>
  <si>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</si>
  <si>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</si>
  <si>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</si>
  <si>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</si>
  <si>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</si>
  <si>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</si>
  <si>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</si>
  <si>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</si>
  <si>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</si>
  <si>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</si>
  <si>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</si>
  <si>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</si>
  <si>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</si>
  <si>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</si>
  <si>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</si>
  <si>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</si>
  <si>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</si>
  <si>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</si>
  <si>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</si>
  <si>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</si>
  <si>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</si>
  <si>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</si>
  <si>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</si>
  <si>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</si>
  <si>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</si>
  <si>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</si>
  <si>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</si>
  <si>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</si>
  <si>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</si>
  <si>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</si>
  <si>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</si>
  <si>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</si>
  <si>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</si>
  <si>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</si>
  <si>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</si>
  <si>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</si>
  <si>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</si>
  <si>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</si>
  <si>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</si>
  <si>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</si>
  <si>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</si>
  <si>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</si>
  <si>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</si>
  <si>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</si>
  <si>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</si>
  <si>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</si>
  <si>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</si>
  <si>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</si>
  <si>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</si>
  <si>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</si>
  <si>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</si>
  <si>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</si>
  <si>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</si>
  <si>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</si>
  <si>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</si>
  <si>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</si>
  <si>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</si>
  <si>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</si>
  <si>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</si>
  <si>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</si>
  <si>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</si>
  <si>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</si>
  <si>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</si>
  <si>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</si>
  <si>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</si>
  <si>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</si>
  <si>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</si>
  <si>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</si>
  <si>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</si>
  <si>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</si>
  <si>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</si>
  <si>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</si>
  <si>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</si>
  <si>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</si>
  <si>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</si>
  <si>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</si>
  <si>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</si>
  <si>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</si>
  <si>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</si>
  <si>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</si>
  <si>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</si>
  <si>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</si>
  <si>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</si>
  <si>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</si>
  <si>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</si>
  <si>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</si>
  <si>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</si>
  <si>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</si>
  <si>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</si>
  <si>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</si>
  <si>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</si>
  <si>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</si>
  <si>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</si>
  <si>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</si>
  <si>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</si>
  <si>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</si>
  <si>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</si>
  <si>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</si>
  <si>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</si>
  <si>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</si>
  <si>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</si>
  <si>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</si>
  <si>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</si>
  <si>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</si>
  <si>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</si>
  <si>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</si>
  <si>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</si>
  <si>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</si>
  <si>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</si>
  <si>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</si>
  <si>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</si>
  <si>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</si>
  <si>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</si>
  <si>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</si>
  <si>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</si>
  <si>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</si>
  <si>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</si>
  <si>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</si>
  <si>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</si>
  <si>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</si>
  <si>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</si>
  <si>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</si>
  <si>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</si>
  <si>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</si>
  <si>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</si>
  <si>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</si>
  <si>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</si>
  <si>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</si>
  <si>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</si>
  <si>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</si>
  <si>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</si>
  <si>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</si>
  <si>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</si>
  <si>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</si>
  <si>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</si>
  <si>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</si>
  <si>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</si>
  <si>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</si>
  <si>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</si>
  <si>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</si>
  <si>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</si>
  <si>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</si>
  <si>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</si>
  <si>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</si>
  <si>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</si>
  <si>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</si>
  <si>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</si>
  <si>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</si>
  <si>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</si>
  <si>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</si>
  <si>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</si>
  <si>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</si>
  <si>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</si>
  <si>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</si>
  <si>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</si>
  <si>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</si>
  <si>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</si>
  <si>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</si>
  <si>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</si>
  <si>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</si>
  <si>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</si>
  <si>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</si>
  <si>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</si>
  <si>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</si>
  <si>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</si>
  <si>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</si>
  <si>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</si>
  <si>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</si>
  <si>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</si>
  <si>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</si>
  <si>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</si>
  <si>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</si>
  <si>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</si>
  <si>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</si>
  <si>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</si>
  <si>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</si>
  <si>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</si>
  <si>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</si>
  <si>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</si>
  <si>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</si>
  <si>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</si>
  <si>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</si>
  <si>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</si>
  <si>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</si>
  <si>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</si>
  <si>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</si>
  <si>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</si>
  <si>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</si>
  <si>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</si>
  <si>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</si>
  <si>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</si>
  <si>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</si>
  <si>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</si>
  <si>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</si>
  <si>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</si>
  <si>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</si>
  <si>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</si>
  <si>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</si>
  <si>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</si>
  <si>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</si>
  <si>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</si>
  <si>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</si>
  <si>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</si>
  <si>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</si>
  <si>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</si>
  <si>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</si>
  <si>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</si>
  <si>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</si>
  <si>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</si>
  <si>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</si>
  <si>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</si>
  <si>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</si>
  <si>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</si>
  <si>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</si>
  <si>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</si>
  <si>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</si>
  <si>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</si>
  <si>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</si>
  <si>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</si>
  <si>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</si>
  <si>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</si>
  <si>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</si>
  <si>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</si>
  <si>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</si>
  <si>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</si>
  <si>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</si>
  <si>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</si>
  <si>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</si>
  <si>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</si>
  <si>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</si>
  <si>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</si>
  <si>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</si>
  <si>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</si>
  <si>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</si>
  <si>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</si>
  <si>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</si>
  <si>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</si>
  <si>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</si>
  <si>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</si>
  <si>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</si>
  <si>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</si>
  <si>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</si>
  <si>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</si>
  <si>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</si>
  <si>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</si>
  <si>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</si>
  <si>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</si>
  <si>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</si>
  <si>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</si>
  <si>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</si>
  <si>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</si>
  <si>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</si>
  <si>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</si>
  <si>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</si>
  <si>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</si>
  <si>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</si>
  <si>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</si>
  <si>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</si>
  <si>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</si>
  <si>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</si>
  <si>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</si>
  <si>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</si>
  <si>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</si>
  <si>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</si>
  <si>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</si>
  <si>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</si>
  <si>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</si>
  <si>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</si>
  <si>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</si>
  <si>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</si>
  <si>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</si>
  <si>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</si>
  <si>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</si>
  <si>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</si>
  <si>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</si>
  <si>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</si>
  <si>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</si>
  <si>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</si>
  <si>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</si>
  <si>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</si>
  <si>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</si>
  <si>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</si>
  <si>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</si>
  <si>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</si>
  <si>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</si>
  <si>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</si>
  <si>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</si>
  <si>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</si>
  <si>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</si>
  <si>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</si>
  <si>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</si>
  <si>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</si>
  <si>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</si>
  <si>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</si>
  <si>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</si>
  <si>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</si>
  <si>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</si>
  <si>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</si>
  <si>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</si>
  <si>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</si>
  <si>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</si>
  <si>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</si>
  <si>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</si>
  <si>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</si>
  <si>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</si>
  <si>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</si>
  <si>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</si>
  <si>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</si>
  <si>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</si>
  <si>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</si>
  <si>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</si>
  <si>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</si>
  <si>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</si>
  <si>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</si>
  <si>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</si>
  <si>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</si>
  <si>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</si>
  <si>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</si>
  <si>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</si>
  <si>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</si>
  <si>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</si>
  <si>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</si>
  <si>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</si>
  <si>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</si>
  <si>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</si>
  <si>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</si>
  <si>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</si>
  <si>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</si>
  <si>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</si>
  <si>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</si>
  <si>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</si>
  <si>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</si>
  <si>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</si>
  <si>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</si>
  <si>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</si>
  <si>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</si>
  <si>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</si>
  <si>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</si>
  <si>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</si>
  <si>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</si>
  <si>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</si>
  <si>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</si>
  <si>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</si>
  <si>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</si>
  <si>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</si>
  <si>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</si>
  <si>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</si>
  <si>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</si>
  <si>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</si>
  <si>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</si>
  <si>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</si>
  <si>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</si>
  <si>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</si>
  <si>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</si>
  <si>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</si>
  <si>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</si>
  <si>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</si>
  <si>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</si>
  <si>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</si>
  <si>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</si>
  <si>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</si>
  <si>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</si>
  <si>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</si>
  <si>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</si>
  <si>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</si>
  <si>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</si>
  <si>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</si>
  <si>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</si>
  <si>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</si>
  <si>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</si>
  <si>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</si>
  <si>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</si>
  <si>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</si>
  <si>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</si>
  <si>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</si>
  <si>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</si>
  <si>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</si>
  <si>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</si>
  <si>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</si>
  <si>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</si>
  <si>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</si>
  <si>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</si>
  <si>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</si>
  <si>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</si>
  <si>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</si>
  <si>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</si>
  <si>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</si>
  <si>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</si>
  <si>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</si>
  <si>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</si>
  <si>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</si>
  <si>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</si>
  <si>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</si>
  <si>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</si>
  <si>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</si>
  <si>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</si>
  <si>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</si>
  <si>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</si>
  <si>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</si>
  <si>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</si>
  <si>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</si>
  <si>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</si>
  <si>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</si>
  <si>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</si>
  <si>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</si>
  <si>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</si>
  <si>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</si>
  <si>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</si>
  <si>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</si>
  <si>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</si>
  <si>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</si>
  <si>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</si>
  <si>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</si>
  <si>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</si>
  <si>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</si>
  <si>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</si>
  <si>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</si>
  <si>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</si>
  <si>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</si>
  <si>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</si>
  <si>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</si>
  <si>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</si>
  <si>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</si>
  <si>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</si>
  <si>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</si>
  <si>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</si>
  <si>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</si>
  <si>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</si>
  <si>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</si>
  <si>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</si>
  <si>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</si>
  <si>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</si>
  <si>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</si>
  <si>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</si>
  <si>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</si>
  <si>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</si>
  <si>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</si>
  <si>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</si>
  <si>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</si>
  <si>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</si>
  <si>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</si>
  <si>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</si>
  <si>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</si>
  <si>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</si>
  <si>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</si>
  <si>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</si>
  <si>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</si>
  <si>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</si>
  <si>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</si>
  <si>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</si>
  <si>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</si>
  <si>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</si>
  <si>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</si>
  <si>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</si>
  <si>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</si>
  <si>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</si>
  <si>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</si>
  <si>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</si>
  <si>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</si>
  <si>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</si>
  <si>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</si>
  <si>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</si>
  <si>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</si>
  <si>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</si>
  <si>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</si>
  <si>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</si>
  <si>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</si>
  <si>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</si>
  <si>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</si>
  <si>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</si>
  <si>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</si>
  <si>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</si>
  <si>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</si>
  <si>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</si>
  <si>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</si>
  <si>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</si>
  <si>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</si>
  <si>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</si>
  <si>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</si>
  <si>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</si>
  <si>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</si>
  <si>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</si>
  <si>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</si>
  <si>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</si>
  <si>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</si>
  <si>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</si>
  <si>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</si>
  <si>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</si>
  <si>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</si>
  <si>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</si>
  <si>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</si>
  <si>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</si>
  <si>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</si>
  <si>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</si>
  <si>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</si>
  <si>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</si>
  <si>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</si>
  <si>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</si>
  <si>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</si>
  <si>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</si>
  <si>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</si>
  <si>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</si>
  <si>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</si>
  <si>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</si>
  <si>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</si>
  <si>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</si>
  <si>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</si>
  <si>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</si>
  <si>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</si>
  <si>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</si>
  <si>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</si>
  <si>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</si>
  <si>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</si>
  <si>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</si>
  <si>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</si>
  <si>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</si>
  <si>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</si>
  <si>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</si>
  <si>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</si>
  <si>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</si>
  <si>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</si>
  <si>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</si>
  <si>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</si>
  <si>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</si>
  <si>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</si>
  <si>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</si>
  <si>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</si>
  <si>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</si>
  <si>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</si>
  <si>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</si>
  <si>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</si>
  <si>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</si>
  <si>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</si>
  <si>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</si>
  <si>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</si>
  <si>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</si>
  <si>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</si>
  <si>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</si>
  <si>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</si>
  <si>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</si>
  <si>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</si>
  <si>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</si>
  <si>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</si>
  <si>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</si>
  <si>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</si>
  <si>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</si>
  <si>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</si>
  <si>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</si>
  <si>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</si>
  <si>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</si>
  <si>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</si>
  <si>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</si>
  <si>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</si>
  <si>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</si>
  <si>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</si>
  <si>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</si>
  <si>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</si>
  <si>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</si>
  <si>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</si>
  <si>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</si>
  <si>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</si>
  <si>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</si>
  <si>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</si>
  <si>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</si>
  <si>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</si>
  <si>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</si>
  <si>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</si>
  <si>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</si>
  <si>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</si>
  <si>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</si>
  <si>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</si>
  <si>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</si>
  <si>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</si>
  <si>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</si>
  <si>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</si>
  <si>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</si>
  <si>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</si>
  <si>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</si>
  <si>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</si>
  <si>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</si>
  <si>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</si>
  <si>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</si>
  <si>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</si>
  <si>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</si>
  <si>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</si>
  <si>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</si>
  <si>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</si>
  <si>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</si>
  <si>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</si>
  <si>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</si>
  <si>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</si>
  <si>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</si>
  <si>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</si>
  <si>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</si>
  <si>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</si>
  <si>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</si>
  <si>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</si>
  <si>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</si>
  <si>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</si>
  <si>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</si>
  <si>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</si>
  <si>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</si>
  <si>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</si>
  <si>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</si>
  <si>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</si>
  <si>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</si>
  <si>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</si>
  <si>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</si>
  <si>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</si>
  <si>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</si>
  <si>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</si>
  <si>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</si>
  <si>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</si>
  <si>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</si>
  <si>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</si>
  <si>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</si>
  <si>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</si>
  <si>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</si>
  <si>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</si>
  <si>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</si>
  <si>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</si>
  <si>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</si>
  <si>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</si>
  <si>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</si>
  <si>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</si>
  <si>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</si>
  <si>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</si>
  <si>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</si>
  <si>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</si>
  <si>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</si>
  <si>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</si>
  <si>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</si>
  <si>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</si>
  <si>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</si>
  <si>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</si>
  <si>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</si>
  <si>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</si>
  <si>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</si>
  <si>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</si>
  <si>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</si>
  <si>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</si>
  <si>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</si>
  <si>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</si>
  <si>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</si>
  <si>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</si>
  <si>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</si>
  <si>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</si>
  <si>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</si>
  <si>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</si>
  <si>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</si>
  <si>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</si>
  <si>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</si>
  <si>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</si>
  <si>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</si>
  <si>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</si>
  <si>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</si>
  <si>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</si>
  <si>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</si>
  <si>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</si>
  <si>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</si>
  <si>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</si>
  <si>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</si>
  <si>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</si>
  <si>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</si>
  <si>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</si>
  <si>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</si>
  <si>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</si>
  <si>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</si>
  <si>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</si>
  <si>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</si>
  <si>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</si>
  <si>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</si>
  <si>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</si>
  <si>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</si>
  <si>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</si>
  <si>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</si>
  <si>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</si>
  <si>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</si>
  <si>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</si>
  <si>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</si>
  <si>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</si>
  <si>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</si>
  <si>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</si>
  <si>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</si>
  <si>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</si>
  <si>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</si>
  <si>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</si>
  <si>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</si>
  <si>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</si>
  <si>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</si>
  <si>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</si>
  <si>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</si>
  <si>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</si>
  <si>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</si>
  <si>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</si>
  <si>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</si>
  <si>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</si>
  <si>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</si>
  <si>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</si>
  <si>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</si>
  <si>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</si>
  <si>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</si>
  <si>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</si>
  <si>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</si>
  <si>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</si>
  <si>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</si>
  <si>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</si>
  <si>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</si>
  <si>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</si>
  <si>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</si>
  <si>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</si>
  <si>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</si>
  <si>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</si>
  <si>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</si>
  <si>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</si>
  <si>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</si>
  <si>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</si>
  <si>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</si>
  <si>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</si>
  <si>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</si>
  <si>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</si>
  <si>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</si>
  <si>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</si>
  <si>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</si>
  <si>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</si>
  <si>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</si>
  <si>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</si>
  <si>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</si>
  <si>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</si>
  <si>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</si>
  <si>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</si>
  <si>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</si>
  <si>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</si>
  <si>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</si>
  <si>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</si>
  <si>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</si>
  <si>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</si>
  <si>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</si>
  <si>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</si>
  <si>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</si>
  <si>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</si>
  <si>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</si>
  <si>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</si>
  <si>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</si>
  <si>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</si>
  <si>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</si>
  <si>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</si>
  <si>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</si>
  <si>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</si>
  <si>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</si>
  <si>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</si>
  <si>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</si>
  <si>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</si>
  <si>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</si>
  <si>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</si>
  <si>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</si>
  <si>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</si>
  <si>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</si>
  <si>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</si>
  <si>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</si>
  <si>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</si>
  <si>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</si>
  <si>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</si>
  <si>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</si>
  <si>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</si>
  <si>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</si>
  <si>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</si>
  <si>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</si>
  <si>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</si>
  <si>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</si>
  <si>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</si>
  <si>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</si>
  <si>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</si>
  <si>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</si>
  <si>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</si>
  <si>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</si>
  <si>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</si>
  <si>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</si>
  <si>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</si>
  <si>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</si>
  <si>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</si>
  <si>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</si>
  <si>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</si>
  <si>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</si>
  <si>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</si>
  <si>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</si>
  <si>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</si>
  <si>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</si>
  <si>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</si>
  <si>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</si>
  <si>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</si>
  <si>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</si>
  <si>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</si>
  <si>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</si>
  <si>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</si>
  <si>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</si>
  <si>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</si>
  <si>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</si>
  <si>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</si>
  <si>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</si>
  <si>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</si>
  <si>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</si>
  <si>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</si>
  <si>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</si>
  <si>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</si>
  <si>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</si>
  <si>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</si>
  <si>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</si>
  <si>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</si>
  <si>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</si>
  <si>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</si>
  <si>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</si>
  <si>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</si>
  <si>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</si>
  <si>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</si>
  <si>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</si>
  <si>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</si>
  <si>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</si>
  <si>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</si>
  <si>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</si>
  <si>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</si>
  <si>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</si>
  <si>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</si>
  <si>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</si>
  <si>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</si>
  <si>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</si>
  <si>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</si>
  <si>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</si>
  <si>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</si>
  <si>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</si>
  <si>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</si>
  <si>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</si>
  <si>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</si>
  <si>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</si>
  <si>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</si>
  <si>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</si>
  <si>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</si>
  <si>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</si>
  <si>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</si>
  <si>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</si>
  <si>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</si>
  <si>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</si>
  <si>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</si>
  <si>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</si>
  <si>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</si>
  <si>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</si>
  <si>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</si>
  <si>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</si>
  <si>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</si>
  <si>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</si>
  <si>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</si>
  <si>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</si>
  <si>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</si>
  <si>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</si>
  <si>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</si>
  <si>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</si>
  <si>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</si>
  <si>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</si>
  <si>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</si>
  <si>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</si>
  <si>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</si>
  <si>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</si>
  <si>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</si>
  <si>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</si>
  <si>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</si>
  <si>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</si>
  <si>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</si>
  <si>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</si>
  <si>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</si>
  <si>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</si>
  <si>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</si>
  <si>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</si>
  <si>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</si>
  <si>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</si>
  <si>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</si>
  <si>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</si>
  <si>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</si>
  <si>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</si>
  <si>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</si>
  <si>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</si>
  <si>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</si>
  <si>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</si>
  <si>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</si>
  <si>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</si>
  <si>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</si>
  <si>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</si>
  <si>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</si>
  <si>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</si>
  <si>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</si>
  <si>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</si>
  <si>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</si>
  <si>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</si>
  <si>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</si>
  <si>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</si>
  <si>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</si>
  <si>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</si>
  <si>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</si>
  <si>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</si>
  <si>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</si>
  <si>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</si>
  <si>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</si>
  <si>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</si>
  <si>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</si>
  <si>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</si>
  <si>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</si>
  <si>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</si>
  <si>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</si>
  <si>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</si>
  <si>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</si>
  <si>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</si>
  <si>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</si>
  <si>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</si>
  <si>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</si>
  <si>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</si>
  <si>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</si>
  <si>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</si>
  <si>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</si>
  <si>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</si>
  <si>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</si>
  <si>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</si>
  <si>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</si>
  <si>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</si>
  <si>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</si>
  <si>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</si>
  <si>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</si>
  <si>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</si>
  <si>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</si>
  <si>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</si>
  <si>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</si>
  <si>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</si>
  <si>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</si>
  <si>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</si>
  <si>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</si>
  <si>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</si>
  <si>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</si>
  <si>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</si>
  <si>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</si>
  <si>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</si>
  <si>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</si>
  <si>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</si>
  <si>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</si>
  <si>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</si>
  <si>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</si>
  <si>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</si>
  <si>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</si>
  <si>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</si>
  <si>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</si>
  <si>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</si>
  <si>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</si>
  <si>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</si>
  <si>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</si>
  <si>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</si>
  <si>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</si>
  <si>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</si>
  <si>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</si>
  <si>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</si>
  <si>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</si>
  <si>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</si>
  <si>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</si>
  <si>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</si>
  <si>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</si>
  <si>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</si>
  <si>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</si>
  <si>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</si>
  <si>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</si>
  <si>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</si>
  <si>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</si>
  <si>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</si>
  <si>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</si>
  <si>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</si>
  <si>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</si>
  <si>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</si>
  <si>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</si>
  <si>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</si>
  <si>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</si>
  <si>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</si>
  <si>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</si>
  <si>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</si>
  <si>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</si>
  <si>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</si>
  <si>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</si>
  <si>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</si>
  <si>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</si>
  <si>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</si>
  <si>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</si>
  <si>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</si>
  <si>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</si>
  <si>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</si>
  <si>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</si>
  <si>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</si>
  <si>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</si>
  <si>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</si>
  <si>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</si>
  <si>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</si>
  <si>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</si>
  <si>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</si>
  <si>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</si>
  <si>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</si>
  <si>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</si>
  <si>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</si>
  <si>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</si>
  <si>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</si>
  <si>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</si>
  <si>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</si>
  <si>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</si>
  <si>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</si>
  <si>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</si>
  <si>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</si>
  <si>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</si>
  <si>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</si>
  <si>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</si>
  <si>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</si>
  <si>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</si>
  <si>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</si>
  <si>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</si>
  <si>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</si>
  <si>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</si>
  <si>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</si>
  <si>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</si>
  <si>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</si>
  <si>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</si>
  <si>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</si>
  <si>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</si>
  <si>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</si>
  <si>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</si>
  <si>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</si>
  <si>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</si>
  <si>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</si>
  <si>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</si>
  <si>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</si>
  <si>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</si>
  <si>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</si>
  <si>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</si>
  <si>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</si>
  <si>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</si>
  <si>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</si>
  <si>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</si>
  <si>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</si>
  <si>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</si>
  <si>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</si>
  <si>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</si>
  <si>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</si>
  <si>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</si>
  <si>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</si>
  <si>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</si>
  <si>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</si>
  <si>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</si>
  <si>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</si>
  <si>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</si>
  <si>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</si>
  <si>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</si>
  <si>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</si>
  <si>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</si>
  <si>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</si>
  <si>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</si>
  <si>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</si>
  <si>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</si>
  <si>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</si>
  <si>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</si>
  <si>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</si>
  <si>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</si>
  <si>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</si>
  <si>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</si>
  <si>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</si>
  <si>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</si>
  <si>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</si>
  <si>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</si>
  <si>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</si>
  <si>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</si>
  <si>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</si>
  <si>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</si>
  <si>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</si>
  <si>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</si>
  <si>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</si>
  <si>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</si>
  <si>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</si>
  <si>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</si>
  <si>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</si>
  <si>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</si>
  <si>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</si>
  <si>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</si>
  <si>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</si>
  <si>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</si>
  <si>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</si>
  <si>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</si>
  <si>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</si>
  <si>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</si>
  <si>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</si>
  <si>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</si>
  <si>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</si>
  <si>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</si>
  <si>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</si>
  <si>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</si>
  <si>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</si>
  <si>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</si>
  <si>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</si>
  <si>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</si>
  <si>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</si>
  <si>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</si>
  <si>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</si>
  <si>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</si>
  <si>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</si>
  <si>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</si>
  <si>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</si>
  <si>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</si>
  <si>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</si>
  <si>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</si>
  <si>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</si>
  <si>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</si>
  <si>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</si>
  <si>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</si>
  <si>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</si>
  <si>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</si>
  <si>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</si>
  <si>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</si>
  <si>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</si>
  <si>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</si>
  <si>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</si>
  <si>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</si>
  <si>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</si>
  <si>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</si>
  <si>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</si>
  <si>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</si>
  <si>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</si>
  <si>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</si>
  <si>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</si>
  <si>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</si>
  <si>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</si>
  <si>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</si>
  <si>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</si>
  <si>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</si>
  <si>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</si>
  <si>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</si>
  <si>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</si>
  <si>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</si>
  <si>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</si>
  <si>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</si>
  <si>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</si>
  <si>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</si>
  <si>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</si>
  <si>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</si>
  <si>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</si>
  <si>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</si>
  <si>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</si>
  <si>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</si>
  <si>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</si>
  <si>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</si>
  <si>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</si>
  <si>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</si>
  <si>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</si>
  <si>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</si>
  <si>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</si>
  <si>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</si>
  <si>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</si>
  <si>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</si>
  <si>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</si>
  <si>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</si>
  <si>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</si>
  <si>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</si>
  <si>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</si>
  <si>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</si>
  <si>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</si>
  <si>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</si>
  <si>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</si>
  <si>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</si>
  <si>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</si>
  <si>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</si>
  <si>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</si>
  <si>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</si>
  <si>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</si>
  <si>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</si>
  <si>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</si>
  <si>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</si>
  <si>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</si>
  <si>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</si>
  <si>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</si>
  <si>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</si>
  <si>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</si>
  <si>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</si>
  <si>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</si>
  <si>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</si>
  <si>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</si>
  <si>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</si>
  <si>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</si>
  <si>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</si>
  <si>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</si>
  <si>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</si>
  <si>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</si>
  <si>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</si>
  <si>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</si>
  <si>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</si>
  <si>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</si>
  <si>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</si>
  <si>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</si>
  <si>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</si>
  <si>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</si>
  <si>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</si>
  <si>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</si>
  <si>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</si>
  <si>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</si>
  <si>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</si>
  <si>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</si>
  <si>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</si>
  <si>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</si>
  <si>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</si>
  <si>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</si>
  <si>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</si>
  <si>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</si>
  <si>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</si>
  <si>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</si>
  <si>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</si>
  <si>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</si>
  <si>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</si>
  <si>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</si>
  <si>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</si>
  <si>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</si>
  <si>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</si>
  <si>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</si>
  <si>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</si>
  <si>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</si>
  <si>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</si>
  <si>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</si>
  <si>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</si>
  <si>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</si>
  <si>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</si>
  <si>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</si>
  <si>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</si>
  <si>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</si>
  <si>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</si>
  <si>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</si>
  <si>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</si>
  <si>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</si>
  <si>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</si>
  <si>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</si>
  <si>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</si>
  <si>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</si>
  <si>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</si>
  <si>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</si>
  <si>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</si>
  <si>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</si>
  <si>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</si>
  <si>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</si>
  <si>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</si>
  <si>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</si>
  <si>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</si>
  <si>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</si>
  <si>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</si>
  <si>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</si>
  <si>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</si>
  <si>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</si>
  <si>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</si>
  <si>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</si>
  <si>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</si>
  <si>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</si>
  <si>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</si>
  <si>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</si>
  <si>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</si>
  <si>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</si>
  <si>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</si>
  <si>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</si>
  <si>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</si>
  <si>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</si>
  <si>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</si>
  <si>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</si>
  <si>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</si>
  <si>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</si>
  <si>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</si>
  <si>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</si>
  <si>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</si>
  <si>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</si>
  <si>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</si>
  <si>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</si>
  <si>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</si>
  <si>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</si>
  <si>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</si>
  <si>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</si>
  <si>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</si>
  <si>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</si>
  <si>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</si>
  <si>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</si>
  <si>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</si>
  <si>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</si>
  <si>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</si>
  <si>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</si>
  <si>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</si>
  <si>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</si>
  <si>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</si>
  <si>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</si>
  <si>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</si>
  <si>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</si>
  <si>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</si>
  <si>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</si>
  <si>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</si>
  <si>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</si>
  <si>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</si>
  <si>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</si>
  <si>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</si>
  <si>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</si>
  <si>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</si>
  <si>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</si>
  <si>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</si>
  <si>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</si>
  <si>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</si>
  <si>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</si>
  <si>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</si>
  <si>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</si>
  <si>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</si>
  <si>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</si>
  <si>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</si>
  <si>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</si>
  <si>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</si>
  <si>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</si>
  <si>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</si>
  <si>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</si>
  <si>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</si>
  <si>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</si>
  <si>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</si>
  <si>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</si>
  <si>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</si>
  <si>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</si>
  <si>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</si>
  <si>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</si>
  <si>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</si>
  <si>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</si>
  <si>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</si>
  <si>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</si>
  <si>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</si>
  <si>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</si>
  <si>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</si>
  <si>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</si>
  <si>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</si>
  <si>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</si>
  <si>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</si>
  <si>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</si>
  <si>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</si>
  <si>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</si>
  <si>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</si>
  <si>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</si>
  <si>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</si>
  <si>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</si>
  <si>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</si>
  <si>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</si>
  <si>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</si>
  <si>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</si>
  <si>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</si>
  <si>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</si>
  <si>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</si>
  <si>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</si>
  <si>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</si>
  <si>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</si>
  <si>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</si>
  <si>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</si>
  <si>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</si>
  <si>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</si>
  <si>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</si>
  <si>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</si>
  <si>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</si>
  <si>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</si>
  <si>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</si>
  <si>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</si>
  <si>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</si>
  <si>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</si>
  <si>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</si>
  <si>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</si>
  <si>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</si>
  <si>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</si>
  <si>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</si>
  <si>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</si>
  <si>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</si>
  <si>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</si>
  <si>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</si>
  <si>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</si>
  <si>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</si>
  <si>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</si>
  <si>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</si>
  <si>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</si>
  <si>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</si>
  <si>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</si>
  <si>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</si>
  <si>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</si>
  <si>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</si>
  <si>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</si>
  <si>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</si>
  <si>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</si>
  <si>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</si>
  <si>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</si>
  <si>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</si>
  <si>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</si>
  <si>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</si>
  <si>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</si>
  <si>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</si>
  <si>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</si>
  <si>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</si>
  <si>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</si>
  <si>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</si>
  <si>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</si>
  <si>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</si>
  <si>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</si>
  <si>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</si>
  <si>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</si>
  <si>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</si>
  <si>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</si>
  <si>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</si>
  <si>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</si>
  <si>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</si>
  <si>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</si>
  <si>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</si>
  <si>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</si>
  <si>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</si>
  <si>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</si>
  <si>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</si>
  <si>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</si>
  <si>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</si>
  <si>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</si>
  <si>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</si>
  <si>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</si>
  <si>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</si>
  <si>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</si>
  <si>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</si>
  <si>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</si>
  <si>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</si>
  <si>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</si>
  <si>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</si>
  <si>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</si>
  <si>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</si>
  <si>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</si>
  <si>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</si>
  <si>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</si>
  <si>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</si>
  <si>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</si>
  <si>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</si>
  <si>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</si>
  <si>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</si>
  <si>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</si>
  <si>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</si>
  <si>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</si>
  <si>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</si>
  <si>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</si>
  <si>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</si>
  <si>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</si>
  <si>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</si>
  <si>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</si>
  <si>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</si>
  <si>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</si>
  <si>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</si>
  <si>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</si>
  <si>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</si>
  <si>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</si>
  <si>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</si>
  <si>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</si>
  <si>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</si>
  <si>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</si>
  <si>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</si>
  <si>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</si>
  <si>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</si>
  <si>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</si>
  <si>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</si>
  <si>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</si>
  <si>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</si>
  <si>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</si>
  <si>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</si>
  <si>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</si>
  <si>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</si>
  <si>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</si>
  <si>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</si>
  <si>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</si>
  <si>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</si>
  <si>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</si>
  <si>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</si>
  <si>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</si>
  <si>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</si>
  <si>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</si>
  <si>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</si>
  <si>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</si>
  <si>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</si>
  <si>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</si>
  <si>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</si>
  <si>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</si>
  <si>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</si>
  <si>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</si>
  <si>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</si>
  <si>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</si>
  <si>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</si>
  <si>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</si>
  <si>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</si>
  <si>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</si>
  <si>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</si>
  <si>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</si>
  <si>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</si>
  <si>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</si>
  <si>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</si>
  <si>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</si>
  <si>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</si>
  <si>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</si>
  <si>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</si>
  <si>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</si>
  <si>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</si>
  <si>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</si>
  <si>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</si>
  <si>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</si>
  <si>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</si>
  <si>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</si>
  <si>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</si>
  <si>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</si>
  <si>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</si>
  <si>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</si>
  <si>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</si>
  <si>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</si>
  <si>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</si>
  <si>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</si>
  <si>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</si>
  <si>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</si>
  <si>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</si>
  <si>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</si>
  <si>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</si>
  <si>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</si>
  <si>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</si>
  <si>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</si>
  <si>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</si>
  <si>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</si>
  <si>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</si>
  <si>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</si>
  <si>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</si>
  <si>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</si>
  <si>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</si>
  <si>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</si>
  <si>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</si>
  <si>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</si>
  <si>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</si>
  <si>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</si>
  <si>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</si>
  <si>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</si>
  <si>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</si>
  <si>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</si>
  <si>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</si>
  <si>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</si>
  <si>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</si>
  <si>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</si>
  <si>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</si>
  <si>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</si>
  <si>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</si>
  <si>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</si>
  <si>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</si>
  <si>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</si>
  <si>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</si>
  <si>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</si>
  <si>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</si>
  <si>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</si>
  <si>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</si>
  <si>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</si>
  <si>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</si>
  <si>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</si>
  <si>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</si>
  <si>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</si>
  <si>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</si>
  <si>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</si>
  <si>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</si>
  <si>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</si>
  <si>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</si>
  <si>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</si>
  <si>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</si>
  <si>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</si>
  <si>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</si>
  <si>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</si>
  <si>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</si>
  <si>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</si>
  <si>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</si>
  <si>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</si>
  <si>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</si>
  <si>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</si>
  <si>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</si>
  <si>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</si>
  <si>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</si>
  <si>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</si>
  <si>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</si>
  <si>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</si>
  <si>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</si>
  <si>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</si>
  <si>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</si>
  <si>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</si>
  <si>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</si>
  <si>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</si>
  <si>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</si>
  <si>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</si>
  <si>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</si>
  <si>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</si>
  <si>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</si>
  <si>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</si>
  <si>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</si>
  <si>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</si>
  <si>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</si>
  <si>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</si>
  <si>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</si>
  <si>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</si>
  <si>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</si>
  <si>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</si>
  <si>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</si>
  <si>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</si>
  <si>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</si>
  <si>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</si>
  <si>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</si>
  <si>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</si>
  <si>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</si>
  <si>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</si>
  <si>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</si>
  <si>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</si>
  <si>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</si>
  <si>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</si>
  <si>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</si>
  <si>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</si>
  <si>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</si>
  <si>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</si>
  <si>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</si>
  <si>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</si>
  <si>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</si>
  <si>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</si>
  <si>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</si>
  <si>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</si>
  <si>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</si>
  <si>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</si>
  <si>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</si>
  <si>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</si>
  <si>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</si>
  <si>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</si>
  <si>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</si>
  <si>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</si>
  <si>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</si>
  <si>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</si>
  <si>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</si>
  <si>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</si>
  <si>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</si>
  <si>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</si>
  <si>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</si>
  <si>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</si>
  <si>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</si>
  <si>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</si>
  <si>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</si>
  <si>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</si>
  <si>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</si>
  <si>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</si>
  <si>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</si>
  <si>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</si>
  <si>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</si>
  <si>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</si>
  <si>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</si>
  <si>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</si>
  <si>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</si>
  <si>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</si>
  <si>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</si>
  <si>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</si>
  <si>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</si>
  <si>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</si>
  <si>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</si>
  <si>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</si>
  <si>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</si>
  <si>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</si>
  <si>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</si>
  <si>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</si>
  <si>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</si>
  <si>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</si>
  <si>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</si>
  <si>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</si>
  <si>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</si>
  <si>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</si>
  <si>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</si>
  <si>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</si>
  <si>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</si>
  <si>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</si>
  <si>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</si>
  <si>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</si>
  <si>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</si>
  <si>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</si>
  <si>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</si>
  <si>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</si>
  <si>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</si>
  <si>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</si>
  <si>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</si>
  <si>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</si>
  <si>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</si>
  <si>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</si>
  <si>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</si>
  <si>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</si>
  <si>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</si>
  <si>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</si>
  <si>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</si>
  <si>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</si>
  <si>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</si>
  <si>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</si>
  <si>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</si>
  <si>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</si>
  <si>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</si>
  <si>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</si>
  <si>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</si>
  <si>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</si>
  <si>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</si>
  <si>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</si>
  <si>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</si>
  <si>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</si>
  <si>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</si>
  <si>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</si>
  <si>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</si>
  <si>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</si>
  <si>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</si>
  <si>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</si>
  <si>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</si>
  <si>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</si>
  <si>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</si>
  <si>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</si>
  <si>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</si>
  <si>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</si>
  <si>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</si>
  <si>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</si>
  <si>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</si>
  <si>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</si>
  <si>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</si>
  <si>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</si>
  <si>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</si>
  <si>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</si>
  <si>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</si>
  <si>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</si>
  <si>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</si>
  <si>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</si>
  <si>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</si>
  <si>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</si>
  <si>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</si>
  <si>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</si>
  <si>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</si>
  <si>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</si>
  <si>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</si>
  <si>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</si>
  <si>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</si>
  <si>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</si>
  <si>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</si>
  <si>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</si>
  <si>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</si>
  <si>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</si>
  <si>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</si>
  <si>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</si>
  <si>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</si>
  <si>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</si>
  <si>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</si>
  <si>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</si>
  <si>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</si>
  <si>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</si>
  <si>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</si>
  <si>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</si>
  <si>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</si>
  <si>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</si>
  <si>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</si>
  <si>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</si>
  <si>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</si>
  <si>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</si>
  <si>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</si>
  <si>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</si>
  <si>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</si>
  <si>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</si>
  <si>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</si>
  <si>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</si>
  <si>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</si>
  <si>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</si>
  <si>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2038</t>
  </si>
  <si>
    <t>38.28</t>
  </si>
  <si>
    <t>46.03</t>
  </si>
  <si>
    <t>Gainai</t>
  </si>
  <si>
    <t>2039</t>
  </si>
  <si>
    <t>1:22.78</t>
  </si>
  <si>
    <t>38.07</t>
  </si>
  <si>
    <t>1:16.14</t>
  </si>
  <si>
    <t>46.32</t>
  </si>
  <si>
    <t>34.60</t>
  </si>
  <si>
    <t>1:32.24</t>
  </si>
  <si>
    <t>38.43</t>
  </si>
  <si>
    <t>24.68</t>
  </si>
  <si>
    <t>24.72</t>
  </si>
  <si>
    <t>59.36</t>
  </si>
  <si>
    <t>59.37</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</si>
  <si>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</si>
  <si>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</si>
  <si>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</si>
  <si>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</si>
  <si>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</si>
  <si>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</si>
  <si>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</si>
  <si>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</si>
  <si>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</si>
  <si>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</si>
  <si>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</si>
  <si>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</si>
  <si>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</si>
  <si>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</si>
  <si>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</si>
  <si>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</si>
  <si>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</si>
  <si>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</si>
  <si>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</si>
  <si>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</si>
  <si>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</si>
  <si>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</si>
  <si>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</si>
  <si>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</si>
  <si>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</si>
  <si>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</si>
  <si>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</si>
  <si>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</si>
  <si>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</si>
  <si>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</si>
  <si>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</si>
  <si>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</si>
  <si>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</si>
  <si>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</si>
  <si>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</si>
  <si>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</si>
  <si>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</si>
  <si>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</si>
  <si>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</si>
  <si>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</si>
  <si>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</si>
  <si>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</si>
  <si>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</si>
  <si>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</si>
  <si>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</si>
  <si>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</si>
  <si>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</si>
  <si>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</si>
  <si>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</si>
  <si>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</si>
  <si>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</si>
  <si>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</si>
  <si>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</si>
  <si>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</si>
  <si>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</si>
  <si>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</si>
  <si>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</si>
  <si>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</si>
  <si>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</si>
  <si>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</si>
  <si>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</si>
  <si>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</si>
  <si>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</si>
  <si>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</si>
  <si>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</si>
  <si>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</si>
  <si>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</si>
  <si>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</si>
  <si>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</si>
  <si>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</si>
  <si>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</si>
  <si>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</si>
  <si>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</si>
  <si>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</si>
  <si>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</si>
  <si>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</si>
  <si>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</si>
  <si>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</si>
  <si>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</si>
  <si>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</si>
  <si>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</si>
  <si>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</si>
  <si>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</si>
  <si>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</si>
  <si>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</si>
  <si>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</si>
  <si>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</si>
  <si>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</si>
  <si>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</si>
  <si>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</si>
  <si>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</si>
  <si>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</si>
  <si>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</si>
  <si>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</si>
  <si>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</si>
  <si>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</si>
  <si>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</si>
  <si>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</si>
  <si>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</si>
  <si>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</si>
  <si>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</si>
  <si>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</si>
  <si>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</si>
  <si>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</si>
  <si>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</si>
  <si>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</si>
  <si>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</si>
  <si>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</si>
  <si>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</si>
  <si>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</si>
  <si>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</si>
  <si>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</si>
  <si>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</si>
  <si>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</si>
  <si>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</si>
  <si>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</si>
  <si>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</si>
  <si>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</si>
  <si>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</si>
  <si>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</si>
  <si>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</si>
  <si>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</si>
  <si>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</si>
  <si>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</si>
  <si>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</si>
  <si>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</si>
  <si>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</si>
  <si>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</si>
  <si>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</si>
  <si>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</si>
  <si>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</si>
  <si>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</si>
  <si>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</si>
  <si>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</si>
  <si>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</si>
  <si>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</si>
  <si>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</si>
  <si>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</si>
  <si>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</si>
  <si>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</si>
  <si>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</si>
  <si>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</si>
  <si>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</si>
  <si>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</si>
  <si>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</si>
  <si>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</si>
  <si>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</si>
  <si>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</si>
  <si>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</si>
  <si>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</si>
  <si>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</si>
  <si>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</si>
  <si>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</si>
  <si>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</si>
  <si>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</si>
  <si>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</si>
  <si>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</si>
  <si>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</si>
  <si>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</si>
  <si>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</si>
  <si>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</si>
  <si>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</si>
  <si>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</si>
  <si>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</si>
  <si>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</si>
  <si>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</si>
  <si>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</si>
  <si>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</si>
  <si>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</si>
  <si>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</si>
  <si>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</si>
  <si>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</si>
  <si>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</si>
  <si>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</si>
  <si>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</si>
  <si>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</si>
  <si>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</si>
  <si>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</si>
  <si>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</si>
  <si>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</si>
  <si>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</si>
  <si>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</si>
  <si>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</si>
  <si>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</si>
  <si>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</si>
  <si>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</si>
  <si>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</si>
  <si>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</si>
  <si>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</si>
  <si>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</si>
  <si>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</si>
  <si>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</si>
  <si>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</si>
  <si>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</si>
  <si>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</si>
  <si>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</si>
  <si>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</si>
  <si>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</si>
  <si>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</si>
  <si>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</si>
  <si>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</si>
  <si>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</si>
  <si>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</si>
  <si>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</si>
  <si>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</si>
  <si>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</si>
  <si>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</si>
  <si>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</si>
  <si>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</si>
  <si>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</si>
  <si>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</si>
  <si>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</si>
  <si>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</si>
  <si>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</si>
  <si>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</si>
  <si>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</si>
  <si>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</si>
  <si>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</si>
  <si>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</si>
  <si>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</si>
  <si>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</si>
  <si>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</si>
  <si>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</si>
  <si>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</si>
  <si>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</si>
  <si>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</si>
  <si>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</si>
  <si>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</si>
  <si>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</si>
  <si>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</si>
  <si>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</si>
  <si>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</si>
  <si>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</si>
  <si>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</si>
  <si>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</si>
  <si>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</si>
  <si>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</si>
  <si>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</si>
  <si>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</si>
  <si>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</si>
  <si>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</si>
  <si>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</si>
  <si>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</si>
  <si>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</si>
  <si>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</si>
  <si>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</si>
  <si>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</si>
  <si>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</si>
  <si>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</si>
  <si>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</si>
  <si>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</si>
  <si>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</si>
  <si>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</si>
  <si>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</si>
  <si>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</si>
  <si>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</si>
  <si>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</si>
  <si>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</si>
  <si>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</si>
  <si>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</si>
  <si>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</si>
  <si>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</si>
  <si>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</si>
  <si>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</si>
  <si>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</si>
  <si>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</si>
  <si>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</si>
  <si>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</si>
  <si>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</si>
  <si>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</si>
  <si>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</si>
  <si>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</si>
  <si>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</si>
  <si>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</si>
  <si>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</si>
  <si>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</si>
  <si>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</si>
  <si>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</si>
  <si>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</si>
  <si>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</si>
  <si>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</si>
  <si>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</si>
  <si>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</si>
  <si>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</si>
  <si>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</si>
  <si>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</si>
  <si>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</si>
  <si>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</si>
  <si>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</si>
  <si>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</si>
  <si>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</si>
  <si>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</si>
  <si>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</si>
  <si>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</si>
  <si>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</si>
  <si>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</si>
  <si>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</si>
  <si>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</si>
  <si>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</si>
  <si>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</si>
  <si>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</si>
  <si>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</si>
  <si>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</si>
  <si>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</si>
  <si>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</si>
  <si>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</si>
  <si>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</si>
  <si>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</si>
  <si>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</si>
  <si>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</si>
  <si>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</si>
  <si>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</si>
  <si>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</si>
  <si>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</si>
  <si>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</si>
  <si>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</si>
  <si>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</si>
  <si>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</si>
  <si>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</si>
  <si>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</si>
  <si>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</si>
  <si>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</si>
  <si>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</si>
  <si>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</si>
  <si>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</si>
  <si>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</si>
  <si>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</si>
  <si>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</si>
  <si>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</si>
  <si>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</si>
  <si>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</si>
  <si>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</si>
  <si>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</si>
  <si>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</si>
  <si>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</si>
  <si>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</si>
  <si>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</si>
  <si>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</si>
  <si>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</si>
  <si>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</si>
  <si>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</si>
  <si>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</si>
  <si>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</si>
  <si>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</si>
  <si>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</si>
  <si>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</si>
  <si>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</si>
  <si>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</si>
  <si>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</si>
  <si>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</si>
  <si>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</si>
  <si>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</si>
  <si>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</si>
  <si>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</si>
  <si>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</si>
  <si>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</si>
  <si>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</si>
  <si>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</si>
  <si>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</si>
  <si>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</si>
  <si>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</si>
  <si>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</si>
  <si>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</si>
  <si>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</si>
  <si>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</si>
  <si>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</si>
  <si>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</si>
  <si>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</si>
  <si>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</si>
  <si>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</si>
  <si>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</si>
  <si>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</si>
  <si>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</si>
  <si>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</si>
  <si>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</si>
  <si>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</si>
  <si>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</si>
  <si>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</si>
  <si>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</si>
  <si>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</si>
  <si>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</si>
  <si>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</si>
  <si>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</si>
  <si>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</si>
  <si>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</si>
  <si>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</si>
  <si>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</si>
  <si>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</si>
  <si>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</si>
  <si>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</si>
  <si>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</si>
  <si>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</si>
  <si>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</si>
  <si>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</si>
  <si>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</si>
  <si>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</si>
  <si>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</si>
  <si>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</si>
  <si>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</si>
  <si>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</si>
  <si>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</si>
  <si>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</si>
  <si>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</si>
  <si>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</si>
  <si>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</si>
  <si>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</si>
  <si>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</si>
  <si>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</si>
  <si>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</si>
  <si>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</si>
  <si>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</si>
  <si>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</si>
  <si>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</si>
  <si>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</si>
  <si>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</si>
  <si>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</si>
  <si>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</si>
  <si>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</si>
  <si>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</si>
  <si>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</si>
  <si>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</si>
  <si>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</si>
  <si>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</si>
  <si>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</si>
  <si>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</si>
  <si>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</si>
  <si>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</si>
  <si>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</si>
  <si>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</si>
  <si>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</si>
  <si>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</si>
  <si>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</si>
  <si>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</si>
  <si>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</si>
  <si>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</si>
  <si>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</si>
  <si>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</si>
  <si>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</si>
  <si>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</si>
  <si>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</si>
  <si>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</si>
  <si>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</si>
  <si>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</si>
  <si>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</si>
  <si>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</si>
  <si>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</si>
  <si>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</si>
  <si>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</si>
  <si>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</si>
  <si>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</si>
  <si>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</si>
  <si>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</si>
  <si>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</si>
  <si>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</si>
  <si>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</si>
  <si>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</si>
  <si>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</si>
  <si>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</si>
  <si>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</si>
  <si>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</si>
  <si>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</si>
  <si>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</si>
  <si>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</si>
  <si>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</si>
  <si>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</si>
  <si>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</si>
  <si>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</si>
  <si>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</si>
  <si>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</si>
  <si>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</si>
  <si>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</si>
  <si>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</si>
  <si>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</si>
  <si>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</si>
  <si>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</si>
  <si>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</si>
  <si>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</si>
  <si>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</si>
  <si>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</si>
  <si>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</si>
  <si>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Sarcrai</t>
  </si>
  <si>
    <t>1145</t>
  </si>
  <si>
    <t>50.64</t>
  </si>
  <si>
    <t>1:21.60</t>
  </si>
  <si>
    <t>53.03</t>
  </si>
  <si>
    <t>Basten</t>
  </si>
  <si>
    <t>1146</t>
  </si>
  <si>
    <t>39.13</t>
  </si>
  <si>
    <t>46.61</t>
  </si>
  <si>
    <t>18.48</t>
  </si>
  <si>
    <t>1:34.81</t>
  </si>
  <si>
    <t>35.55</t>
  </si>
  <si>
    <t>24.41</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</si>
  <si>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</si>
  <si>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</si>
  <si>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</si>
  <si>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</si>
  <si>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</si>
  <si>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</si>
  <si>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</si>
  <si>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</si>
  <si>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</si>
  <si>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</si>
  <si>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</si>
  <si>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</si>
  <si>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</si>
  <si>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</si>
  <si>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</si>
  <si>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</si>
  <si>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</si>
  <si>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</si>
  <si>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</si>
  <si>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</si>
  <si>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</si>
  <si>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</si>
  <si>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</si>
  <si>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</si>
  <si>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</si>
  <si>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</si>
  <si>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</si>
  <si>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</si>
  <si>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</si>
  <si>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</si>
  <si>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</si>
  <si>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</si>
  <si>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</si>
  <si>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</si>
  <si>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</si>
  <si>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</si>
  <si>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</si>
  <si>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</si>
  <si>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</si>
  <si>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</si>
  <si>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</si>
  <si>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</si>
  <si>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</si>
  <si>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</si>
  <si>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</si>
  <si>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</si>
  <si>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</si>
  <si>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</si>
  <si>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</si>
  <si>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</si>
  <si>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</si>
  <si>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</si>
  <si>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</si>
  <si>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</si>
  <si>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</si>
  <si>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</si>
  <si>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</si>
  <si>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</si>
  <si>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</si>
  <si>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</si>
  <si>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</si>
  <si>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</si>
  <si>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</si>
  <si>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</si>
  <si>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</si>
  <si>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</si>
  <si>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</si>
  <si>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</si>
  <si>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</si>
  <si>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</si>
  <si>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</si>
  <si>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</si>
  <si>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</si>
  <si>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</si>
  <si>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</si>
  <si>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</si>
  <si>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</si>
  <si>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</si>
  <si>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</si>
  <si>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</si>
  <si>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</si>
  <si>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</si>
  <si>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</si>
  <si>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</si>
  <si>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</si>
  <si>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</si>
  <si>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</si>
  <si>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</si>
  <si>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</si>
  <si>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</si>
  <si>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</si>
  <si>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</si>
  <si>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</si>
  <si>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</si>
  <si>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</si>
  <si>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</si>
  <si>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</si>
  <si>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</si>
  <si>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</si>
  <si>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</si>
  <si>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</si>
  <si>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</si>
  <si>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</si>
  <si>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</si>
  <si>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</si>
  <si>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</si>
  <si>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</si>
  <si>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</si>
  <si>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</si>
  <si>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</si>
  <si>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</si>
  <si>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</si>
  <si>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</si>
  <si>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</si>
  <si>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</si>
  <si>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</si>
  <si>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</si>
  <si>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</si>
  <si>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</si>
  <si>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</si>
  <si>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</si>
  <si>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</si>
  <si>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</si>
  <si>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</si>
  <si>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</si>
  <si>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</si>
  <si>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</si>
  <si>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</si>
  <si>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</si>
  <si>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</si>
  <si>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</si>
  <si>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</si>
  <si>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</si>
  <si>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</si>
  <si>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</si>
  <si>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</si>
  <si>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</si>
  <si>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</si>
  <si>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</si>
  <si>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</si>
  <si>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</si>
  <si>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</si>
  <si>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</si>
  <si>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</si>
  <si>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</si>
  <si>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</si>
  <si>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</si>
  <si>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</si>
  <si>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</si>
  <si>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</si>
  <si>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</si>
  <si>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</si>
  <si>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</si>
  <si>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</si>
  <si>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</si>
  <si>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</si>
  <si>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</si>
  <si>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</si>
  <si>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</si>
  <si>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</si>
  <si>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</si>
  <si>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</si>
  <si>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</si>
  <si>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</si>
  <si>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</si>
  <si>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</si>
  <si>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</si>
  <si>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</si>
  <si>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</si>
  <si>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</si>
  <si>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</si>
  <si>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</si>
  <si>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</si>
  <si>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</si>
  <si>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</si>
  <si>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</si>
  <si>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</si>
  <si>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</si>
  <si>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</si>
  <si>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</si>
  <si>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</si>
  <si>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</si>
  <si>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</si>
  <si>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</si>
  <si>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</si>
  <si>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</si>
  <si>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</si>
  <si>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</si>
  <si>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</si>
  <si>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</si>
  <si>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</si>
  <si>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</si>
  <si>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</si>
  <si>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</si>
  <si>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</si>
  <si>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</si>
  <si>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</si>
  <si>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</si>
  <si>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</si>
  <si>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</si>
  <si>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</si>
  <si>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</si>
  <si>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</si>
  <si>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</si>
  <si>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</si>
  <si>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</si>
  <si>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</si>
  <si>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</si>
  <si>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</si>
  <si>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</si>
  <si>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</si>
  <si>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</si>
  <si>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</si>
  <si>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</si>
  <si>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</si>
  <si>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</si>
  <si>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</si>
  <si>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</si>
  <si>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</si>
  <si>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</si>
  <si>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</si>
  <si>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</si>
  <si>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</si>
  <si>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</si>
  <si>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</si>
  <si>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</si>
  <si>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</si>
  <si>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</si>
  <si>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</si>
  <si>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</si>
  <si>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</si>
  <si>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</si>
  <si>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</si>
  <si>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</si>
  <si>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</si>
  <si>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</si>
  <si>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</si>
  <si>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</si>
  <si>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</si>
  <si>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</si>
  <si>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</si>
  <si>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</si>
  <si>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</si>
  <si>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</si>
  <si>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</si>
  <si>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</si>
  <si>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</si>
  <si>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</si>
  <si>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</si>
  <si>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</si>
  <si>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</si>
  <si>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</si>
  <si>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</si>
  <si>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</si>
  <si>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</si>
  <si>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</si>
  <si>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</si>
  <si>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</si>
  <si>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</si>
  <si>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</si>
  <si>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</si>
  <si>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</si>
  <si>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</si>
  <si>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</si>
  <si>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</si>
  <si>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</si>
  <si>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</si>
  <si>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</si>
  <si>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</si>
  <si>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</si>
  <si>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</si>
  <si>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</si>
  <si>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</si>
  <si>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</si>
  <si>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</si>
  <si>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</si>
  <si>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</si>
  <si>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</si>
  <si>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</si>
  <si>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</si>
  <si>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</si>
  <si>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</si>
  <si>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</si>
  <si>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</si>
  <si>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</si>
  <si>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</si>
  <si>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</si>
  <si>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</si>
  <si>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</si>
  <si>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</si>
  <si>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</si>
  <si>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</si>
  <si>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</si>
  <si>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</si>
  <si>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</si>
  <si>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</si>
  <si>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</si>
  <si>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</si>
  <si>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</si>
  <si>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</si>
  <si>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</si>
  <si>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</si>
  <si>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</si>
  <si>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</si>
  <si>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</si>
  <si>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</si>
  <si>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</si>
  <si>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</si>
  <si>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</si>
  <si>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</si>
  <si>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</si>
  <si>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</si>
  <si>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</si>
  <si>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</si>
  <si>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</si>
  <si>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</si>
  <si>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</si>
  <si>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</si>
  <si>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</si>
  <si>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</si>
  <si>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</si>
  <si>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</si>
  <si>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</si>
  <si>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</si>
  <si>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</si>
  <si>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</si>
  <si>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</si>
  <si>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</si>
  <si>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</si>
  <si>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</si>
  <si>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</si>
  <si>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</si>
  <si>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</si>
  <si>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</si>
  <si>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</si>
  <si>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</si>
  <si>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</si>
  <si>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</si>
  <si>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</si>
  <si>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</si>
  <si>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</si>
  <si>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</si>
  <si>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</si>
  <si>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</si>
  <si>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</si>
  <si>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</si>
  <si>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</si>
  <si>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</si>
  <si>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</si>
  <si>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</si>
  <si>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</si>
  <si>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</si>
  <si>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</si>
  <si>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</si>
  <si>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</si>
  <si>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</si>
  <si>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</si>
  <si>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</si>
  <si>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</si>
  <si>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</si>
  <si>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</si>
  <si>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</si>
  <si>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</si>
  <si>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</si>
  <si>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</si>
  <si>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</si>
  <si>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</si>
  <si>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</si>
  <si>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</si>
  <si>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</si>
  <si>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</si>
  <si>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</si>
  <si>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</si>
  <si>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</si>
  <si>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</si>
  <si>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</si>
  <si>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</si>
  <si>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</si>
  <si>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</si>
  <si>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</si>
  <si>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</si>
  <si>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</si>
  <si>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</si>
  <si>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</si>
  <si>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</si>
  <si>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</si>
  <si>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</si>
  <si>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</si>
  <si>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</si>
  <si>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</si>
  <si>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</si>
  <si>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</si>
  <si>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</si>
  <si>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</si>
  <si>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</si>
  <si>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</si>
  <si>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</si>
  <si>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</si>
  <si>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</si>
  <si>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</si>
  <si>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</si>
  <si>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</si>
  <si>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</si>
  <si>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</si>
  <si>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</si>
  <si>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</si>
  <si>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</si>
  <si>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</si>
  <si>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</si>
  <si>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</si>
  <si>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</si>
  <si>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</si>
  <si>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</si>
  <si>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</si>
  <si>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</si>
  <si>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</si>
  <si>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</si>
  <si>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</si>
  <si>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</si>
  <si>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</si>
  <si>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</si>
  <si>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</si>
  <si>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</si>
  <si>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</si>
  <si>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</si>
  <si>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</si>
  <si>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</si>
  <si>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</si>
  <si>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</si>
  <si>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</si>
  <si>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</si>
  <si>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</si>
  <si>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</si>
  <si>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</si>
  <si>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</si>
  <si>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</si>
  <si>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</si>
  <si>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</si>
  <si>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</si>
  <si>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</si>
  <si>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</si>
  <si>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</si>
  <si>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</si>
  <si>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</si>
  <si>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</si>
  <si>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</si>
  <si>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</si>
  <si>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</si>
  <si>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</si>
  <si>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</si>
  <si>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</si>
  <si>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</si>
  <si>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</si>
  <si>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</si>
  <si>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</si>
  <si>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</si>
  <si>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</si>
  <si>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</si>
  <si>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</si>
  <si>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</si>
  <si>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</si>
  <si>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</si>
  <si>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</si>
  <si>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</si>
  <si>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</si>
  <si>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</si>
  <si>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</si>
  <si>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</si>
  <si>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</si>
  <si>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</si>
  <si>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</si>
  <si>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</si>
  <si>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</si>
  <si>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</si>
  <si>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</si>
  <si>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</si>
  <si>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</si>
  <si>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</si>
  <si>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</si>
  <si>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</si>
  <si>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</si>
  <si>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</si>
  <si>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</si>
  <si>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</si>
  <si>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</si>
  <si>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</si>
  <si>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</si>
  <si>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</si>
  <si>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</si>
  <si>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</si>
  <si>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</si>
  <si>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</si>
  <si>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</si>
  <si>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</si>
  <si>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</si>
  <si>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</si>
  <si>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</si>
  <si>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</si>
  <si>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</si>
  <si>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</si>
  <si>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</si>
  <si>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</si>
  <si>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</si>
  <si>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</si>
  <si>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</si>
  <si>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</si>
  <si>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</si>
  <si>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</si>
  <si>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</si>
  <si>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</si>
  <si>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</si>
  <si>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</si>
  <si>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</si>
  <si>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</si>
  <si>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</si>
  <si>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</si>
  <si>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</si>
  <si>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</si>
  <si>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</si>
  <si>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</si>
  <si>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</si>
  <si>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</si>
  <si>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</si>
  <si>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</si>
  <si>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yungrick</t>
  </si>
  <si>
    <t>860</t>
  </si>
  <si>
    <t>56.59</t>
  </si>
  <si>
    <t>48.91</t>
  </si>
  <si>
    <t>32.11</t>
  </si>
  <si>
    <t>17.19</t>
  </si>
  <si>
    <t>56.66</t>
  </si>
  <si>
    <t>36.52</t>
  </si>
  <si>
    <t>32.20</t>
  </si>
  <si>
    <t>2:08.12</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</si>
  <si>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</si>
  <si>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</si>
  <si>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</si>
  <si>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</si>
  <si>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</si>
  <si>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</si>
  <si>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</si>
  <si>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</si>
  <si>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</si>
  <si>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</si>
  <si>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</si>
  <si>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</si>
  <si>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</si>
  <si>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</si>
  <si>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</si>
  <si>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</si>
  <si>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</si>
  <si>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</si>
  <si>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</si>
  <si>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</si>
  <si>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</si>
  <si>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</si>
  <si>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</si>
  <si>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</si>
  <si>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</si>
  <si>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</si>
  <si>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</si>
  <si>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</si>
  <si>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</si>
  <si>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</si>
  <si>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</si>
  <si>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</si>
  <si>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</si>
  <si>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</si>
  <si>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</si>
  <si>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</si>
  <si>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</si>
  <si>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</si>
  <si>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</si>
  <si>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</si>
  <si>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</si>
  <si>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</si>
  <si>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</si>
  <si>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</si>
  <si>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</si>
  <si>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</si>
  <si>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</si>
  <si>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</si>
  <si>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</si>
  <si>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</si>
  <si>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</si>
  <si>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</si>
  <si>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</si>
  <si>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</si>
  <si>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</si>
  <si>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</si>
  <si>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</si>
  <si>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</si>
  <si>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</si>
  <si>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</si>
  <si>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</si>
  <si>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</si>
  <si>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</si>
  <si>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</si>
  <si>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</si>
  <si>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</si>
  <si>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</si>
  <si>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</si>
  <si>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</si>
  <si>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</si>
  <si>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</si>
  <si>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</si>
  <si>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</si>
  <si>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</si>
  <si>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</si>
  <si>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</si>
  <si>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</si>
  <si>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</si>
  <si>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</si>
  <si>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</si>
  <si>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</si>
  <si>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</si>
  <si>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</si>
  <si>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</si>
  <si>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</si>
  <si>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</si>
  <si>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</si>
  <si>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</si>
  <si>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</si>
  <si>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</si>
  <si>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</si>
  <si>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</si>
  <si>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</si>
  <si>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</si>
  <si>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</si>
  <si>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</si>
  <si>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</si>
  <si>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</si>
  <si>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</si>
  <si>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</si>
  <si>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</si>
  <si>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</si>
  <si>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</si>
  <si>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</si>
  <si>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</si>
  <si>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</si>
  <si>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</si>
  <si>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</si>
  <si>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</si>
  <si>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</si>
  <si>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</si>
  <si>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</si>
  <si>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33.38</t>
  </si>
  <si>
    <t>1:29.01</t>
  </si>
  <si>
    <t>48.78</t>
  </si>
  <si>
    <t>1:06.81</t>
  </si>
  <si>
    <t>yourgirlhazel</t>
  </si>
  <si>
    <t>206</t>
  </si>
  <si>
    <t>23.89</t>
  </si>
  <si>
    <t>10.21</t>
  </si>
  <si>
    <t>32.31</t>
  </si>
  <si>
    <t>1:43.03</t>
  </si>
  <si>
    <t>fleedle_deedle</t>
  </si>
  <si>
    <t>266</t>
  </si>
  <si>
    <t>57.66</t>
  </si>
  <si>
    <t>53.23</t>
  </si>
  <si>
    <t>17.53</t>
  </si>
  <si>
    <t>38.83</t>
  </si>
  <si>
    <t>1:28.87</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</si>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</sst>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youtu.be/Lpwrbxu1YXU"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IykrRIN2X6c" TargetMode="External"/><Relationship Id="rId391" Type="http://schemas.openxmlformats.org/officeDocument/2006/relationships/hyperlink" Target="https://clips.twitch.tv/TolerantProtectiveCobraUWot-kWAtwkWnge7PZSrc" TargetMode="External"/><Relationship Id="rId390" Type="http://schemas.openxmlformats.org/officeDocument/2006/relationships/hyperlink" Target="https://youtu.be/qbES-1fpez4" TargetMode="External"/><Relationship Id="rId385" Type="http://schemas.openxmlformats.org/officeDocument/2006/relationships/hyperlink" Target="https://youtu.be/MjgLArfpHoM" TargetMode="External"/><Relationship Id="rId384" Type="http://schemas.openxmlformats.org/officeDocument/2006/relationships/hyperlink" Target="https://www.youtube.com/watch?v=NZZVHtzpGf8&amp;feature=youtu.be" TargetMode="External"/><Relationship Id="rId383" Type="http://schemas.openxmlformats.org/officeDocument/2006/relationships/hyperlink" Target="https://www.youtube.com/watch?v=Q8qm2_AF_dQ" TargetMode="External"/><Relationship Id="rId382" Type="http://schemas.openxmlformats.org/officeDocument/2006/relationships/hyperlink" Target="https://youtu.be/wghWha2LlQw" TargetMode="External"/><Relationship Id="rId389" Type="http://schemas.openxmlformats.org/officeDocument/2006/relationships/hyperlink" Target="https://youtu.be/qbES-1fpez4" TargetMode="External"/><Relationship Id="rId388" Type="http://schemas.openxmlformats.org/officeDocument/2006/relationships/hyperlink" Target="https://www.youtube.com/watch?v=Q8qm2_AF_dQ" TargetMode="External"/><Relationship Id="rId387" Type="http://schemas.openxmlformats.org/officeDocument/2006/relationships/hyperlink" Target="https://www.youtube.com/watch?v=NI-NJqZps9Q" TargetMode="External"/><Relationship Id="rId386" Type="http://schemas.openxmlformats.org/officeDocument/2006/relationships/hyperlink" Target="https://youtu.be/IHfq0qyUhxY"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www.youtube.com/watch?v=FyBi2NFueT8&amp;feature=youtu.be" TargetMode="External"/><Relationship Id="rId379" Type="http://schemas.openxmlformats.org/officeDocument/2006/relationships/hyperlink" Target="https://youtu.be/OM-F4f6zQao" TargetMode="External"/><Relationship Id="rId374" Type="http://schemas.openxmlformats.org/officeDocument/2006/relationships/hyperlink" Target="https://clips.twitch.tv/InventiveEnthusiasticGarageSquadGoals-26jYPHA8EYeT8qir" TargetMode="External"/><Relationship Id="rId373" Type="http://schemas.openxmlformats.org/officeDocument/2006/relationships/hyperlink" Target="https://clips.twitch.tv/OpenSpunkyChipmunkCharlietheUnicorn-RAP3dbZVmU3T3u9N" TargetMode="External"/><Relationship Id="rId372" Type="http://schemas.openxmlformats.org/officeDocument/2006/relationships/hyperlink" Target="https://clips.twitch.tv/AbrasiveFaintWalrusDeIlluminati-Ui-LhTee6YXHRMeJ" TargetMode="External"/><Relationship Id="rId371" Type="http://schemas.openxmlformats.org/officeDocument/2006/relationships/hyperlink" Target="https://youtu.be/Sl0Ip2EdlzE" TargetMode="External"/><Relationship Id="rId378" Type="http://schemas.openxmlformats.org/officeDocument/2006/relationships/hyperlink" Target="https://clips.twitch.tv/DarlingBusyElephantRickroll" TargetMode="External"/><Relationship Id="rId377" Type="http://schemas.openxmlformats.org/officeDocument/2006/relationships/hyperlink" Target="https://youtu.be/ivUTsBzfDHg" TargetMode="External"/><Relationship Id="rId376" Type="http://schemas.openxmlformats.org/officeDocument/2006/relationships/hyperlink" Target="https://youtu.be/qXTC3c4_020" TargetMode="External"/><Relationship Id="rId375" Type="http://schemas.openxmlformats.org/officeDocument/2006/relationships/hyperlink" Target="https://youtu.be/cyARbOEbcGg"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youtube.com/watch?v=r_uswKCtAME&amp;ab_channel=SMSArchives" TargetMode="External"/><Relationship Id="rId394" Type="http://schemas.openxmlformats.org/officeDocument/2006/relationships/hyperlink" Target="https://www.twitch.tv/videos/612666609" TargetMode="External"/><Relationship Id="rId393" Type="http://schemas.openxmlformats.org/officeDocument/2006/relationships/hyperlink" Target="https://youtu.be/IykrRIN2X6c" TargetMode="External"/><Relationship Id="rId399" Type="http://schemas.openxmlformats.org/officeDocument/2006/relationships/hyperlink" Target="https://x.com/inkstarLum/status/1776195262429687861" TargetMode="External"/><Relationship Id="rId398" Type="http://schemas.openxmlformats.org/officeDocument/2006/relationships/hyperlink" Target="https://youtu.be/jz0wywOgWQo" TargetMode="External"/><Relationship Id="rId397" Type="http://schemas.openxmlformats.org/officeDocument/2006/relationships/hyperlink" Target="https://clips.twitch.tv/AttractiveSourHorseAliens-8MAdcbWd07IbjGRo"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EsztVbgZc64" TargetMode="External"/><Relationship Id="rId83" Type="http://schemas.openxmlformats.org/officeDocument/2006/relationships/hyperlink" Target="https://youtu.be/tglJP5itMAU" TargetMode="External"/><Relationship Id="rId86" Type="http://schemas.openxmlformats.org/officeDocument/2006/relationships/hyperlink" Target="https://twitter.com/Qbe_Root/status/1343634715119673346" TargetMode="External"/><Relationship Id="rId85" Type="http://schemas.openxmlformats.org/officeDocument/2006/relationships/hyperlink" Target="https://youtu.be/tglJP5itMAU" TargetMode="External"/><Relationship Id="rId88" Type="http://schemas.openxmlformats.org/officeDocument/2006/relationships/hyperlink" Target="https://youtu.be/VJ2Syy1Rs4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b-UwDmCB_ec"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87yNCxM673E"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SarcasticJollyFishDuDudu-5bAWp_X3vkdNSoFw" TargetMode="External"/><Relationship Id="rId348" Type="http://schemas.openxmlformats.org/officeDocument/2006/relationships/hyperlink" Target="https://youtu.be/PK4_NQplfSc" TargetMode="External"/><Relationship Id="rId347" Type="http://schemas.openxmlformats.org/officeDocument/2006/relationships/hyperlink" Target="https://youtu.be/xNRvRftBNUo" TargetMode="External"/><Relationship Id="rId346" Type="http://schemas.openxmlformats.org/officeDocument/2006/relationships/hyperlink" Target="https://youtu.be/xNRvRftBNUo" TargetMode="External"/><Relationship Id="rId341" Type="http://schemas.openxmlformats.org/officeDocument/2006/relationships/hyperlink" Target="https://www.twitch.tv/videos/840944056" TargetMode="External"/><Relationship Id="rId340" Type="http://schemas.openxmlformats.org/officeDocument/2006/relationships/hyperlink" Target="https://clips.twitch.tv/RepleteDeafAntStinkyCheese-anfsxm0s2l94J31M" TargetMode="External"/><Relationship Id="rId345" Type="http://schemas.openxmlformats.org/officeDocument/2006/relationships/hyperlink" Target="https://clips.twitch.tv/TolerantSpineyAubergineBibleThump" TargetMode="External"/><Relationship Id="rId344" Type="http://schemas.openxmlformats.org/officeDocument/2006/relationships/hyperlink" Target="https://clips.twitch.tv/PhilanthropicCharmingFishKippa-bjFYCIzgNaxXnecZ" TargetMode="External"/><Relationship Id="rId343" Type="http://schemas.openxmlformats.org/officeDocument/2006/relationships/hyperlink" Target="https://twitter.com/Qbe_Root/status/1346645199200641025" TargetMode="External"/><Relationship Id="rId342" Type="http://schemas.openxmlformats.org/officeDocument/2006/relationships/hyperlink" Target="https://youtu.be/tWnEJ552jZY" TargetMode="External"/><Relationship Id="rId338" Type="http://schemas.openxmlformats.org/officeDocument/2006/relationships/hyperlink" Target="https://www.youtube.com/watch?v=4aJoVSWl9HI" TargetMode="External"/><Relationship Id="rId337" Type="http://schemas.openxmlformats.org/officeDocument/2006/relationships/hyperlink" Target="https://youtu.be/3xl0rorWTjk" TargetMode="External"/><Relationship Id="rId336" Type="http://schemas.openxmlformats.org/officeDocument/2006/relationships/hyperlink" Target="https://youtu.be/5g9P1iNLqac" TargetMode="External"/><Relationship Id="rId335" Type="http://schemas.openxmlformats.org/officeDocument/2006/relationships/hyperlink" Target="https://youtu.be/hgxqNrMqpxU" TargetMode="External"/><Relationship Id="rId339" Type="http://schemas.openxmlformats.org/officeDocument/2006/relationships/hyperlink" Target="https://www.youtube.com/watch?v=_0uxws2cszE" TargetMode="External"/><Relationship Id="rId330" Type="http://schemas.openxmlformats.org/officeDocument/2006/relationships/hyperlink" Target="https://youtu.be/PTaNXkg5tUw"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youtu.be/aTY3e-8Ur2E" TargetMode="External"/><Relationship Id="rId332" Type="http://schemas.openxmlformats.org/officeDocument/2006/relationships/hyperlink" Target="https://clips.twitch.tv/SpineyKnottyHorseradishSoBayed" TargetMode="External"/><Relationship Id="rId331" Type="http://schemas.openxmlformats.org/officeDocument/2006/relationships/hyperlink" Target="https://clips.twitch.tv/ElegantHardSnailDatSheffy" TargetMode="External"/><Relationship Id="rId370" Type="http://schemas.openxmlformats.org/officeDocument/2006/relationships/hyperlink" Target="https://youtu.be/QsvQk0xADQ8" TargetMode="External"/><Relationship Id="rId369" Type="http://schemas.openxmlformats.org/officeDocument/2006/relationships/hyperlink" Target="https://youtu.be/opifkfe-dIg" TargetMode="External"/><Relationship Id="rId368" Type="http://schemas.openxmlformats.org/officeDocument/2006/relationships/hyperlink" Target="https://youtu.be/5jJnXigEYDQ"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www.youtube.com/watch?v=SpbulNjmJbo" TargetMode="External"/><Relationship Id="rId361" Type="http://schemas.openxmlformats.org/officeDocument/2006/relationships/hyperlink" Target="https://twitter.com/Qbe_Root/status/1407173593981652993" TargetMode="External"/><Relationship Id="rId360" Type="http://schemas.openxmlformats.org/officeDocument/2006/relationships/hyperlink" Target="https://youtu.be/lbpf60bY-Yg" TargetMode="External"/><Relationship Id="rId367" Type="http://schemas.openxmlformats.org/officeDocument/2006/relationships/hyperlink" Target="https://clips.twitch.tv/AbrasiveFaintWalrusDeIlluminati-Ui-LhTee6YXHRMeJ" TargetMode="External"/><Relationship Id="rId366" Type="http://schemas.openxmlformats.org/officeDocument/2006/relationships/hyperlink" Target="https://youtu.be/j3XBEoJRtLY" TargetMode="External"/><Relationship Id="rId365" Type="http://schemas.openxmlformats.org/officeDocument/2006/relationships/hyperlink" Target="https://youtu.be/ndEtha1Ip-w" TargetMode="External"/><Relationship Id="rId364" Type="http://schemas.openxmlformats.org/officeDocument/2006/relationships/hyperlink" Target="https://youtu.be/j3XBEoJRtLY" TargetMode="External"/><Relationship Id="rId95" Type="http://schemas.openxmlformats.org/officeDocument/2006/relationships/hyperlink" Target="https://youtu.be/9p2UxRJvDa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2mV-gWR7TLE" TargetMode="External"/><Relationship Id="rId96" Type="http://schemas.openxmlformats.org/officeDocument/2006/relationships/hyperlink" Target="https://youtu.be/7q9tWbySXik" TargetMode="External"/><Relationship Id="rId99" Type="http://schemas.openxmlformats.org/officeDocument/2006/relationships/hyperlink" Target="https://www.youtube.com/watch?v=sYZ6Fg8wA_0" TargetMode="External"/><Relationship Id="rId98" Type="http://schemas.openxmlformats.org/officeDocument/2006/relationships/hyperlink" Target="https://clips.twitch.tv/ConcernedKnottyNostrilRaccAttack-c-tluIg1mFEQhuna" TargetMode="External"/><Relationship Id="rId91" Type="http://schemas.openxmlformats.org/officeDocument/2006/relationships/hyperlink" Target="https://www.youtube.com/watch?v=29k7hMhCnGU" TargetMode="External"/><Relationship Id="rId90" Type="http://schemas.openxmlformats.org/officeDocument/2006/relationships/hyperlink" Target="https://youtu.be/IQ_N7P5HouE" TargetMode="External"/><Relationship Id="rId93" Type="http://schemas.openxmlformats.org/officeDocument/2006/relationships/hyperlink" Target="https://www.youtube.com/watch?v=Yt9okVsWrcY" TargetMode="External"/><Relationship Id="rId92" Type="http://schemas.openxmlformats.org/officeDocument/2006/relationships/hyperlink" Target="https://youtu.be/2zG9qeaqTPo" TargetMode="External"/><Relationship Id="rId359" Type="http://schemas.openxmlformats.org/officeDocument/2006/relationships/hyperlink" Target="https://youtu.be/rS1P4GYv0oY" TargetMode="External"/><Relationship Id="rId358" Type="http://schemas.openxmlformats.org/officeDocument/2006/relationships/hyperlink" Target="https://youtu.be/Q6MfUYaIsQ8" TargetMode="External"/><Relationship Id="rId357" Type="http://schemas.openxmlformats.org/officeDocument/2006/relationships/hyperlink" Target="https://clips.twitch.tv/AlertDistinctAniseFeelsBadMan-H0m9VrGJgE1HsWfv" TargetMode="External"/><Relationship Id="rId352" Type="http://schemas.openxmlformats.org/officeDocument/2006/relationships/hyperlink" Target="https://youtu.be/Rc6VWDe0WjU" TargetMode="External"/><Relationship Id="rId351" Type="http://schemas.openxmlformats.org/officeDocument/2006/relationships/hyperlink" Target="https://youtu.be/N5ZBogC9UIs" TargetMode="External"/><Relationship Id="rId350" Type="http://schemas.openxmlformats.org/officeDocument/2006/relationships/hyperlink" Target="https://youtu.be/Rc6VWDe0WjU" TargetMode="External"/><Relationship Id="rId356" Type="http://schemas.openxmlformats.org/officeDocument/2006/relationships/hyperlink" Target="https://clips.twitch.tv/ComfortableAmorphousReindeerShazBotstix-wHF6gyV4iRvB2YCw" TargetMode="External"/><Relationship Id="rId355" Type="http://schemas.openxmlformats.org/officeDocument/2006/relationships/hyperlink" Target="https://youtu.be/qqRX8pnVdmo" TargetMode="External"/><Relationship Id="rId354" Type="http://schemas.openxmlformats.org/officeDocument/2006/relationships/hyperlink" Target="https://youtu.be/dDiol5m4OFw" TargetMode="External"/><Relationship Id="rId353" Type="http://schemas.openxmlformats.org/officeDocument/2006/relationships/hyperlink" Target="https://youtu.be/l4mBbm8ur1s" TargetMode="External"/><Relationship Id="rId305" Type="http://schemas.openxmlformats.org/officeDocument/2006/relationships/hyperlink" Target="https://www.youtube.com/watch?v=ladg-n5rE3c" TargetMode="External"/><Relationship Id="rId304" Type="http://schemas.openxmlformats.org/officeDocument/2006/relationships/hyperlink" Target="https://youtu.be/BW4DTmXYmhs" TargetMode="External"/><Relationship Id="rId303" Type="http://schemas.openxmlformats.org/officeDocument/2006/relationships/hyperlink" Target="https://youtu.be/BW4DTmXYmhs" TargetMode="External"/><Relationship Id="rId302" Type="http://schemas.openxmlformats.org/officeDocument/2006/relationships/hyperlink" Target="https://youtu.be/BaGDNLVT0XU" TargetMode="External"/><Relationship Id="rId309" Type="http://schemas.openxmlformats.org/officeDocument/2006/relationships/hyperlink" Target="https://www.youtube.com/watch?v=RQfAP4sGsRI" TargetMode="External"/><Relationship Id="rId308" Type="http://schemas.openxmlformats.org/officeDocument/2006/relationships/hyperlink" Target="https://youtu.be/i8GWVtaRy84"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x.com/NoVidNoDidNoVid/status/1788099391238307992" TargetMode="External"/><Relationship Id="rId301" Type="http://schemas.openxmlformats.org/officeDocument/2006/relationships/hyperlink" Target="https://youtu.be/KEgNPDlsdlo" TargetMode="External"/><Relationship Id="rId300" Type="http://schemas.openxmlformats.org/officeDocument/2006/relationships/hyperlink" Target="https://www.youtube.com/watch?v=-q789BJOZcg" TargetMode="External"/><Relationship Id="rId327" Type="http://schemas.openxmlformats.org/officeDocument/2006/relationships/hyperlink" Target="https://clips.twitch.tv/WealthyFurtiveSpindleNerfBlueBlaster-DeacKBMeiHr8mXf4" TargetMode="External"/><Relationship Id="rId326" Type="http://schemas.openxmlformats.org/officeDocument/2006/relationships/hyperlink" Target="https://youtu.be/UVYdN43OpeI" TargetMode="External"/><Relationship Id="rId325" Type="http://schemas.openxmlformats.org/officeDocument/2006/relationships/hyperlink" Target="https://youtu.be/tQivsNd1hsI" TargetMode="External"/><Relationship Id="rId324" Type="http://schemas.openxmlformats.org/officeDocument/2006/relationships/hyperlink" Target="https://clips.twitch.tv/InquisitiveVainTruffleSeemsGood" TargetMode="External"/><Relationship Id="rId329" Type="http://schemas.openxmlformats.org/officeDocument/2006/relationships/hyperlink" Target="https://youtu.be/cdAG3eJmUu8" TargetMode="External"/><Relationship Id="rId328" Type="http://schemas.openxmlformats.org/officeDocument/2006/relationships/hyperlink" Target="https://www.youtube.com/watch?v=4OqNmNgyDyw" TargetMode="External"/><Relationship Id="rId323" Type="http://schemas.openxmlformats.org/officeDocument/2006/relationships/hyperlink" Target="https://youtu.be/HwtgbRja6sI" TargetMode="External"/><Relationship Id="rId322" Type="http://schemas.openxmlformats.org/officeDocument/2006/relationships/hyperlink" Target="https://x.com/inkstarLum/status/1734814634891481333?s=20" TargetMode="External"/><Relationship Id="rId321" Type="http://schemas.openxmlformats.org/officeDocument/2006/relationships/hyperlink" Target="https://youtu.be/jYcBQMJHgVU" TargetMode="External"/><Relationship Id="rId320" Type="http://schemas.openxmlformats.org/officeDocument/2006/relationships/hyperlink" Target="https://www.youtube.com/watch?v=6t74qrlbNYQ&amp;ab_channel=SMSArchives" TargetMode="External"/><Relationship Id="rId316" Type="http://schemas.openxmlformats.org/officeDocument/2006/relationships/hyperlink" Target="https://youtu.be/iaWbBNLJVsE" TargetMode="External"/><Relationship Id="rId315" Type="http://schemas.openxmlformats.org/officeDocument/2006/relationships/hyperlink" Target="https://youtu.be/HJ_P8aQ-IHM" TargetMode="External"/><Relationship Id="rId314" Type="http://schemas.openxmlformats.org/officeDocument/2006/relationships/hyperlink" Target="https://youtu.be/TK8ZQuweREc" TargetMode="External"/><Relationship Id="rId313" Type="http://schemas.openxmlformats.org/officeDocument/2006/relationships/hyperlink" Target="https://youtu.be/7WU4HgzT4DM" TargetMode="External"/><Relationship Id="rId319" Type="http://schemas.openxmlformats.org/officeDocument/2006/relationships/hyperlink" Target="https://www.twitch.tv/shadowmario27/clip/BadFinePancakeBrokeBack-MktBYxIn2wzNHayb?filter=clips&amp;range=7d&amp;sort=time" TargetMode="External"/><Relationship Id="rId318" Type="http://schemas.openxmlformats.org/officeDocument/2006/relationships/hyperlink" Target="https://youtu.be/lGpzbfDV7ps" TargetMode="External"/><Relationship Id="rId317" Type="http://schemas.openxmlformats.org/officeDocument/2006/relationships/hyperlink" Target="https://youtu.be/HJ_P8aQ-IHM" TargetMode="External"/><Relationship Id="rId312" Type="http://schemas.openxmlformats.org/officeDocument/2006/relationships/hyperlink" Target="https://youtu.be/YqWcOJN1C80" TargetMode="External"/><Relationship Id="rId311" Type="http://schemas.openxmlformats.org/officeDocument/2006/relationships/hyperlink" Target="https://youtu.be/2eNIZpoXyqI" TargetMode="External"/><Relationship Id="rId310" Type="http://schemas.openxmlformats.org/officeDocument/2006/relationships/hyperlink" Target="https://youtu.be/2eNIZpoXyqI" TargetMode="External"/><Relationship Id="rId297" Type="http://schemas.openxmlformats.org/officeDocument/2006/relationships/hyperlink" Target="https://youtu.be/5i283A7Q5po" TargetMode="External"/><Relationship Id="rId296" Type="http://schemas.openxmlformats.org/officeDocument/2006/relationships/hyperlink" Target="https://youtu.be/vibJzpJuL7A" TargetMode="External"/><Relationship Id="rId295" Type="http://schemas.openxmlformats.org/officeDocument/2006/relationships/hyperlink" Target="https://youtu.be/em68h3GaSpM" TargetMode="External"/><Relationship Id="rId294" Type="http://schemas.openxmlformats.org/officeDocument/2006/relationships/hyperlink" Target="https://youtu.be/DWkSz0aSKJY" TargetMode="External"/><Relationship Id="rId299" Type="http://schemas.openxmlformats.org/officeDocument/2006/relationships/hyperlink" Target="https://youtu.be/3m1qFSqnLnk" TargetMode="External"/><Relationship Id="rId298" Type="http://schemas.openxmlformats.org/officeDocument/2006/relationships/hyperlink" Target="https://clips.twitch.tv/CarelessAgitatedAubergineBCWarrior-F_rqdwS7YK3Q0oiM" TargetMode="External"/><Relationship Id="rId271" Type="http://schemas.openxmlformats.org/officeDocument/2006/relationships/hyperlink" Target="https://youtu.be/joyIBylYdxI" TargetMode="External"/><Relationship Id="rId270" Type="http://schemas.openxmlformats.org/officeDocument/2006/relationships/hyperlink" Target="https://youtu.be/iAe6a9Ez46A" TargetMode="External"/><Relationship Id="rId269" Type="http://schemas.openxmlformats.org/officeDocument/2006/relationships/hyperlink" Target="https://youtu.be/z91wsnK53qc" TargetMode="External"/><Relationship Id="rId264" Type="http://schemas.openxmlformats.org/officeDocument/2006/relationships/hyperlink" Target="https://youtu.be/Ur4epSiKr5U" TargetMode="External"/><Relationship Id="rId263" Type="http://schemas.openxmlformats.org/officeDocument/2006/relationships/hyperlink" Target="https://youtu.be/91ZBIHTzROE?si=xmGwOkezkedZ2PQB" TargetMode="External"/><Relationship Id="rId262" Type="http://schemas.openxmlformats.org/officeDocument/2006/relationships/hyperlink" Target="https://www.youtube.com/watch?v=EEheoFLHJZ0"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youtu.be/SuwnsFeiJvE" TargetMode="External"/><Relationship Id="rId267" Type="http://schemas.openxmlformats.org/officeDocument/2006/relationships/hyperlink" Target="https://youtu.be/1decqV2G2Xg" TargetMode="External"/><Relationship Id="rId266" Type="http://schemas.openxmlformats.org/officeDocument/2006/relationships/hyperlink" Target="https://www.youtube.com/watch?v=SuwnsFeiJvE"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youtu.be/m0whgLJ2zkU" TargetMode="External"/><Relationship Id="rId259" Type="http://schemas.openxmlformats.org/officeDocument/2006/relationships/hyperlink" Target="https://www.youtube.com/watch?v=mg6WwwCOKr4&amp;feature=youtu.be&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clips.twitch.tv/StormyGoldenSrirachaKappa-GKROduFRYv0-z8_k" TargetMode="External"/><Relationship Id="rId252" Type="http://schemas.openxmlformats.org/officeDocument/2006/relationships/hyperlink" Target="https://www.youtube.com/watch?v=Qm8EZgZx1-M&amp;feature=youtu.be&amp;ab_channel=SMSArchives" TargetMode="External"/><Relationship Id="rId251" Type="http://schemas.openxmlformats.org/officeDocument/2006/relationships/hyperlink" Target="https://youtu.be/di3E3mBAumI" TargetMode="External"/><Relationship Id="rId250" Type="http://schemas.openxmlformats.org/officeDocument/2006/relationships/hyperlink" Target="https://youtu.be/AY6s3rmBLps" TargetMode="External"/><Relationship Id="rId257" Type="http://schemas.openxmlformats.org/officeDocument/2006/relationships/hyperlink" Target="https://www.youtube.com/watch?v=hY_EM0i2vtI&amp;ab_channel=SMSArchives" TargetMode="External"/><Relationship Id="rId256" Type="http://schemas.openxmlformats.org/officeDocument/2006/relationships/hyperlink" Target="https://www.youtube.com/watch?v=PyJQ_gGiZR8&amp;feature=youtu.be"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www.youtube.com/watch?v=-q789BJOZcg" TargetMode="External"/><Relationship Id="rId292" Type="http://schemas.openxmlformats.org/officeDocument/2006/relationships/hyperlink" Target="https://clips.twitch.tv/AggressiveNimbleElephantAsianGlow-1S4QiEIxfh8TCJf0" TargetMode="External"/><Relationship Id="rId291" Type="http://schemas.openxmlformats.org/officeDocument/2006/relationships/hyperlink" Target="https://youtu.be/Z7L7WO6qGeo?t=6" TargetMode="External"/><Relationship Id="rId290" Type="http://schemas.openxmlformats.org/officeDocument/2006/relationships/hyperlink" Target="https://youtu.be/jQnBpg4roIs?t=7" TargetMode="External"/><Relationship Id="rId286" Type="http://schemas.openxmlformats.org/officeDocument/2006/relationships/hyperlink" Target="https://youtu.be/V6gNDjItdW8" TargetMode="External"/><Relationship Id="rId285" Type="http://schemas.openxmlformats.org/officeDocument/2006/relationships/hyperlink" Target="https://youtu.be/L-ftLnK4xHk" TargetMode="External"/><Relationship Id="rId284" Type="http://schemas.openxmlformats.org/officeDocument/2006/relationships/hyperlink" Target="https://youtu.be/fPeAZqiDa0o" TargetMode="External"/><Relationship Id="rId283" Type="http://schemas.openxmlformats.org/officeDocument/2006/relationships/hyperlink" Target="https://youtu.be/Tdqyv405-fM" TargetMode="External"/><Relationship Id="rId289" Type="http://schemas.openxmlformats.org/officeDocument/2006/relationships/hyperlink" Target="https://youtu.be/inkqpHSY2JE?t=7" TargetMode="External"/><Relationship Id="rId288" Type="http://schemas.openxmlformats.org/officeDocument/2006/relationships/hyperlink" Target="https://youtu.be/vCVshApiYFQ" TargetMode="External"/><Relationship Id="rId287" Type="http://schemas.openxmlformats.org/officeDocument/2006/relationships/hyperlink" Target="https://youtu.be/dMdy2STqilE" TargetMode="External"/><Relationship Id="rId282" Type="http://schemas.openxmlformats.org/officeDocument/2006/relationships/hyperlink" Target="https://youtu.be/Tdqyv405-fM" TargetMode="External"/><Relationship Id="rId281" Type="http://schemas.openxmlformats.org/officeDocument/2006/relationships/hyperlink" Target="https://youtu.be/jtzmpiHfFZo" TargetMode="External"/><Relationship Id="rId280" Type="http://schemas.openxmlformats.org/officeDocument/2006/relationships/hyperlink" Target="https://youtu.be/EqzWlXBxVgI" TargetMode="External"/><Relationship Id="rId275" Type="http://schemas.openxmlformats.org/officeDocument/2006/relationships/hyperlink" Target="https://youtu.be/YQJv_9wRAtE" TargetMode="External"/><Relationship Id="rId274" Type="http://schemas.openxmlformats.org/officeDocument/2006/relationships/hyperlink" Target="https://youtu.be/joyIBylYdxI" TargetMode="External"/><Relationship Id="rId273" Type="http://schemas.openxmlformats.org/officeDocument/2006/relationships/hyperlink" Target="https://www.twitch.tv/videos/856683768" TargetMode="External"/><Relationship Id="rId272" Type="http://schemas.openxmlformats.org/officeDocument/2006/relationships/hyperlink" Target="https://youtu.be/3CXpuK9wyAU" TargetMode="External"/><Relationship Id="rId279" Type="http://schemas.openxmlformats.org/officeDocument/2006/relationships/hyperlink" Target="https://youtu.be/EqzWlXBxVgI" TargetMode="External"/><Relationship Id="rId278" Type="http://schemas.openxmlformats.org/officeDocument/2006/relationships/hyperlink" Target="https://youtu.be/PklLHiKZWIk" TargetMode="External"/><Relationship Id="rId277" Type="http://schemas.openxmlformats.org/officeDocument/2006/relationships/hyperlink" Target="https://www.youtube.com/watch?v=e6jf1Yz4Voc" TargetMode="External"/><Relationship Id="rId276" Type="http://schemas.openxmlformats.org/officeDocument/2006/relationships/hyperlink" Target="https://youtu.be/fm7hC-C5Dtg" TargetMode="External"/><Relationship Id="rId1059" Type="http://schemas.openxmlformats.org/officeDocument/2006/relationships/hyperlink" Target="https://youtu.be/qhsk0_xApu4"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www.youtube.com/watch?v=6E8p-6Xj7Co&amp;feature=youtu.be&amp;ab_channel=SMSArchives" TargetMode="External"/><Relationship Id="rId225" Type="http://schemas.openxmlformats.org/officeDocument/2006/relationships/hyperlink" Target="https://www.youtube.com/watch?v=ZcgyFLGlht4" TargetMode="External"/><Relationship Id="rId229" Type="http://schemas.openxmlformats.org/officeDocument/2006/relationships/hyperlink" Target="https://youtu.be/U6CWT4ozXxo" TargetMode="External"/><Relationship Id="rId1050" Type="http://schemas.openxmlformats.org/officeDocument/2006/relationships/hyperlink" Target="https://youtu.be/NL7vDlxqFC4" TargetMode="External"/><Relationship Id="rId220" Type="http://schemas.openxmlformats.org/officeDocument/2006/relationships/hyperlink" Target="https://www.youtube.com/watch?v=wn_bd-K_Mvs" TargetMode="External"/><Relationship Id="rId1051" Type="http://schemas.openxmlformats.org/officeDocument/2006/relationships/hyperlink" Target="https://youtu.be/yHmKt-zuhNU" TargetMode="External"/><Relationship Id="rId1052" Type="http://schemas.openxmlformats.org/officeDocument/2006/relationships/hyperlink" Target="https://youtu.be/xOek-DUeh94?t=7" TargetMode="External"/><Relationship Id="rId1053" Type="http://schemas.openxmlformats.org/officeDocument/2006/relationships/hyperlink" Target="https://clips.twitch.tv/GenerousSaltySoybeanVoHiYo-zcwH8eSvkOHDfK7t" TargetMode="External"/><Relationship Id="rId1054" Type="http://schemas.openxmlformats.org/officeDocument/2006/relationships/hyperlink" Target="https://twitter.com/Qbe_Root/status/1338624368889516033" TargetMode="External"/><Relationship Id="rId224" Type="http://schemas.openxmlformats.org/officeDocument/2006/relationships/hyperlink" Target="https://youtu.be/hz2unkDO8uk" TargetMode="External"/><Relationship Id="rId1055" Type="http://schemas.openxmlformats.org/officeDocument/2006/relationships/hyperlink" Target="https://youtu.be/fKJtOX5VTVs" TargetMode="External"/><Relationship Id="rId223" Type="http://schemas.openxmlformats.org/officeDocument/2006/relationships/hyperlink" Target="https://www.youtube.com/watch?v=IMoC5nkLcqg" TargetMode="External"/><Relationship Id="rId1056" Type="http://schemas.openxmlformats.org/officeDocument/2006/relationships/hyperlink" Target="https://youtu.be/_8mHUGcCLXk" TargetMode="External"/><Relationship Id="rId222" Type="http://schemas.openxmlformats.org/officeDocument/2006/relationships/hyperlink" Target="https://www.youtube.com/watch?v=HOK1KJY8IrU" TargetMode="External"/><Relationship Id="rId1057" Type="http://schemas.openxmlformats.org/officeDocument/2006/relationships/hyperlink" Target="https://youtu.be/fKJtOX5VTVs" TargetMode="External"/><Relationship Id="rId221" Type="http://schemas.openxmlformats.org/officeDocument/2006/relationships/hyperlink" Target="https://youtu.be/8bxKDxQmUfI" TargetMode="External"/><Relationship Id="rId1058" Type="http://schemas.openxmlformats.org/officeDocument/2006/relationships/hyperlink" Target="https://youtu.be/d1pIDOnKiNA" TargetMode="External"/><Relationship Id="rId1048" Type="http://schemas.openxmlformats.org/officeDocument/2006/relationships/hyperlink" Target="https://youtu.be/WIfOH9EYN6M" TargetMode="External"/><Relationship Id="rId1049" Type="http://schemas.openxmlformats.org/officeDocument/2006/relationships/hyperlink" Target="https://youtu.be/ABAwt06qHCA" TargetMode="External"/><Relationship Id="rId217" Type="http://schemas.openxmlformats.org/officeDocument/2006/relationships/hyperlink" Target="https://youtu.be/9AyTZSvuPrE"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clips.twitch.tv/TastyDistinctPheasantTBTacoLeft-XdXPJ6QdJfiumtV7" TargetMode="External"/><Relationship Id="rId219" Type="http://schemas.openxmlformats.org/officeDocument/2006/relationships/hyperlink" Target="https://youtu.be/N12RzHwXRPA" TargetMode="External"/><Relationship Id="rId218" Type="http://schemas.openxmlformats.org/officeDocument/2006/relationships/hyperlink" Target="https://youtu.be/MmjESmz-s9A"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www.youtube.com/watch?v=ktspqYDiUWU&amp;ab_channel=BlazeAlt" TargetMode="External"/><Relationship Id="rId1042" Type="http://schemas.openxmlformats.org/officeDocument/2006/relationships/hyperlink" Target="https://youtu.be/3_nPcJFpNh4" TargetMode="External"/><Relationship Id="rId1043" Type="http://schemas.openxmlformats.org/officeDocument/2006/relationships/hyperlink" Target="https://youtu.be/7NJwryCrDdc" TargetMode="External"/><Relationship Id="rId213" Type="http://schemas.openxmlformats.org/officeDocument/2006/relationships/hyperlink" Target="https://youtu.be/YSIJt-HfJWg" TargetMode="External"/><Relationship Id="rId1044" Type="http://schemas.openxmlformats.org/officeDocument/2006/relationships/hyperlink" Target="https://www.youtube.com/watch?v=JaKadV3160s" TargetMode="External"/><Relationship Id="rId212" Type="http://schemas.openxmlformats.org/officeDocument/2006/relationships/hyperlink" Target="https://clips.twitch.tv/FamousAdventurousShrimpCeilingCat--mtPe4uPcnSLqz7P" TargetMode="External"/><Relationship Id="rId1045" Type="http://schemas.openxmlformats.org/officeDocument/2006/relationships/hyperlink" Target="https://www.youtube.com/watch?v=X1Nvz0OVjbo" TargetMode="External"/><Relationship Id="rId211" Type="http://schemas.openxmlformats.org/officeDocument/2006/relationships/hyperlink" Target="https://youtu.be/QlP6ARCzisI" TargetMode="External"/><Relationship Id="rId1046" Type="http://schemas.openxmlformats.org/officeDocument/2006/relationships/hyperlink" Target="https://www.youtube.com/watch?v=ktspqYDiUWU&amp;ab_channel=BlazeAlt" TargetMode="External"/><Relationship Id="rId210" Type="http://schemas.openxmlformats.org/officeDocument/2006/relationships/hyperlink" Target="https://youtu.be/Zw98SiyHdzI" TargetMode="External"/><Relationship Id="rId1047" Type="http://schemas.openxmlformats.org/officeDocument/2006/relationships/hyperlink" Target="https://youtu.be/WIfOH9EYN6M" TargetMode="External"/><Relationship Id="rId249" Type="http://schemas.openxmlformats.org/officeDocument/2006/relationships/hyperlink" Target="https://www.youtube.com/watch?v=zHRMlAFFKEU"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x.com/175akane/status/1895099801207001183" TargetMode="External"/><Relationship Id="rId1070" Type="http://schemas.openxmlformats.org/officeDocument/2006/relationships/hyperlink" Target="https://www.youtube.com/watch?v=qKpHpTvJ0CE&amp;feature=youtu.be&amp;ab_channel=SMSArchives" TargetMode="External"/><Relationship Id="rId1071" Type="http://schemas.openxmlformats.org/officeDocument/2006/relationships/hyperlink" Target="https://youtu.be/2WfyXESh6_g" TargetMode="External"/><Relationship Id="rId1072" Type="http://schemas.openxmlformats.org/officeDocument/2006/relationships/hyperlink" Target="https://www.youtube.com/watch?v=j6qBJ-9nvnE" TargetMode="External"/><Relationship Id="rId242" Type="http://schemas.openxmlformats.org/officeDocument/2006/relationships/hyperlink" Target="https://youtu.be/kvWGEgZduCU" TargetMode="External"/><Relationship Id="rId1073" Type="http://schemas.openxmlformats.org/officeDocument/2006/relationships/hyperlink" Target="https://youtu.be/zw7IMG-cM2U" TargetMode="External"/><Relationship Id="rId241" Type="http://schemas.openxmlformats.org/officeDocument/2006/relationships/hyperlink" Target="https://youtu.be/c14W4AdIfUc" TargetMode="External"/><Relationship Id="rId1074" Type="http://schemas.openxmlformats.org/officeDocument/2006/relationships/hyperlink" Target="https://www.youtube.com/watch?v=WPlkURzFGl4" TargetMode="External"/><Relationship Id="rId240" Type="http://schemas.openxmlformats.org/officeDocument/2006/relationships/hyperlink" Target="https://youtu.be/6B5W4qJZUQE"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youtu.be/2oQ0W75d_kM" TargetMode="External"/><Relationship Id="rId246" Type="http://schemas.openxmlformats.org/officeDocument/2006/relationships/hyperlink" Target="https://clips.twitch.tv/OilyScaryPieResidentSleeper-W7FG-E8r3-KyJ3ms" TargetMode="External"/><Relationship Id="rId1077" Type="http://schemas.openxmlformats.org/officeDocument/2006/relationships/hyperlink" Target="https://youtu.be/xMNY-4KA8TA" TargetMode="External"/><Relationship Id="rId245" Type="http://schemas.openxmlformats.org/officeDocument/2006/relationships/hyperlink" Target="https://clips.twitch.tv/FuriousBetterKleePermaSmug" TargetMode="External"/><Relationship Id="rId1078" Type="http://schemas.openxmlformats.org/officeDocument/2006/relationships/hyperlink" Target="https://youtu.be/g0TzG3AIDzM" TargetMode="External"/><Relationship Id="rId244" Type="http://schemas.openxmlformats.org/officeDocument/2006/relationships/hyperlink" Target="https://youtu.be/MGO4QOVh8H4" TargetMode="External"/><Relationship Id="rId1079" Type="http://schemas.openxmlformats.org/officeDocument/2006/relationships/hyperlink" Target="https://youtu.be/pLwKgRC1wcQ?si=MiabHgRiAXN8vLHS" TargetMode="External"/><Relationship Id="rId243" Type="http://schemas.openxmlformats.org/officeDocument/2006/relationships/hyperlink" Target="https://youtu.be/kvWGEgZduCU" TargetMode="External"/><Relationship Id="rId239" Type="http://schemas.openxmlformats.org/officeDocument/2006/relationships/hyperlink" Target="https://youtu.be/j-_z7VKxsoc" TargetMode="External"/><Relationship Id="rId238" Type="http://schemas.openxmlformats.org/officeDocument/2006/relationships/hyperlink" Target="https://youtu.be/uUmNHRkQTjM" TargetMode="External"/><Relationship Id="rId237" Type="http://schemas.openxmlformats.org/officeDocument/2006/relationships/hyperlink" Target="https://youtu.be/bLIbKYXmnMo" TargetMode="External"/><Relationship Id="rId236" Type="http://schemas.openxmlformats.org/officeDocument/2006/relationships/hyperlink" Target="https://youtu.be/YCxO9xnCqc0" TargetMode="External"/><Relationship Id="rId1060" Type="http://schemas.openxmlformats.org/officeDocument/2006/relationships/hyperlink" Target="https://youtu.be/SwOZUM215a4" TargetMode="External"/><Relationship Id="rId1061" Type="http://schemas.openxmlformats.org/officeDocument/2006/relationships/hyperlink" Target="https://youtu.be/qVPBC4Ih0h8"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youtu.be/mhrWJKYZoko" TargetMode="External"/><Relationship Id="rId230" Type="http://schemas.openxmlformats.org/officeDocument/2006/relationships/hyperlink" Target="https://youtu.be/a7-SiZhtDgc" TargetMode="External"/><Relationship Id="rId1063" Type="http://schemas.openxmlformats.org/officeDocument/2006/relationships/hyperlink" Target="https://www.youtube.com/watch?v=KBQE1RNMXCk" TargetMode="External"/><Relationship Id="rId1064" Type="http://schemas.openxmlformats.org/officeDocument/2006/relationships/hyperlink" Target="https://youtu.be/bvT2H20WTh4" TargetMode="External"/><Relationship Id="rId1065" Type="http://schemas.openxmlformats.org/officeDocument/2006/relationships/hyperlink" Target="https://youtu.be/i3fo9ed4F_o" TargetMode="External"/><Relationship Id="rId235" Type="http://schemas.openxmlformats.org/officeDocument/2006/relationships/hyperlink" Target="https://youtu.be/TphHSyuMaZ0" TargetMode="External"/><Relationship Id="rId1066" Type="http://schemas.openxmlformats.org/officeDocument/2006/relationships/hyperlink" Target="https://youtu.be/i3fo9ed4F_o" TargetMode="External"/><Relationship Id="rId234" Type="http://schemas.openxmlformats.org/officeDocument/2006/relationships/hyperlink" Target="https://clips.twitch.tv/BlushingTrustworthyHornetHeyGirl" TargetMode="External"/><Relationship Id="rId1067" Type="http://schemas.openxmlformats.org/officeDocument/2006/relationships/hyperlink" Target="https://youtu.be/_oPoBaLf3yU" TargetMode="External"/><Relationship Id="rId233" Type="http://schemas.openxmlformats.org/officeDocument/2006/relationships/hyperlink" Target="https://www.youtube.com/watch?v=puC_0IjhS7Y" TargetMode="External"/><Relationship Id="rId1068" Type="http://schemas.openxmlformats.org/officeDocument/2006/relationships/hyperlink" Target="https://youtu.be/JMsQZoMRIjA?si=4sEEE698Hkz2n34y" TargetMode="External"/><Relationship Id="rId232" Type="http://schemas.openxmlformats.org/officeDocument/2006/relationships/hyperlink" Target="https://youtu.be/gGmXKDagtPY" TargetMode="External"/><Relationship Id="rId1069" Type="http://schemas.openxmlformats.org/officeDocument/2006/relationships/hyperlink" Target="https://youtu.be/zw7IMG-cM2U" TargetMode="External"/><Relationship Id="rId1015" Type="http://schemas.openxmlformats.org/officeDocument/2006/relationships/hyperlink" Target="https://youtu.be/yGcUiqA0QE4" TargetMode="External"/><Relationship Id="rId1016" Type="http://schemas.openxmlformats.org/officeDocument/2006/relationships/hyperlink" Target="https://youtu.be/-kB5hGjfQSU" TargetMode="External"/><Relationship Id="rId1017" Type="http://schemas.openxmlformats.org/officeDocument/2006/relationships/hyperlink" Target="https://youtu.be/fLuUbbUxI24" TargetMode="External"/><Relationship Id="rId1018" Type="http://schemas.openxmlformats.org/officeDocument/2006/relationships/hyperlink" Target="https://youtu.be/dsfx15_DZFk" TargetMode="External"/><Relationship Id="rId1019" Type="http://schemas.openxmlformats.org/officeDocument/2006/relationships/hyperlink" Target="https://www.twitch.tv/videos/869291377" TargetMode="External"/><Relationship Id="rId1010" Type="http://schemas.openxmlformats.org/officeDocument/2006/relationships/hyperlink" Target="https://clips.twitch.tv/PleasantSwissOctopusHassanChop-2s8gFKDvZu4e8IlS" TargetMode="External"/><Relationship Id="rId1011" Type="http://schemas.openxmlformats.org/officeDocument/2006/relationships/hyperlink" Target="https://youtu.be/GuoEdRqCJUA" TargetMode="External"/><Relationship Id="rId1012" Type="http://schemas.openxmlformats.org/officeDocument/2006/relationships/hyperlink" Target="https://youtu.be/pjuSqRrbQw0" TargetMode="External"/><Relationship Id="rId1013" Type="http://schemas.openxmlformats.org/officeDocument/2006/relationships/hyperlink" Target="https://youtu.be/QutJOE7YxzU" TargetMode="External"/><Relationship Id="rId1014" Type="http://schemas.openxmlformats.org/officeDocument/2006/relationships/hyperlink" Target="https://youtu.be/JmmZFbgP4ps" TargetMode="External"/><Relationship Id="rId1004" Type="http://schemas.openxmlformats.org/officeDocument/2006/relationships/hyperlink" Target="https://youtu.be/xPsv1plmq-E" TargetMode="External"/><Relationship Id="rId1005" Type="http://schemas.openxmlformats.org/officeDocument/2006/relationships/hyperlink" Target="https://youtu.be/fWubNtmkL1o" TargetMode="External"/><Relationship Id="rId1006" Type="http://schemas.openxmlformats.org/officeDocument/2006/relationships/hyperlink" Target="https://youtu.be/cJ-pBJL4zaI" TargetMode="External"/><Relationship Id="rId1007" Type="http://schemas.openxmlformats.org/officeDocument/2006/relationships/hyperlink" Target="https://youtu.be/rTAY7UEVBC0" TargetMode="External"/><Relationship Id="rId1008" Type="http://schemas.openxmlformats.org/officeDocument/2006/relationships/hyperlink" Target="https://clips.twitch.tv/ArborealAgileGalagoPipeHype-NapmxC-S3q11Jt3_" TargetMode="External"/><Relationship Id="rId1009" Type="http://schemas.openxmlformats.org/officeDocument/2006/relationships/hyperlink" Target="https://clips.twitch.tv/AlluringBovineRingNomNom" TargetMode="External"/><Relationship Id="rId1000" Type="http://schemas.openxmlformats.org/officeDocument/2006/relationships/hyperlink" Target="https://youtu.be/Mq0IH4pIWKY" TargetMode="External"/><Relationship Id="rId1001" Type="http://schemas.openxmlformats.org/officeDocument/2006/relationships/hyperlink" Target="https://clips.twitch.tv/ConcernedGloriousShrimpBudBlast-r9tB7gQiY9FEuOJo" TargetMode="External"/><Relationship Id="rId1002" Type="http://schemas.openxmlformats.org/officeDocument/2006/relationships/hyperlink" Target="https://clips.twitch.tv/SweetDeafHumanTwitchRPG" TargetMode="External"/><Relationship Id="rId1003" Type="http://schemas.openxmlformats.org/officeDocument/2006/relationships/hyperlink" Target="https://youtu.be/f_8GqHaONtY" TargetMode="External"/><Relationship Id="rId1037" Type="http://schemas.openxmlformats.org/officeDocument/2006/relationships/hyperlink" Target="https://youtu.be/kCGtwQCkd8M" TargetMode="External"/><Relationship Id="rId1038" Type="http://schemas.openxmlformats.org/officeDocument/2006/relationships/hyperlink" Target="https://www.twitch.tv/videos/2102431211" TargetMode="External"/><Relationship Id="rId1039" Type="http://schemas.openxmlformats.org/officeDocument/2006/relationships/hyperlink" Target="https://www.youtube.com/watch?v=PAhmHx8a5HI" TargetMode="External"/><Relationship Id="rId206" Type="http://schemas.openxmlformats.org/officeDocument/2006/relationships/hyperlink" Target="https://youtu.be/Nagk5HrRwYQ" TargetMode="External"/><Relationship Id="rId205" Type="http://schemas.openxmlformats.org/officeDocument/2006/relationships/hyperlink" Target="https://youtu.be/VcmrtRGQjL0" TargetMode="External"/><Relationship Id="rId204" Type="http://schemas.openxmlformats.org/officeDocument/2006/relationships/hyperlink" Target="https://youtu.be/uD9RRsYVkJ4"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71dsFdbh-Os" TargetMode="External"/><Relationship Id="rId208" Type="http://schemas.openxmlformats.org/officeDocument/2006/relationships/hyperlink" Target="https://youtu.be/71dsFdbh-Os" TargetMode="External"/><Relationship Id="rId207" Type="http://schemas.openxmlformats.org/officeDocument/2006/relationships/hyperlink" Target="https://youtu.be/ioQWDuOmghs" TargetMode="External"/><Relationship Id="rId1030" Type="http://schemas.openxmlformats.org/officeDocument/2006/relationships/hyperlink" Target="https://youtu.be/pH_L2HTbpSw" TargetMode="External"/><Relationship Id="rId1031" Type="http://schemas.openxmlformats.org/officeDocument/2006/relationships/hyperlink" Target="https://x.com/inkstarLum/status/1768171081377136966?s=20" TargetMode="External"/><Relationship Id="rId1032" Type="http://schemas.openxmlformats.org/officeDocument/2006/relationships/hyperlink" Target="https://youtu.be/NAGPvSDSus8" TargetMode="External"/><Relationship Id="rId202" Type="http://schemas.openxmlformats.org/officeDocument/2006/relationships/hyperlink" Target="https://youtu.be/qW2i6vDQtB4"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clips.twitch.tv/PlausibleJollyNarwhalPicoMause"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youtu.be/qqOjbEjdmiw" TargetMode="External"/><Relationship Id="rId1035" Type="http://schemas.openxmlformats.org/officeDocument/2006/relationships/hyperlink" Target="https://youtu.be/d4K-W3OcMiQ" TargetMode="External"/><Relationship Id="rId1036" Type="http://schemas.openxmlformats.org/officeDocument/2006/relationships/hyperlink" Target="https://youtu.be/Q_V-NqI0qKI" TargetMode="External"/><Relationship Id="rId1026" Type="http://schemas.openxmlformats.org/officeDocument/2006/relationships/hyperlink" Target="https://youtu.be/Q3Ehm55nvik" TargetMode="External"/><Relationship Id="rId1027" Type="http://schemas.openxmlformats.org/officeDocument/2006/relationships/hyperlink" Target="https://www.twitch.tv/videos/1809192497" TargetMode="External"/><Relationship Id="rId1028" Type="http://schemas.openxmlformats.org/officeDocument/2006/relationships/hyperlink" Target="https://www.youtube.com/watch?v=EK8_-Ah8QII" TargetMode="External"/><Relationship Id="rId1029" Type="http://schemas.openxmlformats.org/officeDocument/2006/relationships/hyperlink" Target="https://youtu.be/pH_L2HTbpSw" TargetMode="External"/><Relationship Id="rId1020" Type="http://schemas.openxmlformats.org/officeDocument/2006/relationships/hyperlink" Target="https://youtu.be/jFqmAvCUMNo" TargetMode="External"/><Relationship Id="rId1021" Type="http://schemas.openxmlformats.org/officeDocument/2006/relationships/hyperlink" Target="https://youtu.be/yGcUiqA0QE4" TargetMode="External"/><Relationship Id="rId1022" Type="http://schemas.openxmlformats.org/officeDocument/2006/relationships/hyperlink" Target="https://www.youtube.com/watch?v=bDft59WCb6A&amp;ab_channel=BlazeRol"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twitch.tv/videos/808225933" TargetMode="External"/><Relationship Id="rId1025" Type="http://schemas.openxmlformats.org/officeDocument/2006/relationships/hyperlink" Target="https://youtu.be/6dZGaGMo8gE" TargetMode="External"/><Relationship Id="rId1090" Type="http://schemas.openxmlformats.org/officeDocument/2006/relationships/hyperlink" Target="https://youtu.be/a2MRHB-JXU0" TargetMode="External"/><Relationship Id="rId1091" Type="http://schemas.openxmlformats.org/officeDocument/2006/relationships/hyperlink" Target="https://clips.twitch.tv/FantasticSleepyCourgetteDatSheffy" TargetMode="External"/><Relationship Id="rId1092" Type="http://schemas.openxmlformats.org/officeDocument/2006/relationships/hyperlink" Target="https://youtu.be/xOek-DUeh94?t=7" TargetMode="External"/><Relationship Id="rId1093" Type="http://schemas.openxmlformats.org/officeDocument/2006/relationships/hyperlink" Target="https://youtu.be/D2-wF0sDV0U" TargetMode="External"/><Relationship Id="rId1094" Type="http://schemas.openxmlformats.org/officeDocument/2006/relationships/hyperlink" Target="https://www.youtube.com/watch?v=BxN9IYgkrlk" TargetMode="External"/><Relationship Id="rId1095" Type="http://schemas.openxmlformats.org/officeDocument/2006/relationships/hyperlink" Target="https://www.youtube.com/watch?v=vye8WFMG2MY&amp;feature=youtu.be&amp;ab_channel=SMSArchives"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youtu.be/BRYGZD8Aw8Q" TargetMode="External"/><Relationship Id="rId1098" Type="http://schemas.openxmlformats.org/officeDocument/2006/relationships/hyperlink" Target="https://www.twitch.tv/inkstar/clip/SeductiveWonderfulFungusNotATK-_5nVhVUpxAADgmaq" TargetMode="External"/><Relationship Id="rId1099" Type="http://schemas.openxmlformats.org/officeDocument/2006/relationships/hyperlink" Target="https://youtu.be/sGpE0IBf-cg" TargetMode="External"/><Relationship Id="rId1080" Type="http://schemas.openxmlformats.org/officeDocument/2006/relationships/hyperlink" Target="https://youtu.be/6gDUknvuEMg" TargetMode="External"/><Relationship Id="rId1081" Type="http://schemas.openxmlformats.org/officeDocument/2006/relationships/hyperlink" Target="https://clips.twitch.tv/CautiousFriendlyFrogTheThing-6Jrgc8jtaiq8q8CQ" TargetMode="External"/><Relationship Id="rId1082" Type="http://schemas.openxmlformats.org/officeDocument/2006/relationships/hyperlink" Target="https://youtu.be/LSvQoslgvzg" TargetMode="External"/><Relationship Id="rId1083" Type="http://schemas.openxmlformats.org/officeDocument/2006/relationships/hyperlink" Target="https://clips.twitch.tv/FantasticSleepyCourgetteDatSheffy" TargetMode="External"/><Relationship Id="rId1084" Type="http://schemas.openxmlformats.org/officeDocument/2006/relationships/hyperlink" Target="https://youtu.be/gRYcsS32LEE" TargetMode="External"/><Relationship Id="rId1085" Type="http://schemas.openxmlformats.org/officeDocument/2006/relationships/hyperlink" Target="https://clips.twitch.tv/HardColdWatercressKappa-JBoKqGvZ-Zv53GMh" TargetMode="External"/><Relationship Id="rId1086" Type="http://schemas.openxmlformats.org/officeDocument/2006/relationships/hyperlink" Target="https://youtu.be/pnewRURW5ps" TargetMode="External"/><Relationship Id="rId1087" Type="http://schemas.openxmlformats.org/officeDocument/2006/relationships/hyperlink" Target="https://youtu.be/DKv_4rurSS0" TargetMode="External"/><Relationship Id="rId1088" Type="http://schemas.openxmlformats.org/officeDocument/2006/relationships/hyperlink" Target="https://youtu.be/W2qcH9W0i-s" TargetMode="External"/><Relationship Id="rId1089" Type="http://schemas.openxmlformats.org/officeDocument/2006/relationships/hyperlink" Target="https://youtu.be/uNx6NSup6aM" TargetMode="External"/><Relationship Id="rId509" Type="http://schemas.openxmlformats.org/officeDocument/2006/relationships/hyperlink" Target="https://youtu.be/FRkMJt_hjwQ" TargetMode="External"/><Relationship Id="rId508" Type="http://schemas.openxmlformats.org/officeDocument/2006/relationships/hyperlink" Target="https://youtu.be/KHD8om8X8e8" TargetMode="External"/><Relationship Id="rId503" Type="http://schemas.openxmlformats.org/officeDocument/2006/relationships/hyperlink" Target="https://www.twitch.tv/videos/1024638839" TargetMode="External"/><Relationship Id="rId502" Type="http://schemas.openxmlformats.org/officeDocument/2006/relationships/hyperlink" Target="https://www.youtube.com/watch?v=4McFQ7EXzkk" TargetMode="External"/><Relationship Id="rId501" Type="http://schemas.openxmlformats.org/officeDocument/2006/relationships/hyperlink" Target="https://www.twitch.tv/videos/856673687" TargetMode="External"/><Relationship Id="rId500" Type="http://schemas.openxmlformats.org/officeDocument/2006/relationships/hyperlink" Target="https://youtu.be/0kHrRzKBn6g" TargetMode="External"/><Relationship Id="rId507" Type="http://schemas.openxmlformats.org/officeDocument/2006/relationships/hyperlink" Target="https://youtu.be/itp-7tbNTFk" TargetMode="External"/><Relationship Id="rId506" Type="http://schemas.openxmlformats.org/officeDocument/2006/relationships/hyperlink" Target="https://www.youtube.com/watch?v=7fiUAbn1pfI" TargetMode="External"/><Relationship Id="rId505" Type="http://schemas.openxmlformats.org/officeDocument/2006/relationships/hyperlink" Target="https://youtu.be/V6sH7WJTO5Y" TargetMode="External"/><Relationship Id="rId504" Type="http://schemas.openxmlformats.org/officeDocument/2006/relationships/hyperlink" Target="https://youtu.be/zX6u_Z7hoEc"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youtu.be/8-hWzmC6QZY" TargetMode="External"/><Relationship Id="rId1116" Type="http://schemas.openxmlformats.org/officeDocument/2006/relationships/hyperlink" Target="https://clips.twitch.tv/FaintFitOstrichKeepo-L3yy2Sj35Eq1RYLP" TargetMode="External"/><Relationship Id="rId1117" Type="http://schemas.openxmlformats.org/officeDocument/2006/relationships/hyperlink" Target="https://www.youtube.com/watch?v=cBP-KfubET4&amp;feature=youtu.be&amp;ab_channel=SMSArchives" TargetMode="External"/><Relationship Id="rId1118" Type="http://schemas.openxmlformats.org/officeDocument/2006/relationships/hyperlink" Target="https://youtu.be/VU76y1qot-A"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TwBlTaxo2n0" TargetMode="External"/><Relationship Id="rId524" Type="http://schemas.openxmlformats.org/officeDocument/2006/relationships/hyperlink" Target="https://youtu.be/O5y2VBcztV8" TargetMode="External"/><Relationship Id="rId523" Type="http://schemas.openxmlformats.org/officeDocument/2006/relationships/hyperlink" Target="https://youtu.be/gfmGQXdEiW8" TargetMode="External"/><Relationship Id="rId522" Type="http://schemas.openxmlformats.org/officeDocument/2006/relationships/hyperlink" Target="https://youtu.be/pfhIHpIZbko" TargetMode="External"/><Relationship Id="rId529" Type="http://schemas.openxmlformats.org/officeDocument/2006/relationships/hyperlink" Target="https://youtu.be/NraFiFbLSIc" TargetMode="External"/><Relationship Id="rId528" Type="http://schemas.openxmlformats.org/officeDocument/2006/relationships/hyperlink" Target="https://youtu.be/PU5uEqDv0vQ"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www.youtube.com/watch?v=-hkKJhM7MPg" TargetMode="External"/><Relationship Id="rId521" Type="http://schemas.openxmlformats.org/officeDocument/2006/relationships/hyperlink" Target="https://www.youtube.com/watch?v=VSdxDKNpZ70&amp;feature=youtu.be&amp;ab_channel=SMSArchives" TargetMode="External"/><Relationship Id="rId1110" Type="http://schemas.openxmlformats.org/officeDocument/2006/relationships/hyperlink" Target="https://youtu.be/RcFElzSKBCE" TargetMode="External"/><Relationship Id="rId520" Type="http://schemas.openxmlformats.org/officeDocument/2006/relationships/hyperlink" Target="https://youtu.be/O5y2VBcztV8" TargetMode="External"/><Relationship Id="rId1111" Type="http://schemas.openxmlformats.org/officeDocument/2006/relationships/hyperlink" Target="https://youtu.be/dEDkFfC3I-A" TargetMode="External"/><Relationship Id="rId1112" Type="http://schemas.openxmlformats.org/officeDocument/2006/relationships/hyperlink" Target="https://youtu.be/SBmIdDRShp4" TargetMode="External"/><Relationship Id="rId1113" Type="http://schemas.openxmlformats.org/officeDocument/2006/relationships/hyperlink" Target="https://youtu.be/yfazR8c_Jpw" TargetMode="External"/><Relationship Id="rId1103" Type="http://schemas.openxmlformats.org/officeDocument/2006/relationships/hyperlink" Target="https://www.youtube.com/watch?v=Ln4jjibr1K0" TargetMode="External"/><Relationship Id="rId1104" Type="http://schemas.openxmlformats.org/officeDocument/2006/relationships/hyperlink" Target="https://www.youtube.com/watch?v=RNAqhWK9Ins" TargetMode="External"/><Relationship Id="rId1105" Type="http://schemas.openxmlformats.org/officeDocument/2006/relationships/hyperlink" Target="https://youtu.be/meDA7Kgs-kI" TargetMode="External"/><Relationship Id="rId1106" Type="http://schemas.openxmlformats.org/officeDocument/2006/relationships/hyperlink" Target="https://youtu.be/meDA7Kgs-kI" TargetMode="External"/><Relationship Id="rId1107" Type="http://schemas.openxmlformats.org/officeDocument/2006/relationships/hyperlink" Target="https://www.youtube.com/watch?v=AjA_sB2TN7o" TargetMode="External"/><Relationship Id="rId1108" Type="http://schemas.openxmlformats.org/officeDocument/2006/relationships/hyperlink" Target="https://www.youtube.com/watch?v=EkyD3UJG5FA" TargetMode="External"/><Relationship Id="rId1109" Type="http://schemas.openxmlformats.org/officeDocument/2006/relationships/hyperlink" Target="https://www.youtube.com/watch?v=n7lzjZ9mb4k" TargetMode="External"/><Relationship Id="rId519" Type="http://schemas.openxmlformats.org/officeDocument/2006/relationships/hyperlink" Target="https://youtu.be/KqbN_8JLv5c" TargetMode="External"/><Relationship Id="rId514" Type="http://schemas.openxmlformats.org/officeDocument/2006/relationships/hyperlink" Target="https://www.twitch.tv/videos/1264188127" TargetMode="External"/><Relationship Id="rId513" Type="http://schemas.openxmlformats.org/officeDocument/2006/relationships/hyperlink" Target="https://twitter.com/Reed_QT/status/1212701917551497216?s=20" TargetMode="External"/><Relationship Id="rId512" Type="http://schemas.openxmlformats.org/officeDocument/2006/relationships/hyperlink" Target="https://youtu.be/itp-7tbNTFk" TargetMode="External"/><Relationship Id="rId511" Type="http://schemas.openxmlformats.org/officeDocument/2006/relationships/hyperlink" Target="https://youtu.be/pKukn4aCQng" TargetMode="External"/><Relationship Id="rId518" Type="http://schemas.openxmlformats.org/officeDocument/2006/relationships/hyperlink" Target="https://youtu.be/U1NfQesgLXk" TargetMode="External"/><Relationship Id="rId517" Type="http://schemas.openxmlformats.org/officeDocument/2006/relationships/hyperlink" Target="https://www.twitch.tv/videos/1463163448" TargetMode="External"/><Relationship Id="rId516" Type="http://schemas.openxmlformats.org/officeDocument/2006/relationships/hyperlink" Target="https://youtu.be/5dMNpk8GIXE" TargetMode="External"/><Relationship Id="rId515" Type="http://schemas.openxmlformats.org/officeDocument/2006/relationships/hyperlink" Target="https://youtu.be/U1NfQesgLXk" TargetMode="External"/><Relationship Id="rId510" Type="http://schemas.openxmlformats.org/officeDocument/2006/relationships/hyperlink" Target="https://www.twitch.tv/videos/1264390392" TargetMode="External"/><Relationship Id="rId1100" Type="http://schemas.openxmlformats.org/officeDocument/2006/relationships/hyperlink" Target="https://youtu.be/i4SOT8lEbJ8" TargetMode="External"/><Relationship Id="rId1101" Type="http://schemas.openxmlformats.org/officeDocument/2006/relationships/hyperlink" Target="https://youtu.be/PKy8Rx4VBs4" TargetMode="External"/><Relationship Id="rId1102" Type="http://schemas.openxmlformats.org/officeDocument/2006/relationships/hyperlink" Target="https://www.youtube.com/watch?v=WtYDIiRwpow" TargetMode="External"/><Relationship Id="rId590" Type="http://schemas.openxmlformats.org/officeDocument/2006/relationships/hyperlink" Target="https://youtu.be/Ev_tzMFl7Mo" TargetMode="External"/><Relationship Id="rId589" Type="http://schemas.openxmlformats.org/officeDocument/2006/relationships/hyperlink" Target="https://x.com/inkstarLum/status/1805002791716528633" TargetMode="External"/><Relationship Id="rId588" Type="http://schemas.openxmlformats.org/officeDocument/2006/relationships/hyperlink" Target="https://clips.twitch.tv/AntsyUnsightlyAntelopeNotATK" TargetMode="External"/><Relationship Id="rId1170" Type="http://schemas.openxmlformats.org/officeDocument/2006/relationships/hyperlink" Target="https://youtu.be/_ZkoUbYRWrk" TargetMode="External"/><Relationship Id="rId1171" Type="http://schemas.openxmlformats.org/officeDocument/2006/relationships/hyperlink" Target="https://www.youtube.com/watch?v=Ue1Nbckte5I" TargetMode="External"/><Relationship Id="rId583" Type="http://schemas.openxmlformats.org/officeDocument/2006/relationships/hyperlink" Target="https://youtu.be/2ED26P-b1Nw" TargetMode="External"/><Relationship Id="rId1172" Type="http://schemas.openxmlformats.org/officeDocument/2006/relationships/hyperlink" Target="https://youtu.be/BO18jxRH70M" TargetMode="External"/><Relationship Id="rId582" Type="http://schemas.openxmlformats.org/officeDocument/2006/relationships/hyperlink" Target="https://youtu.be/c89HaUk4nbc" TargetMode="External"/><Relationship Id="rId1173" Type="http://schemas.openxmlformats.org/officeDocument/2006/relationships/hyperlink" Target="https://www.youtube.com/watch?v=uEdt3LvXS-I"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OoD4qy-ngWw&amp;feature=youtu.be&amp;ab_channel=SMSArchives" TargetMode="External"/><Relationship Id="rId580" Type="http://schemas.openxmlformats.org/officeDocument/2006/relationships/hyperlink" Target="https://youtu.be/x-k4Bjyv388" TargetMode="External"/><Relationship Id="rId1175" Type="http://schemas.openxmlformats.org/officeDocument/2006/relationships/hyperlink" Target="https://clips.twitch.tv/GiftedRudeWebThisIsSparta-BzGe-Sy_N0q2Ld62" TargetMode="External"/><Relationship Id="rId587" Type="http://schemas.openxmlformats.org/officeDocument/2006/relationships/hyperlink" Target="https://clips.twitch.tv/ColorfulInterestingEmuRitzMitz" TargetMode="External"/><Relationship Id="rId1176" Type="http://schemas.openxmlformats.org/officeDocument/2006/relationships/hyperlink" Target="https://youtu.be/x7CDVxiIMcw" TargetMode="External"/><Relationship Id="rId586" Type="http://schemas.openxmlformats.org/officeDocument/2006/relationships/hyperlink" Target="https://youtu.be/uCjc_GJny4I" TargetMode="External"/><Relationship Id="rId1177" Type="http://schemas.openxmlformats.org/officeDocument/2006/relationships/hyperlink" Target="https://youtu.be/7xtfqhftzys" TargetMode="External"/><Relationship Id="rId585" Type="http://schemas.openxmlformats.org/officeDocument/2006/relationships/hyperlink" Target="https://youtu.be/2ED26P-b1Nw"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H1gHKKF0jUU" TargetMode="External"/><Relationship Id="rId1179" Type="http://schemas.openxmlformats.org/officeDocument/2006/relationships/hyperlink" Target="https://youtu.be/2RtyVMkalQs" TargetMode="External"/><Relationship Id="rId1169" Type="http://schemas.openxmlformats.org/officeDocument/2006/relationships/hyperlink" Target="https://youtu.be/Viy4GiOKJXw" TargetMode="External"/><Relationship Id="rId579" Type="http://schemas.openxmlformats.org/officeDocument/2006/relationships/hyperlink" Target="https://youtu.be/YDxrxFj0Jv0" TargetMode="External"/><Relationship Id="rId578" Type="http://schemas.openxmlformats.org/officeDocument/2006/relationships/hyperlink" Target="https://youtu.be/dPF00ycInFI" TargetMode="External"/><Relationship Id="rId577" Type="http://schemas.openxmlformats.org/officeDocument/2006/relationships/hyperlink" Target="https://youtu.be/uokFysnxkns" TargetMode="External"/><Relationship Id="rId1160" Type="http://schemas.openxmlformats.org/officeDocument/2006/relationships/hyperlink" Target="https://youtu.be/RUEB2vlTuT0" TargetMode="External"/><Relationship Id="rId572" Type="http://schemas.openxmlformats.org/officeDocument/2006/relationships/hyperlink" Target="https://www.youtube.com/watch?v=cuxp4og-e9I" TargetMode="External"/><Relationship Id="rId1161" Type="http://schemas.openxmlformats.org/officeDocument/2006/relationships/hyperlink" Target="https://www.twitch.tv/videos/1280710333" TargetMode="External"/><Relationship Id="rId571" Type="http://schemas.openxmlformats.org/officeDocument/2006/relationships/hyperlink" Target="https://youtu.be/azAp4GAinUA" TargetMode="External"/><Relationship Id="rId1162" Type="http://schemas.openxmlformats.org/officeDocument/2006/relationships/hyperlink" Target="https://youtu.be/CwbLgREWKVs" TargetMode="External"/><Relationship Id="rId570" Type="http://schemas.openxmlformats.org/officeDocument/2006/relationships/hyperlink" Target="https://www.youtube.com/watch?v=tVg0AtjUCLU&amp;feature=youtu.be" TargetMode="External"/><Relationship Id="rId1163" Type="http://schemas.openxmlformats.org/officeDocument/2006/relationships/hyperlink" Target="https://youtu.be/c99cCXZCmK4" TargetMode="External"/><Relationship Id="rId1164" Type="http://schemas.openxmlformats.org/officeDocument/2006/relationships/hyperlink" Target="https://youtu.be/tJDFV1A7was" TargetMode="External"/><Relationship Id="rId576" Type="http://schemas.openxmlformats.org/officeDocument/2006/relationships/hyperlink" Target="https://youtu.be/CGnFPQNDQfo" TargetMode="External"/><Relationship Id="rId1165" Type="http://schemas.openxmlformats.org/officeDocument/2006/relationships/hyperlink" Target="https://www.youtube.com/watch?v=Z6OBxMRNy1o" TargetMode="External"/><Relationship Id="rId575" Type="http://schemas.openxmlformats.org/officeDocument/2006/relationships/hyperlink" Target="https://youtu.be/dPF00ycInFI" TargetMode="External"/><Relationship Id="rId1166" Type="http://schemas.openxmlformats.org/officeDocument/2006/relationships/hyperlink" Target="https://youtu.be/Viy4GiOKJXw" TargetMode="External"/><Relationship Id="rId574" Type="http://schemas.openxmlformats.org/officeDocument/2006/relationships/hyperlink" Target="https://youtu.be/sU4vaAxT7UM" TargetMode="External"/><Relationship Id="rId1167" Type="http://schemas.openxmlformats.org/officeDocument/2006/relationships/hyperlink" Target="https://youtu.be/fSPfpmktFMo" TargetMode="External"/><Relationship Id="rId573" Type="http://schemas.openxmlformats.org/officeDocument/2006/relationships/hyperlink" Target="https://youtu.be/KjNogRhrE7o" TargetMode="External"/><Relationship Id="rId1168" Type="http://schemas.openxmlformats.org/officeDocument/2006/relationships/hyperlink" Target="https://youtu.be/f3lYWpZEEgI?si=M_bvwPGHYXWFfha4&amp;t=24" TargetMode="External"/><Relationship Id="rId1190" Type="http://schemas.openxmlformats.org/officeDocument/2006/relationships/hyperlink" Target="https://youtu.be/Bz_l6_86h-Q" TargetMode="External"/><Relationship Id="rId1191" Type="http://schemas.openxmlformats.org/officeDocument/2006/relationships/hyperlink" Target="https://youtu.be/KXv-tmNS8TM" TargetMode="External"/><Relationship Id="rId1192" Type="http://schemas.openxmlformats.org/officeDocument/2006/relationships/hyperlink" Target="https://youtu.be/tcfld4v8t2Q" TargetMode="External"/><Relationship Id="rId1193" Type="http://schemas.openxmlformats.org/officeDocument/2006/relationships/hyperlink" Target="https://youtu.be/Bz_l6_86h-Q" TargetMode="External"/><Relationship Id="rId1194" Type="http://schemas.openxmlformats.org/officeDocument/2006/relationships/hyperlink" Target="https://youtu.be/4cDf1smVSUE" TargetMode="External"/><Relationship Id="rId1195" Type="http://schemas.openxmlformats.org/officeDocument/2006/relationships/hyperlink" Target="https://youtu.be/kvu97FX2j0I" TargetMode="External"/><Relationship Id="rId1196" Type="http://schemas.openxmlformats.org/officeDocument/2006/relationships/hyperlink" Target="https://youtu.be/BwT0G0Js7bA" TargetMode="External"/><Relationship Id="rId1197" Type="http://schemas.openxmlformats.org/officeDocument/2006/relationships/hyperlink" Target="https://youtu.be/WxhdtLEsUR0" TargetMode="External"/><Relationship Id="rId1198" Type="http://schemas.openxmlformats.org/officeDocument/2006/relationships/hyperlink" Target="https://youtu.be/WxhdtLEsUR0" TargetMode="External"/><Relationship Id="rId1199" Type="http://schemas.openxmlformats.org/officeDocument/2006/relationships/hyperlink" Target="https://youtu.be/ZuU1SRn-vGM" TargetMode="External"/><Relationship Id="rId599" Type="http://schemas.openxmlformats.org/officeDocument/2006/relationships/hyperlink" Target="https://youtu.be/mQcB8t9PNLk" TargetMode="External"/><Relationship Id="rId1180" Type="http://schemas.openxmlformats.org/officeDocument/2006/relationships/hyperlink" Target="https://youtu.be/Gqm-krmqD4k" TargetMode="External"/><Relationship Id="rId1181" Type="http://schemas.openxmlformats.org/officeDocument/2006/relationships/hyperlink" Target="https://www.youtube.com/watch?v=TZbdrUxQdY0" TargetMode="External"/><Relationship Id="rId1182" Type="http://schemas.openxmlformats.org/officeDocument/2006/relationships/hyperlink" Target="https://youtu.be/YMXdBLGHEEc" TargetMode="External"/><Relationship Id="rId594" Type="http://schemas.openxmlformats.org/officeDocument/2006/relationships/hyperlink" Target="https://youtu.be/33j_ITo0EQ0" TargetMode="External"/><Relationship Id="rId1183" Type="http://schemas.openxmlformats.org/officeDocument/2006/relationships/hyperlink" Target="https://youtu.be/YMXdBLGHEEc" TargetMode="External"/><Relationship Id="rId593" Type="http://schemas.openxmlformats.org/officeDocument/2006/relationships/hyperlink" Target="https://twitter.com/Qbe_Root/status/1401171758330355718" TargetMode="External"/><Relationship Id="rId1184" Type="http://schemas.openxmlformats.org/officeDocument/2006/relationships/hyperlink" Target="https://youtu.be/WSeZ9m3uFA4" TargetMode="External"/><Relationship Id="rId592" Type="http://schemas.openxmlformats.org/officeDocument/2006/relationships/hyperlink" Target="https://www.youtube.com/watch?v=-aqgEfzkVAg&amp;ab_channel=frededish" TargetMode="External"/><Relationship Id="rId1185" Type="http://schemas.openxmlformats.org/officeDocument/2006/relationships/hyperlink" Target="https://www.twitch.tv/jjsrl/clip/MuddyRoughGrasshopperOneHand-PfA0nue3cvmB_Jty"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tDcJhRAA9_Y"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_Gl10yuQ8F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ZczNTkR9KbE" TargetMode="External"/><Relationship Id="rId596" Type="http://schemas.openxmlformats.org/officeDocument/2006/relationships/hyperlink" Target="https://youtu.be/RGpVsf-VJIs" TargetMode="External"/><Relationship Id="rId1189" Type="http://schemas.openxmlformats.org/officeDocument/2006/relationships/hyperlink" Target="https://youtu.be/kHROQLQTclw" TargetMode="External"/><Relationship Id="rId595" Type="http://schemas.openxmlformats.org/officeDocument/2006/relationships/hyperlink" Target="https://clips.twitch.tv/EagerArbitraryWatercressWholeWheat-gtoSHimDN1AEPZcW" TargetMode="External"/><Relationship Id="rId1136" Type="http://schemas.openxmlformats.org/officeDocument/2006/relationships/hyperlink" Target="https://clips.twitch.tv/PlainEntertainingMartenFunRun-JV2tg9yRROTkgLJp" TargetMode="External"/><Relationship Id="rId1137" Type="http://schemas.openxmlformats.org/officeDocument/2006/relationships/hyperlink" Target="https://youtu.be/ue06_CM8LBI"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q3IUc8chiVo" TargetMode="External"/><Relationship Id="rId547" Type="http://schemas.openxmlformats.org/officeDocument/2006/relationships/hyperlink" Target="https://youtu.be/vNhatPMB6m8" TargetMode="External"/><Relationship Id="rId546" Type="http://schemas.openxmlformats.org/officeDocument/2006/relationships/hyperlink" Target="https://www.youtube.com/watch?v=l8w62fXge88" TargetMode="External"/><Relationship Id="rId545" Type="http://schemas.openxmlformats.org/officeDocument/2006/relationships/hyperlink" Target="https://www.youtube.com/watch?v=QhAGIDRaOXM" TargetMode="External"/><Relationship Id="rId544" Type="http://schemas.openxmlformats.org/officeDocument/2006/relationships/hyperlink" Target="https://www.twitch.tv/videos/1062261583" TargetMode="External"/><Relationship Id="rId549" Type="http://schemas.openxmlformats.org/officeDocument/2006/relationships/hyperlink" Target="https://youtu.be/RMKSoa356Sg" TargetMode="External"/><Relationship Id="rId548" Type="http://schemas.openxmlformats.org/officeDocument/2006/relationships/hyperlink" Target="https://youtu.be/vTpWxxEdx-8" TargetMode="External"/><Relationship Id="rId1130" Type="http://schemas.openxmlformats.org/officeDocument/2006/relationships/hyperlink" Target="https://youtu.be/TOopvpfnb90" TargetMode="External"/><Relationship Id="rId1131" Type="http://schemas.openxmlformats.org/officeDocument/2006/relationships/hyperlink" Target="https://clips.twitch.tv/DepressedMiniaturePotatoBigBrother-BMOL-MO0RjCxjoI4" TargetMode="External"/><Relationship Id="rId543" Type="http://schemas.openxmlformats.org/officeDocument/2006/relationships/hyperlink" Target="https://youtu.be/zcG6KElMBT4" TargetMode="External"/><Relationship Id="rId1132" Type="http://schemas.openxmlformats.org/officeDocument/2006/relationships/hyperlink" Target="https://www.youtube.com/watch?v=x2-SXpYJI6M" TargetMode="External"/><Relationship Id="rId542" Type="http://schemas.openxmlformats.org/officeDocument/2006/relationships/hyperlink" Target="https://clips.twitch.tv/PricklyHelpfulOrangeRlyTho-klp6JQH6Wt_q38gr" TargetMode="External"/><Relationship Id="rId1133" Type="http://schemas.openxmlformats.org/officeDocument/2006/relationships/hyperlink" Target="https://clips.twitch.tv/TriangularLuckyPepperoniDxCat-knGjDZY028Z5_WR-" TargetMode="External"/><Relationship Id="rId541" Type="http://schemas.openxmlformats.org/officeDocument/2006/relationships/hyperlink" Target="https://clips.twitch.tv/GlutenFreeNaiveMoonNerfBlueBlaster-zwl3N2FIDvdOzgkC" TargetMode="External"/><Relationship Id="rId1134" Type="http://schemas.openxmlformats.org/officeDocument/2006/relationships/hyperlink" Target="https://youtu.be/1XmqPaMOiiY" TargetMode="External"/><Relationship Id="rId540" Type="http://schemas.openxmlformats.org/officeDocument/2006/relationships/hyperlink" Target="https://www.twitch.tv/videos/780053930" TargetMode="External"/><Relationship Id="rId1135" Type="http://schemas.openxmlformats.org/officeDocument/2006/relationships/hyperlink" Target="https://youtu.be/OwsTTjQaO3w" TargetMode="External"/><Relationship Id="rId1125" Type="http://schemas.openxmlformats.org/officeDocument/2006/relationships/hyperlink" Target="https://youtu.be/D725_B1n0GM" TargetMode="External"/><Relationship Id="rId1126" Type="http://schemas.openxmlformats.org/officeDocument/2006/relationships/hyperlink" Target="https://clips.twitch.tv/DepressedMiniaturePotatoBigBrother-BMOL-MO0RjCxjoI4" TargetMode="External"/><Relationship Id="rId1127" Type="http://schemas.openxmlformats.org/officeDocument/2006/relationships/hyperlink" Target="https://www.youtube.com/watch?v=hRCDsXj44WI" TargetMode="External"/><Relationship Id="rId1128" Type="http://schemas.openxmlformats.org/officeDocument/2006/relationships/hyperlink" Target="https://youtu.be/8Y5Ph2vnEBE" TargetMode="External"/><Relationship Id="rId1129" Type="http://schemas.openxmlformats.org/officeDocument/2006/relationships/hyperlink" Target="https://youtu.be/HiHXN6lvgTc" TargetMode="External"/><Relationship Id="rId536" Type="http://schemas.openxmlformats.org/officeDocument/2006/relationships/hyperlink" Target="https://youtu.be/ValV62Hjv28" TargetMode="External"/><Relationship Id="rId535" Type="http://schemas.openxmlformats.org/officeDocument/2006/relationships/hyperlink" Target="https://youtu.be/CpkY5Gke1Fs" TargetMode="External"/><Relationship Id="rId534" Type="http://schemas.openxmlformats.org/officeDocument/2006/relationships/hyperlink" Target="https://clips.twitch.tv/FaithfulDeterminedPeanutAsianGlow-K87dbZLe5-UZ8WRH" TargetMode="External"/><Relationship Id="rId533" Type="http://schemas.openxmlformats.org/officeDocument/2006/relationships/hyperlink" Target="https://www.youtube.com/watch?v=oCo7JR3BcuI" TargetMode="External"/><Relationship Id="rId539" Type="http://schemas.openxmlformats.org/officeDocument/2006/relationships/hyperlink" Target="https://youtu.be/Ek3-OIBbd_s"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tcRMlaWH3Fk" TargetMode="External"/><Relationship Id="rId1120" Type="http://schemas.openxmlformats.org/officeDocument/2006/relationships/hyperlink" Target="https://youtu.be/H36MF9fXNek" TargetMode="External"/><Relationship Id="rId532" Type="http://schemas.openxmlformats.org/officeDocument/2006/relationships/hyperlink" Target="https://youtu.be/PjCd_IhCqcs" TargetMode="External"/><Relationship Id="rId1121" Type="http://schemas.openxmlformats.org/officeDocument/2006/relationships/hyperlink" Target="https://youtu.be/YKhYKlk0DN4" TargetMode="External"/><Relationship Id="rId531" Type="http://schemas.openxmlformats.org/officeDocument/2006/relationships/hyperlink" Target="https://www.twitch.tv/videos/780053931" TargetMode="External"/><Relationship Id="rId1122" Type="http://schemas.openxmlformats.org/officeDocument/2006/relationships/hyperlink" Target="https://clips.twitch.tv/AmericanSmoggyMeerkatWholeWheat-ZCu1oZIXMktbs8CL" TargetMode="External"/><Relationship Id="rId530" Type="http://schemas.openxmlformats.org/officeDocument/2006/relationships/hyperlink" Target="https://youtu.be/0-HI7a6tNPI" TargetMode="External"/><Relationship Id="rId1123" Type="http://schemas.openxmlformats.org/officeDocument/2006/relationships/hyperlink" Target="https://www.youtube.com/watch?v=Pnj2t4CQGiM&amp;feature=youtu.be&amp;ab_channel=SMSArchives"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youtu.be/MPlNTwHHCGk" TargetMode="External"/><Relationship Id="rId1159" Type="http://schemas.openxmlformats.org/officeDocument/2006/relationships/hyperlink" Target="https://youtu.be/c99cCXZCmK4" TargetMode="External"/><Relationship Id="rId569" Type="http://schemas.openxmlformats.org/officeDocument/2006/relationships/hyperlink" Target="https://youtu.be/Q_MyVwQo4yM" TargetMode="External"/><Relationship Id="rId568" Type="http://schemas.openxmlformats.org/officeDocument/2006/relationships/hyperlink" Target="https://youtu.be/fEVEtyTrceo" TargetMode="External"/><Relationship Id="rId567" Type="http://schemas.openxmlformats.org/officeDocument/2006/relationships/hyperlink" Target="https://youtu.be/WjT8sgQZIU0"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youtu.be/9W_8SvkVml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Vaz9RLUdUKI" TargetMode="External"/><Relationship Id="rId1151" Type="http://schemas.openxmlformats.org/officeDocument/2006/relationships/hyperlink" Target="https://youtu.be/saeB2BJyl3w" TargetMode="External"/><Relationship Id="rId1152" Type="http://schemas.openxmlformats.org/officeDocument/2006/relationships/hyperlink" Target="https://youtu.be/cTFRTeFZ_J8" TargetMode="External"/><Relationship Id="rId1153" Type="http://schemas.openxmlformats.org/officeDocument/2006/relationships/hyperlink" Target="https://youtu.be/9xdcEVyiBHI" TargetMode="External"/><Relationship Id="rId565" Type="http://schemas.openxmlformats.org/officeDocument/2006/relationships/hyperlink" Target="https://x.com/175akane/status/1895100227415113909" TargetMode="External"/><Relationship Id="rId1154" Type="http://schemas.openxmlformats.org/officeDocument/2006/relationships/hyperlink" Target="https://youtu.be/_-CeL_OF9PE" TargetMode="External"/><Relationship Id="rId564" Type="http://schemas.openxmlformats.org/officeDocument/2006/relationships/hyperlink" Target="https://www.youtube.com/watch?v=H4iAqO54Z9k&amp;t=182s" TargetMode="External"/><Relationship Id="rId1155" Type="http://schemas.openxmlformats.org/officeDocument/2006/relationships/hyperlink" Target="https://clips.twitch.tv/FaithfulAgitatedSardineSeemsGood-k1jxuaQOQXlfuVn-" TargetMode="External"/><Relationship Id="rId563" Type="http://schemas.openxmlformats.org/officeDocument/2006/relationships/hyperlink" Target="https://www.youtube.com/watch?v=RqAsb8giAqw" TargetMode="External"/><Relationship Id="rId1156" Type="http://schemas.openxmlformats.org/officeDocument/2006/relationships/hyperlink" Target="https://clips.twitch.tv/VibrantBrightThymeStinkyCheese-x2GYoSaGQWXd9TQP" TargetMode="External"/><Relationship Id="rId562" Type="http://schemas.openxmlformats.org/officeDocument/2006/relationships/hyperlink" Target="https://youtu.be/Vaz9RLUdUKI" TargetMode="External"/><Relationship Id="rId1157" Type="http://schemas.openxmlformats.org/officeDocument/2006/relationships/hyperlink" Target="https://youtu.be/U9qXLAXAd7k" TargetMode="External"/><Relationship Id="rId1147" Type="http://schemas.openxmlformats.org/officeDocument/2006/relationships/hyperlink" Target="https://x.com/175akane/status/189509861776704325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youtu.be/lYi4TdoiTuI" TargetMode="External"/><Relationship Id="rId558" Type="http://schemas.openxmlformats.org/officeDocument/2006/relationships/hyperlink" Target="https://clips.twitch.tv/CallousGleamingCakeNomNom" TargetMode="External"/><Relationship Id="rId557" Type="http://schemas.openxmlformats.org/officeDocument/2006/relationships/hyperlink" Target="https://youtu.be/OebPbR5cDM4" TargetMode="External"/><Relationship Id="rId556" Type="http://schemas.openxmlformats.org/officeDocument/2006/relationships/hyperlink" Target="https://youtu.be/Cgbw0t2unaM" TargetMode="External"/><Relationship Id="rId555" Type="http://schemas.openxmlformats.org/officeDocument/2006/relationships/hyperlink" Target="https://youtu.be/BRXVvNWBHQM" TargetMode="External"/><Relationship Id="rId559" Type="http://schemas.openxmlformats.org/officeDocument/2006/relationships/hyperlink" Target="https://www.youtube.com/watch?v=YgJo9NzadSQ" TargetMode="External"/><Relationship Id="rId550" Type="http://schemas.openxmlformats.org/officeDocument/2006/relationships/hyperlink" Target="https://youtu.be/vTpWxxEdx-8" TargetMode="External"/><Relationship Id="rId1140" Type="http://schemas.openxmlformats.org/officeDocument/2006/relationships/hyperlink" Target="https://youtu.be/ZD38xZvhuTY" TargetMode="External"/><Relationship Id="rId1141" Type="http://schemas.openxmlformats.org/officeDocument/2006/relationships/hyperlink" Target="https://youtu.be/DTClS_qtBNg" TargetMode="External"/><Relationship Id="rId1142" Type="http://schemas.openxmlformats.org/officeDocument/2006/relationships/hyperlink" Target="https://youtu.be/q3IUc8chiVo" TargetMode="External"/><Relationship Id="rId554" Type="http://schemas.openxmlformats.org/officeDocument/2006/relationships/hyperlink" Target="https://youtu.be/Xu8Ao983E4A" TargetMode="External"/><Relationship Id="rId1143" Type="http://schemas.openxmlformats.org/officeDocument/2006/relationships/hyperlink" Target="https://youtu.be/tatoriHF17g" TargetMode="External"/><Relationship Id="rId553" Type="http://schemas.openxmlformats.org/officeDocument/2006/relationships/hyperlink" Target="https://youtu.be/iBxubJeUngI" TargetMode="External"/><Relationship Id="rId1144" Type="http://schemas.openxmlformats.org/officeDocument/2006/relationships/hyperlink" Target="https://youtu.be/b_fjcdwVo9c" TargetMode="External"/><Relationship Id="rId552" Type="http://schemas.openxmlformats.org/officeDocument/2006/relationships/hyperlink" Target="https://youtu.be/eqBfv6kOuq0" TargetMode="External"/><Relationship Id="rId1145" Type="http://schemas.openxmlformats.org/officeDocument/2006/relationships/hyperlink" Target="https://www.youtube.com/watch?v=Ji5c99CvARE" TargetMode="External"/><Relationship Id="rId551" Type="http://schemas.openxmlformats.org/officeDocument/2006/relationships/hyperlink" Target="https://youtu.be/4SFPJQOfmYE" TargetMode="External"/><Relationship Id="rId1146" Type="http://schemas.openxmlformats.org/officeDocument/2006/relationships/hyperlink" Target="https://youtu.be/5vUNzwaesc8" TargetMode="External"/><Relationship Id="rId495" Type="http://schemas.openxmlformats.org/officeDocument/2006/relationships/hyperlink" Target="https://youtu.be/1-eSJVzzM0s" TargetMode="External"/><Relationship Id="rId494" Type="http://schemas.openxmlformats.org/officeDocument/2006/relationships/hyperlink" Target="https://www.youtube.com/watch?v=GxNlLITW9h8" TargetMode="External"/><Relationship Id="rId493" Type="http://schemas.openxmlformats.org/officeDocument/2006/relationships/hyperlink" Target="https://youtu.be/vDXyRMvfnaU" TargetMode="External"/><Relationship Id="rId492" Type="http://schemas.openxmlformats.org/officeDocument/2006/relationships/hyperlink" Target="https://www.twitch.tv/videos/890369851" TargetMode="External"/><Relationship Id="rId499" Type="http://schemas.openxmlformats.org/officeDocument/2006/relationships/hyperlink" Target="https://youtu.be/oac-PkrzALo" TargetMode="External"/><Relationship Id="rId498" Type="http://schemas.openxmlformats.org/officeDocument/2006/relationships/hyperlink" Target="https://youtu.be/qOGRg7jwEbU" TargetMode="External"/><Relationship Id="rId497" Type="http://schemas.openxmlformats.org/officeDocument/2006/relationships/hyperlink" Target="https://youtu.be/oac-PkrzALo"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DpbmS4DrZ0s" TargetMode="External"/><Relationship Id="rId1214" Type="http://schemas.openxmlformats.org/officeDocument/2006/relationships/hyperlink" Target="https://youtu.be/BIwB8aMG3fk" TargetMode="External"/><Relationship Id="rId1215" Type="http://schemas.openxmlformats.org/officeDocument/2006/relationships/hyperlink" Target="https://clips.twitch.tv/MildWittyHerbsLitFam-1tUBUJoQnTtzkoSc" TargetMode="External"/><Relationship Id="rId1216" Type="http://schemas.openxmlformats.org/officeDocument/2006/relationships/hyperlink" Target="https://www.youtube.com/watch?v=4SGAQETyNZ0" TargetMode="External"/><Relationship Id="rId1217" Type="http://schemas.openxmlformats.org/officeDocument/2006/relationships/hyperlink" Target="https://clips.twitch.tv/SweetHonorableFungusThunBeast-EqIPETChLfP9dMVx" TargetMode="External"/><Relationship Id="rId1218" Type="http://schemas.openxmlformats.org/officeDocument/2006/relationships/hyperlink" Target="https://www.twitch.tv/jpeppp/clip/AmericanDoubtfulLadiesPipeHype?filter=clips&amp;range=all&amp;sort=time" TargetMode="External"/><Relationship Id="rId1219" Type="http://schemas.openxmlformats.org/officeDocument/2006/relationships/hyperlink" Target="https://youtu.be/iIxItO2qyp0" TargetMode="External"/><Relationship Id="rId1210" Type="http://schemas.openxmlformats.org/officeDocument/2006/relationships/hyperlink" Target="https://www.youtube.com/watch?v=7798HAhO4wU&amp;feature=youtu.be&amp;ab_channel=SMSArchives" TargetMode="External"/><Relationship Id="rId1211" Type="http://schemas.openxmlformats.org/officeDocument/2006/relationships/hyperlink" Target="https://youtu.be/n9Pgok3_gLk"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ZuU1SRn-vGM" TargetMode="External"/><Relationship Id="rId1203" Type="http://schemas.openxmlformats.org/officeDocument/2006/relationships/hyperlink" Target="https://youtu.be/elaYSWhDvFA" TargetMode="External"/><Relationship Id="rId1204" Type="http://schemas.openxmlformats.org/officeDocument/2006/relationships/hyperlink" Target="https://youtu.be/RxzeJJ1cBEE" TargetMode="External"/><Relationship Id="rId1205" Type="http://schemas.openxmlformats.org/officeDocument/2006/relationships/hyperlink" Target="https://youtu.be/U0nS3g0zOvI" TargetMode="External"/><Relationship Id="rId1206" Type="http://schemas.openxmlformats.org/officeDocument/2006/relationships/hyperlink" Target="https://youtu.be/Vix-gMQfukI?si=6dlzLJh2a-1zjeG8" TargetMode="External"/><Relationship Id="rId1207" Type="http://schemas.openxmlformats.org/officeDocument/2006/relationships/hyperlink" Target="https://youtu.be/U0nS3g0zOvI" TargetMode="External"/><Relationship Id="rId1208" Type="http://schemas.openxmlformats.org/officeDocument/2006/relationships/hyperlink" Target="https://twitter.com/Qbe_Root/status/1267201521541959680" TargetMode="External"/><Relationship Id="rId1209" Type="http://schemas.openxmlformats.org/officeDocument/2006/relationships/hyperlink" Target="https://youtu.be/Un8GBYhUU3E?si=_9oMA0fSL4zoQw4f" TargetMode="External"/><Relationship Id="rId1200" Type="http://schemas.openxmlformats.org/officeDocument/2006/relationships/hyperlink" Target="https://youtu.be/7mi3rKCeBsI" TargetMode="External"/><Relationship Id="rId1201" Type="http://schemas.openxmlformats.org/officeDocument/2006/relationships/hyperlink" Target="https://youtu.be/M822PVs1H2w" TargetMode="External"/><Relationship Id="rId1235" Type="http://schemas.openxmlformats.org/officeDocument/2006/relationships/hyperlink" Target="https://youtu.be/ZgRlEQwomQ8" TargetMode="External"/><Relationship Id="rId1236" Type="http://schemas.openxmlformats.org/officeDocument/2006/relationships/hyperlink" Target="https://youtu.be/2qsci_GLiAo" TargetMode="External"/><Relationship Id="rId1237" Type="http://schemas.openxmlformats.org/officeDocument/2006/relationships/hyperlink" Target="https://youtu.be/nvtBwUPOOjs" TargetMode="External"/><Relationship Id="rId1238" Type="http://schemas.openxmlformats.org/officeDocument/2006/relationships/hyperlink" Target="https://www.youtube.com/watch?v=kbs-FSaXOdo" TargetMode="External"/><Relationship Id="rId1239" Type="http://schemas.openxmlformats.org/officeDocument/2006/relationships/hyperlink" Target="https://youtu.be/0DuI0wesCj4" TargetMode="External"/><Relationship Id="rId409" Type="http://schemas.openxmlformats.org/officeDocument/2006/relationships/hyperlink" Target="https://www.youtube.com/watch?v=nlpVGIHQnu0&amp;feature=youtu.be&amp;ab_channel=SMSArchives" TargetMode="External"/><Relationship Id="rId404" Type="http://schemas.openxmlformats.org/officeDocument/2006/relationships/hyperlink" Target="https://x.com/inkstarLum/status/1776195262429687861" TargetMode="External"/><Relationship Id="rId403" Type="http://schemas.openxmlformats.org/officeDocument/2006/relationships/hyperlink" Target="https://youtu.be/HhtAzPsIKGw" TargetMode="External"/><Relationship Id="rId402" Type="http://schemas.openxmlformats.org/officeDocument/2006/relationships/hyperlink" Target="https://youtu.be/81KtAn-zj3g" TargetMode="External"/><Relationship Id="rId401" Type="http://schemas.openxmlformats.org/officeDocument/2006/relationships/hyperlink" Target="https://www.youtube.com/watch?v=fHBpa4uY7Q4&amp;ab_channel=SMSArchives" TargetMode="External"/><Relationship Id="rId408" Type="http://schemas.openxmlformats.org/officeDocument/2006/relationships/hyperlink" Target="https://www.youtube.com/watch?v=TchMnAGP8Bk" TargetMode="External"/><Relationship Id="rId407" Type="http://schemas.openxmlformats.org/officeDocument/2006/relationships/hyperlink" Target="https://youtu.be/zIoDxqcx17s" TargetMode="External"/><Relationship Id="rId406" Type="http://schemas.openxmlformats.org/officeDocument/2006/relationships/hyperlink" Target="https://youtu.be/QvN0zOZzm3E" TargetMode="External"/><Relationship Id="rId405" Type="http://schemas.openxmlformats.org/officeDocument/2006/relationships/hyperlink" Target="https://www.youtube.com/watch?v=mBiqa6naBR0" TargetMode="External"/><Relationship Id="rId1230" Type="http://schemas.openxmlformats.org/officeDocument/2006/relationships/hyperlink" Target="https://youtu.be/hLSXNf9Tyrs" TargetMode="External"/><Relationship Id="rId400" Type="http://schemas.openxmlformats.org/officeDocument/2006/relationships/hyperlink" Target="https://clips.twitch.tv/ProudGorgeousPanJKanStyle-9IQRDaMr0xql6Q4q" TargetMode="External"/><Relationship Id="rId1231" Type="http://schemas.openxmlformats.org/officeDocument/2006/relationships/hyperlink" Target="https://youtu.be/2Um5c2WuWvI" TargetMode="External"/><Relationship Id="rId1232" Type="http://schemas.openxmlformats.org/officeDocument/2006/relationships/hyperlink" Target="https://youtu.be/JJujtnxFUXg" TargetMode="External"/><Relationship Id="rId1233" Type="http://schemas.openxmlformats.org/officeDocument/2006/relationships/hyperlink" Target="https://clips.twitch.tv/HyperEvilThymeVoHiYo-po11OK77dQEmShef" TargetMode="External"/><Relationship Id="rId1234" Type="http://schemas.openxmlformats.org/officeDocument/2006/relationships/hyperlink" Target="https://youtu.be/y1GKQSO9qU0" TargetMode="External"/><Relationship Id="rId1224" Type="http://schemas.openxmlformats.org/officeDocument/2006/relationships/hyperlink" Target="https://youtu.be/Ctn3rI5RKbg" TargetMode="External"/><Relationship Id="rId1225" Type="http://schemas.openxmlformats.org/officeDocument/2006/relationships/hyperlink" Target="https://youtu.be/osb0MUIpTXA" TargetMode="External"/><Relationship Id="rId1226" Type="http://schemas.openxmlformats.org/officeDocument/2006/relationships/hyperlink" Target="https://clips.twitch.tv/UnsightlyEmpathicPineappleBrokeBack--m-hDZdSRLdX1K6b" TargetMode="External"/><Relationship Id="rId1227" Type="http://schemas.openxmlformats.org/officeDocument/2006/relationships/hyperlink" Target="https://youtu.be/_iKhHERDn-k" TargetMode="External"/><Relationship Id="rId1228" Type="http://schemas.openxmlformats.org/officeDocument/2006/relationships/hyperlink" Target="https://youtu.be/JJujtnxFUXg" TargetMode="External"/><Relationship Id="rId1229" Type="http://schemas.openxmlformats.org/officeDocument/2006/relationships/hyperlink" Target="https://youtu.be/oWQXsAIPCvw" TargetMode="External"/><Relationship Id="rId1220" Type="http://schemas.openxmlformats.org/officeDocument/2006/relationships/hyperlink" Target="https://www.youtube.com/watch?v=VpV6xsgvGRA" TargetMode="External"/><Relationship Id="rId1221" Type="http://schemas.openxmlformats.org/officeDocument/2006/relationships/hyperlink" Target="https://youtu.be/osb0MUIpTXA" TargetMode="External"/><Relationship Id="rId1222" Type="http://schemas.openxmlformats.org/officeDocument/2006/relationships/hyperlink" Target="https://youtu.be/KeVM5h8wzD4" TargetMode="External"/><Relationship Id="rId1223" Type="http://schemas.openxmlformats.org/officeDocument/2006/relationships/hyperlink" Target="https://youtu.be/aseWRk7Y8sg" TargetMode="External"/><Relationship Id="rId469" Type="http://schemas.openxmlformats.org/officeDocument/2006/relationships/hyperlink" Target="https://x.com/175akane/status/1898772604728553690" TargetMode="External"/><Relationship Id="rId468" Type="http://schemas.openxmlformats.org/officeDocument/2006/relationships/hyperlink" Target="https://youtu.be/9MA0wssCE4w" TargetMode="External"/><Relationship Id="rId467" Type="http://schemas.openxmlformats.org/officeDocument/2006/relationships/hyperlink" Target="https://www.youtube.com/watch?v=jH2L4juA1t4&amp;ab_channel=SMSArchives" TargetMode="External"/><Relationship Id="rId1290" Type="http://schemas.openxmlformats.org/officeDocument/2006/relationships/hyperlink" Target="https://youtu.be/Ay4FY71sJJo" TargetMode="External"/><Relationship Id="rId1291" Type="http://schemas.openxmlformats.org/officeDocument/2006/relationships/hyperlink" Target="https://youtu.be/fpEEA8nWq0Q" TargetMode="External"/><Relationship Id="rId1292" Type="http://schemas.openxmlformats.org/officeDocument/2006/relationships/hyperlink" Target="https://www.youtube.com/watch?v=BTK27xUh2So&amp;feature=youtu.be&amp;ab_channel=SMSArchives" TargetMode="External"/><Relationship Id="rId462" Type="http://schemas.openxmlformats.org/officeDocument/2006/relationships/hyperlink" Target="https://youtu.be/eCqXZSJbD5M" TargetMode="External"/><Relationship Id="rId1293" Type="http://schemas.openxmlformats.org/officeDocument/2006/relationships/hyperlink" Target="https://youtu.be/phvKkRyVEV4" TargetMode="External"/><Relationship Id="rId461" Type="http://schemas.openxmlformats.org/officeDocument/2006/relationships/hyperlink" Target="https://youtu.be/mybjZ1zHSGk" TargetMode="External"/><Relationship Id="rId1294" Type="http://schemas.openxmlformats.org/officeDocument/2006/relationships/hyperlink" Target="https://www.youtube.com/watch?v=4YO7lfEtNd8"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Ay4FY71sJJo" TargetMode="External"/><Relationship Id="rId1296" Type="http://schemas.openxmlformats.org/officeDocument/2006/relationships/hyperlink" Target="https://clips.twitch.tv/FurryThirstyGaurUncleNox-62xsKc6hM-iBI_O-" TargetMode="External"/><Relationship Id="rId466" Type="http://schemas.openxmlformats.org/officeDocument/2006/relationships/hyperlink" Target="https://www.youtube.com/watch?v=bQXX4EJ04rY" TargetMode="External"/><Relationship Id="rId1297" Type="http://schemas.openxmlformats.org/officeDocument/2006/relationships/hyperlink" Target="https://www.youtube.com/watch?v=k5V8na3uoBY" TargetMode="External"/><Relationship Id="rId465" Type="http://schemas.openxmlformats.org/officeDocument/2006/relationships/hyperlink" Target="https://www.youtube.com/watch?v=8BrDAvD-IV4" TargetMode="External"/><Relationship Id="rId1298" Type="http://schemas.openxmlformats.org/officeDocument/2006/relationships/hyperlink" Target="https://www.youtube.com/watch?v=-QrOv5szwRs&amp;feature=youtu.be&amp;ab_channel=SMSArchives"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youtu.be/06D7QFhkGHU" TargetMode="External"/><Relationship Id="rId463" Type="http://schemas.openxmlformats.org/officeDocument/2006/relationships/hyperlink" Target="https://youtu.be/4aqw-ew_sN0" TargetMode="External"/><Relationship Id="rId459" Type="http://schemas.openxmlformats.org/officeDocument/2006/relationships/hyperlink" Target="https://youtu.be/tJkEfz431oM" TargetMode="External"/><Relationship Id="rId458" Type="http://schemas.openxmlformats.org/officeDocument/2006/relationships/hyperlink" Target="https://youtu.be/DMmQF4bfdXk" TargetMode="External"/><Relationship Id="rId457" Type="http://schemas.openxmlformats.org/officeDocument/2006/relationships/hyperlink" Target="https://youtu.be/DMmQF4bfdXk" TargetMode="External"/><Relationship Id="rId456" Type="http://schemas.openxmlformats.org/officeDocument/2006/relationships/hyperlink" Target="https://youtu.be/kgdFo-Rr8zE" TargetMode="External"/><Relationship Id="rId1280" Type="http://schemas.openxmlformats.org/officeDocument/2006/relationships/hyperlink" Target="https://youtu.be/_zy6O8EMW9o" TargetMode="External"/><Relationship Id="rId1281" Type="http://schemas.openxmlformats.org/officeDocument/2006/relationships/hyperlink" Target="https://youtu.be/Vn-avrb6ChU" TargetMode="External"/><Relationship Id="rId451" Type="http://schemas.openxmlformats.org/officeDocument/2006/relationships/hyperlink" Target="https://youtu.be/JhVWra7g52o" TargetMode="External"/><Relationship Id="rId1282" Type="http://schemas.openxmlformats.org/officeDocument/2006/relationships/hyperlink" Target="https://clips.twitch.tv/FunFilthyHerringPicoMause-5CS6RTHfNlvZK2Qq" TargetMode="External"/><Relationship Id="rId450" Type="http://schemas.openxmlformats.org/officeDocument/2006/relationships/hyperlink" Target="https://youtu.be/lI720L0pgPs" TargetMode="External"/><Relationship Id="rId1283" Type="http://schemas.openxmlformats.org/officeDocument/2006/relationships/hyperlink" Target="https://www.twitch.tv/fech8763/clip/BenevolentEasyWatermelonFailFish?filter=clips&amp;range=all&amp;sort=time" TargetMode="External"/><Relationship Id="rId1284" Type="http://schemas.openxmlformats.org/officeDocument/2006/relationships/hyperlink" Target="https://youtu.be/2CLApZGnth0" TargetMode="External"/><Relationship Id="rId1285" Type="http://schemas.openxmlformats.org/officeDocument/2006/relationships/hyperlink" Target="https://clips.twitch.tv/ConfidentRelievedGoblinNononoCat-lWNlVySfGUvshW8W" TargetMode="External"/><Relationship Id="rId455" Type="http://schemas.openxmlformats.org/officeDocument/2006/relationships/hyperlink" Target="https://youtu.be/HWTfLToZMEw" TargetMode="External"/><Relationship Id="rId1286" Type="http://schemas.openxmlformats.org/officeDocument/2006/relationships/hyperlink" Target="https://www.youtube.com/watch?v=BanNtsjIhb4&amp;feature=youtu.be&amp;ab_channel=SMSArchives" TargetMode="External"/><Relationship Id="rId454" Type="http://schemas.openxmlformats.org/officeDocument/2006/relationships/hyperlink" Target="https://youtu.be/oqSoo8shf5E" TargetMode="External"/><Relationship Id="rId1287" Type="http://schemas.openxmlformats.org/officeDocument/2006/relationships/hyperlink" Target="https://youtu.be/hHITvO7XueU" TargetMode="External"/><Relationship Id="rId453" Type="http://schemas.openxmlformats.org/officeDocument/2006/relationships/hyperlink" Target="https://www.youtube.com/watch?v=3sIlIgRGsO4"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TX8Oe2Rwyuw" TargetMode="External"/><Relationship Id="rId491" Type="http://schemas.openxmlformats.org/officeDocument/2006/relationships/hyperlink" Target="https://youtu.be/SVybssrepNo" TargetMode="External"/><Relationship Id="rId490" Type="http://schemas.openxmlformats.org/officeDocument/2006/relationships/hyperlink" Target="https://youtu.be/azoZh1WaTVs" TargetMode="External"/><Relationship Id="rId489" Type="http://schemas.openxmlformats.org/officeDocument/2006/relationships/hyperlink" Target="https://youtu.be/SVybssrepNo" TargetMode="External"/><Relationship Id="rId484" Type="http://schemas.openxmlformats.org/officeDocument/2006/relationships/hyperlink" Target="https://youtu.be/psVqdkPdc2Y" TargetMode="External"/><Relationship Id="rId483" Type="http://schemas.openxmlformats.org/officeDocument/2006/relationships/hyperlink" Target="https://youtu.be/t9YQYIfgXoE" TargetMode="External"/><Relationship Id="rId482" Type="http://schemas.openxmlformats.org/officeDocument/2006/relationships/hyperlink" Target="https://youtu.be/yKTIjGg13jA" TargetMode="External"/><Relationship Id="rId481" Type="http://schemas.openxmlformats.org/officeDocument/2006/relationships/hyperlink" Target="https://youtu.be/8__y2Qad2Og" TargetMode="External"/><Relationship Id="rId488" Type="http://schemas.openxmlformats.org/officeDocument/2006/relationships/hyperlink" Target="https://youtu.be/yKTIjGg13jA" TargetMode="External"/><Relationship Id="rId487" Type="http://schemas.openxmlformats.org/officeDocument/2006/relationships/hyperlink" Target="https://youtu.be/QQ_jJmzpcYE" TargetMode="External"/><Relationship Id="rId486" Type="http://schemas.openxmlformats.org/officeDocument/2006/relationships/hyperlink" Target="https://youtu.be/EaiycbXKao0" TargetMode="External"/><Relationship Id="rId485" Type="http://schemas.openxmlformats.org/officeDocument/2006/relationships/hyperlink" Target="https://youtu.be/3DTdNlTxkEw" TargetMode="External"/><Relationship Id="rId480" Type="http://schemas.openxmlformats.org/officeDocument/2006/relationships/hyperlink" Target="https://youtu.be/f8z9IgcsC3w" TargetMode="External"/><Relationship Id="rId479" Type="http://schemas.openxmlformats.org/officeDocument/2006/relationships/hyperlink" Target="https://youtu.be/4xTf97v4cGY" TargetMode="External"/><Relationship Id="rId478" Type="http://schemas.openxmlformats.org/officeDocument/2006/relationships/hyperlink" Target="https://clips.twitch.tv/MoistQuaintTruffleDoritosChip" TargetMode="External"/><Relationship Id="rId473" Type="http://schemas.openxmlformats.org/officeDocument/2006/relationships/hyperlink" Target="https://youtu.be/KrettlTfhBY" TargetMode="External"/><Relationship Id="rId472" Type="http://schemas.openxmlformats.org/officeDocument/2006/relationships/hyperlink" Target="https://youtu.be/jUoN6om1PxE" TargetMode="External"/><Relationship Id="rId471" Type="http://schemas.openxmlformats.org/officeDocument/2006/relationships/hyperlink" Target="https://youtu.be/KrettlTfhBY"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m45SeeT15mk" TargetMode="External"/><Relationship Id="rId476" Type="http://schemas.openxmlformats.org/officeDocument/2006/relationships/hyperlink" Target="https://youtu.be/CGy2fVWesj0" TargetMode="External"/><Relationship Id="rId475" Type="http://schemas.openxmlformats.org/officeDocument/2006/relationships/hyperlink" Target="https://youtu.be/xknzl-aZiJ0" TargetMode="External"/><Relationship Id="rId474" Type="http://schemas.openxmlformats.org/officeDocument/2006/relationships/hyperlink" Target="https://youtu.be/dyMv749BLQ0"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uM1I8GG5zVk" TargetMode="External"/><Relationship Id="rId1259" Type="http://schemas.openxmlformats.org/officeDocument/2006/relationships/hyperlink" Target="https://youtu.be/3ASpf58HwCg" TargetMode="External"/><Relationship Id="rId426" Type="http://schemas.openxmlformats.org/officeDocument/2006/relationships/hyperlink" Target="https://youtu.be/oMs4H6G26mY" TargetMode="External"/><Relationship Id="rId425" Type="http://schemas.openxmlformats.org/officeDocument/2006/relationships/hyperlink" Target="https://youtu.be/UgoWmGFAS9M" TargetMode="External"/><Relationship Id="rId424" Type="http://schemas.openxmlformats.org/officeDocument/2006/relationships/hyperlink" Target="https://youtu.be/yM7eFNu04pY" TargetMode="External"/><Relationship Id="rId423" Type="http://schemas.openxmlformats.org/officeDocument/2006/relationships/hyperlink" Target="https://youtu.be/Hb_40Nndess" TargetMode="External"/><Relationship Id="rId429" Type="http://schemas.openxmlformats.org/officeDocument/2006/relationships/hyperlink" Target="https://youtu.be/cqlERX7hd7c" TargetMode="External"/><Relationship Id="rId428" Type="http://schemas.openxmlformats.org/officeDocument/2006/relationships/hyperlink" Target="https://youtu.be/kpxMbm8UtAw" TargetMode="External"/><Relationship Id="rId427" Type="http://schemas.openxmlformats.org/officeDocument/2006/relationships/hyperlink" Target="https://youtu.be/cqlERX7hd7c" TargetMode="External"/><Relationship Id="rId1250" Type="http://schemas.openxmlformats.org/officeDocument/2006/relationships/hyperlink" Target="https://youtu.be/NdyFOs0CNzA" TargetMode="External"/><Relationship Id="rId1251" Type="http://schemas.openxmlformats.org/officeDocument/2006/relationships/hyperlink" Target="https://clips.twitch.tv/NaiveSuperEyeballUWot-FjpYnzacEzYqQuiE" TargetMode="External"/><Relationship Id="rId1252" Type="http://schemas.openxmlformats.org/officeDocument/2006/relationships/hyperlink" Target="https://youtu.be/bEnkKuin0AU" TargetMode="External"/><Relationship Id="rId422" Type="http://schemas.openxmlformats.org/officeDocument/2006/relationships/hyperlink" Target="https://clips.twitch.tv/CrepuscularTriangularWallabyMikeHogu-QbB5xBhygnGb8czG"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www.twitch.tv/videos/1810124946" TargetMode="External"/><Relationship Id="rId1254" Type="http://schemas.openxmlformats.org/officeDocument/2006/relationships/hyperlink" Target="https://youtu.be/Awt0kRubMRs" TargetMode="External"/><Relationship Id="rId420" Type="http://schemas.openxmlformats.org/officeDocument/2006/relationships/hyperlink" Target="https://youtu.be/y2ToyAmG1Z0" TargetMode="External"/><Relationship Id="rId1255" Type="http://schemas.openxmlformats.org/officeDocument/2006/relationships/hyperlink" Target="https://youtu.be/yaUZ7zMs4j0" TargetMode="External"/><Relationship Id="rId1256" Type="http://schemas.openxmlformats.org/officeDocument/2006/relationships/hyperlink" Target="https://youtu.be/PBVoTJCkHhI" TargetMode="External"/><Relationship Id="rId1246" Type="http://schemas.openxmlformats.org/officeDocument/2006/relationships/hyperlink" Target="https://youtu.be/ZVx314GtAOQ" TargetMode="External"/><Relationship Id="rId1247" Type="http://schemas.openxmlformats.org/officeDocument/2006/relationships/hyperlink" Target="https://youtu.be/3DqzAPYrpF4" TargetMode="External"/><Relationship Id="rId1248" Type="http://schemas.openxmlformats.org/officeDocument/2006/relationships/hyperlink" Target="https://youtu.be/80CjYSyiwxo" TargetMode="External"/><Relationship Id="rId1249" Type="http://schemas.openxmlformats.org/officeDocument/2006/relationships/hyperlink" Target="https://youtu.be/jEPmfzafuis" TargetMode="External"/><Relationship Id="rId415" Type="http://schemas.openxmlformats.org/officeDocument/2006/relationships/hyperlink" Target="https://www.youtube.com/watch?v=-wVESQbymOo" TargetMode="External"/><Relationship Id="rId414" Type="http://schemas.openxmlformats.org/officeDocument/2006/relationships/hyperlink" Target="https://youtu.be/KAw299EzsTw" TargetMode="External"/><Relationship Id="rId413" Type="http://schemas.openxmlformats.org/officeDocument/2006/relationships/hyperlink" Target="https://youtu.be/LaMvBuhMiVE" TargetMode="External"/><Relationship Id="rId412" Type="http://schemas.openxmlformats.org/officeDocument/2006/relationships/hyperlink" Target="https://youtu.be/LaMvBuhMiVE" TargetMode="External"/><Relationship Id="rId419" Type="http://schemas.openxmlformats.org/officeDocument/2006/relationships/hyperlink" Target="https://youtu.be/yM7eFNu04pY" TargetMode="External"/><Relationship Id="rId418" Type="http://schemas.openxmlformats.org/officeDocument/2006/relationships/hyperlink" Target="https://youtu.be/ypNscnGduFI" TargetMode="External"/><Relationship Id="rId417" Type="http://schemas.openxmlformats.org/officeDocument/2006/relationships/hyperlink" Target="https://www.youtube.com/watch?v=n9upMOsSvj4" TargetMode="External"/><Relationship Id="rId416" Type="http://schemas.openxmlformats.org/officeDocument/2006/relationships/hyperlink" Target="https://www.youtube.com/watch?v=hIhcHQYrlXA" TargetMode="External"/><Relationship Id="rId1240" Type="http://schemas.openxmlformats.org/officeDocument/2006/relationships/hyperlink" Target="https://youtu.be/vhC33um_174" TargetMode="External"/><Relationship Id="rId1241" Type="http://schemas.openxmlformats.org/officeDocument/2006/relationships/hyperlink" Target="https://youtu.be/Kyud9n21QFM" TargetMode="External"/><Relationship Id="rId411" Type="http://schemas.openxmlformats.org/officeDocument/2006/relationships/hyperlink" Target="https://www.youtube.com/watch?v=TchMnAGP8Bk" TargetMode="External"/><Relationship Id="rId1242" Type="http://schemas.openxmlformats.org/officeDocument/2006/relationships/hyperlink" Target="https://youtu.be/zbdC7rooh2Y?si=865g6-C8lEOoEopW" TargetMode="External"/><Relationship Id="rId410" Type="http://schemas.openxmlformats.org/officeDocument/2006/relationships/hyperlink" Target="https://www.twitch.tv/videos/856683769" TargetMode="External"/><Relationship Id="rId1243" Type="http://schemas.openxmlformats.org/officeDocument/2006/relationships/hyperlink" Target="https://youtu.be/2qsci_GLiAo" TargetMode="External"/><Relationship Id="rId1244" Type="http://schemas.openxmlformats.org/officeDocument/2006/relationships/hyperlink" Target="https://youtu.be/ymTj7oKg9AA" TargetMode="External"/><Relationship Id="rId1245" Type="http://schemas.openxmlformats.org/officeDocument/2006/relationships/hyperlink" Target="https://www.twitch.tv/videos/1601827892" TargetMode="External"/><Relationship Id="rId1279" Type="http://schemas.openxmlformats.org/officeDocument/2006/relationships/hyperlink" Target="https://youtu.be/gPYL3ON-eEU"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N9_Ir9Dilcc?t=154" TargetMode="External"/><Relationship Id="rId446" Type="http://schemas.openxmlformats.org/officeDocument/2006/relationships/hyperlink" Target="https://youtu.be/skcVI4_NGxk" TargetMode="External"/><Relationship Id="rId445" Type="http://schemas.openxmlformats.org/officeDocument/2006/relationships/hyperlink" Target="https://www.youtube.com/watch?v=9Mg_6zbqw68&amp;feature=youtu.be&amp;ab_channel=SMSArchives" TargetMode="External"/><Relationship Id="rId449" Type="http://schemas.openxmlformats.org/officeDocument/2006/relationships/hyperlink" Target="https://youtu.be/thAQ0QN9CCI" TargetMode="External"/><Relationship Id="rId1270" Type="http://schemas.openxmlformats.org/officeDocument/2006/relationships/hyperlink" Target="https://www.youtube.com/watch?v=etTxUYPYcg4"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JPRsCvWvWI" TargetMode="External"/><Relationship Id="rId1272" Type="http://schemas.openxmlformats.org/officeDocument/2006/relationships/hyperlink" Target="https://twitter.com/inkstarLum/status/1713868539566899289" TargetMode="External"/><Relationship Id="rId1273" Type="http://schemas.openxmlformats.org/officeDocument/2006/relationships/hyperlink" Target="https://youtu.be/IVozaNgTvUE" TargetMode="External"/><Relationship Id="rId1274" Type="http://schemas.openxmlformats.org/officeDocument/2006/relationships/hyperlink" Target="https://www.youtube.com/watch?v=sqTuGwDvVjI&amp;feature=youtu.be&amp;ab_channel=SMSArchives" TargetMode="External"/><Relationship Id="rId444" Type="http://schemas.openxmlformats.org/officeDocument/2006/relationships/hyperlink" Target="https://www.youtube.com/watch?v=skcVI4_NGxk&amp;ab_channel=InkstarTwo" TargetMode="External"/><Relationship Id="rId1275" Type="http://schemas.openxmlformats.org/officeDocument/2006/relationships/hyperlink" Target="https://youtu.be/kUORjvVr6AI" TargetMode="External"/><Relationship Id="rId443" Type="http://schemas.openxmlformats.org/officeDocument/2006/relationships/hyperlink" Target="https://www.youtube.com/watch?v=A6BicvgEOJc" TargetMode="External"/><Relationship Id="rId1276" Type="http://schemas.openxmlformats.org/officeDocument/2006/relationships/hyperlink" Target="https://youtu.be/pXkmcZIsCgA" TargetMode="External"/><Relationship Id="rId442" Type="http://schemas.openxmlformats.org/officeDocument/2006/relationships/hyperlink" Target="https://clips.twitch.tv/GoodNurturingMeerkatFeelsBadMan" TargetMode="External"/><Relationship Id="rId1277" Type="http://schemas.openxmlformats.org/officeDocument/2006/relationships/hyperlink" Target="https://x.com/inkstarLum/status/1713868539566899289?s=20" TargetMode="External"/><Relationship Id="rId441" Type="http://schemas.openxmlformats.org/officeDocument/2006/relationships/hyperlink" Target="https://clips.twitch.tv/SpotlessTriumphantGaurBudStar--xpKsXkMvpl2e0RE" TargetMode="External"/><Relationship Id="rId1278" Type="http://schemas.openxmlformats.org/officeDocument/2006/relationships/hyperlink" Target="https://youtu.be/Ep8IDi5o2Ec" TargetMode="External"/><Relationship Id="rId1268" Type="http://schemas.openxmlformats.org/officeDocument/2006/relationships/hyperlink" Target="https://youtu.be/Wfk3pXadilY" TargetMode="External"/><Relationship Id="rId1269" Type="http://schemas.openxmlformats.org/officeDocument/2006/relationships/hyperlink" Target="https://www.youtube.com/watch?v=6M4ARzKlbFE" TargetMode="External"/><Relationship Id="rId437" Type="http://schemas.openxmlformats.org/officeDocument/2006/relationships/hyperlink" Target="https://www.youtube.com/watch?v=j6VrOuXBUnA" TargetMode="External"/><Relationship Id="rId436" Type="http://schemas.openxmlformats.org/officeDocument/2006/relationships/hyperlink" Target="https://clips.twitch.tv/StrongPrettyDeerLeeroyJenkins-L18Iq20VbprK73-p"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www.youtube.com/watch?v=_0rcL0hLJRI&amp;ab_channel=SMSArchives" TargetMode="External"/><Relationship Id="rId439" Type="http://schemas.openxmlformats.org/officeDocument/2006/relationships/hyperlink" Target="https://www.youtube.com/watch?v=a1XOO8sZNYE&amp;feature=youtu.be&amp;ab_channel=SMSArchives" TargetMode="External"/><Relationship Id="rId438" Type="http://schemas.openxmlformats.org/officeDocument/2006/relationships/hyperlink" Target="https://youtu.be/Ppzp61W2pkw" TargetMode="External"/><Relationship Id="rId1260" Type="http://schemas.openxmlformats.org/officeDocument/2006/relationships/hyperlink" Target="https://youtu.be/RPNLhL9Mwx8" TargetMode="External"/><Relationship Id="rId1261" Type="http://schemas.openxmlformats.org/officeDocument/2006/relationships/hyperlink" Target="https://youtu.be/7pMKee3TeoI" TargetMode="External"/><Relationship Id="rId1262" Type="http://schemas.openxmlformats.org/officeDocument/2006/relationships/hyperlink" Target="https://www.youtube.com/watch?v=_sGFnkXOmWA&amp;feature=youtu.be&amp;ab_channel=SMSArchives" TargetMode="External"/><Relationship Id="rId1263" Type="http://schemas.openxmlformats.org/officeDocument/2006/relationships/hyperlink" Target="https://youtu.be/5I7jlSnIo7E" TargetMode="External"/><Relationship Id="rId433" Type="http://schemas.openxmlformats.org/officeDocument/2006/relationships/hyperlink" Target="https://youtu.be/0W5pWtLW_m0" TargetMode="External"/><Relationship Id="rId1264" Type="http://schemas.openxmlformats.org/officeDocument/2006/relationships/hyperlink" Target="https://youtu.be/NdyFOs0CNzA" TargetMode="External"/><Relationship Id="rId432" Type="http://schemas.openxmlformats.org/officeDocument/2006/relationships/hyperlink" Target="https://youtu.be/RwKVvVVtiZo" TargetMode="External"/><Relationship Id="rId1265" Type="http://schemas.openxmlformats.org/officeDocument/2006/relationships/hyperlink" Target="https://youtu.be/bDV8fM7A1eA" TargetMode="External"/><Relationship Id="rId431" Type="http://schemas.openxmlformats.org/officeDocument/2006/relationships/hyperlink" Target="https://www.youtube.com/watch?v=kpxMbm8UtAw" TargetMode="External"/><Relationship Id="rId1266" Type="http://schemas.openxmlformats.org/officeDocument/2006/relationships/hyperlink" Target="https://youtu.be/7pMKee3TeoI" TargetMode="External"/><Relationship Id="rId430" Type="http://schemas.openxmlformats.org/officeDocument/2006/relationships/hyperlink" Target="https://youtu.be/RwKVvVVtiZo" TargetMode="External"/><Relationship Id="rId1267" Type="http://schemas.openxmlformats.org/officeDocument/2006/relationships/hyperlink" Target="https://youtu.be/Xo4t95JdZ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youtu.be/cAt3G2Ycy8A" TargetMode="External"/><Relationship Id="rId806" Type="http://schemas.openxmlformats.org/officeDocument/2006/relationships/hyperlink" Target="https://youtu.be/j6T5dBzLJQc" TargetMode="External"/><Relationship Id="rId805" Type="http://schemas.openxmlformats.org/officeDocument/2006/relationships/hyperlink" Target="https://www.youtube.com/watch?v=JBcbuHHG8XU&amp;ab_channel=BlazeAlt"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JBcbuHHG8XU&amp;ab_channel=BlazeAlt" TargetMode="External"/><Relationship Id="rId804" Type="http://schemas.openxmlformats.org/officeDocument/2006/relationships/hyperlink" Target="https://twitter.com/Qbe_Root/status/1404248275818061826" TargetMode="External"/><Relationship Id="rId803" Type="http://schemas.openxmlformats.org/officeDocument/2006/relationships/hyperlink" Target="https://youtu.be/xc3Z1ebr3Vw" TargetMode="External"/><Relationship Id="rId802" Type="http://schemas.openxmlformats.org/officeDocument/2006/relationships/hyperlink" Target="https://youtu.be/PbUtsnSQOKs" TargetMode="External"/><Relationship Id="rId801" Type="http://schemas.openxmlformats.org/officeDocument/2006/relationships/hyperlink" Target="https://www.youtube.com/watch?v=FzDKDXTxIF4&amp;feature=youtu.be&amp;ab_channel=SMSArchives" TargetMode="External"/><Relationship Id="rId1334" Type="http://schemas.openxmlformats.org/officeDocument/2006/relationships/hyperlink" Target="https://youtu.be/_KdZV3Yq2g0" TargetMode="External"/><Relationship Id="rId1335" Type="http://schemas.openxmlformats.org/officeDocument/2006/relationships/hyperlink" Target="https://www.youtube.com/watch?v=Gtva9pJkYT8" TargetMode="External"/><Relationship Id="rId1336" Type="http://schemas.openxmlformats.org/officeDocument/2006/relationships/hyperlink" Target="https://www.youtube.com/watch?v=7487BVlZ3jQ" TargetMode="External"/><Relationship Id="rId1337" Type="http://schemas.openxmlformats.org/officeDocument/2006/relationships/hyperlink" Target="https://www.youtube.com/watch?v=3F2muoR_V9w" TargetMode="External"/><Relationship Id="rId1338" Type="http://schemas.openxmlformats.org/officeDocument/2006/relationships/hyperlink" Target="https://youtu.be/VbQuQcZvtbo" TargetMode="External"/><Relationship Id="rId1339" Type="http://schemas.openxmlformats.org/officeDocument/2006/relationships/hyperlink" Target="https://youtu.be/3QYNV827jxk" TargetMode="External"/><Relationship Id="rId745" Type="http://schemas.openxmlformats.org/officeDocument/2006/relationships/hyperlink" Target="https://youtu.be/SjCEv-auZMc" TargetMode="External"/><Relationship Id="rId744" Type="http://schemas.openxmlformats.org/officeDocument/2006/relationships/hyperlink" Target="https://youtu.be/QTpj3zZGHHc" TargetMode="External"/><Relationship Id="rId743" Type="http://schemas.openxmlformats.org/officeDocument/2006/relationships/hyperlink" Target="https://youtu.be/APzKq_CD0q4" TargetMode="External"/><Relationship Id="rId742" Type="http://schemas.openxmlformats.org/officeDocument/2006/relationships/hyperlink" Target="https://www.youtube.com/watch?v=5GP15z6C5YY" TargetMode="External"/><Relationship Id="rId749" Type="http://schemas.openxmlformats.org/officeDocument/2006/relationships/hyperlink" Target="https://www.youtube.com/watch?v=AbAClhLPIME" TargetMode="External"/><Relationship Id="rId748" Type="http://schemas.openxmlformats.org/officeDocument/2006/relationships/hyperlink" Target="https://youtu.be/Cke2f2h42Ro" TargetMode="External"/><Relationship Id="rId747" Type="http://schemas.openxmlformats.org/officeDocument/2006/relationships/hyperlink" Target="https://clips.twitch.tv/BelovedSpookyJackalKippa-_KkLbwjr3OzVjiF4" TargetMode="External"/><Relationship Id="rId746" Type="http://schemas.openxmlformats.org/officeDocument/2006/relationships/hyperlink" Target="https://clips.twitch.tv/NeighborlySuperWoodcockCmonBruh-qeGYsXV1WTlUHtMO" TargetMode="External"/><Relationship Id="rId741" Type="http://schemas.openxmlformats.org/officeDocument/2006/relationships/hyperlink" Target="https://youtu.be/PSR8d6nBOfQ" TargetMode="External"/><Relationship Id="rId1330" Type="http://schemas.openxmlformats.org/officeDocument/2006/relationships/hyperlink" Target="https://youtu.be/tAAvzoOfUkg"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www.twitch.tv/videos/2030169824" TargetMode="External"/><Relationship Id="rId1332" Type="http://schemas.openxmlformats.org/officeDocument/2006/relationships/hyperlink" Target="https://youtu.be/rAB7TqLFJuw?si=TDTsZP6wLrlhUNzX" TargetMode="External"/><Relationship Id="rId1333" Type="http://schemas.openxmlformats.org/officeDocument/2006/relationships/hyperlink" Target="https://youtu.be/n5s23mXJ58o" TargetMode="External"/><Relationship Id="rId1323" Type="http://schemas.openxmlformats.org/officeDocument/2006/relationships/hyperlink" Target="https://youtu.be/7487BVlZ3jQ" TargetMode="External"/><Relationship Id="rId1324" Type="http://schemas.openxmlformats.org/officeDocument/2006/relationships/hyperlink" Target="https://www.youtube.com/watch?v=fZ8dHKCXFgA&amp;feature=youtu.be&amp;ab_channel=SMSArchives"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youtu.be/Xy-2rHEx6Kk" TargetMode="External"/><Relationship Id="rId1327" Type="http://schemas.openxmlformats.org/officeDocument/2006/relationships/hyperlink" Target="https://youtu.be/UkJdOKDmTO4" TargetMode="External"/><Relationship Id="rId1328" Type="http://schemas.openxmlformats.org/officeDocument/2006/relationships/hyperlink" Target="https://youtu.be/Xy-2rHEx6Kk" TargetMode="External"/><Relationship Id="rId1329" Type="http://schemas.openxmlformats.org/officeDocument/2006/relationships/hyperlink" Target="https://youtu.be/FYOsFHCjsT8" TargetMode="External"/><Relationship Id="rId739" Type="http://schemas.openxmlformats.org/officeDocument/2006/relationships/hyperlink" Target="https://youtu.be/RzlVqd8meSA" TargetMode="External"/><Relationship Id="rId734" Type="http://schemas.openxmlformats.org/officeDocument/2006/relationships/hyperlink" Target="https://youtu.be/JA2XOvmdhP8" TargetMode="External"/><Relationship Id="rId733" Type="http://schemas.openxmlformats.org/officeDocument/2006/relationships/hyperlink" Target="https://clips.twitch.tv/AltruisticPunchyTaroDansGame-KyF6ZzcCkPOQUeOP" TargetMode="External"/><Relationship Id="rId732" Type="http://schemas.openxmlformats.org/officeDocument/2006/relationships/hyperlink" Target="https://youtu.be/BEA7ZEwgay0" TargetMode="External"/><Relationship Id="rId731" Type="http://schemas.openxmlformats.org/officeDocument/2006/relationships/hyperlink" Target="https://youtu.be/2iLl9FPmb_M" TargetMode="External"/><Relationship Id="rId738" Type="http://schemas.openxmlformats.org/officeDocument/2006/relationships/hyperlink" Target="https://clips.twitch.tv/EnthusiasticBelovedPhoneFunRun-MC7Yp_tJXP_BpWwK" TargetMode="External"/><Relationship Id="rId737" Type="http://schemas.openxmlformats.org/officeDocument/2006/relationships/hyperlink" Target="https://clips.twitch.tv/FantasticPoisedPigRiPepperonis-wvZoah9_RniFY7ay" TargetMode="External"/><Relationship Id="rId736" Type="http://schemas.openxmlformats.org/officeDocument/2006/relationships/hyperlink" Target="https://youtu.be/lal_goibTZQ"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clips.twitch.tv/DeterminedEndearingEggRlyTho-sgKJwt6uN0vG2CCK" TargetMode="External"/><Relationship Id="rId1320" Type="http://schemas.openxmlformats.org/officeDocument/2006/relationships/hyperlink" Target="https://youtu.be/8WTflQ-UW8o" TargetMode="External"/><Relationship Id="rId1321" Type="http://schemas.openxmlformats.org/officeDocument/2006/relationships/hyperlink" Target="https://youtu.be/7487BVlZ3jQ" TargetMode="External"/><Relationship Id="rId1322" Type="http://schemas.openxmlformats.org/officeDocument/2006/relationships/hyperlink" Target="https://www.twitch.tv/videos/805711247" TargetMode="External"/><Relationship Id="rId1356" Type="http://schemas.openxmlformats.org/officeDocument/2006/relationships/hyperlink" Target="https://www.youtube.com/watch?v=9kxYuxGiQNM" TargetMode="External"/><Relationship Id="rId1357" Type="http://schemas.openxmlformats.org/officeDocument/2006/relationships/hyperlink" Target="https://youtu.be/6BHwPzwPmWQ" TargetMode="External"/><Relationship Id="rId1358" Type="http://schemas.openxmlformats.org/officeDocument/2006/relationships/hyperlink" Target="https://youtu.be/6BHwPzwPmWQ" TargetMode="External"/><Relationship Id="rId1359" Type="http://schemas.openxmlformats.org/officeDocument/2006/relationships/hyperlink" Target="https://youtu.be/iLGsEwZu7rM" TargetMode="External"/><Relationship Id="rId767" Type="http://schemas.openxmlformats.org/officeDocument/2006/relationships/hyperlink" Target="https://youtu.be/txUsEqcaBoQ" TargetMode="External"/><Relationship Id="rId766" Type="http://schemas.openxmlformats.org/officeDocument/2006/relationships/hyperlink" Target="https://youtu.be/DCVSHisD9Qg" TargetMode="External"/><Relationship Id="rId765" Type="http://schemas.openxmlformats.org/officeDocument/2006/relationships/hyperlink" Target="https://youtu.be/f6AGBG-zDuA" TargetMode="External"/><Relationship Id="rId764" Type="http://schemas.openxmlformats.org/officeDocument/2006/relationships/hyperlink" Target="https://youtu.be/VgV7nF9TyBI" TargetMode="External"/><Relationship Id="rId769" Type="http://schemas.openxmlformats.org/officeDocument/2006/relationships/hyperlink" Target="https://youtu.be/WXAd-urRBGY" TargetMode="External"/><Relationship Id="rId768" Type="http://schemas.openxmlformats.org/officeDocument/2006/relationships/hyperlink" Target="https://youtu.be/-zgunwYMEvE" TargetMode="External"/><Relationship Id="rId1350" Type="http://schemas.openxmlformats.org/officeDocument/2006/relationships/hyperlink" Target="https://youtu.be/8mtRTj2BYn0" TargetMode="External"/><Relationship Id="rId1351" Type="http://schemas.openxmlformats.org/officeDocument/2006/relationships/hyperlink" Target="https://youtu.be/mTxJrOFB-dw" TargetMode="External"/><Relationship Id="rId763" Type="http://schemas.openxmlformats.org/officeDocument/2006/relationships/hyperlink" Target="https://youtu.be/i9mYDPZfNqQ" TargetMode="External"/><Relationship Id="rId1352" Type="http://schemas.openxmlformats.org/officeDocument/2006/relationships/hyperlink" Target="https://youtu.be/84gmAUcAD6Y" TargetMode="External"/><Relationship Id="rId762" Type="http://schemas.openxmlformats.org/officeDocument/2006/relationships/hyperlink" Target="https://youtu.be/f6AGBG-zDuA" TargetMode="External"/><Relationship Id="rId1353" Type="http://schemas.openxmlformats.org/officeDocument/2006/relationships/hyperlink" Target="https://clips.twitch.tv/RelatedCoyWaspOhMyDog-Jn-IO2hOlpCeg8LO" TargetMode="External"/><Relationship Id="rId761" Type="http://schemas.openxmlformats.org/officeDocument/2006/relationships/hyperlink" Target="https://www.youtube.com/watch?v=RUgqny8h0sQ" TargetMode="External"/><Relationship Id="rId1354" Type="http://schemas.openxmlformats.org/officeDocument/2006/relationships/hyperlink" Target="https://youtu.be/Kk8g_-PNVdk" TargetMode="External"/><Relationship Id="rId760" Type="http://schemas.openxmlformats.org/officeDocument/2006/relationships/hyperlink" Target="https://youtu.be/2Jw4VLpW0j0" TargetMode="External"/><Relationship Id="rId1355" Type="http://schemas.openxmlformats.org/officeDocument/2006/relationships/hyperlink" Target="https://youtu.be/foVg2cBpyeA" TargetMode="External"/><Relationship Id="rId1345" Type="http://schemas.openxmlformats.org/officeDocument/2006/relationships/hyperlink" Target="https://youtu.be/nO0zfCsMG4c" TargetMode="External"/><Relationship Id="rId1346" Type="http://schemas.openxmlformats.org/officeDocument/2006/relationships/hyperlink" Target="https://youtu.be/nO0zfCsMG4c" TargetMode="External"/><Relationship Id="rId1347" Type="http://schemas.openxmlformats.org/officeDocument/2006/relationships/hyperlink" Target="https://youtu.be/tbvTUyC2vMc" TargetMode="External"/><Relationship Id="rId1348" Type="http://schemas.openxmlformats.org/officeDocument/2006/relationships/hyperlink" Target="https://youtu.be/foVg2cBpyeA" TargetMode="External"/><Relationship Id="rId1349" Type="http://schemas.openxmlformats.org/officeDocument/2006/relationships/hyperlink" Target="https://youtu.be/zDa47CZ6kZE" TargetMode="External"/><Relationship Id="rId756" Type="http://schemas.openxmlformats.org/officeDocument/2006/relationships/hyperlink" Target="https://www.youtube.com/watch?v=wDCLEN8_slI&amp;feature=youtu.be&amp;ab_channel=SMSArchives" TargetMode="External"/><Relationship Id="rId755" Type="http://schemas.openxmlformats.org/officeDocument/2006/relationships/hyperlink" Target="https://youtu.be/LNkZPZUIAkw" TargetMode="External"/><Relationship Id="rId754" Type="http://schemas.openxmlformats.org/officeDocument/2006/relationships/hyperlink" Target="https://www.youtube.com/watch?v=M_TEDO1EzXc" TargetMode="External"/><Relationship Id="rId753" Type="http://schemas.openxmlformats.org/officeDocument/2006/relationships/hyperlink" Target="https://youtu.be/C5p48IfRW8A" TargetMode="External"/><Relationship Id="rId759" Type="http://schemas.openxmlformats.org/officeDocument/2006/relationships/hyperlink" Target="https://youtu.be/HG3hv0ssIsE?si=owrXympLAXpc-o60" TargetMode="External"/><Relationship Id="rId758" Type="http://schemas.openxmlformats.org/officeDocument/2006/relationships/hyperlink" Target="https://www.youtube.com/watch?v=-2zUSpdrK8M" TargetMode="External"/><Relationship Id="rId757" Type="http://schemas.openxmlformats.org/officeDocument/2006/relationships/hyperlink" Target="https://youtu.be/4fEdYZFxuP8" TargetMode="External"/><Relationship Id="rId1340" Type="http://schemas.openxmlformats.org/officeDocument/2006/relationships/hyperlink" Target="https://www.youtube.com/watch?v=_x8uBJYB3rw" TargetMode="External"/><Relationship Id="rId752" Type="http://schemas.openxmlformats.org/officeDocument/2006/relationships/hyperlink" Target="https://youtu.be/8V-QD8QCveU" TargetMode="External"/><Relationship Id="rId1341" Type="http://schemas.openxmlformats.org/officeDocument/2006/relationships/hyperlink" Target="https://youtu.be/dreI1G64N8U" TargetMode="External"/><Relationship Id="rId751" Type="http://schemas.openxmlformats.org/officeDocument/2006/relationships/hyperlink" Target="https://youtu.be/nEeLpTRXpvo" TargetMode="External"/><Relationship Id="rId1342" Type="http://schemas.openxmlformats.org/officeDocument/2006/relationships/hyperlink" Target="https://youtu.be/F_b2Hy-bsn8" TargetMode="External"/><Relationship Id="rId750" Type="http://schemas.openxmlformats.org/officeDocument/2006/relationships/hyperlink" Target="https://twitter.com/Qbe_Root/status/1397707786499276801" TargetMode="External"/><Relationship Id="rId1343" Type="http://schemas.openxmlformats.org/officeDocument/2006/relationships/hyperlink" Target="https://youtu.be/3QYNV827jxk" TargetMode="External"/><Relationship Id="rId1344" Type="http://schemas.openxmlformats.org/officeDocument/2006/relationships/hyperlink" Target="https://youtu.be/7OppzUNmL1U" TargetMode="External"/><Relationship Id="rId709" Type="http://schemas.openxmlformats.org/officeDocument/2006/relationships/hyperlink" Target="https://youtu.be/Kj-It4K_OhM" TargetMode="External"/><Relationship Id="rId708" Type="http://schemas.openxmlformats.org/officeDocument/2006/relationships/hyperlink" Target="https://www.youtube.com/watch?v=O40upq_B08g" TargetMode="External"/><Relationship Id="rId707" Type="http://schemas.openxmlformats.org/officeDocument/2006/relationships/hyperlink" Target="https://youtu.be/nuCK63baSJE" TargetMode="External"/><Relationship Id="rId706" Type="http://schemas.openxmlformats.org/officeDocument/2006/relationships/hyperlink" Target="https://youtu.be/MuEnxiM27do" TargetMode="External"/><Relationship Id="rId701" Type="http://schemas.openxmlformats.org/officeDocument/2006/relationships/hyperlink" Target="https://youtu.be/NuQnnIyWGNo" TargetMode="External"/><Relationship Id="rId700" Type="http://schemas.openxmlformats.org/officeDocument/2006/relationships/hyperlink" Target="https://youtu.be/CcVDWThATUM" TargetMode="External"/><Relationship Id="rId705" Type="http://schemas.openxmlformats.org/officeDocument/2006/relationships/hyperlink" Target="https://www.youtube.com/watch?v=Q2AsFoe34RU" TargetMode="External"/><Relationship Id="rId704" Type="http://schemas.openxmlformats.org/officeDocument/2006/relationships/hyperlink" Target="https://youtu.be/Bv90oc-1vaw" TargetMode="External"/><Relationship Id="rId703" Type="http://schemas.openxmlformats.org/officeDocument/2006/relationships/hyperlink" Target="https://www.youtube.com/watch?v=9IGhmJh-b9c" TargetMode="External"/><Relationship Id="rId702" Type="http://schemas.openxmlformats.org/officeDocument/2006/relationships/hyperlink" Target="https://youtu.be/yHQXj8dLEcI" TargetMode="External"/><Relationship Id="rId1312" Type="http://schemas.openxmlformats.org/officeDocument/2006/relationships/hyperlink" Target="https://youtu.be/4oISpHWupWc"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www.youtube.com/watch?v=fcbTy4CZXv4" TargetMode="External"/><Relationship Id="rId1315" Type="http://schemas.openxmlformats.org/officeDocument/2006/relationships/hyperlink" Target="https://youtu.be/BnHhD0LrPMw" TargetMode="External"/><Relationship Id="rId1316" Type="http://schemas.openxmlformats.org/officeDocument/2006/relationships/hyperlink" Target="https://www.youtube.com/watch?v=BMSXJYuCAok" TargetMode="External"/><Relationship Id="rId1317" Type="http://schemas.openxmlformats.org/officeDocument/2006/relationships/hyperlink" Target="https://www.youtube.com/watch?v=4AA621TpKiM" TargetMode="External"/><Relationship Id="rId1318" Type="http://schemas.openxmlformats.org/officeDocument/2006/relationships/hyperlink" Target="https://youtu.be/qQm2BH-evQ0" TargetMode="External"/><Relationship Id="rId1319" Type="http://schemas.openxmlformats.org/officeDocument/2006/relationships/hyperlink" Target="https://youtu.be/WpmrZiHdUmg" TargetMode="External"/><Relationship Id="rId729" Type="http://schemas.openxmlformats.org/officeDocument/2006/relationships/hyperlink" Target="https://www.youtube.com/watch?v=yacYtuskVso&amp;t=92" TargetMode="External"/><Relationship Id="rId728" Type="http://schemas.openxmlformats.org/officeDocument/2006/relationships/hyperlink" Target="https://youtu.be/O40upq_B08g" TargetMode="External"/><Relationship Id="rId723" Type="http://schemas.openxmlformats.org/officeDocument/2006/relationships/hyperlink" Target="https://www.youtube.com/watch?v=yacYtuskVso&amp;t=92s" TargetMode="External"/><Relationship Id="rId722" Type="http://schemas.openxmlformats.org/officeDocument/2006/relationships/hyperlink" Target="https://youtu.be/mjrN6UHMuWg" TargetMode="External"/><Relationship Id="rId721" Type="http://schemas.openxmlformats.org/officeDocument/2006/relationships/hyperlink" Target="https://www.youtube.com/watch?v=U36Xdyf9eLM" TargetMode="External"/><Relationship Id="rId720" Type="http://schemas.openxmlformats.org/officeDocument/2006/relationships/hyperlink" Target="https://youtu.be/O40upq_B08g" TargetMode="External"/><Relationship Id="rId727" Type="http://schemas.openxmlformats.org/officeDocument/2006/relationships/hyperlink" Target="https://youtu.be/AAe-UhT8RE8" TargetMode="External"/><Relationship Id="rId726" Type="http://schemas.openxmlformats.org/officeDocument/2006/relationships/hyperlink" Target="https://clips.twitch.tv/ResourcefulResourcefulKaleKeyboardCat-yoF7T0xqz9U5LtK2" TargetMode="External"/><Relationship Id="rId725" Type="http://schemas.openxmlformats.org/officeDocument/2006/relationships/hyperlink" Target="https://youtu.be/r8a_Y7dQwGc" TargetMode="External"/><Relationship Id="rId724" Type="http://schemas.openxmlformats.org/officeDocument/2006/relationships/hyperlink" Target="https://youtu.be/nLbBxsQ9ZWQ"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www.youtube.com/watch?v=NVot0WUxsoM&amp;feature=youtu.be&amp;ab_channel=SMSArchives" TargetMode="External"/><Relationship Id="rId1301" Type="http://schemas.openxmlformats.org/officeDocument/2006/relationships/hyperlink" Target="https://youtu.be/6fp0twJPjPo" TargetMode="External"/><Relationship Id="rId1302" Type="http://schemas.openxmlformats.org/officeDocument/2006/relationships/hyperlink" Target="https://youtu.be/TtbKVZj2o3k" TargetMode="External"/><Relationship Id="rId1303" Type="http://schemas.openxmlformats.org/officeDocument/2006/relationships/hyperlink" Target="https://youtu.be/BQscRiGi4hc" TargetMode="External"/><Relationship Id="rId1304" Type="http://schemas.openxmlformats.org/officeDocument/2006/relationships/hyperlink" Target="https://youtu.be/tFgAtSSQHpQ" TargetMode="External"/><Relationship Id="rId1305" Type="http://schemas.openxmlformats.org/officeDocument/2006/relationships/hyperlink" Target="https://www.youtube.com/watch?v=k5V8na3uoBY" TargetMode="External"/><Relationship Id="rId1306" Type="http://schemas.openxmlformats.org/officeDocument/2006/relationships/hyperlink" Target="https://www.youtube.com/watch?v=BJNJgSLnXTM" TargetMode="External"/><Relationship Id="rId1307" Type="http://schemas.openxmlformats.org/officeDocument/2006/relationships/hyperlink" Target="https://youtu.be/vRTP-4qZ-TE" TargetMode="External"/><Relationship Id="rId1308" Type="http://schemas.openxmlformats.org/officeDocument/2006/relationships/hyperlink" Target="https://youtu.be/dpYU8IDFLKY" TargetMode="External"/><Relationship Id="rId1309" Type="http://schemas.openxmlformats.org/officeDocument/2006/relationships/hyperlink" Target="https://x.com/175akane/status/1895098244394316126" TargetMode="External"/><Relationship Id="rId719" Type="http://schemas.openxmlformats.org/officeDocument/2006/relationships/hyperlink" Target="https://youtu.be/BQCKRfpztFM" TargetMode="External"/><Relationship Id="rId718" Type="http://schemas.openxmlformats.org/officeDocument/2006/relationships/hyperlink" Target="https://youtu.be/br_0gfC2ANk" TargetMode="External"/><Relationship Id="rId717" Type="http://schemas.openxmlformats.org/officeDocument/2006/relationships/hyperlink" Target="https://www.youtube.com/watch?v=98kA5EcsFIk" TargetMode="External"/><Relationship Id="rId712" Type="http://schemas.openxmlformats.org/officeDocument/2006/relationships/hyperlink" Target="https://youtu.be/lal_goibTZQ" TargetMode="External"/><Relationship Id="rId711" Type="http://schemas.openxmlformats.org/officeDocument/2006/relationships/hyperlink" Target="https://www.youtube.com/watch?v=lal_goibTZQ" TargetMode="External"/><Relationship Id="rId710" Type="http://schemas.openxmlformats.org/officeDocument/2006/relationships/hyperlink" Target="https://www.youtube.com/watch?v=Q2AsFoe34RU" TargetMode="External"/><Relationship Id="rId716" Type="http://schemas.openxmlformats.org/officeDocument/2006/relationships/hyperlink" Target="https://www.youtube.com/watch?v=XtM9r8G5uZE"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VWCQgi0L-o" TargetMode="External"/><Relationship Id="rId713" Type="http://schemas.openxmlformats.org/officeDocument/2006/relationships/hyperlink" Target="https://x.com/NoVidNoDidNoVid/status/1832344043004506145" TargetMode="External"/><Relationship Id="rId1300" Type="http://schemas.openxmlformats.org/officeDocument/2006/relationships/hyperlink" Target="https://youtu.be/MHOSL-gR_ZE"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youtu.be/UAaPTc80xqw?t=8" TargetMode="External"/><Relationship Id="rId789" Type="http://schemas.openxmlformats.org/officeDocument/2006/relationships/hyperlink" Target="https://www.youtube.com/watch?v=YtydVV2eG8U" TargetMode="External"/><Relationship Id="rId788" Type="http://schemas.openxmlformats.org/officeDocument/2006/relationships/hyperlink" Target="https://youtu.be/kbSFJmvFmYw" TargetMode="External"/><Relationship Id="rId787" Type="http://schemas.openxmlformats.org/officeDocument/2006/relationships/hyperlink" Target="https://youtu.be/_ov3ufT3cLY" TargetMode="External"/><Relationship Id="rId786" Type="http://schemas.openxmlformats.org/officeDocument/2006/relationships/hyperlink" Target="https://youtu.be/pgzyaXmzsKs" TargetMode="External"/><Relationship Id="rId781" Type="http://schemas.openxmlformats.org/officeDocument/2006/relationships/hyperlink" Target="https://youtu.be/g2MZrCUee-s" TargetMode="External"/><Relationship Id="rId1370" Type="http://schemas.openxmlformats.org/officeDocument/2006/relationships/hyperlink" Target="https://www.youtube.com/watch?v=x9C3Vksljgg" TargetMode="External"/><Relationship Id="rId780" Type="http://schemas.openxmlformats.org/officeDocument/2006/relationships/hyperlink" Target="https://www.youtube.com/watch?v=p4yVIAcOVZo"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clips.twitch.tv/AdorableStupidBobaCoolStoryBob-1Ku-LnXmTl-vKKP1"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www.youtube.com/watch?v=kQj1nHa8jcM&amp;ab_channel=SMSArchives" TargetMode="External"/><Relationship Id="rId784" Type="http://schemas.openxmlformats.org/officeDocument/2006/relationships/hyperlink" Target="https://youtu.be/mjRN8CUWyiA" TargetMode="External"/><Relationship Id="rId1375" Type="http://schemas.openxmlformats.org/officeDocument/2006/relationships/hyperlink" Target="https://www.youtube.com/watch?v=OpTA_7UxBBY&amp;feature=youtu.be&amp;ab_channel=SMSArchives"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Sc6VtIUdK8" TargetMode="External"/><Relationship Id="rId1377" Type="http://schemas.openxmlformats.org/officeDocument/2006/relationships/hyperlink" Target="https://www.youtube.com/watch?v=s6IL-ns6Ls4&amp;feature=youtu.be&amp;ab_channel=SMSArchives" TargetMode="External"/><Relationship Id="rId1367" Type="http://schemas.openxmlformats.org/officeDocument/2006/relationships/hyperlink" Target="https://youtu.be/ONge9Un7EcM"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wUbxoT-_Ka4?si=ya6MiO3ekHO5i1aD"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sdKMRYr52ZM" TargetMode="External"/><Relationship Id="rId779" Type="http://schemas.openxmlformats.org/officeDocument/2006/relationships/hyperlink" Target="https://youtu.be/sdKMRYr52ZM" TargetMode="External"/><Relationship Id="rId770" Type="http://schemas.openxmlformats.org/officeDocument/2006/relationships/hyperlink" Target="https://youtu.be/hG_ot6lap08" TargetMode="External"/><Relationship Id="rId1360" Type="http://schemas.openxmlformats.org/officeDocument/2006/relationships/hyperlink" Target="https://www.youtube.com/watch?v=hcTcNFer4OU&amp;feature=youtu.be" TargetMode="External"/><Relationship Id="rId1361" Type="http://schemas.openxmlformats.org/officeDocument/2006/relationships/hyperlink" Target="https://youtu.be/eiCkNYWehy4"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youtu.be/uy9rheWl06I?si=_xn1ai-mSLZfMXCC" TargetMode="External"/><Relationship Id="rId1363" Type="http://schemas.openxmlformats.org/officeDocument/2006/relationships/hyperlink" Target="https://www.youtube.com/watch?v=ZkG3KBpCrzc&amp;feature=youtu.be&amp;ab_channel=SMSArchives" TargetMode="External"/><Relationship Id="rId773" Type="http://schemas.openxmlformats.org/officeDocument/2006/relationships/hyperlink" Target="https://www.youtube.com/watch?v=tOde7xFobrg&amp;feature=youtu.be&amp;ab_channel=SMSArchives"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www.youtube.com/watch?v=WiA_s8jlj7A" TargetMode="External"/><Relationship Id="rId771" Type="http://schemas.openxmlformats.org/officeDocument/2006/relationships/hyperlink" Target="https://youtu.be/WXAd-urRBGY" TargetMode="External"/><Relationship Id="rId1366" Type="http://schemas.openxmlformats.org/officeDocument/2006/relationships/hyperlink" Target="https://x.com/inkstarLum/status/1741066026253746202?s=20" TargetMode="External"/><Relationship Id="rId1390" Type="http://schemas.openxmlformats.org/officeDocument/2006/relationships/hyperlink" Target="https://youtu.be/Zt72DgCMRr4" TargetMode="External"/><Relationship Id="rId1391" Type="http://schemas.openxmlformats.org/officeDocument/2006/relationships/hyperlink" Target="https://youtu.be/Zt72DgCMRr4" TargetMode="External"/><Relationship Id="rId1392" Type="http://schemas.openxmlformats.org/officeDocument/2006/relationships/hyperlink" Target="https://youtu.be/G2rw4aWcpxY" TargetMode="External"/><Relationship Id="rId1393" Type="http://schemas.openxmlformats.org/officeDocument/2006/relationships/hyperlink" Target="https://youtu.be/NH0ahwsf718" TargetMode="External"/><Relationship Id="rId1394" Type="http://schemas.openxmlformats.org/officeDocument/2006/relationships/hyperlink" Target="https://youtu.be/S2iLJ4lyzlA" TargetMode="External"/><Relationship Id="rId1395" Type="http://schemas.openxmlformats.org/officeDocument/2006/relationships/hyperlink" Target="https://youtu.be/G2rw4aWcpxY" TargetMode="External"/><Relationship Id="rId1396" Type="http://schemas.openxmlformats.org/officeDocument/2006/relationships/hyperlink" Target="https://www.youtube.com/watch?v=3cokSh5LaVs" TargetMode="External"/><Relationship Id="rId1397" Type="http://schemas.openxmlformats.org/officeDocument/2006/relationships/hyperlink" Target="https://www.youtube.com/watch?v=m-NJgNhWbUg" TargetMode="External"/><Relationship Id="rId1398" Type="http://schemas.openxmlformats.org/officeDocument/2006/relationships/hyperlink" Target="https://www.youtube.com/watch?v=FJcnBQ2EAE8" TargetMode="External"/><Relationship Id="rId1399" Type="http://schemas.openxmlformats.org/officeDocument/2006/relationships/hyperlink" Target="https://youtu.be/wcEM9uE522w" TargetMode="External"/><Relationship Id="rId1389" Type="http://schemas.openxmlformats.org/officeDocument/2006/relationships/hyperlink" Target="https://youtu.be/T0A9oRMEdno" TargetMode="External"/><Relationship Id="rId799" Type="http://schemas.openxmlformats.org/officeDocument/2006/relationships/hyperlink" Target="https://clips.twitch.tv/VenomousLachrymoseSkunkMoreCowbell"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youtu.be/_KW0uTwWX7U" TargetMode="External"/><Relationship Id="rId1380" Type="http://schemas.openxmlformats.org/officeDocument/2006/relationships/hyperlink" Target="https://youtu.be/GMvPH3mzKms" TargetMode="External"/><Relationship Id="rId792" Type="http://schemas.openxmlformats.org/officeDocument/2006/relationships/hyperlink" Target="https://clips.twitch.tv/AverageCrunchyCattleHeyGirl-I1-DzZfWoUgs66Sn" TargetMode="External"/><Relationship Id="rId1381" Type="http://schemas.openxmlformats.org/officeDocument/2006/relationships/hyperlink" Target="https://youtu.be/GMvPH3mzKms" TargetMode="External"/><Relationship Id="rId791" Type="http://schemas.openxmlformats.org/officeDocument/2006/relationships/hyperlink" Target="https://youtu.be/47FTWeFTY78" TargetMode="External"/><Relationship Id="rId1382" Type="http://schemas.openxmlformats.org/officeDocument/2006/relationships/hyperlink" Target="https://youtu.be/kKX5vObntZM" TargetMode="External"/><Relationship Id="rId790" Type="http://schemas.openxmlformats.org/officeDocument/2006/relationships/hyperlink" Target="https://clips.twitch.tv/BadObedientDovePicoMause-R8eTabHgjJpoeuW3" TargetMode="External"/><Relationship Id="rId1383" Type="http://schemas.openxmlformats.org/officeDocument/2006/relationships/hyperlink" Target="https://youtu.be/0LjLuRGKBuU" TargetMode="External"/><Relationship Id="rId1384" Type="http://schemas.openxmlformats.org/officeDocument/2006/relationships/hyperlink" Target="https://youtu.be/9ZyY3FpK88M" TargetMode="External"/><Relationship Id="rId796" Type="http://schemas.openxmlformats.org/officeDocument/2006/relationships/hyperlink" Target="https://x.com/inkstarLum/status/1807522604842193205" TargetMode="External"/><Relationship Id="rId1385" Type="http://schemas.openxmlformats.org/officeDocument/2006/relationships/hyperlink" Target="https://youtu.be/JOtL2pyq7MM" TargetMode="External"/><Relationship Id="rId795" Type="http://schemas.openxmlformats.org/officeDocument/2006/relationships/hyperlink" Target="https://www.youtube.com/watch?v=afmk_kr71ko" TargetMode="External"/><Relationship Id="rId1386" Type="http://schemas.openxmlformats.org/officeDocument/2006/relationships/hyperlink" Target="https://www.youtube.com/watch?v=OzWJBH1XaE8" TargetMode="External"/><Relationship Id="rId794" Type="http://schemas.openxmlformats.org/officeDocument/2006/relationships/hyperlink" Target="https://www.youtube.com/watch?v=oYyV4G_HB7w&amp;ab_channel=BlazeAlt" TargetMode="External"/><Relationship Id="rId1387" Type="http://schemas.openxmlformats.org/officeDocument/2006/relationships/hyperlink" Target="https://youtu.be/kKX5vObntZM" TargetMode="External"/><Relationship Id="rId793" Type="http://schemas.openxmlformats.org/officeDocument/2006/relationships/hyperlink" Target="https://twitter.com/Qbe_Root/status/1404251571966328832" TargetMode="External"/><Relationship Id="rId1388" Type="http://schemas.openxmlformats.org/officeDocument/2006/relationships/hyperlink" Target="https://www.youtube.com/watch?v=oZbSXPTi3Bs"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youtu.be/B7EdTLDF-w8" TargetMode="External"/><Relationship Id="rId1457" Type="http://schemas.openxmlformats.org/officeDocument/2006/relationships/hyperlink" Target="https://youtu.be/KyXyCDQolGI" TargetMode="External"/><Relationship Id="rId1458" Type="http://schemas.openxmlformats.org/officeDocument/2006/relationships/hyperlink" Target="https://www.youtube.com/watch?v=PyOjKtmMa0k"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WrongVenomousWebArgieB8-R1ntVzqX_RbcPyMz" TargetMode="External"/><Relationship Id="rId624" Type="http://schemas.openxmlformats.org/officeDocument/2006/relationships/hyperlink" Target="https://www.twitch.tv/videos/1082848802?filter=highlights&amp;sort=time"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youtu.be/hDajJn8KKwQ" TargetMode="External"/><Relationship Id="rId621" Type="http://schemas.openxmlformats.org/officeDocument/2006/relationships/hyperlink" Target="https://youtu.be/xzjv5OEdLbs" TargetMode="External"/><Relationship Id="rId628" Type="http://schemas.openxmlformats.org/officeDocument/2006/relationships/hyperlink" Target="https://clips.twitch.tv/SparklingGracefulGoblinPartyTime-7n1EsEuLDgbrzEkD" TargetMode="External"/><Relationship Id="rId627" Type="http://schemas.openxmlformats.org/officeDocument/2006/relationships/hyperlink" Target="https://clips.twitch.tv/BusySavoryRatMcaT" TargetMode="External"/><Relationship Id="rId626" Type="http://schemas.openxmlformats.org/officeDocument/2006/relationships/hyperlink" Target="https://www.youtube.com/watch?v=c7AI7nh75kI" TargetMode="External"/><Relationship Id="rId625" Type="http://schemas.openxmlformats.org/officeDocument/2006/relationships/hyperlink" Target="https://youtu.be/RJhU8EtjKgg" TargetMode="External"/><Relationship Id="rId1450" Type="http://schemas.openxmlformats.org/officeDocument/2006/relationships/hyperlink" Target="https://youtu.be/uI-xscpEras"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6oJxBRcQwxs" TargetMode="External"/><Relationship Id="rId1452" Type="http://schemas.openxmlformats.org/officeDocument/2006/relationships/hyperlink" Target="https://clips.twitch.tv/OriginalFrailHerdPMSTwin-KS-qRbfk1pmFP48Q" TargetMode="External"/><Relationship Id="rId1453" Type="http://schemas.openxmlformats.org/officeDocument/2006/relationships/hyperlink" Target="https://youtu.be/uI-xscpEras" TargetMode="External"/><Relationship Id="rId1454" Type="http://schemas.openxmlformats.org/officeDocument/2006/relationships/hyperlink" Target="https://www.youtube.com/watch?v=-VCTQ99kxFM" TargetMode="External"/><Relationship Id="rId1444" Type="http://schemas.openxmlformats.org/officeDocument/2006/relationships/hyperlink" Target="https://youtu.be/KWNTLN9BQZ8" TargetMode="External"/><Relationship Id="rId1445" Type="http://schemas.openxmlformats.org/officeDocument/2006/relationships/hyperlink" Target="https://youtu.be/vBxvh2XXMoQ" TargetMode="External"/><Relationship Id="rId1446" Type="http://schemas.openxmlformats.org/officeDocument/2006/relationships/hyperlink" Target="https://www.youtube.com/watch?v=b5XLa5pW6mk" TargetMode="External"/><Relationship Id="rId1447" Type="http://schemas.openxmlformats.org/officeDocument/2006/relationships/hyperlink" Target="https://www.twitch.tv/warspyking/clip/ClumsyTubularCookieThunBeast-80Rz2XlR1horOklq" TargetMode="External"/><Relationship Id="rId1448" Type="http://schemas.openxmlformats.org/officeDocument/2006/relationships/hyperlink" Target="https://youtu.be/oPQgwVCs9Jc"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www.youtube.com/watch?v=ovvys5XDMuY&amp;feature=youtu.be&amp;ab_channel=SMSArchives" TargetMode="External"/><Relationship Id="rId618" Type="http://schemas.openxmlformats.org/officeDocument/2006/relationships/hyperlink" Target="https://www.youtube.com/watch?v=qoDHZCUcBhQ" TargetMode="External"/><Relationship Id="rId613" Type="http://schemas.openxmlformats.org/officeDocument/2006/relationships/hyperlink" Target="https://youtu.be/sDPkawvhuRo" TargetMode="External"/><Relationship Id="rId612" Type="http://schemas.openxmlformats.org/officeDocument/2006/relationships/hyperlink" Target="https://youtu.be/YD-o9RHPZWo" TargetMode="External"/><Relationship Id="rId611" Type="http://schemas.openxmlformats.org/officeDocument/2006/relationships/hyperlink" Target="https://youtu.be/TS0U7Mhv004" TargetMode="External"/><Relationship Id="rId610" Type="http://schemas.openxmlformats.org/officeDocument/2006/relationships/hyperlink" Target="https://youtu.be/t7D3CoBhB2Q" TargetMode="External"/><Relationship Id="rId617" Type="http://schemas.openxmlformats.org/officeDocument/2006/relationships/hyperlink" Target="https://youtu.be/ejR-jSUrN78" TargetMode="External"/><Relationship Id="rId616" Type="http://schemas.openxmlformats.org/officeDocument/2006/relationships/hyperlink" Target="https://youtu.be/-cZziOaZ-0M" TargetMode="External"/><Relationship Id="rId615" Type="http://schemas.openxmlformats.org/officeDocument/2006/relationships/hyperlink" Target="https://youtu.be/7CUKmCF5tCE" TargetMode="External"/><Relationship Id="rId614" Type="http://schemas.openxmlformats.org/officeDocument/2006/relationships/hyperlink" Target="https://clips.twitch.tv/DifferentHeadstrongOtterTheRinger-Lc-AwESx1kJLCz3w" TargetMode="External"/><Relationship Id="rId1440" Type="http://schemas.openxmlformats.org/officeDocument/2006/relationships/hyperlink" Target="https://clips.twitch.tv/MoistSuperDonkeyPhilosoraptor-jrGYmeVt_OOP23B-" TargetMode="External"/><Relationship Id="rId1441" Type="http://schemas.openxmlformats.org/officeDocument/2006/relationships/hyperlink" Target="https://youtu.be/kHU3tgqVirw" TargetMode="External"/><Relationship Id="rId1442" Type="http://schemas.openxmlformats.org/officeDocument/2006/relationships/hyperlink" Target="https://youtu.be/kHU3tgqVirw" TargetMode="External"/><Relationship Id="rId1443"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HXrRIdElHs" TargetMode="External"/><Relationship Id="rId645" Type="http://schemas.openxmlformats.org/officeDocument/2006/relationships/hyperlink" Target="https://www.youtube.com/watch?v=0xab_hR2IwQ" TargetMode="External"/><Relationship Id="rId644" Type="http://schemas.openxmlformats.org/officeDocument/2006/relationships/hyperlink" Target="https://youtu.be/vbzDX09kUEo" TargetMode="External"/><Relationship Id="rId643" Type="http://schemas.openxmlformats.org/officeDocument/2006/relationships/hyperlink" Target="https://youtu.be/gEY-LOqHxXg" TargetMode="External"/><Relationship Id="rId649" Type="http://schemas.openxmlformats.org/officeDocument/2006/relationships/hyperlink" Target="https://youtu.be/7ufGKXIomdw" TargetMode="External"/><Relationship Id="rId648" Type="http://schemas.openxmlformats.org/officeDocument/2006/relationships/hyperlink" Target="https://clips.twitch.tv/ArtsyOddSowKlappa-Q5bwhL96fj9B2j_I" TargetMode="External"/><Relationship Id="rId647" Type="http://schemas.openxmlformats.org/officeDocument/2006/relationships/hyperlink" Target="https://youtu.be/Rh3IMEE-cI8" TargetMode="External"/><Relationship Id="rId1470" Type="http://schemas.openxmlformats.org/officeDocument/2006/relationships/hyperlink" Target="https://youtu.be/3J55s_mLgKM" TargetMode="External"/><Relationship Id="rId1471" Type="http://schemas.openxmlformats.org/officeDocument/2006/relationships/hyperlink" Target="https://youtu.be/3J55s_mLgKM" TargetMode="External"/><Relationship Id="rId1472" Type="http://schemas.openxmlformats.org/officeDocument/2006/relationships/drawing" Target="../drawings/drawing3.xml"/><Relationship Id="rId642" Type="http://schemas.openxmlformats.org/officeDocument/2006/relationships/hyperlink" Target="https://youtu.be/6vU227TStFg" TargetMode="External"/><Relationship Id="rId1473" Type="http://schemas.openxmlformats.org/officeDocument/2006/relationships/vmlDrawing" Target="../drawings/vmlDrawing2.vml"/><Relationship Id="rId641" Type="http://schemas.openxmlformats.org/officeDocument/2006/relationships/hyperlink" Target="https://youtu.be/Tb1UuARxtkA" TargetMode="External"/><Relationship Id="rId640" Type="http://schemas.openxmlformats.org/officeDocument/2006/relationships/hyperlink" Target="https://youtu.be/En4P9k1DYGM" TargetMode="External"/><Relationship Id="rId1466" Type="http://schemas.openxmlformats.org/officeDocument/2006/relationships/hyperlink" Target="https://youtu.be/LwzmBPAiIMk"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vLYGP3AR_5M" TargetMode="External"/><Relationship Id="rId1469" Type="http://schemas.openxmlformats.org/officeDocument/2006/relationships/hyperlink" Target="https://www.youtube.com/watch?v=cIP9ywhJs_M" TargetMode="External"/><Relationship Id="rId635" Type="http://schemas.openxmlformats.org/officeDocument/2006/relationships/hyperlink" Target="https://youtu.be/8uRf1H32Zmc" TargetMode="External"/><Relationship Id="rId634" Type="http://schemas.openxmlformats.org/officeDocument/2006/relationships/hyperlink" Target="https://youtu.be/UNibrH7ZgHQ"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1_5L-Qvj2KI" TargetMode="External"/><Relationship Id="rId639" Type="http://schemas.openxmlformats.org/officeDocument/2006/relationships/hyperlink" Target="https://youtu.be/NGaRQQz-bvE" TargetMode="External"/><Relationship Id="rId638" Type="http://schemas.openxmlformats.org/officeDocument/2006/relationships/hyperlink" Target="https://www.twitch.tv/videos/1001046282" TargetMode="External"/><Relationship Id="rId637" Type="http://schemas.openxmlformats.org/officeDocument/2006/relationships/hyperlink" Target="https://youtu.be/VM8_lqlADB0" TargetMode="External"/><Relationship Id="rId636" Type="http://schemas.openxmlformats.org/officeDocument/2006/relationships/hyperlink" Target="https://youtu.be/UNibrH7ZgHQ" TargetMode="External"/><Relationship Id="rId1460" Type="http://schemas.openxmlformats.org/officeDocument/2006/relationships/hyperlink" Target="https://clips.twitch.tv/ArtisticTenuousCoffeeKAPOW-EM938bYJ2R6vJ3X3"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www.youtube.com/watch?v=xSTMLY2u_-Q&amp;feature=youtu.be" TargetMode="External"/><Relationship Id="rId1462" Type="http://schemas.openxmlformats.org/officeDocument/2006/relationships/hyperlink" Target="https://youtu.be/bUDUMMtDllA" TargetMode="External"/><Relationship Id="rId630" Type="http://schemas.openxmlformats.org/officeDocument/2006/relationships/hyperlink" Target="https://youtu.be/FwuSAFWHkkw" TargetMode="External"/><Relationship Id="rId1463" Type="http://schemas.openxmlformats.org/officeDocument/2006/relationships/hyperlink" Target="https://clips.twitch.tv/GoodAssiduousAlpacaSeemsGood-TGnbvZPx9mWxkLeW"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ImpossibleProtectiveZucchiniTTours-xaEMi-6kkVi1P-4h" TargetMode="External"/><Relationship Id="rId1411" Type="http://schemas.openxmlformats.org/officeDocument/2006/relationships/hyperlink" Target="https://www.youtube.com/watch?v=eaeQZ3MiWy0" TargetMode="External"/><Relationship Id="rId1412" Type="http://schemas.openxmlformats.org/officeDocument/2006/relationships/hyperlink" Target="https://youtu.be/RBbHHzCiO54" TargetMode="External"/><Relationship Id="rId1413" Type="http://schemas.openxmlformats.org/officeDocument/2006/relationships/hyperlink" Target="https://youtu.be/tFsfr38lm10" TargetMode="External"/><Relationship Id="rId1414" Type="http://schemas.openxmlformats.org/officeDocument/2006/relationships/hyperlink" Target="https://www.youtube.com/watch?v=z9Cply6-a14" TargetMode="External"/><Relationship Id="rId1415" Type="http://schemas.openxmlformats.org/officeDocument/2006/relationships/hyperlink" Target="https://youtu.be/zwUKiy2wr3A" TargetMode="External"/><Relationship Id="rId1416" Type="http://schemas.openxmlformats.org/officeDocument/2006/relationships/hyperlink" Target="https://youtu.be/zwUKiy2wr3A" TargetMode="External"/><Relationship Id="rId1417" Type="http://schemas.openxmlformats.org/officeDocument/2006/relationships/hyperlink" Target="https://youtu.be/J4BzX00buXY" TargetMode="External"/><Relationship Id="rId1418" Type="http://schemas.openxmlformats.org/officeDocument/2006/relationships/hyperlink" Target="https://youtu.be/J4BzX00buXY" TargetMode="External"/><Relationship Id="rId1419" Type="http://schemas.openxmlformats.org/officeDocument/2006/relationships/hyperlink" Target="https://youtu.be/mtPLaPYM5bE" TargetMode="External"/><Relationship Id="rId1410" Type="http://schemas.openxmlformats.org/officeDocument/2006/relationships/hyperlink" Target="https://youtu.be/MjxV6lP4DeM" TargetMode="External"/><Relationship Id="rId1400" Type="http://schemas.openxmlformats.org/officeDocument/2006/relationships/hyperlink" Target="https://x.com/inkstarLum/status/1746791604630028327?s=20" TargetMode="External"/><Relationship Id="rId1401" Type="http://schemas.openxmlformats.org/officeDocument/2006/relationships/hyperlink" Target="https://youtu.be/Muxnsa6HyOg" TargetMode="External"/><Relationship Id="rId1402" Type="http://schemas.openxmlformats.org/officeDocument/2006/relationships/hyperlink" Target="https://youtu.be/FkDEMmGQkU8"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ohXH1vfTvII" TargetMode="External"/><Relationship Id="rId1405" Type="http://schemas.openxmlformats.org/officeDocument/2006/relationships/hyperlink" Target="https://clips.twitch.tv/PlayfulBoredSalamanderWholeWheat" TargetMode="External"/><Relationship Id="rId1406" Type="http://schemas.openxmlformats.org/officeDocument/2006/relationships/hyperlink" Target="https://youtu.be/zVBF9xHkT10" TargetMode="External"/><Relationship Id="rId1407" Type="http://schemas.openxmlformats.org/officeDocument/2006/relationships/hyperlink" Target="https://www.youtube.com/watch?v=s4sYOmDATnE" TargetMode="External"/><Relationship Id="rId1408" Type="http://schemas.openxmlformats.org/officeDocument/2006/relationships/hyperlink" Target="https://www.youtube.com/watch?v=umdkqOKct6s" TargetMode="External"/><Relationship Id="rId1409" Type="http://schemas.openxmlformats.org/officeDocument/2006/relationships/hyperlink" Target="https://youtu.be/MjxV6lP4DeM" TargetMode="External"/><Relationship Id="rId1433" Type="http://schemas.openxmlformats.org/officeDocument/2006/relationships/hyperlink" Target="https://www.youtube.com/watch?v=iSi_quRJz2g&amp;ab_channel=SMSArchives" TargetMode="External"/><Relationship Id="rId1434" Type="http://schemas.openxmlformats.org/officeDocument/2006/relationships/hyperlink" Target="https://www.youtube.com/watch?v=vf0VNnfO3Ak" TargetMode="External"/><Relationship Id="rId1435" Type="http://schemas.openxmlformats.org/officeDocument/2006/relationships/hyperlink" Target="https://clips.twitch.tv/TolerantFairVelociraptorFloof--3_9x879_IsfRAXm" TargetMode="External"/><Relationship Id="rId1436" Type="http://schemas.openxmlformats.org/officeDocument/2006/relationships/hyperlink" Target="https://youtu.be/u-5A_eTZPA0"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r3QCIKx-vOk" TargetMode="External"/><Relationship Id="rId1439" Type="http://schemas.openxmlformats.org/officeDocument/2006/relationships/hyperlink" Target="https://www.youtube.com/watch?v=glGhyszoz8s"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youtu.be/0SdmxBStK6Q" TargetMode="External"/><Relationship Id="rId607" Type="http://schemas.openxmlformats.org/officeDocument/2006/relationships/hyperlink" Target="https://clips.twitch.tv/CloudyEnergeticNoodleNononoCat-n2VDdiE0bRYiT4LY" TargetMode="External"/><Relationship Id="rId602" Type="http://schemas.openxmlformats.org/officeDocument/2006/relationships/hyperlink" Target="https://www.youtube.com/watch?v=gkNrjiU7IqM" TargetMode="External"/><Relationship Id="rId601" Type="http://schemas.openxmlformats.org/officeDocument/2006/relationships/hyperlink" Target="https://clips.twitch.tv/LazyBombasticGarbageAMPEnergyCherry-5lqKrR82MALq2b-v" TargetMode="External"/><Relationship Id="rId600" Type="http://schemas.openxmlformats.org/officeDocument/2006/relationships/hyperlink" Target="https://youtu.be/SdpYg6f9g1I" TargetMode="External"/><Relationship Id="rId606" Type="http://schemas.openxmlformats.org/officeDocument/2006/relationships/hyperlink" Target="https://youtu.be/LN4qCj9UWyY" TargetMode="External"/><Relationship Id="rId605" Type="http://schemas.openxmlformats.org/officeDocument/2006/relationships/hyperlink" Target="https://youtu.be/NxQd1sOvgPg" TargetMode="External"/><Relationship Id="rId604" Type="http://schemas.openxmlformats.org/officeDocument/2006/relationships/hyperlink" Target="https://youtu.be/XMGmoWpoTVg"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youtu.be/rNp-Y-kiYlw" TargetMode="External"/><Relationship Id="rId1431" Type="http://schemas.openxmlformats.org/officeDocument/2006/relationships/hyperlink" Target="https://clips.twitch.tv/JollySilkyAniseTBTacoLeft-J6HX7xY5l-8m9d60" TargetMode="External"/><Relationship Id="rId1432" Type="http://schemas.openxmlformats.org/officeDocument/2006/relationships/hyperlink" Target="https://www.youtube.com/watch?v=bygDghuzAGQ" TargetMode="External"/><Relationship Id="rId1422" Type="http://schemas.openxmlformats.org/officeDocument/2006/relationships/hyperlink" Target="https://youtu.be/3e65Ym3gNJQ" TargetMode="External"/><Relationship Id="rId1423" Type="http://schemas.openxmlformats.org/officeDocument/2006/relationships/hyperlink" Target="https://youtu.be/2w3KSdOuDXQ" TargetMode="External"/><Relationship Id="rId1424" Type="http://schemas.openxmlformats.org/officeDocument/2006/relationships/hyperlink" Target="https://youtu.be/2w3KSdOuDXQ" TargetMode="External"/><Relationship Id="rId1425" Type="http://schemas.openxmlformats.org/officeDocument/2006/relationships/hyperlink" Target="https://youtu.be/7LclDQkIkYU" TargetMode="External"/><Relationship Id="rId1426" Type="http://schemas.openxmlformats.org/officeDocument/2006/relationships/hyperlink" Target="https://youtu.be/VlGSJ7oj0LY" TargetMode="External"/><Relationship Id="rId1427" Type="http://schemas.openxmlformats.org/officeDocument/2006/relationships/hyperlink" Target="https://youtu.be/zM-W6S4Pv9g" TargetMode="External"/><Relationship Id="rId1428" Type="http://schemas.openxmlformats.org/officeDocument/2006/relationships/hyperlink" Target="https://youtu.be/7LclDQkIkYU" TargetMode="External"/><Relationship Id="rId1429" Type="http://schemas.openxmlformats.org/officeDocument/2006/relationships/hyperlink" Target="https://www.youtube.com/watch?v=vf0VNnfO3Ak" TargetMode="External"/><Relationship Id="rId1420" Type="http://schemas.openxmlformats.org/officeDocument/2006/relationships/hyperlink" Target="https://youtu.be/mtPLaPYM5bE" TargetMode="External"/><Relationship Id="rId1421" Type="http://schemas.openxmlformats.org/officeDocument/2006/relationships/hyperlink" Target="https://youtu.be/3e65Ym3gNJQ" TargetMode="External"/><Relationship Id="rId699" Type="http://schemas.openxmlformats.org/officeDocument/2006/relationships/hyperlink" Target="https://youtu.be/CbOKw_Wf8YY" TargetMode="External"/><Relationship Id="rId698" Type="http://schemas.openxmlformats.org/officeDocument/2006/relationships/hyperlink" Target="https://youtu.be/Bv90oc-1vaw" TargetMode="External"/><Relationship Id="rId693" Type="http://schemas.openxmlformats.org/officeDocument/2006/relationships/hyperlink" Target="https://youtu.be/krPrARIZkpE" TargetMode="External"/><Relationship Id="rId692" Type="http://schemas.openxmlformats.org/officeDocument/2006/relationships/hyperlink" Target="https://www.youtube.com/watch?v=bLntip6c3cM&amp;feature=youtu.be" TargetMode="External"/><Relationship Id="rId691" Type="http://schemas.openxmlformats.org/officeDocument/2006/relationships/hyperlink" Target="https://www.youtube.com/watch?v=bLntip6c3cM"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youtu.be/R1jkpbFra_k" TargetMode="External"/><Relationship Id="rId696" Type="http://schemas.openxmlformats.org/officeDocument/2006/relationships/hyperlink" Target="https://youtu.be/R1jkpbFra_k" TargetMode="External"/><Relationship Id="rId695" Type="http://schemas.openxmlformats.org/officeDocument/2006/relationships/hyperlink" Target="https://www.twitch.tv/videos/858206031" TargetMode="External"/><Relationship Id="rId694" Type="http://schemas.openxmlformats.org/officeDocument/2006/relationships/hyperlink" Target="https://www.youtube.com/watch?v=Xez7zuPnhFs"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X4YBjn8dELU" TargetMode="External"/><Relationship Id="rId669" Type="http://schemas.openxmlformats.org/officeDocument/2006/relationships/hyperlink" Target="https://youtu.be/cHTgyDs6HJs" TargetMode="External"/><Relationship Id="rId1490" Type="http://schemas.openxmlformats.org/officeDocument/2006/relationships/table" Target="../tables/table10.xml"/><Relationship Id="rId660" Type="http://schemas.openxmlformats.org/officeDocument/2006/relationships/hyperlink" Target="https://www.youtube.com/watch?v=oqAI1AnVGTw" TargetMode="External"/><Relationship Id="rId1491" Type="http://schemas.openxmlformats.org/officeDocument/2006/relationships/table" Target="../tables/table11.xml"/><Relationship Id="rId1492" Type="http://schemas.openxmlformats.org/officeDocument/2006/relationships/table" Target="../tables/table12.xml"/><Relationship Id="rId1493" Type="http://schemas.openxmlformats.org/officeDocument/2006/relationships/table" Target="../tables/table13.xml"/><Relationship Id="rId664" Type="http://schemas.openxmlformats.org/officeDocument/2006/relationships/hyperlink" Target="https://youtu.be/cBK0qQ14qnY" TargetMode="External"/><Relationship Id="rId663" Type="http://schemas.openxmlformats.org/officeDocument/2006/relationships/hyperlink" Target="https://youtu.be/A_yQLnPvXXE" TargetMode="External"/><Relationship Id="rId662" Type="http://schemas.openxmlformats.org/officeDocument/2006/relationships/hyperlink" Target="https://www.youtube.com/watch?v=Ysrd_D2YPF0" TargetMode="External"/><Relationship Id="rId661" Type="http://schemas.openxmlformats.org/officeDocument/2006/relationships/hyperlink" Target="https://youtu.be/y_-TwELbUww" TargetMode="External"/><Relationship Id="rId1488" Type="http://schemas.openxmlformats.org/officeDocument/2006/relationships/table" Target="../tables/table8.xml"/><Relationship Id="rId1489" Type="http://schemas.openxmlformats.org/officeDocument/2006/relationships/table" Target="../tables/table9.xml"/><Relationship Id="rId657" Type="http://schemas.openxmlformats.org/officeDocument/2006/relationships/hyperlink" Target="https://youtu.be/OHyWgRVZf7I" TargetMode="External"/><Relationship Id="rId656" Type="http://schemas.openxmlformats.org/officeDocument/2006/relationships/hyperlink" Target="https://youtu.be/BrYWarX8tuI" TargetMode="External"/><Relationship Id="rId655" Type="http://schemas.openxmlformats.org/officeDocument/2006/relationships/hyperlink" Target="https://youtu.be/k33m68V_slY" TargetMode="External"/><Relationship Id="rId654" Type="http://schemas.openxmlformats.org/officeDocument/2006/relationships/hyperlink" Target="https://clips.twitch.tv/ExquisiteCourteousFlyUnSane" TargetMode="External"/><Relationship Id="rId659" Type="http://schemas.openxmlformats.org/officeDocument/2006/relationships/hyperlink" Target="https://youtu.be/ow4dPH8yC9s" TargetMode="External"/><Relationship Id="rId658" Type="http://schemas.openxmlformats.org/officeDocument/2006/relationships/hyperlink" Target="https://clips.twitch.tv/CooperativeNastyPterodactylWOOP-nlp9xtnzKIkAzJr3" TargetMode="External"/><Relationship Id="rId653" Type="http://schemas.openxmlformats.org/officeDocument/2006/relationships/hyperlink" Target="https://www.youtube.com/watch?v=Uv0aJlkhDAY" TargetMode="External"/><Relationship Id="rId1484" Type="http://schemas.openxmlformats.org/officeDocument/2006/relationships/table" Target="../tables/table4.xml"/><Relationship Id="rId652" Type="http://schemas.openxmlformats.org/officeDocument/2006/relationships/hyperlink" Target="https://youtu.be/YKbzldVDfBY" TargetMode="External"/><Relationship Id="rId1485" Type="http://schemas.openxmlformats.org/officeDocument/2006/relationships/table" Target="../tables/table5.xml"/><Relationship Id="rId651" Type="http://schemas.openxmlformats.org/officeDocument/2006/relationships/hyperlink" Target="https://www.youtube.com/watch?v=Uv0aJlkhDAY" TargetMode="External"/><Relationship Id="rId1486" Type="http://schemas.openxmlformats.org/officeDocument/2006/relationships/table" Target="../tables/table6.xml"/><Relationship Id="rId650" Type="http://schemas.openxmlformats.org/officeDocument/2006/relationships/hyperlink" Target="https://www.youtube.com/watch?v=-HXrRIdElHs" TargetMode="External"/><Relationship Id="rId1487" Type="http://schemas.openxmlformats.org/officeDocument/2006/relationships/table" Target="../tables/table7.xml"/><Relationship Id="rId689" Type="http://schemas.openxmlformats.org/officeDocument/2006/relationships/hyperlink" Target="https://youtu.be/PeiDodR-cOo" TargetMode="External"/><Relationship Id="rId688" Type="http://schemas.openxmlformats.org/officeDocument/2006/relationships/hyperlink" Target="https://www.youtube.com/watch?v=v_k4PyWa-v8&amp;feature=youtu.be" TargetMode="External"/><Relationship Id="rId687" Type="http://schemas.openxmlformats.org/officeDocument/2006/relationships/hyperlink" Target="https://www.youtube.com/watch?v=SaPHT9aS3Zk" TargetMode="External"/><Relationship Id="rId682" Type="http://schemas.openxmlformats.org/officeDocument/2006/relationships/hyperlink" Target="https://youtu.be/ZIFgUlRAmu8" TargetMode="External"/><Relationship Id="rId681" Type="http://schemas.openxmlformats.org/officeDocument/2006/relationships/hyperlink" Target="https://youtu.be/J1J56aATSTk" TargetMode="External"/><Relationship Id="rId680" Type="http://schemas.openxmlformats.org/officeDocument/2006/relationships/hyperlink" Target="https://youtu.be/fNkxLw3fgCI" TargetMode="External"/><Relationship Id="rId686" Type="http://schemas.openxmlformats.org/officeDocument/2006/relationships/hyperlink" Target="https://youtu.be/G-wdEZNJzVc" TargetMode="External"/><Relationship Id="rId685" Type="http://schemas.openxmlformats.org/officeDocument/2006/relationships/hyperlink" Target="https://youtu.be/TWoHlQ92h9Q" TargetMode="External"/><Relationship Id="rId684" Type="http://schemas.openxmlformats.org/officeDocument/2006/relationships/hyperlink" Target="https://clips.twitch.tv/FlirtyHandsomeDunlinDendiFace-kJAZpcey5Npw62mo" TargetMode="External"/><Relationship Id="rId683" Type="http://schemas.openxmlformats.org/officeDocument/2006/relationships/hyperlink" Target="https://youtu.be/KeUeFm8pgn4" TargetMode="External"/><Relationship Id="rId679" Type="http://schemas.openxmlformats.org/officeDocument/2006/relationships/hyperlink" Target="https://youtu.be/7OefaDdLpEA" TargetMode="External"/><Relationship Id="rId678" Type="http://schemas.openxmlformats.org/officeDocument/2006/relationships/hyperlink" Target="https://youtu.be/qgWRAu3ul_c?t=21" TargetMode="External"/><Relationship Id="rId677" Type="http://schemas.openxmlformats.org/officeDocument/2006/relationships/hyperlink" Target="https://youtu.be/wZNEwbgR9dA" TargetMode="External"/><Relationship Id="rId676" Type="http://schemas.openxmlformats.org/officeDocument/2006/relationships/hyperlink" Target="https://youtu.be/NfQkd-C-_aM" TargetMode="External"/><Relationship Id="rId671" Type="http://schemas.openxmlformats.org/officeDocument/2006/relationships/hyperlink" Target="https://youtu.be/rNfnEd8D4rc" TargetMode="External"/><Relationship Id="rId670" Type="http://schemas.openxmlformats.org/officeDocument/2006/relationships/hyperlink" Target="https://youtu.be/cHTgyDs6HJs" TargetMode="External"/><Relationship Id="rId675" Type="http://schemas.openxmlformats.org/officeDocument/2006/relationships/hyperlink" Target="https://clips.twitch.tv/AntediluvianLachrymoseGazellePlanking-lZ4VqK5mIF7O-HHY" TargetMode="External"/><Relationship Id="rId674" Type="http://schemas.openxmlformats.org/officeDocument/2006/relationships/hyperlink" Target="https://www.twitch.tv/videos/619511051"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4E5YhoztIkg" TargetMode="External"/><Relationship Id="rId194" Type="http://schemas.openxmlformats.org/officeDocument/2006/relationships/hyperlink" Target="https://www.youtube.com/watch?v=xMprl48ulxI" TargetMode="External"/><Relationship Id="rId193" Type="http://schemas.openxmlformats.org/officeDocument/2006/relationships/hyperlink" Target="https://youtu.be/wHIseB7YqdE" TargetMode="External"/><Relationship Id="rId192" Type="http://schemas.openxmlformats.org/officeDocument/2006/relationships/hyperlink" Target="https://clips.twitch.tv/BenevolentHeartlessMosquitoPartyTime" TargetMode="External"/><Relationship Id="rId191" Type="http://schemas.openxmlformats.org/officeDocument/2006/relationships/hyperlink" Target="https://youtu.be/iv6_41aPYWU" TargetMode="External"/><Relationship Id="rId187" Type="http://schemas.openxmlformats.org/officeDocument/2006/relationships/hyperlink" Target="https://youtu.be/iv6_41aPYWU" TargetMode="External"/><Relationship Id="rId186" Type="http://schemas.openxmlformats.org/officeDocument/2006/relationships/hyperlink" Target="https://youtu.be/MEzfJVVofMI" TargetMode="External"/><Relationship Id="rId185" Type="http://schemas.openxmlformats.org/officeDocument/2006/relationships/hyperlink" Target="https://clips.twitch.tv/PlausibleGiftedNightingaleStoneLightning" TargetMode="External"/><Relationship Id="rId184" Type="http://schemas.openxmlformats.org/officeDocument/2006/relationships/hyperlink" Target="https://youtu.be/GijhM4FiDgE" TargetMode="External"/><Relationship Id="rId189" Type="http://schemas.openxmlformats.org/officeDocument/2006/relationships/hyperlink" Target="https://youtu.be/fPccFOyZC60" TargetMode="External"/><Relationship Id="rId188" Type="http://schemas.openxmlformats.org/officeDocument/2006/relationships/hyperlink" Target="https://youtu.be/tUhvMNmgg1k"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youtu.be/Z4ie9RrtCf8" TargetMode="External"/><Relationship Id="rId180" Type="http://schemas.openxmlformats.org/officeDocument/2006/relationships/hyperlink" Target="https://clips.twitch.tv/SquareDeliciousAxeWTRuck-ArkI5oMoXCRBgBIU" TargetMode="External"/><Relationship Id="rId176" Type="http://schemas.openxmlformats.org/officeDocument/2006/relationships/hyperlink" Target="https://youtu.be/1A03ua1F3lQ"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BmsVJMvXxNw" TargetMode="External"/><Relationship Id="rId173" Type="http://schemas.openxmlformats.org/officeDocument/2006/relationships/hyperlink" Target="https://youtu.be/1A03ua1F3lQ" TargetMode="External"/><Relationship Id="rId179" Type="http://schemas.openxmlformats.org/officeDocument/2006/relationships/hyperlink" Target="https://youtu.be/Psq0REdZISs" TargetMode="External"/><Relationship Id="rId178" Type="http://schemas.openxmlformats.org/officeDocument/2006/relationships/hyperlink" Target="https://youtu.be/Qyvo6hRADRY" TargetMode="External"/><Relationship Id="rId177" Type="http://schemas.openxmlformats.org/officeDocument/2006/relationships/hyperlink" Target="https://youtu.be/Psq0REdZISs" TargetMode="External"/><Relationship Id="rId198" Type="http://schemas.openxmlformats.org/officeDocument/2006/relationships/hyperlink" Target="https://youtu.be/AWbXQ-OvZSo" TargetMode="External"/><Relationship Id="rId197" Type="http://schemas.openxmlformats.org/officeDocument/2006/relationships/hyperlink" Target="https://youtu.be/AiU3yivYBNA" TargetMode="External"/><Relationship Id="rId196" Type="http://schemas.openxmlformats.org/officeDocument/2006/relationships/hyperlink" Target="https://youtu.be/qqOjbEjdmiw" TargetMode="External"/><Relationship Id="rId195" Type="http://schemas.openxmlformats.org/officeDocument/2006/relationships/hyperlink" Target="https://clips.twitch.tv/ExpensiveGiantFalconHoneyBadger-ePliFfN7JgsfhBPj"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Ffgo1tv3vG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clips.twitch.tv/SoftMildVelociraptorM4xHeh" TargetMode="External"/><Relationship Id="rId171" Type="http://schemas.openxmlformats.org/officeDocument/2006/relationships/hyperlink" Target="https://youtu.be/9wNfReNVtE4" TargetMode="External"/><Relationship Id="rId170" Type="http://schemas.openxmlformats.org/officeDocument/2006/relationships/hyperlink" Target="https://youtu.be/9wNfReNVtE4" TargetMode="External"/><Relationship Id="rId165" Type="http://schemas.openxmlformats.org/officeDocument/2006/relationships/hyperlink" Target="https://youtu.be/YRowQo7Wb_U" TargetMode="External"/><Relationship Id="rId164" Type="http://schemas.openxmlformats.org/officeDocument/2006/relationships/hyperlink" Target="https://youtu.be/igxiTsu0qK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_K2svVKDjsM"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youtu.be/jjEXwrTelwI" TargetMode="External"/><Relationship Id="rId160" Type="http://schemas.openxmlformats.org/officeDocument/2006/relationships/hyperlink" Target="https://youtu.be/769SOyoDtAc" TargetMode="External"/><Relationship Id="rId159" Type="http://schemas.openxmlformats.org/officeDocument/2006/relationships/hyperlink" Target="https://youtu.be/RxKPWe1nMt8" TargetMode="External"/><Relationship Id="rId154" Type="http://schemas.openxmlformats.org/officeDocument/2006/relationships/hyperlink" Target="https://www.youtube.com/watch?v=fS0fvzU0e8I"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yh1BLcpJOmo" TargetMode="External"/><Relationship Id="rId157" Type="http://schemas.openxmlformats.org/officeDocument/2006/relationships/hyperlink" Target="https://clips.twitch.tv/LazyDarkHabaneroWTRuck" TargetMode="External"/><Relationship Id="rId156" Type="http://schemas.openxmlformats.org/officeDocument/2006/relationships/hyperlink" Target="https://youtu.be/C-OLM675WHA" TargetMode="External"/><Relationship Id="rId155" Type="http://schemas.openxmlformats.org/officeDocument/2006/relationships/hyperlink" Target="https://youtu.be/C-OLM675WHA" TargetMode="External"/><Relationship Id="rId987" Type="http://schemas.openxmlformats.org/officeDocument/2006/relationships/hyperlink" Target="https://youtu.be/80fXlZ5gKH4" TargetMode="External"/><Relationship Id="rId986" Type="http://schemas.openxmlformats.org/officeDocument/2006/relationships/hyperlink" Target="https://youtu.be/IGtEc4Md5A0" TargetMode="External"/><Relationship Id="rId985" Type="http://schemas.openxmlformats.org/officeDocument/2006/relationships/hyperlink" Target="https://youtu.be/diXmhH7mF-s" TargetMode="External"/><Relationship Id="rId984" Type="http://schemas.openxmlformats.org/officeDocument/2006/relationships/hyperlink" Target="https://youtu.be/TimHtxCkrCY" TargetMode="External"/><Relationship Id="rId989" Type="http://schemas.openxmlformats.org/officeDocument/2006/relationships/hyperlink" Target="https://clips.twitch.tv/KawaiiPlacidMonitorPJSalt-mhKC6iRjJ5hOMC48" TargetMode="External"/><Relationship Id="rId988" Type="http://schemas.openxmlformats.org/officeDocument/2006/relationships/hyperlink" Target="https://youtu.be/gz3vByPTKuo"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youtu.be/NggDKh_3G24" TargetMode="External"/><Relationship Id="rId981" Type="http://schemas.openxmlformats.org/officeDocument/2006/relationships/hyperlink" Target="https://youtu.be/VO2ADXYrIF8" TargetMode="External"/><Relationship Id="rId980" Type="http://schemas.openxmlformats.org/officeDocument/2006/relationships/hyperlink" Target="https://www.youtube.com/watch?v=IVppjA2JcIM"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x.com/175akane/status/1895102223014646082"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piKroXFDh_g" TargetMode="External"/><Relationship Id="rId997" Type="http://schemas.openxmlformats.org/officeDocument/2006/relationships/hyperlink" Target="https://youtu.be/GoFK2SUM8wY" TargetMode="External"/><Relationship Id="rId996" Type="http://schemas.openxmlformats.org/officeDocument/2006/relationships/hyperlink" Target="https://youtu.be/piKroXFDh_g" TargetMode="External"/><Relationship Id="rId995" Type="http://schemas.openxmlformats.org/officeDocument/2006/relationships/hyperlink" Target="https://clips.twitch.tv/PlainYummyKuduDeIlluminati" TargetMode="External"/><Relationship Id="rId999" Type="http://schemas.openxmlformats.org/officeDocument/2006/relationships/hyperlink" Target="https://youtu.be/E5XzeYWCq6E" TargetMode="External"/><Relationship Id="rId990" Type="http://schemas.openxmlformats.org/officeDocument/2006/relationships/hyperlink" Target="https://clips.twitch.tv/GiftedNaiveSrirachaBibleThump" TargetMode="External"/><Relationship Id="rId994" Type="http://schemas.openxmlformats.org/officeDocument/2006/relationships/hyperlink" Target="https://youtu.be/lYUHLdDB-mo" TargetMode="External"/><Relationship Id="rId993" Type="http://schemas.openxmlformats.org/officeDocument/2006/relationships/hyperlink" Target="https://youtu.be/2NGdCcueesk" TargetMode="External"/><Relationship Id="rId992" Type="http://schemas.openxmlformats.org/officeDocument/2006/relationships/hyperlink" Target="https://youtu.be/NXynaSDqhMI" TargetMode="External"/><Relationship Id="rId991" Type="http://schemas.openxmlformats.org/officeDocument/2006/relationships/hyperlink" Target="https://clips.twitch.tv/DirtyThankfulBasenjiSoBayed-nhy_jX9qq5W1SNyY"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uj0RoVs3QKs" TargetMode="External"/><Relationship Id="rId941" Type="http://schemas.openxmlformats.org/officeDocument/2006/relationships/hyperlink" Target="https://youtu.be/uj0RoVs3QKs"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youtu.be/-Wn_nlaNiMQ" TargetMode="External"/><Relationship Id="rId105" Type="http://schemas.openxmlformats.org/officeDocument/2006/relationships/hyperlink" Target="https://youtu.be/bK2GuomVNRY" TargetMode="External"/><Relationship Id="rId104" Type="http://schemas.openxmlformats.org/officeDocument/2006/relationships/hyperlink" Target="https://clips.twitch.tv/SuperGracefulChickenWOOP-RkQZZH9ICL5xKDM8" TargetMode="External"/><Relationship Id="rId109" Type="http://schemas.openxmlformats.org/officeDocument/2006/relationships/hyperlink" Target="https://youtu.be/UA6s24Tjs9w" TargetMode="External"/><Relationship Id="rId108" Type="http://schemas.openxmlformats.org/officeDocument/2006/relationships/hyperlink" Target="https://youtu.be/zrrBfrw-Exw" TargetMode="External"/><Relationship Id="rId103" Type="http://schemas.openxmlformats.org/officeDocument/2006/relationships/hyperlink" Target="https://www.youtube.com/watch?v=OW5rsfv8Yms" TargetMode="External"/><Relationship Id="rId102" Type="http://schemas.openxmlformats.org/officeDocument/2006/relationships/hyperlink" Target="https://youtu.be/VVcKd2rhZvA" TargetMode="External"/><Relationship Id="rId101" Type="http://schemas.openxmlformats.org/officeDocument/2006/relationships/hyperlink" Target="https://youtu.be/8IzWAzW1TCE" TargetMode="External"/><Relationship Id="rId100" Type="http://schemas.openxmlformats.org/officeDocument/2006/relationships/hyperlink" Target="https://youtu.be/rsldpLoXwy0?t=6"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8oXw77l-j9I"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youtu.be/uW7vd-S5W_g" TargetMode="External"/><Relationship Id="rId120" Type="http://schemas.openxmlformats.org/officeDocument/2006/relationships/hyperlink" Target="https://youtu.be/uW7vd-S5W_g"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youtu.be/xVEgIQtLGGo"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youtu.be/AMvAgo1dwEI"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clips.twitch.tv/GenerousBlazingMooseKlappa-shUqSWDPKP8hJZfO" TargetMode="External"/><Relationship Id="rId114" Type="http://schemas.openxmlformats.org/officeDocument/2006/relationships/hyperlink" Target="https://youtu.be/UkxHNcrOnOM" TargetMode="External"/><Relationship Id="rId113" Type="http://schemas.openxmlformats.org/officeDocument/2006/relationships/hyperlink" Target="https://youtu.be/ghqODYL8Srg" TargetMode="External"/><Relationship Id="rId112" Type="http://schemas.openxmlformats.org/officeDocument/2006/relationships/hyperlink" Target="https://clips.twitch.tv/BashfulFlaccidRadishTBTacoRight-nV0His_7C_PkGEIr" TargetMode="External"/><Relationship Id="rId111" Type="http://schemas.openxmlformats.org/officeDocument/2006/relationships/hyperlink" Target="https://youtu.be/spShig1LGP8"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clips.twitch.tv/RoundKitschyCrabJonCarnage" TargetMode="External"/><Relationship Id="rId828" Type="http://schemas.openxmlformats.org/officeDocument/2006/relationships/hyperlink" Target="https://clips.twitch.tv/PrettiestHyperPassionfruitPhilosoraptor-zgIpEATPca60AcdA" TargetMode="External"/><Relationship Id="rId827" Type="http://schemas.openxmlformats.org/officeDocument/2006/relationships/hyperlink" Target="https://clips.twitch.tv/AverageInexpensivePlumberTwitchRPG-KqG7b_u4MkB4IKiJ" TargetMode="External"/><Relationship Id="rId822" Type="http://schemas.openxmlformats.org/officeDocument/2006/relationships/hyperlink" Target="https://youtu.be/wnFz7_SR_wA" TargetMode="External"/><Relationship Id="rId821" Type="http://schemas.openxmlformats.org/officeDocument/2006/relationships/hyperlink" Target="https://www.youtube.com/watch?v=S17TMSeaNTM" TargetMode="External"/><Relationship Id="rId820" Type="http://schemas.openxmlformats.org/officeDocument/2006/relationships/hyperlink" Target="https://youtu.be/Is8NqhibN8U" TargetMode="External"/><Relationship Id="rId826" Type="http://schemas.openxmlformats.org/officeDocument/2006/relationships/hyperlink" Target="https://youtu.be/yLJr0yYVVxI" TargetMode="External"/><Relationship Id="rId825" Type="http://schemas.openxmlformats.org/officeDocument/2006/relationships/hyperlink" Target="https://youtu.be/Rzv2gd5JAB4" TargetMode="External"/><Relationship Id="rId824" Type="http://schemas.openxmlformats.org/officeDocument/2006/relationships/hyperlink" Target="https://youtu.be/wnFz7_SR_wA" TargetMode="External"/><Relationship Id="rId823" Type="http://schemas.openxmlformats.org/officeDocument/2006/relationships/hyperlink" Target="https://youtu.be/jYp1YA6aYEI" TargetMode="External"/><Relationship Id="rId819" Type="http://schemas.openxmlformats.org/officeDocument/2006/relationships/hyperlink" Target="https://www.youtube.com/watch?v=ieByzYZpBvM" TargetMode="External"/><Relationship Id="rId818" Type="http://schemas.openxmlformats.org/officeDocument/2006/relationships/hyperlink" Target="https://youtu.be/1g-6FMuEbKo" TargetMode="External"/><Relationship Id="rId817" Type="http://schemas.openxmlformats.org/officeDocument/2006/relationships/hyperlink" Target="https://clips.twitch.tv/HomelyAnnoyingGaragePlanking-MF1j1_aC2S-6-UOm" TargetMode="External"/><Relationship Id="rId816" Type="http://schemas.openxmlformats.org/officeDocument/2006/relationships/hyperlink" Target="https://clips.twitch.tv/RacyLaconicDumplingsUncleNox-_SP4ET9Bken7MYDb" TargetMode="External"/><Relationship Id="rId811" Type="http://schemas.openxmlformats.org/officeDocument/2006/relationships/hyperlink" Target="https://youtu.be/Rn7yvpNUrrk"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FAK9lsxbQhY" TargetMode="External"/><Relationship Id="rId814" Type="http://schemas.openxmlformats.org/officeDocument/2006/relationships/hyperlink" Target="https://youtu.be/QE1MXNcBJD4" TargetMode="External"/><Relationship Id="rId813" Type="http://schemas.openxmlformats.org/officeDocument/2006/relationships/hyperlink" Target="https://youtu.be/Rn7yvpNUrrk" TargetMode="External"/><Relationship Id="rId812" Type="http://schemas.openxmlformats.org/officeDocument/2006/relationships/hyperlink" Target="https://youtu.be/o-H2DTwTB0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Vco4hwHBWBI"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youtu.be/ymMLdWWJy2k" TargetMode="External"/><Relationship Id="rId833" Type="http://schemas.openxmlformats.org/officeDocument/2006/relationships/hyperlink" Target="https://youtu.be/MaVR6cozgeg" TargetMode="External"/><Relationship Id="rId832" Type="http://schemas.openxmlformats.org/officeDocument/2006/relationships/hyperlink" Target="https://youtu.be/pg2U4CLwDnE" TargetMode="External"/><Relationship Id="rId831" Type="http://schemas.openxmlformats.org/officeDocument/2006/relationships/hyperlink" Target="https://youtu.be/AEgBM31Inm8" TargetMode="External"/><Relationship Id="rId830" Type="http://schemas.openxmlformats.org/officeDocument/2006/relationships/hyperlink" Target="https://youtu.be/obM0WDl_1s4" TargetMode="External"/><Relationship Id="rId837" Type="http://schemas.openxmlformats.org/officeDocument/2006/relationships/hyperlink" Target="https://youtu.be/KyLpq9PHrRo" TargetMode="External"/><Relationship Id="rId836" Type="http://schemas.openxmlformats.org/officeDocument/2006/relationships/hyperlink" Target="https://youtu.be/TsQqqpW92RA" TargetMode="External"/><Relationship Id="rId835" Type="http://schemas.openxmlformats.org/officeDocument/2006/relationships/hyperlink" Target="https://youtu.be/2iD0cMJxAZQ" TargetMode="External"/><Relationship Id="rId834" Type="http://schemas.openxmlformats.org/officeDocument/2006/relationships/hyperlink" Target="https://youtu.be/MaVR6cozgeg"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5094</v>
      </c>
      <c r="G108" s="103" t="s">
        <v>5076</v>
      </c>
      <c r="H108" s="239"/>
      <c r="I108" s="191" t="s">
        <v>3424</v>
      </c>
      <c r="J108" s="191" t="s">
        <v>5159</v>
      </c>
      <c r="K108" s="191" t="s">
        <v>659</v>
      </c>
      <c r="L108" s="191" t="s">
        <v>5060</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5160</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5161</v>
      </c>
      <c r="B109" s="82" t="s">
        <v>5162</v>
      </c>
      <c r="C109" s="83" t="s">
        <v>1262</v>
      </c>
      <c r="D109" s="84" t="s">
        <v>1262</v>
      </c>
      <c r="E109" s="85" t="s">
        <v>1262</v>
      </c>
      <c r="F109" s="86" t="s">
        <v>544</v>
      </c>
      <c r="G109" s="82" t="s">
        <v>3277</v>
      </c>
      <c r="H109" s="98"/>
      <c r="I109" s="93" t="s">
        <v>5163</v>
      </c>
      <c r="J109" s="88" t="s">
        <v>5164</v>
      </c>
      <c r="K109" s="93" t="s">
        <v>4417</v>
      </c>
      <c r="L109" s="260" t="s">
        <v>563</v>
      </c>
      <c r="M109" s="98"/>
      <c r="N109" s="93" t="s">
        <v>5165</v>
      </c>
      <c r="O109" s="93" t="s">
        <v>1026</v>
      </c>
      <c r="P109" s="93" t="s">
        <v>3528</v>
      </c>
      <c r="Q109" s="98"/>
      <c r="R109" s="98"/>
      <c r="S109" s="98"/>
      <c r="T109" s="98"/>
      <c r="U109" s="98"/>
      <c r="V109" s="98"/>
      <c r="W109" s="92"/>
      <c r="X109" s="93" t="s">
        <v>2594</v>
      </c>
      <c r="Y109" s="93" t="s">
        <v>1011</v>
      </c>
      <c r="Z109" s="93" t="s">
        <v>3187</v>
      </c>
      <c r="AA109" s="93" t="s">
        <v>5166</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5167</v>
      </c>
      <c r="AV109" s="98"/>
      <c r="AW109" s="98"/>
      <c r="AX109" s="98"/>
      <c r="AY109" s="98"/>
      <c r="AZ109" s="98"/>
      <c r="BA109" s="93" t="s">
        <v>1110</v>
      </c>
      <c r="BB109" s="93" t="s">
        <v>369</v>
      </c>
      <c r="BC109" s="93" t="s">
        <v>4675</v>
      </c>
      <c r="BD109" s="93" t="s">
        <v>4826</v>
      </c>
      <c r="BE109" s="93" t="s">
        <v>1742</v>
      </c>
      <c r="BF109" s="98"/>
      <c r="BG109" s="98"/>
      <c r="BH109" s="93" t="s">
        <v>1977</v>
      </c>
      <c r="BI109" s="93" t="s">
        <v>5168</v>
      </c>
      <c r="BJ109" s="93" t="s">
        <v>689</v>
      </c>
      <c r="BK109" s="93" t="s">
        <v>4544</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2733</v>
      </c>
      <c r="CH109" s="98"/>
      <c r="CI109" s="98"/>
      <c r="CJ109" s="98"/>
      <c r="CK109" s="93" t="s">
        <v>5173</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4949</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1996</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2233</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5151</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2023</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2394</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5025</v>
      </c>
      <c r="CU114" s="201" t="s">
        <v>3020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2108</v>
      </c>
      <c r="AV115" s="93" t="s">
        <v>2019</v>
      </c>
      <c r="AW115" s="98"/>
      <c r="AX115" s="93" t="s">
        <v>5316</v>
      </c>
      <c r="AY115" s="98"/>
      <c r="AZ115" s="98"/>
      <c r="BA115" s="93" t="s">
        <v>5321</v>
      </c>
      <c r="BB115" s="93" t="s">
        <v>2633</v>
      </c>
      <c r="BC115" s="93" t="s">
        <v>5322</v>
      </c>
      <c r="BD115" s="93" t="s">
        <v>4511</v>
      </c>
      <c r="BE115" s="93" t="s">
        <v>5323</v>
      </c>
      <c r="BF115" s="93" t="s">
        <v>5324</v>
      </c>
      <c r="BG115" s="93" t="s">
        <v>4634</v>
      </c>
      <c r="BH115" s="93" t="s">
        <v>2321</v>
      </c>
      <c r="BI115" s="93" t="s">
        <v>5325</v>
      </c>
      <c r="BJ115" s="93" t="s">
        <v>5326</v>
      </c>
      <c r="BK115" s="93" t="s">
        <v>5327</v>
      </c>
      <c r="BL115" s="98"/>
      <c r="BM115" s="93" t="s">
        <v>2321</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5037</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5307</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5272</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1" t="s">
        <v>1262</v>
      </c>
      <c r="D117" s="572" t="s">
        <v>1262</v>
      </c>
      <c r="E117" s="573" t="s">
        <v>1262</v>
      </c>
      <c r="F117" s="86" t="s">
        <v>1064</v>
      </c>
      <c r="G117" s="574" t="s">
        <v>2224</v>
      </c>
      <c r="H117" s="98"/>
      <c r="I117" s="575" t="s">
        <v>5387</v>
      </c>
      <c r="J117" s="93" t="s">
        <v>5388</v>
      </c>
      <c r="K117" s="576" t="s">
        <v>5389</v>
      </c>
      <c r="L117" s="575" t="s">
        <v>5390</v>
      </c>
      <c r="M117" s="93" t="s">
        <v>5391</v>
      </c>
      <c r="N117" s="93" t="s">
        <v>4641</v>
      </c>
      <c r="O117" s="99" t="s">
        <v>3063</v>
      </c>
      <c r="P117" s="99" t="s">
        <v>4843</v>
      </c>
      <c r="Q117" s="98"/>
      <c r="R117" s="98"/>
      <c r="S117" s="99" t="s">
        <v>5392</v>
      </c>
      <c r="T117" s="98"/>
      <c r="U117" s="98"/>
      <c r="V117" s="98"/>
      <c r="W117" s="92"/>
      <c r="X117" s="577" t="s">
        <v>1905</v>
      </c>
      <c r="Y117" s="575" t="s">
        <v>2952</v>
      </c>
      <c r="Z117" s="93" t="s">
        <v>454</v>
      </c>
      <c r="AA117" s="99" t="s">
        <v>3333</v>
      </c>
      <c r="AB117" s="577" t="s">
        <v>5393</v>
      </c>
      <c r="AC117" s="98"/>
      <c r="AD117" s="98"/>
      <c r="AE117" s="98"/>
      <c r="AF117" s="99" t="s">
        <v>5313</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4675</v>
      </c>
      <c r="BD117" s="577" t="s">
        <v>2138</v>
      </c>
      <c r="BE117" s="93" t="s">
        <v>4329</v>
      </c>
      <c r="BF117" s="98"/>
      <c r="BG117" s="98"/>
      <c r="BH117" s="99" t="s">
        <v>1891</v>
      </c>
      <c r="BI117" s="578"/>
      <c r="BJ117" s="99" t="s">
        <v>5399</v>
      </c>
      <c r="BK117" s="99" t="s">
        <v>5221</v>
      </c>
      <c r="BL117" s="93"/>
      <c r="BM117" s="98"/>
      <c r="BN117" s="98"/>
      <c r="BO117" s="98"/>
      <c r="BP117" s="232"/>
      <c r="BQ117" s="99" t="s">
        <v>5400</v>
      </c>
      <c r="BR117" s="98"/>
      <c r="BS117" s="99" t="s">
        <v>997</v>
      </c>
      <c r="BT117" s="98"/>
      <c r="BU117" s="93" t="s">
        <v>4540</v>
      </c>
      <c r="BV117" s="575" t="s">
        <v>5401</v>
      </c>
      <c r="BW117" s="99" t="s">
        <v>5402</v>
      </c>
      <c r="BX117" s="577" t="s">
        <v>444</v>
      </c>
      <c r="BY117" s="577"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6" t="s">
        <v>635</v>
      </c>
      <c r="CU117" s="98"/>
      <c r="CV117" s="97" t="s">
        <v>5406</v>
      </c>
      <c r="CW117" s="93"/>
      <c r="CX117" s="99" t="s">
        <v>5407</v>
      </c>
      <c r="CY117" s="98"/>
      <c r="CZ117" s="577"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9"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5342</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5456</v>
      </c>
      <c r="B120" s="103" t="s">
        <v>5457</v>
      </c>
      <c r="C120" s="104" t="s">
        <v>1262</v>
      </c>
      <c r="D120" s="105" t="s">
        <v>1262</v>
      </c>
      <c r="E120" s="106" t="s">
        <v>1262</v>
      </c>
      <c r="F120" s="107" t="s">
        <v>329</v>
      </c>
      <c r="G120" s="103" t="s">
        <v>2100</v>
      </c>
      <c r="H120" s="163"/>
      <c r="I120" s="163" t="s">
        <v>5458</v>
      </c>
      <c r="J120" s="111" t="s">
        <v>650</v>
      </c>
      <c r="K120" s="111" t="s">
        <v>5269</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5193</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5217</v>
      </c>
      <c r="CH121" s="93" t="s">
        <v>2258</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5168</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5510</v>
      </c>
      <c r="B122" s="103" t="s">
        <v>5511</v>
      </c>
      <c r="C122" s="104" t="s">
        <v>1262</v>
      </c>
      <c r="D122" s="105" t="s">
        <v>1262</v>
      </c>
      <c r="E122" s="106" t="s">
        <v>1262</v>
      </c>
      <c r="F122" s="107" t="s">
        <v>437</v>
      </c>
      <c r="G122" s="103" t="s">
        <v>2017</v>
      </c>
      <c r="H122" s="163"/>
      <c r="I122" s="163" t="s">
        <v>5512</v>
      </c>
      <c r="J122" s="163" t="s">
        <v>5169</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2"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5287</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3" t="s">
        <v>5567</v>
      </c>
      <c r="B124" s="103" t="s">
        <v>5568</v>
      </c>
      <c r="C124" s="104" t="s">
        <v>1262</v>
      </c>
      <c r="D124" s="105" t="s">
        <v>1262</v>
      </c>
      <c r="E124" s="106" t="s">
        <v>1262</v>
      </c>
      <c r="F124" s="107" t="s">
        <v>1262</v>
      </c>
      <c r="G124" s="103" t="s">
        <v>4727</v>
      </c>
      <c r="H124" s="163" t="s">
        <v>5569</v>
      </c>
      <c r="I124" s="163" t="s">
        <v>5570</v>
      </c>
      <c r="J124" s="163" t="s">
        <v>5571</v>
      </c>
      <c r="K124" s="163" t="s">
        <v>5311</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4"/>
      <c r="BH124" s="170" t="s">
        <v>755</v>
      </c>
      <c r="BI124" s="170" t="s">
        <v>5578</v>
      </c>
      <c r="BJ124" s="169"/>
      <c r="BK124" s="170" t="s">
        <v>4508</v>
      </c>
      <c r="BL124" s="169"/>
      <c r="BM124" s="169"/>
      <c r="BN124" s="169"/>
      <c r="BO124" s="169"/>
      <c r="BP124" s="244"/>
      <c r="BQ124" s="171" t="s">
        <v>5325</v>
      </c>
      <c r="BR124" s="171" t="s">
        <v>4437</v>
      </c>
      <c r="BS124" s="171" t="s">
        <v>4814</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5219</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5592</v>
      </c>
      <c r="B126" s="103" t="s">
        <v>5593</v>
      </c>
      <c r="C126" s="104" t="s">
        <v>1262</v>
      </c>
      <c r="D126" s="105" t="s">
        <v>1262</v>
      </c>
      <c r="E126" s="106" t="s">
        <v>1262</v>
      </c>
      <c r="F126" s="107" t="s">
        <v>988</v>
      </c>
      <c r="G126" s="103" t="s">
        <v>2692</v>
      </c>
      <c r="H126" s="586"/>
      <c r="I126" s="587"/>
      <c r="J126" s="586"/>
      <c r="K126" s="111" t="s">
        <v>2232</v>
      </c>
      <c r="L126" s="586" t="s">
        <v>559</v>
      </c>
      <c r="M126" s="586"/>
      <c r="N126" s="586"/>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5288</v>
      </c>
      <c r="AY127" s="98"/>
      <c r="AZ127" s="98"/>
      <c r="BA127" s="98"/>
      <c r="BB127" s="98"/>
      <c r="BC127" s="98"/>
      <c r="BD127" s="93" t="s">
        <v>4995</v>
      </c>
      <c r="BE127" s="93" t="s">
        <v>5603</v>
      </c>
      <c r="BF127" s="98"/>
      <c r="BG127" s="98"/>
      <c r="BH127" s="93" t="s">
        <v>5322</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2763</v>
      </c>
      <c r="K131" s="264" t="s">
        <v>4417</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5658</v>
      </c>
      <c r="BF131" s="98"/>
      <c r="BG131" s="98"/>
      <c r="BH131" s="264"/>
      <c r="BI131" s="264"/>
      <c r="BJ131" s="264"/>
      <c r="BK131" s="264"/>
      <c r="BL131" s="98"/>
      <c r="BM131" s="98"/>
      <c r="BN131" s="98"/>
      <c r="BO131" s="98"/>
      <c r="BP131" s="232"/>
      <c r="BQ131" s="264"/>
      <c r="BR131" s="264"/>
      <c r="BS131" s="264"/>
      <c r="BT131" s="265" t="s">
        <v>4952</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3364</v>
      </c>
      <c r="H132" s="163" t="s">
        <v>3699</v>
      </c>
      <c r="I132" s="163" t="s">
        <v>2122</v>
      </c>
      <c r="J132" s="163" t="s">
        <v>5661</v>
      </c>
      <c r="K132" s="163" t="s">
        <v>3580</v>
      </c>
      <c r="L132" s="222" t="s">
        <v>5662</v>
      </c>
      <c r="M132" s="239"/>
      <c r="N132" s="239"/>
      <c r="O132" s="222" t="s">
        <v>1376</v>
      </c>
      <c r="P132" s="239"/>
      <c r="Q132" s="239"/>
      <c r="R132" s="163"/>
      <c r="S132" s="163"/>
      <c r="T132" s="239"/>
      <c r="U132" s="239"/>
      <c r="V132" s="239"/>
      <c r="W132" s="92"/>
      <c r="X132" s="193" t="s">
        <v>3147</v>
      </c>
      <c r="Y132" s="241"/>
      <c r="Z132" s="193" t="s">
        <v>5663</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5664</v>
      </c>
      <c r="BJ132" s="170"/>
      <c r="BK132" s="169"/>
      <c r="BL132" s="169"/>
      <c r="BM132" s="169"/>
      <c r="BN132" s="169"/>
      <c r="BO132" s="169"/>
      <c r="BP132" s="244"/>
      <c r="BQ132" s="247"/>
      <c r="BR132" s="172" t="s">
        <v>3927</v>
      </c>
      <c r="BS132" s="171" t="s">
        <v>5665</v>
      </c>
      <c r="BT132" s="247"/>
      <c r="BU132" s="247"/>
      <c r="BV132" s="171" t="s">
        <v>5666</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2090</v>
      </c>
      <c r="V134" s="163" t="s">
        <v>5695</v>
      </c>
      <c r="W134" s="92"/>
      <c r="X134" s="597" t="s">
        <v>4937</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8"/>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90"/>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2361</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5669</v>
      </c>
      <c r="H140" s="163" t="s">
        <v>2053</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2115</v>
      </c>
      <c r="CN143" s="93" t="s">
        <v>5882</v>
      </c>
      <c r="CO143" s="93" t="s">
        <v>5883</v>
      </c>
      <c r="CP143" s="98"/>
      <c r="CQ143" s="93" t="s">
        <v>5884</v>
      </c>
      <c r="CR143" s="93" t="s">
        <v>5885</v>
      </c>
      <c r="CS143" s="92"/>
      <c r="CT143" s="93" t="s">
        <v>2720</v>
      </c>
      <c r="CU143" s="93" t="s">
        <v>5886</v>
      </c>
      <c r="CV143" s="93" t="s">
        <v>2379</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2106</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2314</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4433</v>
      </c>
      <c r="L145" s="101"/>
      <c r="M145" s="101"/>
      <c r="N145" s="101"/>
      <c r="O145" s="101"/>
      <c r="P145" s="101" t="s">
        <v>5636</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2786</v>
      </c>
      <c r="CA145" s="93" t="s">
        <v>5909</v>
      </c>
      <c r="CB145" s="88" t="s">
        <v>5910</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5669</v>
      </c>
      <c r="H146" s="222"/>
      <c r="I146" s="109" t="s">
        <v>5913</v>
      </c>
      <c r="J146" s="111" t="s">
        <v>4680</v>
      </c>
      <c r="K146" s="111" t="s">
        <v>5914</v>
      </c>
      <c r="L146" s="111" t="s">
        <v>2092</v>
      </c>
      <c r="M146" s="586"/>
      <c r="N146" s="111" t="s">
        <v>711</v>
      </c>
      <c r="O146" s="446" t="s">
        <v>5915</v>
      </c>
      <c r="P146" s="111" t="s">
        <v>1860</v>
      </c>
      <c r="Q146" s="239"/>
      <c r="R146" s="239"/>
      <c r="S146" s="239"/>
      <c r="T146" s="239"/>
      <c r="U146" s="239"/>
      <c r="V146" s="239"/>
      <c r="W146" s="92"/>
      <c r="X146" s="114" t="s">
        <v>5916</v>
      </c>
      <c r="Y146" s="115" t="s">
        <v>5917</v>
      </c>
      <c r="Z146" s="115" t="s">
        <v>5918</v>
      </c>
      <c r="AA146" s="352" t="s">
        <v>2058</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4540</v>
      </c>
      <c r="BF146" s="487"/>
      <c r="BG146" s="169"/>
      <c r="BH146" s="124" t="s">
        <v>3042</v>
      </c>
      <c r="BI146" s="297" t="s">
        <v>5923</v>
      </c>
      <c r="BJ146" s="487"/>
      <c r="BK146" s="487"/>
      <c r="BL146" s="169"/>
      <c r="BM146" s="169"/>
      <c r="BN146" s="487"/>
      <c r="BO146" s="169"/>
      <c r="BP146" s="244"/>
      <c r="BQ146" s="129" t="s">
        <v>2498</v>
      </c>
      <c r="BR146" s="129" t="s">
        <v>5924</v>
      </c>
      <c r="BS146" s="129"/>
      <c r="BT146" s="129" t="s">
        <v>3057</v>
      </c>
      <c r="BU146" s="129" t="s">
        <v>5925</v>
      </c>
      <c r="BV146" s="129"/>
      <c r="BW146" s="247"/>
      <c r="BX146" s="129"/>
      <c r="BY146" s="129"/>
      <c r="BZ146" s="129"/>
      <c r="CA146" s="247"/>
      <c r="CB146" s="247"/>
      <c r="CC146" s="247"/>
      <c r="CD146" s="247"/>
      <c r="CE146" s="248"/>
      <c r="CF146" s="133" t="s">
        <v>5926</v>
      </c>
      <c r="CG146" s="133" t="s">
        <v>4077</v>
      </c>
      <c r="CH146" s="133" t="s">
        <v>3434</v>
      </c>
      <c r="CI146" s="133" t="s">
        <v>5927</v>
      </c>
      <c r="CJ146" s="133"/>
      <c r="CK146" s="133" t="s">
        <v>5928</v>
      </c>
      <c r="CL146" s="132" t="s">
        <v>106</v>
      </c>
      <c r="CM146" s="133"/>
      <c r="CN146" s="588"/>
      <c r="CO146" s="250"/>
      <c r="CP146" s="250"/>
      <c r="CQ146" s="250"/>
      <c r="CR146" s="250"/>
      <c r="CS146" s="92"/>
      <c r="CT146" s="137" t="s">
        <v>5360</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2555</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2224</v>
      </c>
      <c r="G148" s="103" t="s">
        <v>4490</v>
      </c>
      <c r="H148" s="586"/>
      <c r="I148" s="109" t="s">
        <v>5942</v>
      </c>
      <c r="J148" s="111" t="s">
        <v>5943</v>
      </c>
      <c r="K148" s="111" t="s">
        <v>3716</v>
      </c>
      <c r="L148" s="111" t="s">
        <v>4119</v>
      </c>
      <c r="M148" s="111" t="s">
        <v>5944</v>
      </c>
      <c r="N148" s="111" t="s">
        <v>5945</v>
      </c>
      <c r="O148" s="111" t="s">
        <v>5946</v>
      </c>
      <c r="P148" s="111" t="s">
        <v>845</v>
      </c>
      <c r="Q148" s="239"/>
      <c r="R148" s="239"/>
      <c r="S148" s="239"/>
      <c r="T148" s="239"/>
      <c r="U148" s="239"/>
      <c r="V148" s="239"/>
      <c r="W148" s="92"/>
      <c r="X148" s="114" t="s">
        <v>5947</v>
      </c>
      <c r="Y148" s="114" t="s">
        <v>5332</v>
      </c>
      <c r="Z148" s="114" t="s">
        <v>2654</v>
      </c>
      <c r="AA148" s="114" t="s">
        <v>2295</v>
      </c>
      <c r="AB148" s="114" t="s">
        <v>5376</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5159</v>
      </c>
      <c r="AV148" s="122"/>
      <c r="AW148" s="242"/>
      <c r="AX148" s="242"/>
      <c r="AY148" s="242"/>
      <c r="AZ148" s="242"/>
      <c r="BA148" s="124" t="s">
        <v>5950</v>
      </c>
      <c r="BB148" s="124" t="s">
        <v>5951</v>
      </c>
      <c r="BC148" s="124" t="s">
        <v>2926</v>
      </c>
      <c r="BD148" s="124" t="s">
        <v>5952</v>
      </c>
      <c r="BE148" s="124" t="s">
        <v>5259</v>
      </c>
      <c r="BF148" s="487"/>
      <c r="BG148" s="169"/>
      <c r="BH148" s="124" t="s">
        <v>5953</v>
      </c>
      <c r="BI148" s="169"/>
      <c r="BJ148" s="124" t="s">
        <v>5954</v>
      </c>
      <c r="BK148" s="124" t="s">
        <v>1886</v>
      </c>
      <c r="BL148" s="169"/>
      <c r="BM148" s="169"/>
      <c r="BN148" s="487"/>
      <c r="BO148" s="169"/>
      <c r="BP148" s="244"/>
      <c r="BQ148" s="127" t="s">
        <v>5955</v>
      </c>
      <c r="BR148" s="127" t="s">
        <v>1814</v>
      </c>
      <c r="BS148" s="127" t="s">
        <v>2512</v>
      </c>
      <c r="BT148" s="127" t="s">
        <v>3017</v>
      </c>
      <c r="BU148" s="127" t="s">
        <v>5956</v>
      </c>
      <c r="BV148" s="127" t="s">
        <v>407</v>
      </c>
      <c r="BW148" s="127" t="s">
        <v>5957</v>
      </c>
      <c r="BX148" s="129"/>
      <c r="BY148" s="127" t="s">
        <v>5958</v>
      </c>
      <c r="BZ148" s="127" t="s">
        <v>5959</v>
      </c>
      <c r="CA148" s="247"/>
      <c r="CB148" s="247"/>
      <c r="CC148" s="171"/>
      <c r="CD148" s="247"/>
      <c r="CE148" s="248"/>
      <c r="CF148" s="132" t="s">
        <v>5960</v>
      </c>
      <c r="CG148" s="132" t="s">
        <v>3438</v>
      </c>
      <c r="CH148" s="132" t="s">
        <v>5961</v>
      </c>
      <c r="CI148" s="132" t="s">
        <v>5128</v>
      </c>
      <c r="CJ148" s="132" t="s">
        <v>5962</v>
      </c>
      <c r="CK148" s="132" t="s">
        <v>1083</v>
      </c>
      <c r="CL148" s="132" t="s">
        <v>480</v>
      </c>
      <c r="CM148" s="132" t="s">
        <v>5963</v>
      </c>
      <c r="CN148" s="588"/>
      <c r="CO148" s="250"/>
      <c r="CP148" s="250"/>
      <c r="CQ148" s="250"/>
      <c r="CR148" s="250"/>
      <c r="CS148" s="92"/>
      <c r="CT148" s="137" t="s">
        <v>5964</v>
      </c>
      <c r="CU148" s="137" t="s">
        <v>4510</v>
      </c>
      <c r="CV148" s="137" t="s">
        <v>3272</v>
      </c>
      <c r="CW148" s="137" t="s">
        <v>756</v>
      </c>
      <c r="CX148" s="137" t="s">
        <v>5965</v>
      </c>
      <c r="CY148" s="137" t="s">
        <v>3381</v>
      </c>
      <c r="CZ148" s="137" t="s">
        <v>5966</v>
      </c>
      <c r="DA148" s="137" t="s">
        <v>5464</v>
      </c>
      <c r="DB148" s="251"/>
      <c r="DC148" s="251"/>
      <c r="DD148" s="251"/>
      <c r="DE148" s="251"/>
      <c r="DF148" s="252"/>
      <c r="DG148" s="203"/>
      <c r="DH148" s="253"/>
      <c r="DI148" s="253"/>
      <c r="DJ148" s="203"/>
      <c r="DK148" s="203"/>
      <c r="DL148" s="203"/>
      <c r="DM148" s="253"/>
      <c r="DN148" s="253"/>
      <c r="DO148" s="253"/>
      <c r="DP148" s="142" t="s">
        <v>5967</v>
      </c>
      <c r="DQ148" s="142" t="s">
        <v>3455</v>
      </c>
      <c r="DR148" s="253"/>
      <c r="DS148" s="203"/>
      <c r="DT148" s="253"/>
      <c r="DU148" s="253"/>
      <c r="DV148" s="253"/>
      <c r="DW148" s="253"/>
      <c r="DX148" s="253"/>
      <c r="DY148" s="203"/>
      <c r="DZ148" s="253"/>
      <c r="EA148" s="253"/>
      <c r="EB148" s="283" t="s">
        <v>5968</v>
      </c>
    </row>
    <row r="149">
      <c r="A149" s="81" t="s">
        <v>5969</v>
      </c>
      <c r="B149" s="82" t="s">
        <v>5970</v>
      </c>
      <c r="C149" s="83" t="s">
        <v>1262</v>
      </c>
      <c r="D149" s="84" t="s">
        <v>1262</v>
      </c>
      <c r="E149" s="85" t="s">
        <v>1262</v>
      </c>
      <c r="F149" s="86" t="s">
        <v>436</v>
      </c>
      <c r="G149" s="82" t="s">
        <v>5669</v>
      </c>
      <c r="H149" s="93"/>
      <c r="I149" s="88" t="s">
        <v>5971</v>
      </c>
      <c r="J149" s="88" t="s">
        <v>1657</v>
      </c>
      <c r="K149" s="88" t="s">
        <v>1823</v>
      </c>
      <c r="L149" s="88" t="s">
        <v>5972</v>
      </c>
      <c r="M149" s="93" t="s">
        <v>5973</v>
      </c>
      <c r="N149" s="93" t="s">
        <v>3670</v>
      </c>
      <c r="O149" s="93" t="s">
        <v>5682</v>
      </c>
      <c r="P149" s="93" t="s">
        <v>3965</v>
      </c>
      <c r="Q149" s="98"/>
      <c r="R149" s="98"/>
      <c r="S149" s="98"/>
      <c r="T149" s="98"/>
      <c r="U149" s="98"/>
      <c r="V149" s="98"/>
      <c r="W149" s="92"/>
      <c r="X149" s="93" t="s">
        <v>5974</v>
      </c>
      <c r="Y149" s="98"/>
      <c r="Z149" s="93" t="s">
        <v>673</v>
      </c>
      <c r="AA149" s="93" t="s">
        <v>5788</v>
      </c>
      <c r="AB149" s="88" t="s">
        <v>5420</v>
      </c>
      <c r="AC149" s="98"/>
      <c r="AD149" s="98"/>
      <c r="AE149" s="93" t="s">
        <v>5975</v>
      </c>
      <c r="AF149" s="93" t="s">
        <v>303</v>
      </c>
      <c r="AG149" s="98"/>
      <c r="AH149" s="98"/>
      <c r="AI149" s="98"/>
      <c r="AJ149" s="98"/>
      <c r="AK149" s="96"/>
      <c r="AL149" s="93"/>
      <c r="AM149" s="93" t="s">
        <v>5443</v>
      </c>
      <c r="AN149" s="98"/>
      <c r="AO149" s="98"/>
      <c r="AP149" s="98"/>
      <c r="AQ149" s="98"/>
      <c r="AR149" s="98"/>
      <c r="AS149" s="98"/>
      <c r="AT149" s="93" t="s">
        <v>5976</v>
      </c>
      <c r="AU149" s="98"/>
      <c r="AV149" s="93" t="s">
        <v>195</v>
      </c>
      <c r="AW149" s="98"/>
      <c r="AX149" s="98"/>
      <c r="AY149" s="98"/>
      <c r="AZ149" s="98"/>
      <c r="BA149" s="98"/>
      <c r="BB149" s="93" t="s">
        <v>5637</v>
      </c>
      <c r="BC149" s="98"/>
      <c r="BD149" s="93" t="s">
        <v>5977</v>
      </c>
      <c r="BE149" s="93" t="s">
        <v>1460</v>
      </c>
      <c r="BF149" s="93" t="s">
        <v>4710</v>
      </c>
      <c r="BG149" s="98"/>
      <c r="BH149" s="88" t="s">
        <v>5978</v>
      </c>
      <c r="BI149" s="98"/>
      <c r="BJ149" s="98"/>
      <c r="BK149" s="93" t="s">
        <v>1358</v>
      </c>
      <c r="BL149" s="98"/>
      <c r="BM149" s="98"/>
      <c r="BN149" s="98"/>
      <c r="BO149" s="98"/>
      <c r="BP149" s="232"/>
      <c r="BQ149" s="93"/>
      <c r="BR149" s="98"/>
      <c r="BS149" s="98"/>
      <c r="BT149" s="93" t="s">
        <v>5979</v>
      </c>
      <c r="BU149" s="98"/>
      <c r="BV149" s="93" t="s">
        <v>2037</v>
      </c>
      <c r="BW149" s="98"/>
      <c r="BX149" s="93" t="s">
        <v>5980</v>
      </c>
      <c r="BY149" s="98"/>
      <c r="BZ149" s="93" t="s">
        <v>5981</v>
      </c>
      <c r="CA149" s="98"/>
      <c r="CB149" s="98"/>
      <c r="CC149" s="98"/>
      <c r="CD149" s="98"/>
      <c r="CE149" s="232"/>
      <c r="CF149" s="98"/>
      <c r="CG149" s="93" t="s">
        <v>5982</v>
      </c>
      <c r="CH149" s="98"/>
      <c r="CI149" s="264" t="s">
        <v>5983</v>
      </c>
      <c r="CJ149" s="264" t="s">
        <v>5651</v>
      </c>
      <c r="CK149" s="98"/>
      <c r="CL149" s="98"/>
      <c r="CM149" s="98"/>
      <c r="CN149" s="98"/>
      <c r="CO149" s="98"/>
      <c r="CP149" s="98"/>
      <c r="CQ149" s="98"/>
      <c r="CR149" s="98"/>
      <c r="CS149" s="92"/>
      <c r="CT149" s="98"/>
      <c r="CU149" s="93" t="s">
        <v>5559</v>
      </c>
      <c r="CV149" s="93" t="s">
        <v>5984</v>
      </c>
      <c r="CW149" s="98"/>
      <c r="CX149" s="98"/>
      <c r="CY149" s="93" t="s">
        <v>5330</v>
      </c>
      <c r="CZ149" s="264" t="s">
        <v>5502</v>
      </c>
      <c r="DA149" s="93" t="s">
        <v>5985</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5986</v>
      </c>
      <c r="B150" s="103" t="s">
        <v>5987</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5988</v>
      </c>
      <c r="B151" s="82" t="s">
        <v>5989</v>
      </c>
      <c r="C151" s="83" t="s">
        <v>1262</v>
      </c>
      <c r="D151" s="84" t="s">
        <v>1262</v>
      </c>
      <c r="E151" s="85" t="s">
        <v>1262</v>
      </c>
      <c r="F151" s="86" t="s">
        <v>544</v>
      </c>
      <c r="G151" s="82" t="s">
        <v>5990</v>
      </c>
      <c r="H151" s="255"/>
      <c r="I151" s="255" t="s">
        <v>2683</v>
      </c>
      <c r="J151" s="255" t="s">
        <v>2912</v>
      </c>
      <c r="K151" s="255" t="s">
        <v>5269</v>
      </c>
      <c r="L151" s="101" t="s">
        <v>4124</v>
      </c>
      <c r="M151" s="101" t="s">
        <v>5991</v>
      </c>
      <c r="N151" s="101" t="s">
        <v>5615</v>
      </c>
      <c r="O151" s="101"/>
      <c r="P151" s="101" t="s">
        <v>3053</v>
      </c>
      <c r="Q151" s="98"/>
      <c r="R151" s="98"/>
      <c r="S151" s="98"/>
      <c r="T151" s="98"/>
      <c r="U151" s="98"/>
      <c r="V151" s="98"/>
      <c r="W151" s="92"/>
      <c r="X151" s="101"/>
      <c r="Y151" s="101"/>
      <c r="Z151" s="101" t="s">
        <v>5054</v>
      </c>
      <c r="AA151" s="260"/>
      <c r="AB151" s="101" t="s">
        <v>4274</v>
      </c>
      <c r="AC151" s="101"/>
      <c r="AD151" s="98"/>
      <c r="AE151" s="101" t="s">
        <v>5992</v>
      </c>
      <c r="AF151" s="101" t="s">
        <v>4968</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3480</v>
      </c>
      <c r="BB151" s="101"/>
      <c r="BC151" s="101"/>
      <c r="BD151" s="101" t="s">
        <v>4526</v>
      </c>
      <c r="BE151" s="101" t="s">
        <v>5993</v>
      </c>
      <c r="BF151" s="101"/>
      <c r="BG151" s="98"/>
      <c r="BH151" s="101"/>
      <c r="BI151" s="98"/>
      <c r="BJ151" s="101"/>
      <c r="BK151" s="101"/>
      <c r="BL151" s="98"/>
      <c r="BM151" s="98"/>
      <c r="BN151" s="101"/>
      <c r="BO151" s="98"/>
      <c r="BP151" s="232"/>
      <c r="BQ151" s="101" t="s">
        <v>5994</v>
      </c>
      <c r="BR151" s="101"/>
      <c r="BS151" s="101"/>
      <c r="BT151" s="88" t="s">
        <v>1080</v>
      </c>
      <c r="BU151" s="101"/>
      <c r="BV151" s="101" t="s">
        <v>5819</v>
      </c>
      <c r="BW151" s="98"/>
      <c r="BX151" s="101"/>
      <c r="BY151" s="101" t="s">
        <v>5995</v>
      </c>
      <c r="BZ151" s="101"/>
      <c r="CA151" s="98"/>
      <c r="CB151" s="98"/>
      <c r="CC151" s="98"/>
      <c r="CD151" s="98"/>
      <c r="CE151" s="232"/>
      <c r="CF151" s="101"/>
      <c r="CG151" s="101" t="s">
        <v>5996</v>
      </c>
      <c r="CH151" s="101"/>
      <c r="CI151" s="101"/>
      <c r="CJ151" s="101"/>
      <c r="CK151" s="101"/>
      <c r="CL151" s="101"/>
      <c r="CM151" s="101" t="s">
        <v>454</v>
      </c>
      <c r="CN151" s="218"/>
      <c r="CO151" s="98"/>
      <c r="CP151" s="98"/>
      <c r="CQ151" s="98"/>
      <c r="CR151" s="98"/>
      <c r="CS151" s="92"/>
      <c r="CT151" s="101"/>
      <c r="CU151" s="101"/>
      <c r="CV151" s="640" t="s">
        <v>5294</v>
      </c>
      <c r="CW151" s="640" t="s">
        <v>5997</v>
      </c>
      <c r="CX151" s="101"/>
      <c r="CY151" s="101" t="s">
        <v>5998</v>
      </c>
      <c r="CZ151" s="101" t="s">
        <v>5999</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6000</v>
      </c>
      <c r="B152" s="103" t="s">
        <v>6001</v>
      </c>
      <c r="C152" s="104" t="s">
        <v>1262</v>
      </c>
      <c r="D152" s="105" t="s">
        <v>1262</v>
      </c>
      <c r="E152" s="106" t="s">
        <v>1262</v>
      </c>
      <c r="F152" s="107" t="s">
        <v>1262</v>
      </c>
      <c r="G152" s="103" t="s">
        <v>2808</v>
      </c>
      <c r="H152" s="163" t="s">
        <v>2662</v>
      </c>
      <c r="I152" s="163" t="s">
        <v>6002</v>
      </c>
      <c r="J152" s="163" t="s">
        <v>4786</v>
      </c>
      <c r="K152" s="163" t="s">
        <v>549</v>
      </c>
      <c r="L152" s="163" t="s">
        <v>6003</v>
      </c>
      <c r="M152" s="239"/>
      <c r="N152" s="239"/>
      <c r="O152" s="163" t="s">
        <v>1833</v>
      </c>
      <c r="P152" s="163" t="s">
        <v>348</v>
      </c>
      <c r="Q152" s="163"/>
      <c r="R152" s="239"/>
      <c r="S152" s="163" t="s">
        <v>6004</v>
      </c>
      <c r="T152" s="239"/>
      <c r="U152" s="163" t="s">
        <v>2828</v>
      </c>
      <c r="V152" s="239"/>
      <c r="W152" s="92"/>
      <c r="X152" s="193" t="s">
        <v>6005</v>
      </c>
      <c r="Y152" s="241"/>
      <c r="Z152" s="193" t="s">
        <v>554</v>
      </c>
      <c r="AA152" s="241"/>
      <c r="AB152" s="241"/>
      <c r="AC152" s="241"/>
      <c r="AD152" s="241"/>
      <c r="AE152" s="241"/>
      <c r="AF152" s="193" t="s">
        <v>6006</v>
      </c>
      <c r="AG152" s="193" t="s">
        <v>6007</v>
      </c>
      <c r="AH152" s="193"/>
      <c r="AI152" s="193" t="s">
        <v>6008</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6009</v>
      </c>
      <c r="BD152" s="169"/>
      <c r="BE152" s="169"/>
      <c r="BF152" s="170" t="s">
        <v>1140</v>
      </c>
      <c r="BG152" s="169"/>
      <c r="BH152" s="170" t="s">
        <v>6010</v>
      </c>
      <c r="BI152" s="169"/>
      <c r="BJ152" s="169"/>
      <c r="BK152" s="169"/>
      <c r="BL152" s="169"/>
      <c r="BM152" s="169"/>
      <c r="BN152" s="169"/>
      <c r="BO152" s="169"/>
      <c r="BP152" s="244"/>
      <c r="BQ152" s="171"/>
      <c r="BR152" s="247"/>
      <c r="BS152" s="247"/>
      <c r="BT152" s="171" t="s">
        <v>6011</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3524</v>
      </c>
      <c r="EB152" s="283" t="s">
        <v>365</v>
      </c>
    </row>
    <row r="153">
      <c r="A153" s="81" t="s">
        <v>6012</v>
      </c>
      <c r="B153" s="82" t="s">
        <v>6013</v>
      </c>
      <c r="C153" s="83" t="s">
        <v>1262</v>
      </c>
      <c r="D153" s="84" t="s">
        <v>1262</v>
      </c>
      <c r="E153" s="85" t="s">
        <v>1262</v>
      </c>
      <c r="F153" s="86" t="s">
        <v>435</v>
      </c>
      <c r="G153" s="82" t="s">
        <v>5537</v>
      </c>
      <c r="H153" s="98"/>
      <c r="I153" s="93" t="s">
        <v>1908</v>
      </c>
      <c r="J153" s="93" t="s">
        <v>2551</v>
      </c>
      <c r="K153" s="93" t="s">
        <v>3056</v>
      </c>
      <c r="L153" s="93" t="s">
        <v>145</v>
      </c>
      <c r="M153" s="93" t="s">
        <v>6014</v>
      </c>
      <c r="N153" s="93" t="s">
        <v>6015</v>
      </c>
      <c r="O153" s="93" t="s">
        <v>6016</v>
      </c>
      <c r="P153" s="93" t="s">
        <v>4137</v>
      </c>
      <c r="Q153" s="98"/>
      <c r="R153" s="98"/>
      <c r="S153" s="98"/>
      <c r="T153" s="98"/>
      <c r="U153" s="98"/>
      <c r="V153" s="98"/>
      <c r="W153" s="92"/>
      <c r="X153" s="93" t="s">
        <v>5247</v>
      </c>
      <c r="Y153" s="93" t="s">
        <v>2127</v>
      </c>
      <c r="Z153" s="93" t="s">
        <v>2208</v>
      </c>
      <c r="AA153" s="93" t="s">
        <v>2969</v>
      </c>
      <c r="AB153" s="93" t="s">
        <v>6017</v>
      </c>
      <c r="AC153" s="88" t="s">
        <v>6018</v>
      </c>
      <c r="AD153" s="98"/>
      <c r="AE153" s="98"/>
      <c r="AF153" s="98"/>
      <c r="AG153" s="98"/>
      <c r="AH153" s="98"/>
      <c r="AI153" s="98"/>
      <c r="AJ153" s="98"/>
      <c r="AK153" s="96"/>
      <c r="AL153" s="98"/>
      <c r="AM153" s="98"/>
      <c r="AN153" s="98"/>
      <c r="AO153" s="98"/>
      <c r="AP153" s="98"/>
      <c r="AQ153" s="98"/>
      <c r="AR153" s="98"/>
      <c r="AS153" s="98"/>
      <c r="AT153" s="93" t="s">
        <v>6019</v>
      </c>
      <c r="AU153" s="93" t="s">
        <v>3329</v>
      </c>
      <c r="AV153" s="98"/>
      <c r="AW153" s="98"/>
      <c r="AX153" s="98"/>
      <c r="AY153" s="98"/>
      <c r="AZ153" s="98"/>
      <c r="BA153" s="98"/>
      <c r="BB153" s="93" t="s">
        <v>1214</v>
      </c>
      <c r="BC153" s="98"/>
      <c r="BD153" s="93" t="s">
        <v>1691</v>
      </c>
      <c r="BE153" s="98"/>
      <c r="BF153" s="93" t="s">
        <v>5356</v>
      </c>
      <c r="BG153" s="98"/>
      <c r="BH153" s="88" t="s">
        <v>172</v>
      </c>
      <c r="BI153" s="98"/>
      <c r="BJ153" s="98"/>
      <c r="BK153" s="93" t="s">
        <v>6020</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6021</v>
      </c>
      <c r="DH153" s="98"/>
      <c r="DI153" s="98"/>
      <c r="DJ153" s="93"/>
      <c r="DK153" s="98"/>
      <c r="DL153" s="93" t="s">
        <v>2047</v>
      </c>
      <c r="DM153" s="93" t="s">
        <v>6022</v>
      </c>
      <c r="DN153" s="98"/>
      <c r="DO153" s="98"/>
      <c r="DP153" s="98"/>
      <c r="DQ153" s="98"/>
      <c r="DR153" s="98"/>
      <c r="DS153" s="98"/>
      <c r="DT153" s="98"/>
      <c r="DU153" s="98"/>
      <c r="DV153" s="98"/>
      <c r="DW153" s="98"/>
      <c r="DX153" s="93" t="s">
        <v>6023</v>
      </c>
      <c r="DY153" s="98"/>
      <c r="DZ153" s="98"/>
      <c r="EA153" s="93" t="s">
        <v>4217</v>
      </c>
      <c r="EB153" s="255"/>
    </row>
    <row r="154">
      <c r="A154" s="641" t="s">
        <v>6024</v>
      </c>
      <c r="B154" s="103" t="s">
        <v>6025</v>
      </c>
      <c r="C154" s="104" t="s">
        <v>1262</v>
      </c>
      <c r="D154" s="105" t="s">
        <v>1262</v>
      </c>
      <c r="E154" s="106" t="s">
        <v>1262</v>
      </c>
      <c r="F154" s="107" t="s">
        <v>1262</v>
      </c>
      <c r="G154" s="103" t="s">
        <v>4490</v>
      </c>
      <c r="H154" s="642"/>
      <c r="I154" s="339" t="s">
        <v>6026</v>
      </c>
      <c r="J154" s="339" t="s">
        <v>1901</v>
      </c>
      <c r="K154" s="339" t="s">
        <v>2871</v>
      </c>
      <c r="L154" s="339" t="s">
        <v>2780</v>
      </c>
      <c r="M154" s="339" t="s">
        <v>6027</v>
      </c>
      <c r="N154" s="339" t="s">
        <v>5923</v>
      </c>
      <c r="O154" s="339" t="s">
        <v>3967</v>
      </c>
      <c r="P154" s="339" t="s">
        <v>2473</v>
      </c>
      <c r="Q154" s="239"/>
      <c r="R154" s="239"/>
      <c r="S154" s="239"/>
      <c r="T154" s="239"/>
      <c r="U154" s="239"/>
      <c r="V154" s="239"/>
      <c r="W154" s="92"/>
      <c r="X154" s="295" t="s">
        <v>4940</v>
      </c>
      <c r="Y154" s="295" t="s">
        <v>6028</v>
      </c>
      <c r="Z154" s="295" t="s">
        <v>5072</v>
      </c>
      <c r="AA154" s="352" t="s">
        <v>2554</v>
      </c>
      <c r="AB154" s="295" t="s">
        <v>4483</v>
      </c>
      <c r="AC154" s="295" t="s">
        <v>4912</v>
      </c>
      <c r="AD154" s="241"/>
      <c r="AE154" s="295" t="s">
        <v>4564</v>
      </c>
      <c r="AF154" s="295" t="s">
        <v>5287</v>
      </c>
      <c r="AG154" s="241"/>
      <c r="AH154" s="241"/>
      <c r="AI154" s="115"/>
      <c r="AJ154" s="241"/>
      <c r="AK154" s="96"/>
      <c r="AL154" s="122"/>
      <c r="AM154" s="122"/>
      <c r="AN154" s="242"/>
      <c r="AO154" s="242"/>
      <c r="AP154" s="164"/>
      <c r="AQ154" s="164"/>
      <c r="AR154" s="242"/>
      <c r="AS154" s="242"/>
      <c r="AT154" s="465" t="s">
        <v>6029</v>
      </c>
      <c r="AU154" s="465" t="s">
        <v>3674</v>
      </c>
      <c r="AV154" s="122"/>
      <c r="AW154" s="242"/>
      <c r="AX154" s="242"/>
      <c r="AY154" s="242"/>
      <c r="AZ154" s="242"/>
      <c r="BA154" s="197" t="s">
        <v>6030</v>
      </c>
      <c r="BB154" s="197" t="s">
        <v>6031</v>
      </c>
      <c r="BC154" s="197" t="s">
        <v>3453</v>
      </c>
      <c r="BD154" s="197" t="s">
        <v>5527</v>
      </c>
      <c r="BE154" s="197" t="s">
        <v>194</v>
      </c>
      <c r="BF154" s="197" t="s">
        <v>6032</v>
      </c>
      <c r="BG154" s="170" t="s">
        <v>6033</v>
      </c>
      <c r="BH154" s="197" t="s">
        <v>2111</v>
      </c>
      <c r="BI154" s="169"/>
      <c r="BJ154" s="197" t="s">
        <v>6034</v>
      </c>
      <c r="BK154" s="197" t="s">
        <v>6035</v>
      </c>
      <c r="BL154" s="169"/>
      <c r="BM154" s="169"/>
      <c r="BN154" s="487"/>
      <c r="BO154" s="169"/>
      <c r="BP154" s="244"/>
      <c r="BQ154" s="369" t="s">
        <v>6036</v>
      </c>
      <c r="BR154" s="369" t="s">
        <v>6037</v>
      </c>
      <c r="BS154" s="369" t="s">
        <v>3618</v>
      </c>
      <c r="BT154" s="369" t="s">
        <v>1728</v>
      </c>
      <c r="BU154" s="369" t="s">
        <v>5289</v>
      </c>
      <c r="BV154" s="369" t="s">
        <v>213</v>
      </c>
      <c r="BW154" s="171" t="s">
        <v>6038</v>
      </c>
      <c r="BX154" s="129"/>
      <c r="BY154" s="129"/>
      <c r="BZ154" s="369" t="s">
        <v>6039</v>
      </c>
      <c r="CA154" s="247"/>
      <c r="CB154" s="247"/>
      <c r="CC154" s="247"/>
      <c r="CD154" s="247"/>
      <c r="CE154" s="248"/>
      <c r="CF154" s="361" t="s">
        <v>3474</v>
      </c>
      <c r="CG154" s="361" t="s">
        <v>5646</v>
      </c>
      <c r="CH154" s="361" t="s">
        <v>3145</v>
      </c>
      <c r="CI154" s="361" t="s">
        <v>6040</v>
      </c>
      <c r="CJ154" s="361" t="s">
        <v>6041</v>
      </c>
      <c r="CK154" s="361" t="s">
        <v>5691</v>
      </c>
      <c r="CL154" s="361" t="s">
        <v>750</v>
      </c>
      <c r="CM154" s="361" t="s">
        <v>3060</v>
      </c>
      <c r="CN154" s="588"/>
      <c r="CO154" s="250"/>
      <c r="CP154" s="250"/>
      <c r="CQ154" s="250"/>
      <c r="CR154" s="250"/>
      <c r="CS154" s="92"/>
      <c r="CT154" s="280" t="s">
        <v>2059</v>
      </c>
      <c r="CU154" s="280" t="s">
        <v>6042</v>
      </c>
      <c r="CV154" s="280" t="s">
        <v>5339</v>
      </c>
      <c r="CW154" s="280" t="s">
        <v>4219</v>
      </c>
      <c r="CX154" s="280" t="s">
        <v>6043</v>
      </c>
      <c r="CY154" s="280" t="s">
        <v>3984</v>
      </c>
      <c r="CZ154" s="280" t="s">
        <v>6044</v>
      </c>
      <c r="DA154" s="280" t="s">
        <v>6045</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6046</v>
      </c>
      <c r="DY154" s="203"/>
      <c r="DZ154" s="253"/>
      <c r="EA154" s="253"/>
      <c r="EB154" s="283"/>
    </row>
    <row r="155">
      <c r="A155" s="568" t="s">
        <v>6047</v>
      </c>
      <c r="B155" s="82" t="s">
        <v>6048</v>
      </c>
      <c r="C155" s="83" t="s">
        <v>1262</v>
      </c>
      <c r="D155" s="84" t="s">
        <v>1262</v>
      </c>
      <c r="E155" s="85" t="s">
        <v>1262</v>
      </c>
      <c r="F155" s="86" t="s">
        <v>1064</v>
      </c>
      <c r="G155" s="82" t="s">
        <v>828</v>
      </c>
      <c r="H155" s="98"/>
      <c r="I155" s="98"/>
      <c r="J155" s="93" t="s">
        <v>6049</v>
      </c>
      <c r="K155" s="88" t="s">
        <v>5540</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5463</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6050</v>
      </c>
      <c r="BJ155" s="98"/>
      <c r="BK155" s="98"/>
      <c r="BL155" s="98"/>
      <c r="BM155" s="98"/>
      <c r="BN155" s="98"/>
      <c r="BO155" s="98"/>
      <c r="BP155" s="232"/>
      <c r="BQ155" s="98"/>
      <c r="BR155" s="98"/>
      <c r="BS155" s="88" t="s">
        <v>1357</v>
      </c>
      <c r="BT155" s="88" t="s">
        <v>4249</v>
      </c>
      <c r="BU155" s="98"/>
      <c r="BV155" s="260" t="s">
        <v>6051</v>
      </c>
      <c r="BW155" s="98"/>
      <c r="BX155" s="98"/>
      <c r="BY155" s="98"/>
      <c r="BZ155" s="98"/>
      <c r="CA155" s="98"/>
      <c r="CB155" s="98"/>
      <c r="CC155" s="98"/>
      <c r="CD155" s="98"/>
      <c r="CE155" s="232"/>
      <c r="CF155" s="93"/>
      <c r="CG155" s="88" t="s">
        <v>6052</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6053</v>
      </c>
      <c r="B156" s="103" t="s">
        <v>6054</v>
      </c>
      <c r="C156" s="104" t="s">
        <v>1262</v>
      </c>
      <c r="D156" s="105" t="s">
        <v>1262</v>
      </c>
      <c r="E156" s="106" t="s">
        <v>1262</v>
      </c>
      <c r="F156" s="107" t="s">
        <v>331</v>
      </c>
      <c r="G156" s="103" t="s">
        <v>3834</v>
      </c>
      <c r="H156" s="163" t="s">
        <v>6055</v>
      </c>
      <c r="I156" s="163" t="s">
        <v>4855</v>
      </c>
      <c r="J156" s="163" t="s">
        <v>2415</v>
      </c>
      <c r="K156" s="163" t="s">
        <v>1432</v>
      </c>
      <c r="L156" s="163" t="s">
        <v>3967</v>
      </c>
      <c r="M156" s="163" t="s">
        <v>3949</v>
      </c>
      <c r="N156" s="163" t="s">
        <v>5021</v>
      </c>
      <c r="O156" s="239"/>
      <c r="P156" s="239"/>
      <c r="Q156" s="239"/>
      <c r="R156" s="239"/>
      <c r="S156" s="239"/>
      <c r="T156" s="239"/>
      <c r="U156" s="239"/>
      <c r="V156" s="239"/>
      <c r="W156" s="92"/>
      <c r="X156" s="113" t="str">
        <f>HYPERLINK("https://www.youtube.com/watch?v=F9HuyJ73joE","56.96")</f>
        <v>56.96</v>
      </c>
      <c r="Y156" s="193" t="s">
        <v>4022</v>
      </c>
      <c r="Z156" s="193" t="s">
        <v>6056</v>
      </c>
      <c r="AA156" s="193" t="s">
        <v>4519</v>
      </c>
      <c r="AB156" s="193" t="s">
        <v>6057</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6058</v>
      </c>
      <c r="BS156" s="171" t="s">
        <v>6059</v>
      </c>
      <c r="BT156" s="247"/>
      <c r="BU156" s="247"/>
      <c r="BV156" s="171" t="s">
        <v>6060</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6061</v>
      </c>
      <c r="B157" s="82" t="s">
        <v>6062</v>
      </c>
      <c r="C157" s="83" t="s">
        <v>1262</v>
      </c>
      <c r="D157" s="84" t="s">
        <v>1262</v>
      </c>
      <c r="E157" s="85" t="s">
        <v>1262</v>
      </c>
      <c r="F157" s="86" t="s">
        <v>1262</v>
      </c>
      <c r="G157" s="82" t="s">
        <v>5094</v>
      </c>
      <c r="H157" s="644"/>
      <c r="I157" s="255"/>
      <c r="J157" s="255" t="s">
        <v>1185</v>
      </c>
      <c r="K157" s="255" t="s">
        <v>349</v>
      </c>
      <c r="L157" s="255" t="s">
        <v>2787</v>
      </c>
      <c r="M157" s="255"/>
      <c r="N157" s="255"/>
      <c r="O157" s="255" t="s">
        <v>6063</v>
      </c>
      <c r="P157" s="255" t="s">
        <v>4886</v>
      </c>
      <c r="Q157" s="554"/>
      <c r="R157" s="554"/>
      <c r="S157" s="554"/>
      <c r="T157" s="554"/>
      <c r="U157" s="554"/>
      <c r="V157" s="554"/>
      <c r="W157" s="560"/>
      <c r="X157" s="255"/>
      <c r="Y157" s="255" t="s">
        <v>2776</v>
      </c>
      <c r="Z157" s="255" t="s">
        <v>128</v>
      </c>
      <c r="AA157" s="255" t="s">
        <v>6064</v>
      </c>
      <c r="AB157" s="255" t="s">
        <v>3810</v>
      </c>
      <c r="AC157" s="255" t="s">
        <v>6065</v>
      </c>
      <c r="AD157" s="554"/>
      <c r="AE157" s="255" t="s">
        <v>6066</v>
      </c>
      <c r="AF157" s="255" t="s">
        <v>4690</v>
      </c>
      <c r="AG157" s="554"/>
      <c r="AH157" s="554"/>
      <c r="AI157" s="255"/>
      <c r="AJ157" s="302" t="s">
        <v>6067</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6068</v>
      </c>
      <c r="BC157" s="255" t="s">
        <v>3356</v>
      </c>
      <c r="BD157" s="255" t="s">
        <v>6069</v>
      </c>
      <c r="BE157" s="255"/>
      <c r="BF157" s="255" t="s">
        <v>6070</v>
      </c>
      <c r="BG157" s="554"/>
      <c r="BH157" s="255" t="s">
        <v>3659</v>
      </c>
      <c r="BI157" s="554"/>
      <c r="BJ157" s="255" t="s">
        <v>6071</v>
      </c>
      <c r="BK157" s="255" t="s">
        <v>4192</v>
      </c>
      <c r="BL157" s="554"/>
      <c r="BM157" s="554"/>
      <c r="BN157" s="255"/>
      <c r="BO157" s="554"/>
      <c r="BP157" s="557"/>
      <c r="BQ157" s="255"/>
      <c r="BR157" s="255" t="s">
        <v>6072</v>
      </c>
      <c r="BS157" s="255" t="s">
        <v>6073</v>
      </c>
      <c r="BT157" s="255" t="s">
        <v>6074</v>
      </c>
      <c r="BU157" s="255" t="s">
        <v>6075</v>
      </c>
      <c r="BV157" s="255" t="s">
        <v>1403</v>
      </c>
      <c r="BW157" s="554"/>
      <c r="BX157" s="255"/>
      <c r="BY157" s="255"/>
      <c r="BZ157" s="255" t="s">
        <v>6076</v>
      </c>
      <c r="CA157" s="302"/>
      <c r="CB157" s="554"/>
      <c r="CC157" s="554"/>
      <c r="CD157" s="554"/>
      <c r="CE157" s="557"/>
      <c r="CF157" s="255" t="s">
        <v>6077</v>
      </c>
      <c r="CG157" s="255" t="s">
        <v>4466</v>
      </c>
      <c r="CH157" s="255"/>
      <c r="CI157" s="255"/>
      <c r="CJ157" s="255"/>
      <c r="CK157" s="255"/>
      <c r="CL157" s="255" t="s">
        <v>4385</v>
      </c>
      <c r="CM157" s="255" t="s">
        <v>6078</v>
      </c>
      <c r="CN157" s="559"/>
      <c r="CO157" s="554"/>
      <c r="CP157" s="554"/>
      <c r="CQ157" s="554"/>
      <c r="CR157" s="554"/>
      <c r="CS157" s="560"/>
      <c r="CT157" s="255" t="s">
        <v>2004</v>
      </c>
      <c r="CU157" s="255"/>
      <c r="CV157" s="255" t="s">
        <v>3954</v>
      </c>
      <c r="CW157" s="255"/>
      <c r="CX157" s="255"/>
      <c r="CY157" s="255"/>
      <c r="CZ157" s="255" t="s">
        <v>6079</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6080</v>
      </c>
      <c r="B158" s="103" t="s">
        <v>6081</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6082</v>
      </c>
      <c r="B159" s="82" t="s">
        <v>6083</v>
      </c>
      <c r="C159" s="83" t="s">
        <v>1262</v>
      </c>
      <c r="D159" s="84" t="s">
        <v>1262</v>
      </c>
      <c r="E159" s="85" t="s">
        <v>1262</v>
      </c>
      <c r="F159" s="86" t="s">
        <v>435</v>
      </c>
      <c r="G159" s="82" t="s">
        <v>6084</v>
      </c>
      <c r="H159" s="101"/>
      <c r="I159" s="255" t="s">
        <v>1598</v>
      </c>
      <c r="J159" s="101"/>
      <c r="K159" s="255" t="s">
        <v>3985</v>
      </c>
      <c r="L159" s="101"/>
      <c r="M159" s="101"/>
      <c r="N159" s="101"/>
      <c r="O159" s="101"/>
      <c r="P159" s="255" t="s">
        <v>4816</v>
      </c>
      <c r="Q159" s="98"/>
      <c r="R159" s="98"/>
      <c r="S159" s="98"/>
      <c r="T159" s="98"/>
      <c r="U159" s="98"/>
      <c r="V159" s="98"/>
      <c r="W159" s="92"/>
      <c r="X159" s="255" t="s">
        <v>6085</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6086</v>
      </c>
      <c r="AU159" s="255" t="s">
        <v>6087</v>
      </c>
      <c r="AV159" s="101"/>
      <c r="AW159" s="98"/>
      <c r="AX159" s="98"/>
      <c r="AY159" s="98"/>
      <c r="AZ159" s="93"/>
      <c r="BA159" s="101"/>
      <c r="BB159" s="97" t="s">
        <v>1003</v>
      </c>
      <c r="BC159" s="255"/>
      <c r="BD159" s="255" t="s">
        <v>6088</v>
      </c>
      <c r="BE159" s="101"/>
      <c r="BF159" s="101"/>
      <c r="BG159" s="98"/>
      <c r="BH159" s="255" t="s">
        <v>1549</v>
      </c>
      <c r="BI159" s="98"/>
      <c r="BJ159" s="101"/>
      <c r="BK159" s="255" t="s">
        <v>6089</v>
      </c>
      <c r="BL159" s="98"/>
      <c r="BM159" s="98"/>
      <c r="BN159" s="101"/>
      <c r="BO159" s="98"/>
      <c r="BP159" s="232"/>
      <c r="BQ159" s="101"/>
      <c r="BR159" s="101"/>
      <c r="BS159" s="101"/>
      <c r="BT159" s="101"/>
      <c r="BU159" s="101"/>
      <c r="BV159" s="255" t="s">
        <v>6090</v>
      </c>
      <c r="BW159" s="98"/>
      <c r="BX159" s="101"/>
      <c r="BY159" s="101"/>
      <c r="BZ159" s="255" t="s">
        <v>2195</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6091</v>
      </c>
      <c r="CV159" s="255" t="s">
        <v>359</v>
      </c>
      <c r="CW159" s="101"/>
      <c r="CX159" s="101"/>
      <c r="CY159" s="101"/>
      <c r="CZ159" s="255" t="s">
        <v>6092</v>
      </c>
      <c r="DA159" s="255" t="s">
        <v>6093</v>
      </c>
      <c r="DB159" s="98"/>
      <c r="DC159" s="98"/>
      <c r="DD159" s="98"/>
      <c r="DE159" s="98"/>
      <c r="DF159" s="232"/>
      <c r="DG159" s="101"/>
      <c r="DH159" s="98"/>
      <c r="DI159" s="98"/>
      <c r="DJ159" s="101"/>
      <c r="DK159" s="101"/>
      <c r="DL159" s="101"/>
      <c r="DM159" s="98"/>
      <c r="DN159" s="98"/>
      <c r="DO159" s="98"/>
      <c r="DP159" s="101"/>
      <c r="DQ159" s="255" t="s">
        <v>6094</v>
      </c>
      <c r="DR159" s="98"/>
      <c r="DS159" s="101"/>
      <c r="DT159" s="98"/>
      <c r="DU159" s="98"/>
      <c r="DV159" s="98"/>
      <c r="DW159" s="98"/>
      <c r="DX159" s="98"/>
      <c r="DY159" s="101"/>
      <c r="DZ159" s="98"/>
      <c r="EA159" s="98"/>
      <c r="EB159" s="255"/>
    </row>
    <row r="160">
      <c r="A160" s="162" t="s">
        <v>6095</v>
      </c>
      <c r="B160" s="103" t="s">
        <v>6096</v>
      </c>
      <c r="C160" s="104" t="s">
        <v>1262</v>
      </c>
      <c r="D160" s="105" t="s">
        <v>1262</v>
      </c>
      <c r="E160" s="106" t="s">
        <v>1262</v>
      </c>
      <c r="F160" s="107" t="s">
        <v>1262</v>
      </c>
      <c r="G160" s="103" t="s">
        <v>645</v>
      </c>
      <c r="H160" s="222" t="s">
        <v>3437</v>
      </c>
      <c r="I160" s="222" t="s">
        <v>6097</v>
      </c>
      <c r="J160" s="222" t="s">
        <v>4554</v>
      </c>
      <c r="K160" s="163" t="s">
        <v>1880</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6098</v>
      </c>
      <c r="B161" s="82" t="s">
        <v>6099</v>
      </c>
      <c r="C161" s="83" t="s">
        <v>1262</v>
      </c>
      <c r="D161" s="84" t="s">
        <v>1262</v>
      </c>
      <c r="E161" s="85" t="s">
        <v>1262</v>
      </c>
      <c r="F161" s="86" t="s">
        <v>544</v>
      </c>
      <c r="G161" s="82" t="s">
        <v>3364</v>
      </c>
      <c r="H161" s="93" t="s">
        <v>3652</v>
      </c>
      <c r="I161" s="98"/>
      <c r="J161" s="93" t="s">
        <v>5377</v>
      </c>
      <c r="K161" s="93" t="s">
        <v>3985</v>
      </c>
      <c r="L161" s="93" t="s">
        <v>5010</v>
      </c>
      <c r="M161" s="98"/>
      <c r="N161" s="98"/>
      <c r="O161" s="93" t="s">
        <v>1857</v>
      </c>
      <c r="P161" s="98"/>
      <c r="Q161" s="98"/>
      <c r="R161" s="98"/>
      <c r="S161" s="98"/>
      <c r="T161" s="98"/>
      <c r="U161" s="98"/>
      <c r="V161" s="98"/>
      <c r="W161" s="92"/>
      <c r="X161" s="93" t="s">
        <v>6100</v>
      </c>
      <c r="Y161" s="93" t="s">
        <v>3689</v>
      </c>
      <c r="Z161" s="93" t="s">
        <v>6101</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6102</v>
      </c>
      <c r="CG161" s="98"/>
      <c r="CH161" s="98"/>
      <c r="CI161" s="98"/>
      <c r="CJ161" s="98"/>
      <c r="CK161" s="98"/>
      <c r="CL161" s="98"/>
      <c r="CM161" s="98"/>
      <c r="CN161" s="98"/>
      <c r="CO161" s="98"/>
      <c r="CP161" s="98"/>
      <c r="CQ161" s="98"/>
      <c r="CR161" s="98"/>
      <c r="CS161" s="92"/>
      <c r="CT161" s="93" t="s">
        <v>5531</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6103</v>
      </c>
      <c r="B162" s="103" t="s">
        <v>6104</v>
      </c>
      <c r="C162" s="104" t="s">
        <v>1262</v>
      </c>
      <c r="D162" s="105" t="s">
        <v>1262</v>
      </c>
      <c r="E162" s="106" t="s">
        <v>1262</v>
      </c>
      <c r="F162" s="107" t="s">
        <v>1262</v>
      </c>
      <c r="G162" s="103" t="s">
        <v>3364</v>
      </c>
      <c r="H162" s="163" t="s">
        <v>1905</v>
      </c>
      <c r="I162" s="163" t="s">
        <v>2248</v>
      </c>
      <c r="J162" s="239"/>
      <c r="K162" s="163" t="s">
        <v>2871</v>
      </c>
      <c r="L162" s="239"/>
      <c r="M162" s="239"/>
      <c r="N162" s="239"/>
      <c r="O162" s="163" t="s">
        <v>6105</v>
      </c>
      <c r="P162" s="163" t="s">
        <v>2032</v>
      </c>
      <c r="Q162" s="239"/>
      <c r="R162" s="239"/>
      <c r="S162" s="239"/>
      <c r="T162" s="239"/>
      <c r="U162" s="239"/>
      <c r="V162" s="239"/>
      <c r="W162" s="92"/>
      <c r="X162" s="193" t="s">
        <v>3584</v>
      </c>
      <c r="Y162" s="241"/>
      <c r="Z162" s="193" t="s">
        <v>4673</v>
      </c>
      <c r="AA162" s="241"/>
      <c r="AB162" s="193" t="s">
        <v>2476</v>
      </c>
      <c r="AC162" s="241"/>
      <c r="AD162" s="241"/>
      <c r="AE162" s="193" t="s">
        <v>6106</v>
      </c>
      <c r="AF162" s="241"/>
      <c r="AG162" s="241"/>
      <c r="AH162" s="241"/>
      <c r="AI162" s="241"/>
      <c r="AJ162" s="193" t="s">
        <v>6107</v>
      </c>
      <c r="AK162" s="96"/>
      <c r="AL162" s="242"/>
      <c r="AM162" s="164" t="s">
        <v>6108</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6109</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6110</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6111</v>
      </c>
      <c r="DZ162" s="253"/>
      <c r="EA162" s="202" t="s">
        <v>410</v>
      </c>
      <c r="EB162" s="283"/>
    </row>
    <row r="163">
      <c r="A163" s="646" t="s">
        <v>6112</v>
      </c>
      <c r="B163" s="82" t="s">
        <v>6113</v>
      </c>
      <c r="C163" s="83" t="s">
        <v>1262</v>
      </c>
      <c r="D163" s="84" t="s">
        <v>1262</v>
      </c>
      <c r="E163" s="85" t="s">
        <v>1262</v>
      </c>
      <c r="F163" s="86" t="s">
        <v>435</v>
      </c>
      <c r="G163" s="82" t="s">
        <v>218</v>
      </c>
      <c r="H163" s="644"/>
      <c r="I163" s="93" t="s">
        <v>6114</v>
      </c>
      <c r="J163" s="93" t="s">
        <v>6115</v>
      </c>
      <c r="K163" s="93" t="s">
        <v>5311</v>
      </c>
      <c r="L163" s="93" t="s">
        <v>2827</v>
      </c>
      <c r="M163" s="98"/>
      <c r="N163" s="98"/>
      <c r="O163" s="98"/>
      <c r="P163" s="88" t="s">
        <v>6116</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6117</v>
      </c>
      <c r="AV163" s="98"/>
      <c r="AW163" s="98"/>
      <c r="AX163" s="98"/>
      <c r="AY163" s="98"/>
      <c r="AZ163" s="98"/>
      <c r="BA163" s="93" t="s">
        <v>6118</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4253</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6119</v>
      </c>
      <c r="B164" s="103" t="s">
        <v>6120</v>
      </c>
      <c r="C164" s="104" t="s">
        <v>1262</v>
      </c>
      <c r="D164" s="105" t="s">
        <v>1262</v>
      </c>
      <c r="E164" s="106" t="s">
        <v>1262</v>
      </c>
      <c r="F164" s="107" t="s">
        <v>544</v>
      </c>
      <c r="G164" s="103" t="s">
        <v>645</v>
      </c>
      <c r="H164" s="642"/>
      <c r="I164" s="239"/>
      <c r="J164" s="239"/>
      <c r="K164" s="163" t="s">
        <v>6121</v>
      </c>
      <c r="L164" s="163" t="s">
        <v>6122</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6123</v>
      </c>
      <c r="CJ164" s="173"/>
      <c r="CK164" s="250"/>
      <c r="CL164" s="250"/>
      <c r="CM164" s="250"/>
      <c r="CN164" s="250"/>
      <c r="CO164" s="250"/>
      <c r="CP164" s="250"/>
      <c r="CQ164" s="250"/>
      <c r="CR164" s="250"/>
      <c r="CS164" s="92"/>
      <c r="CT164" s="201" t="s">
        <v>6124</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6125</v>
      </c>
      <c r="B165" s="82" t="s">
        <v>6126</v>
      </c>
      <c r="C165" s="83" t="s">
        <v>1262</v>
      </c>
      <c r="D165" s="84" t="s">
        <v>1262</v>
      </c>
      <c r="E165" s="85" t="s">
        <v>1262</v>
      </c>
      <c r="F165" s="86" t="s">
        <v>331</v>
      </c>
      <c r="G165" s="82" t="s">
        <v>6084</v>
      </c>
      <c r="H165" s="644" t="s">
        <v>4068</v>
      </c>
      <c r="I165" s="98" t="s">
        <v>6127</v>
      </c>
      <c r="J165" s="98" t="s">
        <v>449</v>
      </c>
      <c r="K165" s="98" t="s">
        <v>4296</v>
      </c>
      <c r="L165" s="98" t="s">
        <v>2780</v>
      </c>
      <c r="M165" s="98" t="s">
        <v>6128</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5459</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6129</v>
      </c>
      <c r="CN165" s="98"/>
      <c r="CO165" s="264"/>
      <c r="CP165" s="98"/>
      <c r="CQ165" s="98"/>
      <c r="CR165" s="98"/>
      <c r="CS165" s="92"/>
      <c r="CT165" s="98"/>
      <c r="CU165" s="98"/>
      <c r="CV165" s="98" t="s">
        <v>5110</v>
      </c>
      <c r="CW165" s="98" t="s">
        <v>3433</v>
      </c>
      <c r="CX165" s="98"/>
      <c r="CY165" s="98"/>
      <c r="CZ165" s="463" t="s">
        <v>6130</v>
      </c>
      <c r="DA165" s="264" t="s">
        <v>6131</v>
      </c>
      <c r="DB165" s="98"/>
      <c r="DC165" s="101"/>
      <c r="DD165" s="264"/>
      <c r="DE165" s="98"/>
      <c r="DF165" s="232"/>
      <c r="DG165" s="98"/>
      <c r="DH165" s="98"/>
      <c r="DI165" s="98"/>
      <c r="DJ165" s="98"/>
      <c r="DK165" s="98"/>
      <c r="DL165" s="98"/>
      <c r="DM165" s="98"/>
      <c r="DN165" s="98"/>
      <c r="DO165" s="98"/>
      <c r="DP165" s="98"/>
      <c r="DQ165" s="98" t="s">
        <v>6132</v>
      </c>
      <c r="DR165" s="98"/>
      <c r="DS165" s="98"/>
      <c r="DT165" s="98"/>
      <c r="DU165" s="98"/>
      <c r="DV165" s="98"/>
      <c r="DW165" s="98"/>
      <c r="DX165" s="98"/>
      <c r="DY165" s="98"/>
      <c r="DZ165" s="98"/>
      <c r="EA165" s="98"/>
      <c r="EB165" s="255"/>
    </row>
    <row r="166">
      <c r="A166" s="162" t="s">
        <v>6133</v>
      </c>
      <c r="B166" s="103" t="s">
        <v>6134</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6135</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6136</v>
      </c>
      <c r="B167" s="82" t="s">
        <v>6137</v>
      </c>
      <c r="C167" s="83" t="s">
        <v>1262</v>
      </c>
      <c r="D167" s="84" t="s">
        <v>1262</v>
      </c>
      <c r="E167" s="85" t="s">
        <v>1262</v>
      </c>
      <c r="F167" s="86" t="s">
        <v>544</v>
      </c>
      <c r="G167" s="82" t="s">
        <v>6138</v>
      </c>
      <c r="H167" s="98"/>
      <c r="I167" s="566" t="s">
        <v>6139</v>
      </c>
      <c r="J167" s="93" t="s">
        <v>6049</v>
      </c>
      <c r="K167" s="93" t="s">
        <v>3056</v>
      </c>
      <c r="L167" s="93" t="s">
        <v>6140</v>
      </c>
      <c r="M167" s="98"/>
      <c r="N167" s="98"/>
      <c r="O167" s="98"/>
      <c r="P167" s="93" t="s">
        <v>2929</v>
      </c>
      <c r="Q167" s="98"/>
      <c r="R167" s="98"/>
      <c r="S167" s="98"/>
      <c r="T167" s="98"/>
      <c r="U167" s="98"/>
      <c r="V167" s="98"/>
      <c r="W167" s="92"/>
      <c r="X167" s="566" t="s">
        <v>1899</v>
      </c>
      <c r="Y167" s="98"/>
      <c r="Z167" s="93" t="s">
        <v>3223</v>
      </c>
      <c r="AA167" s="97" t="str">
        <f>HYPERLINK("https://clips.twitch.tv/DeliciousHomelyChoughMingLee","53.66")</f>
        <v>53.66</v>
      </c>
      <c r="AB167" s="93" t="s">
        <v>4825</v>
      </c>
      <c r="AC167" s="93" t="s">
        <v>6065</v>
      </c>
      <c r="AD167" s="98"/>
      <c r="AE167" s="98"/>
      <c r="AF167" s="93" t="s">
        <v>2929</v>
      </c>
      <c r="AG167" s="98"/>
      <c r="AH167" s="98"/>
      <c r="AI167" s="98"/>
      <c r="AJ167" s="98"/>
      <c r="AK167" s="96"/>
      <c r="AL167" s="98"/>
      <c r="AM167" s="98"/>
      <c r="AN167" s="98"/>
      <c r="AO167" s="98"/>
      <c r="AP167" s="98"/>
      <c r="AQ167" s="98"/>
      <c r="AR167" s="98"/>
      <c r="AS167" s="98"/>
      <c r="AT167" s="93" t="s">
        <v>6141</v>
      </c>
      <c r="AU167" s="93" t="s">
        <v>6142</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6143</v>
      </c>
      <c r="CV167" s="93" t="s">
        <v>5294</v>
      </c>
      <c r="CW167" s="98"/>
      <c r="CX167" s="93"/>
      <c r="CY167" s="98"/>
      <c r="CZ167" s="93" t="s">
        <v>6144</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6145</v>
      </c>
      <c r="B168" s="103" t="s">
        <v>6146</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6147</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6148</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6149</v>
      </c>
      <c r="B169" s="82" t="s">
        <v>6150</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6151</v>
      </c>
      <c r="B170" s="103" t="s">
        <v>6152</v>
      </c>
      <c r="C170" s="104" t="s">
        <v>1262</v>
      </c>
      <c r="D170" s="105" t="s">
        <v>1262</v>
      </c>
      <c r="E170" s="106" t="s">
        <v>1262</v>
      </c>
      <c r="F170" s="107" t="s">
        <v>1262</v>
      </c>
      <c r="G170" s="103" t="s">
        <v>4630</v>
      </c>
      <c r="H170" s="163"/>
      <c r="I170" s="163" t="s">
        <v>6153</v>
      </c>
      <c r="J170" s="163" t="s">
        <v>3006</v>
      </c>
      <c r="K170" s="163" t="s">
        <v>753</v>
      </c>
      <c r="L170" s="163" t="s">
        <v>6154</v>
      </c>
      <c r="M170" s="163" t="s">
        <v>6155</v>
      </c>
      <c r="N170" s="163" t="s">
        <v>6156</v>
      </c>
      <c r="O170" s="163" t="s">
        <v>6157</v>
      </c>
      <c r="P170" s="163" t="s">
        <v>1871</v>
      </c>
      <c r="Q170" s="239"/>
      <c r="R170" s="239"/>
      <c r="S170" s="239"/>
      <c r="T170" s="239"/>
      <c r="U170" s="239"/>
      <c r="V170" s="239"/>
      <c r="W170" s="92"/>
      <c r="X170" s="193" t="s">
        <v>6158</v>
      </c>
      <c r="Y170" s="193"/>
      <c r="Z170" s="193" t="s">
        <v>6086</v>
      </c>
      <c r="AA170" s="241"/>
      <c r="AB170" s="193" t="s">
        <v>6159</v>
      </c>
      <c r="AC170" s="193" t="s">
        <v>3450</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6160</v>
      </c>
      <c r="BB170" s="170" t="s">
        <v>789</v>
      </c>
      <c r="BC170" s="170" t="s">
        <v>915</v>
      </c>
      <c r="BD170" s="170" t="s">
        <v>3566</v>
      </c>
      <c r="BE170" s="170" t="s">
        <v>6161</v>
      </c>
      <c r="BF170" s="169"/>
      <c r="BG170" s="169"/>
      <c r="BH170" s="170" t="s">
        <v>3193</v>
      </c>
      <c r="BI170" s="169"/>
      <c r="BJ170" s="169"/>
      <c r="BK170" s="170" t="s">
        <v>527</v>
      </c>
      <c r="BL170" s="169"/>
      <c r="BM170" s="169"/>
      <c r="BN170" s="169"/>
      <c r="BO170" s="169"/>
      <c r="BP170" s="244"/>
      <c r="BQ170" s="171" t="s">
        <v>6162</v>
      </c>
      <c r="BR170" s="171" t="s">
        <v>6163</v>
      </c>
      <c r="BS170" s="171" t="s">
        <v>955</v>
      </c>
      <c r="BT170" s="171" t="s">
        <v>533</v>
      </c>
      <c r="BU170" s="171" t="s">
        <v>6164</v>
      </c>
      <c r="BV170" s="171" t="s">
        <v>1290</v>
      </c>
      <c r="BW170" s="247"/>
      <c r="BX170" s="247"/>
      <c r="BY170" s="247"/>
      <c r="BZ170" s="171" t="s">
        <v>893</v>
      </c>
      <c r="CA170" s="247"/>
      <c r="CB170" s="247"/>
      <c r="CC170" s="247"/>
      <c r="CD170" s="247"/>
      <c r="CE170" s="248"/>
      <c r="CF170" s="173" t="s">
        <v>6165</v>
      </c>
      <c r="CG170" s="173" t="s">
        <v>2062</v>
      </c>
      <c r="CH170" s="250"/>
      <c r="CI170" s="250"/>
      <c r="CJ170" s="250"/>
      <c r="CK170" s="250"/>
      <c r="CL170" s="173" t="s">
        <v>4586</v>
      </c>
      <c r="CM170" s="173" t="s">
        <v>1501</v>
      </c>
      <c r="CN170" s="250"/>
      <c r="CO170" s="250"/>
      <c r="CP170" s="250"/>
      <c r="CQ170" s="250"/>
      <c r="CR170" s="250"/>
      <c r="CS170" s="92"/>
      <c r="CT170" s="201" t="s">
        <v>5115</v>
      </c>
      <c r="CU170" s="251"/>
      <c r="CV170" s="201" t="s">
        <v>6166</v>
      </c>
      <c r="CW170" s="201" t="s">
        <v>3058</v>
      </c>
      <c r="CX170" s="201" t="s">
        <v>6167</v>
      </c>
      <c r="CY170" s="201" t="s">
        <v>6168</v>
      </c>
      <c r="CZ170" s="201" t="s">
        <v>6169</v>
      </c>
      <c r="DA170" s="201" t="s">
        <v>6170</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6171</v>
      </c>
      <c r="B171" s="82" t="s">
        <v>6172</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6173</v>
      </c>
      <c r="B172" s="103" t="s">
        <v>6174</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6175</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6176</v>
      </c>
      <c r="B173" s="82" t="s">
        <v>6177</v>
      </c>
      <c r="C173" s="83" t="s">
        <v>544</v>
      </c>
      <c r="D173" s="84" t="s">
        <v>1262</v>
      </c>
      <c r="E173" s="85" t="s">
        <v>1262</v>
      </c>
      <c r="F173" s="86" t="s">
        <v>544</v>
      </c>
      <c r="G173" s="82" t="s">
        <v>3982</v>
      </c>
      <c r="H173" s="654" t="s">
        <v>2992</v>
      </c>
      <c r="I173" s="654" t="s">
        <v>6178</v>
      </c>
      <c r="J173" s="654" t="s">
        <v>6179</v>
      </c>
      <c r="K173" s="654" t="s">
        <v>753</v>
      </c>
      <c r="L173" s="654" t="s">
        <v>910</v>
      </c>
      <c r="M173" s="655"/>
      <c r="N173" s="654" t="s">
        <v>6180</v>
      </c>
      <c r="O173" s="654" t="s">
        <v>6181</v>
      </c>
      <c r="P173" s="654" t="s">
        <v>5318</v>
      </c>
      <c r="Q173" s="655"/>
      <c r="R173" s="655"/>
      <c r="S173" s="655"/>
      <c r="T173" s="655"/>
      <c r="U173" s="655"/>
      <c r="V173" s="655"/>
      <c r="W173" s="656"/>
      <c r="X173" s="654" t="s">
        <v>6182</v>
      </c>
      <c r="Y173" s="657" t="s">
        <v>377</v>
      </c>
      <c r="Z173" s="657" t="s">
        <v>868</v>
      </c>
      <c r="AA173" s="657" t="s">
        <v>3827</v>
      </c>
      <c r="AB173" s="654" t="s">
        <v>6183</v>
      </c>
      <c r="AC173" s="657" t="s">
        <v>6184</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6185</v>
      </c>
      <c r="CH173" s="655"/>
      <c r="CI173" s="655"/>
      <c r="CJ173" s="655"/>
      <c r="CK173" s="655"/>
      <c r="CL173" s="655"/>
      <c r="CM173" s="655"/>
      <c r="CN173" s="655"/>
      <c r="CO173" s="655"/>
      <c r="CP173" s="655"/>
      <c r="CQ173" s="655"/>
      <c r="CR173" s="655"/>
      <c r="CS173" s="660"/>
      <c r="CT173" s="654" t="s">
        <v>5200</v>
      </c>
      <c r="CU173" s="654" t="s">
        <v>2463</v>
      </c>
      <c r="CV173" s="654" t="s">
        <v>5111</v>
      </c>
      <c r="CW173" s="655"/>
      <c r="CX173" s="655"/>
      <c r="CY173" s="655"/>
      <c r="CZ173" s="654" t="s">
        <v>6186</v>
      </c>
      <c r="DA173" s="657" t="s">
        <v>6045</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6187</v>
      </c>
      <c r="B174" s="103" t="s">
        <v>6188</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6189</v>
      </c>
      <c r="Y174" s="115"/>
      <c r="Z174" s="114" t="s">
        <v>4809</v>
      </c>
      <c r="AA174" s="352"/>
      <c r="AB174" s="115"/>
      <c r="AC174" s="115"/>
      <c r="AD174" s="241"/>
      <c r="AE174" s="115"/>
      <c r="AF174" s="114" t="s">
        <v>6190</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6191</v>
      </c>
      <c r="B175" s="82" t="s">
        <v>6192</v>
      </c>
      <c r="C175" s="83" t="s">
        <v>1262</v>
      </c>
      <c r="D175" s="84" t="s">
        <v>544</v>
      </c>
      <c r="E175" s="85" t="s">
        <v>1262</v>
      </c>
      <c r="F175" s="86" t="s">
        <v>544</v>
      </c>
      <c r="G175" s="82" t="s">
        <v>3834</v>
      </c>
      <c r="H175" s="101"/>
      <c r="I175" s="94"/>
      <c r="J175" s="101" t="s">
        <v>2472</v>
      </c>
      <c r="K175" s="101" t="s">
        <v>5513</v>
      </c>
      <c r="L175" s="101" t="s">
        <v>2367</v>
      </c>
      <c r="M175" s="101"/>
      <c r="N175" s="101" t="s">
        <v>1478</v>
      </c>
      <c r="O175" s="101" t="s">
        <v>2243</v>
      </c>
      <c r="P175" s="101" t="s">
        <v>3133</v>
      </c>
      <c r="Q175" s="98"/>
      <c r="R175" s="98"/>
      <c r="S175" s="98"/>
      <c r="T175" s="98"/>
      <c r="U175" s="98"/>
      <c r="V175" s="98"/>
      <c r="W175" s="92"/>
      <c r="X175" s="101" t="s">
        <v>6193</v>
      </c>
      <c r="Y175" s="101" t="s">
        <v>3128</v>
      </c>
      <c r="Z175" s="101" t="s">
        <v>5031</v>
      </c>
      <c r="AA175" s="260" t="s">
        <v>6194</v>
      </c>
      <c r="AB175" s="101" t="s">
        <v>6195</v>
      </c>
      <c r="AC175" s="101" t="s">
        <v>357</v>
      </c>
      <c r="AD175" s="98"/>
      <c r="AE175" s="101"/>
      <c r="AF175" s="101" t="s">
        <v>6196</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2630</v>
      </c>
      <c r="BD175" s="101"/>
      <c r="BE175" s="101"/>
      <c r="BF175" s="101"/>
      <c r="BG175" s="98"/>
      <c r="BH175" s="101" t="s">
        <v>4193</v>
      </c>
      <c r="BI175" s="98"/>
      <c r="BJ175" s="101"/>
      <c r="BK175" s="101"/>
      <c r="BL175" s="98"/>
      <c r="BM175" s="98"/>
      <c r="BN175" s="101"/>
      <c r="BO175" s="98"/>
      <c r="BP175" s="232"/>
      <c r="BQ175" s="101"/>
      <c r="BR175" s="101" t="s">
        <v>6197</v>
      </c>
      <c r="BS175" s="101" t="s">
        <v>6198</v>
      </c>
      <c r="BT175" s="101"/>
      <c r="BU175" s="101"/>
      <c r="BV175" s="101"/>
      <c r="BW175" s="98"/>
      <c r="BX175" s="101"/>
      <c r="BY175" s="101"/>
      <c r="BZ175" s="101"/>
      <c r="CA175" s="98"/>
      <c r="CB175" s="98"/>
      <c r="CC175" s="93" t="s">
        <v>5159</v>
      </c>
      <c r="CD175" s="98"/>
      <c r="CE175" s="232"/>
      <c r="CF175" s="101"/>
      <c r="CG175" s="101" t="s">
        <v>6199</v>
      </c>
      <c r="CH175" s="101"/>
      <c r="CI175" s="101"/>
      <c r="CJ175" s="101"/>
      <c r="CK175" s="101"/>
      <c r="CL175" s="101" t="s">
        <v>2216</v>
      </c>
      <c r="CM175" s="101"/>
      <c r="CN175" s="218"/>
      <c r="CO175" s="98"/>
      <c r="CP175" s="98"/>
      <c r="CQ175" s="98"/>
      <c r="CR175" s="98"/>
      <c r="CS175" s="92"/>
      <c r="CT175" s="101"/>
      <c r="CU175" s="101"/>
      <c r="CV175" s="101"/>
      <c r="CW175" s="101"/>
      <c r="CX175" s="101"/>
      <c r="CY175" s="101"/>
      <c r="CZ175" s="101" t="s">
        <v>6200</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5978</v>
      </c>
      <c r="DZ176" s="253"/>
      <c r="EA176" s="253"/>
      <c r="EB176" s="590"/>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5202</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4650</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6165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5171</v>
      </c>
      <c r="Z180" s="193" t="s">
        <v>6247</v>
      </c>
      <c r="AA180" s="193" t="s">
        <v>2616</v>
      </c>
      <c r="AB180" s="193" t="s">
        <v>5802</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6117</v>
      </c>
      <c r="BI180" s="169"/>
      <c r="BJ180" s="169"/>
      <c r="BK180" s="169"/>
      <c r="BL180" s="170"/>
      <c r="BM180" s="170"/>
      <c r="BN180" s="170"/>
      <c r="BO180" s="170"/>
      <c r="BP180" s="288"/>
      <c r="BQ180" s="171"/>
      <c r="BR180" s="247"/>
      <c r="BS180" s="665" t="s">
        <v>6255</v>
      </c>
      <c r="BT180" s="171" t="s">
        <v>6256</v>
      </c>
      <c r="BU180" s="665"/>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5799</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6141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6280</v>
      </c>
      <c r="B183" s="82" t="s">
        <v>6281</v>
      </c>
      <c r="C183" s="83" t="s">
        <v>1262</v>
      </c>
      <c r="D183" s="84" t="s">
        <v>1262</v>
      </c>
      <c r="E183" s="85" t="s">
        <v>1262</v>
      </c>
      <c r="F183" s="86" t="s">
        <v>1262</v>
      </c>
      <c r="G183" s="82" t="s">
        <v>218</v>
      </c>
      <c r="H183" s="93" t="s">
        <v>6282</v>
      </c>
      <c r="I183" s="93" t="s">
        <v>6283</v>
      </c>
      <c r="J183" s="93" t="s">
        <v>2020</v>
      </c>
      <c r="K183" s="93" t="s">
        <v>5914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5300</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6292</v>
      </c>
      <c r="B186" s="103" t="s">
        <v>6293</v>
      </c>
      <c r="C186" s="104" t="s">
        <v>1262</v>
      </c>
      <c r="D186" s="105" t="s">
        <v>1262</v>
      </c>
      <c r="E186" s="106" t="s">
        <v>1262</v>
      </c>
      <c r="F186" s="107" t="s">
        <v>435</v>
      </c>
      <c r="G186" s="103" t="s">
        <v>435</v>
      </c>
      <c r="H186" s="239"/>
      <c r="I186" s="111" t="s">
        <v>6294</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6295</v>
      </c>
      <c r="B187" s="82" t="s">
        <v>6296</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6297</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6298</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6299</v>
      </c>
      <c r="B188" s="103" t="s">
        <v>6300</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6301</v>
      </c>
      <c r="B189" s="82" t="s">
        <v>6302</v>
      </c>
      <c r="C189" s="83" t="s">
        <v>1262</v>
      </c>
      <c r="D189" s="84" t="s">
        <v>1262</v>
      </c>
      <c r="E189" s="85" t="s">
        <v>1262</v>
      </c>
      <c r="F189" s="86" t="s">
        <v>1262</v>
      </c>
      <c r="G189" s="82" t="s">
        <v>6084</v>
      </c>
      <c r="H189" s="98"/>
      <c r="I189" s="93" t="s">
        <v>6303</v>
      </c>
      <c r="J189" s="93" t="s">
        <v>4214</v>
      </c>
      <c r="K189" s="93" t="s">
        <v>4296</v>
      </c>
      <c r="L189" s="93" t="s">
        <v>6304</v>
      </c>
      <c r="M189" s="98"/>
      <c r="N189" s="98"/>
      <c r="O189" s="93" t="s">
        <v>1225</v>
      </c>
      <c r="P189" s="98"/>
      <c r="Q189" s="98"/>
      <c r="R189" s="98"/>
      <c r="S189" s="93" t="s">
        <v>2140</v>
      </c>
      <c r="T189" s="98"/>
      <c r="U189" s="98"/>
      <c r="V189" s="98"/>
      <c r="W189" s="92"/>
      <c r="X189" s="98"/>
      <c r="Y189" s="98"/>
      <c r="Z189" s="93" t="s">
        <v>2142</v>
      </c>
      <c r="AA189" s="98"/>
      <c r="AB189" s="93" t="s">
        <v>6305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6306</v>
      </c>
      <c r="BC189" s="158" t="s">
        <v>5246</v>
      </c>
      <c r="BD189" s="98"/>
      <c r="BE189" s="98"/>
      <c r="BF189" s="98"/>
      <c r="BG189" s="98"/>
      <c r="BH189" s="98"/>
      <c r="BI189" s="98"/>
      <c r="BJ189" s="93" t="s">
        <v>2389</v>
      </c>
      <c r="BK189" s="98"/>
      <c r="BL189" s="98"/>
      <c r="BM189" s="98"/>
      <c r="BN189" s="98"/>
      <c r="BO189" s="98"/>
      <c r="BP189" s="232"/>
      <c r="BQ189" s="98"/>
      <c r="BR189" s="98"/>
      <c r="BS189" s="98"/>
      <c r="BT189" s="93" t="s">
        <v>6307</v>
      </c>
      <c r="BU189" s="98"/>
      <c r="BV189" s="93" t="s">
        <v>6308</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6309</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6310</v>
      </c>
      <c r="DR189" s="93" t="s">
        <v>4674</v>
      </c>
      <c r="DS189" s="98"/>
      <c r="DT189" s="98"/>
      <c r="DU189" s="98"/>
      <c r="DV189" s="98"/>
      <c r="DW189" s="98"/>
      <c r="DX189" s="98"/>
      <c r="DY189" s="98"/>
      <c r="DZ189" s="98"/>
      <c r="EA189" s="98"/>
      <c r="EB189" s="255" t="s">
        <v>6311</v>
      </c>
    </row>
    <row r="190">
      <c r="A190" s="162" t="s">
        <v>6312</v>
      </c>
      <c r="B190" s="103" t="s">
        <v>6302</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6313</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6314</v>
      </c>
      <c r="CG190" s="173" t="s">
        <v>153</v>
      </c>
      <c r="CH190" s="173" t="s">
        <v>6315</v>
      </c>
      <c r="CI190" s="250"/>
      <c r="CJ190" s="250" t="s">
        <v>3478</v>
      </c>
      <c r="CK190" s="250"/>
      <c r="CL190" s="173" t="s">
        <v>4760</v>
      </c>
      <c r="CM190" s="250"/>
      <c r="CN190" s="250"/>
      <c r="CO190" s="250"/>
      <c r="CP190" s="250"/>
      <c r="CQ190" s="250"/>
      <c r="CR190" s="250"/>
      <c r="CS190" s="92"/>
      <c r="CT190" s="201" t="s">
        <v>6316</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6317</v>
      </c>
      <c r="B191" s="82" t="s">
        <v>6318</v>
      </c>
      <c r="C191" s="83" t="s">
        <v>1262</v>
      </c>
      <c r="D191" s="84" t="s">
        <v>544</v>
      </c>
      <c r="E191" s="85" t="s">
        <v>1262</v>
      </c>
      <c r="F191" s="86" t="s">
        <v>329</v>
      </c>
      <c r="G191" s="82" t="s">
        <v>330</v>
      </c>
      <c r="H191" s="101"/>
      <c r="I191" s="94"/>
      <c r="J191" s="101"/>
      <c r="K191" s="101" t="s">
        <v>1886</v>
      </c>
      <c r="L191" s="101" t="s">
        <v>5590</v>
      </c>
      <c r="M191" s="101"/>
      <c r="N191" s="101"/>
      <c r="O191" s="101" t="s">
        <v>2819</v>
      </c>
      <c r="P191" s="101"/>
      <c r="Q191" s="98"/>
      <c r="R191" s="98"/>
      <c r="S191" s="98"/>
      <c r="T191" s="98"/>
      <c r="U191" s="98"/>
      <c r="V191" s="98"/>
      <c r="W191" s="92"/>
      <c r="X191" s="88" t="s">
        <v>3534</v>
      </c>
      <c r="Y191" s="101" t="s">
        <v>6319</v>
      </c>
      <c r="Z191" s="101"/>
      <c r="AA191" s="260"/>
      <c r="AB191" s="101"/>
      <c r="AC191" s="101"/>
      <c r="AD191" s="88" t="s">
        <v>2614</v>
      </c>
      <c r="AE191" s="101" t="s">
        <v>309</v>
      </c>
      <c r="AF191" s="101"/>
      <c r="AG191" s="98"/>
      <c r="AH191" s="98"/>
      <c r="AI191" s="101"/>
      <c r="AJ191" s="98"/>
      <c r="AK191" s="96"/>
      <c r="AL191" s="101"/>
      <c r="AM191" s="101" t="s">
        <v>5036</v>
      </c>
      <c r="AN191" s="98"/>
      <c r="AO191" s="98"/>
      <c r="AP191" s="93"/>
      <c r="AQ191" s="93"/>
      <c r="AR191" s="93" t="s">
        <v>6320</v>
      </c>
      <c r="AS191" s="98"/>
      <c r="AT191" s="101"/>
      <c r="AU191" s="101" t="s">
        <v>232</v>
      </c>
      <c r="AV191" s="101"/>
      <c r="AW191" s="98"/>
      <c r="AX191" s="98"/>
      <c r="AY191" s="98"/>
      <c r="AZ191" s="98"/>
      <c r="BA191" s="101"/>
      <c r="BB191" s="101"/>
      <c r="BC191" s="101" t="s">
        <v>6321</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6322</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6323</v>
      </c>
      <c r="B192" s="103" t="s">
        <v>6324</v>
      </c>
      <c r="C192" s="104" t="s">
        <v>1262</v>
      </c>
      <c r="D192" s="105" t="s">
        <v>1262</v>
      </c>
      <c r="E192" s="106" t="s">
        <v>1262</v>
      </c>
      <c r="F192" s="107" t="s">
        <v>6138</v>
      </c>
      <c r="G192" s="103" t="s">
        <v>6084</v>
      </c>
      <c r="H192" s="586"/>
      <c r="I192" s="587"/>
      <c r="J192" s="586"/>
      <c r="K192" s="111" t="s">
        <v>2346</v>
      </c>
      <c r="L192" s="586"/>
      <c r="M192" s="586"/>
      <c r="N192" s="586"/>
      <c r="O192" s="586"/>
      <c r="P192" s="586"/>
      <c r="Q192" s="239"/>
      <c r="R192" s="239"/>
      <c r="S192" s="239"/>
      <c r="T192" s="239"/>
      <c r="U192" s="239"/>
      <c r="V192" s="239"/>
      <c r="W192" s="92"/>
      <c r="X192" s="114" t="s">
        <v>6325</v>
      </c>
      <c r="Y192" s="115"/>
      <c r="Z192" s="115"/>
      <c r="AA192" s="114" t="s">
        <v>6326</v>
      </c>
      <c r="AB192" s="114" t="s">
        <v>6305</v>
      </c>
      <c r="AC192" s="115"/>
      <c r="AD192" s="241"/>
      <c r="AE192" s="115"/>
      <c r="AF192" s="114" t="s">
        <v>6327</v>
      </c>
      <c r="AG192" s="241"/>
      <c r="AH192" s="241"/>
      <c r="AI192" s="115"/>
      <c r="AJ192" s="241"/>
      <c r="AK192" s="96"/>
      <c r="AL192" s="122"/>
      <c r="AM192" s="122"/>
      <c r="AN192" s="242"/>
      <c r="AO192" s="242"/>
      <c r="AP192" s="164"/>
      <c r="AQ192" s="164"/>
      <c r="AR192" s="242"/>
      <c r="AS192" s="242"/>
      <c r="AT192" s="119" t="s">
        <v>3706</v>
      </c>
      <c r="AU192" s="119" t="s">
        <v>6328</v>
      </c>
      <c r="AV192" s="122"/>
      <c r="AW192" s="242"/>
      <c r="AX192" s="242"/>
      <c r="AY192" s="242"/>
      <c r="AZ192" s="242"/>
      <c r="BA192" s="487" t="s">
        <v>6329</v>
      </c>
      <c r="BB192" s="487"/>
      <c r="BC192" s="487"/>
      <c r="BD192" s="487"/>
      <c r="BE192" s="124" t="s">
        <v>6330</v>
      </c>
      <c r="BF192" s="487"/>
      <c r="BG192" s="169"/>
      <c r="BH192" s="487"/>
      <c r="BI192" s="169"/>
      <c r="BJ192" s="487"/>
      <c r="BK192" s="487"/>
      <c r="BL192" s="169"/>
      <c r="BM192" s="169"/>
      <c r="BN192" s="487"/>
      <c r="BO192" s="169"/>
      <c r="BP192" s="244"/>
      <c r="BQ192" s="127" t="s">
        <v>6331</v>
      </c>
      <c r="BR192" s="129"/>
      <c r="BS192" s="663"/>
      <c r="BT192" s="127" t="s">
        <v>5687</v>
      </c>
      <c r="BU192" s="129"/>
      <c r="BV192" s="129"/>
      <c r="BW192" s="247"/>
      <c r="BX192" s="127" t="s">
        <v>6332</v>
      </c>
      <c r="BY192" s="129"/>
      <c r="BZ192" s="129"/>
      <c r="CA192" s="247"/>
      <c r="CB192" s="247"/>
      <c r="CC192" s="171"/>
      <c r="CD192" s="247"/>
      <c r="CE192" s="248"/>
      <c r="CF192" s="133" t="s">
        <v>3074</v>
      </c>
      <c r="CG192" s="132" t="s">
        <v>1854</v>
      </c>
      <c r="CH192" s="133"/>
      <c r="CI192" s="133"/>
      <c r="CJ192" s="133"/>
      <c r="CK192" s="133"/>
      <c r="CL192" s="132" t="s">
        <v>2296</v>
      </c>
      <c r="CM192" s="132" t="s">
        <v>6333</v>
      </c>
      <c r="CN192" s="588"/>
      <c r="CO192" s="250"/>
      <c r="CP192" s="250"/>
      <c r="CQ192" s="250"/>
      <c r="CR192" s="250"/>
      <c r="CS192" s="92"/>
      <c r="CT192" s="137" t="s">
        <v>5293</v>
      </c>
      <c r="CU192" s="281"/>
      <c r="CV192" s="137" t="s">
        <v>908</v>
      </c>
      <c r="CW192" s="281"/>
      <c r="CX192" s="281"/>
      <c r="CY192" s="281"/>
      <c r="CZ192" s="137" t="s">
        <v>6334</v>
      </c>
      <c r="DA192" s="281"/>
      <c r="DB192" s="251"/>
      <c r="DC192" s="251"/>
      <c r="DD192" s="251"/>
      <c r="DE192" s="251"/>
      <c r="DF192" s="252"/>
      <c r="DG192" s="203"/>
      <c r="DH192" s="253"/>
      <c r="DI192" s="253"/>
      <c r="DJ192" s="203"/>
      <c r="DK192" s="203"/>
      <c r="DL192" s="203"/>
      <c r="DM192" s="253"/>
      <c r="DN192" s="253"/>
      <c r="DO192" s="253"/>
      <c r="DP192" s="203" t="s">
        <v>6335</v>
      </c>
      <c r="DQ192" s="142" t="s">
        <v>6336</v>
      </c>
      <c r="DR192" s="253"/>
      <c r="DS192" s="203"/>
      <c r="DT192" s="253"/>
      <c r="DU192" s="253"/>
      <c r="DV192" s="253"/>
      <c r="DW192" s="253"/>
      <c r="DX192" s="253"/>
      <c r="DY192" s="203"/>
      <c r="DZ192" s="253"/>
      <c r="EA192" s="253"/>
      <c r="EB192" s="283"/>
    </row>
    <row r="193">
      <c r="A193" s="670" t="s">
        <v>6337</v>
      </c>
      <c r="B193" s="82" t="s">
        <v>6338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1262</v>
      </c>
      <c r="D194" s="105" t="s">
        <v>1262</v>
      </c>
      <c r="E194" s="106" t="s">
        <v>1262</v>
      </c>
      <c r="F194" s="107" t="s">
        <v>1262</v>
      </c>
      <c r="G194" s="103" t="s">
        <v>4591</v>
      </c>
      <c r="H194" s="163" t="s">
        <v>6341</v>
      </c>
      <c r="I194" s="163" t="s">
        <v>2471</v>
      </c>
      <c r="J194" s="163" t="s">
        <v>1211</v>
      </c>
      <c r="K194" s="163" t="s">
        <v>6342</v>
      </c>
      <c r="L194" s="163" t="s">
        <v>6343</v>
      </c>
      <c r="M194" s="163" t="s">
        <v>6344</v>
      </c>
      <c r="N194" s="163" t="s">
        <v>6345</v>
      </c>
      <c r="O194" s="163" t="s">
        <v>6346</v>
      </c>
      <c r="P194" s="163" t="s">
        <v>4123</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6353</v>
      </c>
      <c r="AW194" s="242"/>
      <c r="AX194" s="242"/>
      <c r="AY194" s="242"/>
      <c r="AZ194" s="242"/>
      <c r="BA194" s="170"/>
      <c r="BB194" s="169" t="s">
        <v>2134</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2244</v>
      </c>
      <c r="BS194" s="247" t="s">
        <v>6361</v>
      </c>
      <c r="BT194" s="171" t="s">
        <v>5977</v>
      </c>
      <c r="BU194" s="247" t="s">
        <v>6362</v>
      </c>
      <c r="BV194" s="247" t="s">
        <v>6363</v>
      </c>
      <c r="BW194" s="171" t="s">
        <v>6364</v>
      </c>
      <c r="BX194" s="171" t="s">
        <v>6365</v>
      </c>
      <c r="BY194" s="247"/>
      <c r="BZ194" s="171" t="s">
        <v>5145</v>
      </c>
      <c r="CA194" s="247"/>
      <c r="CB194" s="247"/>
      <c r="CC194" s="247"/>
      <c r="CD194" s="247"/>
      <c r="CE194" s="248"/>
      <c r="CF194" s="173" t="s">
        <v>5549</v>
      </c>
      <c r="CG194" s="173" t="s">
        <v>1567</v>
      </c>
      <c r="CH194" s="173" t="s">
        <v>2470</v>
      </c>
      <c r="CI194" s="173" t="s">
        <v>3531</v>
      </c>
      <c r="CJ194" s="173" t="s">
        <v>368</v>
      </c>
      <c r="CK194" s="173" t="s">
        <v>6366</v>
      </c>
      <c r="CL194" s="173" t="s">
        <v>6367</v>
      </c>
      <c r="CM194" s="173" t="s">
        <v>3816</v>
      </c>
      <c r="CN194" s="250"/>
      <c r="CO194" s="250"/>
      <c r="CP194" s="250"/>
      <c r="CQ194" s="250"/>
      <c r="CR194" s="250"/>
      <c r="CS194" s="92"/>
      <c r="CT194" s="251" t="s">
        <v>6368</v>
      </c>
      <c r="CU194" s="251" t="s">
        <v>2257</v>
      </c>
      <c r="CV194" s="251" t="s">
        <v>1105</v>
      </c>
      <c r="CW194" s="251" t="s">
        <v>6369</v>
      </c>
      <c r="CX194" s="251" t="s">
        <v>6370</v>
      </c>
      <c r="CY194" s="251" t="s">
        <v>4494</v>
      </c>
      <c r="CZ194" s="251" t="s">
        <v>6371</v>
      </c>
      <c r="DA194" s="201" t="s">
        <v>3356</v>
      </c>
      <c r="DB194" s="251"/>
      <c r="DC194" s="251"/>
      <c r="DD194" s="251"/>
      <c r="DE194" s="251"/>
      <c r="DF194" s="252"/>
      <c r="DG194" s="253"/>
      <c r="DH194" s="253"/>
      <c r="DI194" s="253"/>
      <c r="DJ194" s="253"/>
      <c r="DK194" s="253" t="s">
        <v>5460</v>
      </c>
      <c r="DL194" s="202"/>
      <c r="DM194" s="202" t="s">
        <v>6372</v>
      </c>
      <c r="DN194" s="202" t="s">
        <v>3807</v>
      </c>
      <c r="DO194" s="202" t="s">
        <v>2997</v>
      </c>
      <c r="DP194" s="253"/>
      <c r="DQ194" s="253"/>
      <c r="DR194" s="253"/>
      <c r="DS194" s="253"/>
      <c r="DT194" s="253"/>
      <c r="DU194" s="253"/>
      <c r="DV194" s="253"/>
      <c r="DW194" s="253"/>
      <c r="DX194" s="253"/>
      <c r="DY194" s="253"/>
      <c r="DZ194" s="253"/>
      <c r="EA194" s="253"/>
      <c r="EB194" s="283"/>
    </row>
    <row r="195">
      <c r="A195" s="81" t="s">
        <v>6373</v>
      </c>
      <c r="B195" s="82" t="s">
        <v>6374</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1262</v>
      </c>
      <c r="D196" s="105" t="s">
        <v>1262</v>
      </c>
      <c r="E196" s="106" t="s">
        <v>1262</v>
      </c>
      <c r="F196" s="107" t="s">
        <v>1262</v>
      </c>
      <c r="G196" s="103" t="s">
        <v>3578</v>
      </c>
      <c r="H196" s="239"/>
      <c r="I196" s="163" t="s">
        <v>6379</v>
      </c>
      <c r="J196" s="163" t="s">
        <v>1299</v>
      </c>
      <c r="K196" s="163" t="s">
        <v>1059</v>
      </c>
      <c r="L196" s="163" t="s">
        <v>6380</v>
      </c>
      <c r="M196" s="163" t="s">
        <v>6381</v>
      </c>
      <c r="N196" s="163" t="s">
        <v>6382</v>
      </c>
      <c r="O196" s="163" t="s">
        <v>6383</v>
      </c>
      <c r="P196" s="163" t="s">
        <v>4606</v>
      </c>
      <c r="Q196" s="239"/>
      <c r="R196" s="239"/>
      <c r="S196" s="239"/>
      <c r="T196" s="239"/>
      <c r="U196" s="239"/>
      <c r="V196" s="239"/>
      <c r="W196" s="92"/>
      <c r="X196" s="193" t="s">
        <v>333</v>
      </c>
      <c r="Y196" s="193" t="s">
        <v>2168</v>
      </c>
      <c r="Z196" s="193" t="s">
        <v>3265</v>
      </c>
      <c r="AA196" s="193" t="s">
        <v>6384</v>
      </c>
      <c r="AB196" s="193" t="s">
        <v>6385</v>
      </c>
      <c r="AC196" s="193" t="s">
        <v>3227</v>
      </c>
      <c r="AD196" s="241"/>
      <c r="AE196" s="193" t="s">
        <v>6386</v>
      </c>
      <c r="AF196" s="193" t="s">
        <v>1361</v>
      </c>
      <c r="AG196" s="241"/>
      <c r="AH196" s="241"/>
      <c r="AI196" s="241"/>
      <c r="AJ196" s="241"/>
      <c r="AK196" s="96"/>
      <c r="AL196" s="164" t="s">
        <v>5052</v>
      </c>
      <c r="AM196" s="164" t="s">
        <v>1375</v>
      </c>
      <c r="AN196" s="164" t="s">
        <v>6387</v>
      </c>
      <c r="AO196" s="164" t="s">
        <v>6388</v>
      </c>
      <c r="AP196" s="164" t="s">
        <v>6389</v>
      </c>
      <c r="AQ196" s="164"/>
      <c r="AR196" s="164" t="s">
        <v>4708</v>
      </c>
      <c r="AS196" s="164" t="s">
        <v>6390</v>
      </c>
      <c r="AT196" s="164" t="s">
        <v>3784</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5948</v>
      </c>
      <c r="BI196" s="170"/>
      <c r="BJ196" s="170"/>
      <c r="BK196" s="170" t="s">
        <v>926</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5952</v>
      </c>
      <c r="CH196" s="173" t="s">
        <v>2809</v>
      </c>
      <c r="CI196" s="173" t="s">
        <v>6404</v>
      </c>
      <c r="CJ196" s="173" t="s">
        <v>4213</v>
      </c>
      <c r="CK196" s="173" t="s">
        <v>6405</v>
      </c>
      <c r="CL196" s="173" t="s">
        <v>197</v>
      </c>
      <c r="CM196" s="173" t="s">
        <v>1433</v>
      </c>
      <c r="CN196" s="250"/>
      <c r="CO196" s="250"/>
      <c r="CP196" s="250"/>
      <c r="CQ196" s="250"/>
      <c r="CR196" s="250"/>
      <c r="CS196" s="92"/>
      <c r="CT196" s="201" t="s">
        <v>6406</v>
      </c>
      <c r="CU196" s="201" t="s">
        <v>2025</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1262</v>
      </c>
      <c r="D197" s="84" t="s">
        <v>1262</v>
      </c>
      <c r="E197" s="85" t="s">
        <v>1262</v>
      </c>
      <c r="F197" s="86" t="s">
        <v>1262</v>
      </c>
      <c r="G197" s="82" t="s">
        <v>1204</v>
      </c>
      <c r="H197" s="98"/>
      <c r="I197" s="93" t="s">
        <v>6414</v>
      </c>
      <c r="J197" s="93" t="s">
        <v>6415</v>
      </c>
      <c r="K197" s="93" t="s">
        <v>1967</v>
      </c>
      <c r="L197" s="93" t="s">
        <v>6416</v>
      </c>
      <c r="M197" s="93" t="s">
        <v>6417</v>
      </c>
      <c r="N197" s="98"/>
      <c r="O197" s="98"/>
      <c r="P197" s="93" t="s">
        <v>199</v>
      </c>
      <c r="Q197" s="98"/>
      <c r="R197" s="98"/>
      <c r="S197" s="98"/>
      <c r="T197" s="98"/>
      <c r="U197" s="98"/>
      <c r="V197" s="98"/>
      <c r="W197" s="92"/>
      <c r="X197" s="98"/>
      <c r="Y197" s="98"/>
      <c r="Z197" s="93" t="s">
        <v>5575</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6420</v>
      </c>
      <c r="B198" s="103" t="s">
        <v>6421</v>
      </c>
      <c r="C198" s="104" t="s">
        <v>1262</v>
      </c>
      <c r="D198" s="105" t="s">
        <v>1262</v>
      </c>
      <c r="E198" s="106" t="s">
        <v>1262</v>
      </c>
      <c r="F198" s="107" t="s">
        <v>1262</v>
      </c>
      <c r="G198" s="103" t="s">
        <v>3982</v>
      </c>
      <c r="H198" s="163" t="s">
        <v>6422</v>
      </c>
      <c r="I198" s="163" t="s">
        <v>6423</v>
      </c>
      <c r="J198" s="163" t="s">
        <v>6424</v>
      </c>
      <c r="K198" s="163" t="s">
        <v>1620</v>
      </c>
      <c r="L198" s="163" t="s">
        <v>4000</v>
      </c>
      <c r="M198" s="163" t="s">
        <v>6425</v>
      </c>
      <c r="N198" s="163" t="s">
        <v>6426</v>
      </c>
      <c r="O198" s="163" t="s">
        <v>4407</v>
      </c>
      <c r="P198" s="163" t="s">
        <v>4673</v>
      </c>
      <c r="Q198" s="239"/>
      <c r="R198" s="239"/>
      <c r="S198" s="239"/>
      <c r="T198" s="239"/>
      <c r="U198" s="239"/>
      <c r="V198" s="239"/>
      <c r="W198" s="92"/>
      <c r="X198" s="193" t="s">
        <v>6427</v>
      </c>
      <c r="Y198" s="193" t="s">
        <v>1012</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1262</v>
      </c>
      <c r="D200" s="105" t="s">
        <v>1262</v>
      </c>
      <c r="E200" s="106" t="s">
        <v>1262</v>
      </c>
      <c r="F200" s="107" t="s">
        <v>1262</v>
      </c>
      <c r="G200" s="103" t="s">
        <v>2692</v>
      </c>
      <c r="H200" s="163"/>
      <c r="I200" s="163" t="s">
        <v>6436</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6437</v>
      </c>
      <c r="BE200" s="169"/>
      <c r="BF200" s="169"/>
      <c r="BG200" s="169"/>
      <c r="BH200" s="170" t="s">
        <v>4434</v>
      </c>
      <c r="BI200" s="169"/>
      <c r="BJ200" s="169"/>
      <c r="BK200" s="169"/>
      <c r="BL200" s="169"/>
      <c r="BM200" s="169"/>
      <c r="BN200" s="169"/>
      <c r="BO200" s="169"/>
      <c r="BP200" s="244"/>
      <c r="BQ200" s="247"/>
      <c r="BR200" s="171" t="s">
        <v>4835</v>
      </c>
      <c r="BS200" s="171" t="s">
        <v>6438</v>
      </c>
      <c r="BT200" s="171" t="s">
        <v>5397</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6441</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6445</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6448</v>
      </c>
      <c r="B205" s="82" t="s">
        <v>4591</v>
      </c>
      <c r="C205" s="83" t="s">
        <v>1262</v>
      </c>
      <c r="D205" s="84" t="s">
        <v>1262</v>
      </c>
      <c r="E205" s="85" t="s">
        <v>1262</v>
      </c>
      <c r="F205" s="86" t="s">
        <v>218</v>
      </c>
      <c r="G205" s="82" t="s">
        <v>218</v>
      </c>
      <c r="H205" s="463" t="s">
        <v>6449</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6450</v>
      </c>
      <c r="AP205" s="98"/>
      <c r="AQ205" s="98"/>
      <c r="AR205" s="98"/>
      <c r="AS205" s="98"/>
      <c r="AT205" s="98"/>
      <c r="AU205" s="98"/>
      <c r="AV205" s="98"/>
      <c r="AW205" s="98"/>
      <c r="AX205" s="463" t="s">
        <v>519</v>
      </c>
      <c r="AY205" s="98"/>
      <c r="AZ205" s="98"/>
      <c r="BA205" s="463" t="s">
        <v>6451</v>
      </c>
      <c r="BB205" s="98"/>
      <c r="BC205" s="463" t="s">
        <v>4721</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6453</v>
      </c>
      <c r="DP205" s="98"/>
      <c r="DQ205" s="98"/>
      <c r="DR205" s="98"/>
      <c r="DS205" s="98"/>
      <c r="DT205" s="98"/>
      <c r="DU205" s="98"/>
      <c r="DV205" s="98"/>
      <c r="DW205" s="98"/>
      <c r="DX205" s="98"/>
      <c r="DY205" s="98"/>
      <c r="DZ205" s="98"/>
      <c r="EA205" s="98"/>
      <c r="EB205" s="651" t="s">
        <v>1838</v>
      </c>
    </row>
    <row r="206">
      <c r="A206" s="102" t="s">
        <v>6454</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3896</v>
      </c>
      <c r="C207" s="83" t="s">
        <v>1262</v>
      </c>
      <c r="D207" s="84" t="s">
        <v>1262</v>
      </c>
      <c r="E207" s="85" t="s">
        <v>1262</v>
      </c>
      <c r="F207" s="86" t="s">
        <v>1262</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5094</v>
      </c>
      <c r="C209" s="83" t="s">
        <v>1262</v>
      </c>
      <c r="D209" s="84" t="s">
        <v>1262</v>
      </c>
      <c r="E209" s="85" t="s">
        <v>1262</v>
      </c>
      <c r="F209" s="86" t="s">
        <v>1262</v>
      </c>
      <c r="G209" s="82" t="s">
        <v>329</v>
      </c>
      <c r="H209" s="98"/>
      <c r="I209" s="93"/>
      <c r="J209" s="98"/>
      <c r="K209" s="93" t="s">
        <v>4923</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6462</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4103</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6138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1262</v>
      </c>
      <c r="D213" s="84" t="s">
        <v>1262</v>
      </c>
      <c r="E213" s="85" t="s">
        <v>1262</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3311</v>
      </c>
      <c r="C215" s="83" t="s">
        <v>1262</v>
      </c>
      <c r="D215" s="84" t="s">
        <v>1262</v>
      </c>
      <c r="E215" s="85" t="s">
        <v>1262</v>
      </c>
      <c r="F215" s="86" t="s">
        <v>1262</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X192"/>
    <hyperlink r:id="rId3969" ref="AA192"/>
    <hyperlink r:id="rId3970" ref="AB192"/>
    <hyperlink r:id="rId3971" ref="AF192"/>
    <hyperlink r:id="rId3972" ref="AT192"/>
    <hyperlink r:id="rId3973" ref="AU192"/>
    <hyperlink r:id="rId3974" ref="BE192"/>
    <hyperlink r:id="rId3975" ref="BQ192"/>
    <hyperlink r:id="rId3976" ref="BT192"/>
    <hyperlink r:id="rId3977" ref="BX192"/>
    <hyperlink r:id="rId3978" ref="CG192"/>
    <hyperlink r:id="rId3979" ref="CL192"/>
    <hyperlink r:id="rId3980" ref="CM192"/>
    <hyperlink r:id="rId3981" ref="CT192"/>
    <hyperlink r:id="rId3982" ref="CV192"/>
    <hyperlink r:id="rId3983" ref="CZ192"/>
    <hyperlink r:id="rId3984" ref="DQ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6476</v>
      </c>
      <c r="D1" s="686" t="s">
        <v>1557</v>
      </c>
      <c r="E1" s="687" t="s">
        <v>6477</v>
      </c>
      <c r="F1" s="688" t="s">
        <v>2891</v>
      </c>
      <c r="G1" s="686" t="s">
        <v>6478</v>
      </c>
      <c r="H1" s="686" t="s">
        <v>1060</v>
      </c>
      <c r="I1" s="687" t="s">
        <v>6479</v>
      </c>
      <c r="J1" s="686" t="s">
        <v>6480</v>
      </c>
      <c r="K1" s="686" t="s">
        <v>6481</v>
      </c>
      <c r="L1" s="687" t="s">
        <v>6482</v>
      </c>
      <c r="M1" s="686" t="s">
        <v>738</v>
      </c>
      <c r="N1" s="686" t="s">
        <v>6483</v>
      </c>
      <c r="O1" s="686" t="s">
        <v>986</v>
      </c>
      <c r="P1" s="689" t="s">
        <v>6484</v>
      </c>
      <c r="Q1" s="686" t="s">
        <v>1806</v>
      </c>
      <c r="R1" s="686" t="s">
        <v>6485</v>
      </c>
      <c r="S1" s="686" t="s">
        <v>6486</v>
      </c>
      <c r="T1" s="687" t="s">
        <v>6487</v>
      </c>
      <c r="U1" s="686" t="s">
        <v>6488</v>
      </c>
      <c r="V1" s="686" t="s">
        <v>2919</v>
      </c>
      <c r="W1" s="686" t="s">
        <v>6489</v>
      </c>
      <c r="X1" s="686" t="s">
        <v>3980</v>
      </c>
      <c r="Y1" s="686" t="s">
        <v>6490</v>
      </c>
      <c r="Z1" s="686" t="s">
        <v>6491</v>
      </c>
      <c r="AA1" s="686" t="s">
        <v>4059</v>
      </c>
      <c r="AB1" s="686" t="s">
        <v>6492</v>
      </c>
      <c r="AC1" s="686" t="s">
        <v>6493</v>
      </c>
      <c r="AD1" s="686" t="s">
        <v>6494</v>
      </c>
      <c r="AE1" s="686" t="s">
        <v>1202</v>
      </c>
      <c r="AF1" s="686" t="s">
        <v>215</v>
      </c>
      <c r="AG1" s="686" t="s">
        <v>1723</v>
      </c>
      <c r="AH1" s="686" t="s">
        <v>2079</v>
      </c>
      <c r="AI1" s="686" t="s">
        <v>6495</v>
      </c>
      <c r="AJ1" s="686" t="s">
        <v>6496</v>
      </c>
      <c r="AK1" s="686" t="s">
        <v>1952</v>
      </c>
      <c r="AL1" s="686" t="s">
        <v>6497</v>
      </c>
      <c r="AM1" s="686" t="s">
        <v>6498</v>
      </c>
      <c r="AN1" s="686" t="s">
        <v>6112</v>
      </c>
      <c r="AO1" s="686" t="s">
        <v>6499</v>
      </c>
      <c r="AP1" s="686" t="s">
        <v>6500</v>
      </c>
      <c r="AQ1" s="686" t="s">
        <v>5688</v>
      </c>
      <c r="AR1" s="686" t="s">
        <v>3212</v>
      </c>
      <c r="AS1" s="686" t="s">
        <v>6501</v>
      </c>
      <c r="AT1" s="686" t="s">
        <v>6502</v>
      </c>
      <c r="AU1" s="686" t="s">
        <v>3913</v>
      </c>
      <c r="AV1" s="686" t="s">
        <v>5385</v>
      </c>
      <c r="AW1" s="690" t="s">
        <v>4628</v>
      </c>
      <c r="AX1" s="686" t="s">
        <v>643</v>
      </c>
      <c r="AY1" s="686" t="s">
        <v>6503</v>
      </c>
      <c r="AZ1" s="687" t="s">
        <v>6504</v>
      </c>
      <c r="BA1" s="686" t="s">
        <v>6505</v>
      </c>
      <c r="BB1" s="686" t="s">
        <v>6506</v>
      </c>
      <c r="BC1" s="686" t="s">
        <v>1635</v>
      </c>
      <c r="BD1" s="690" t="s">
        <v>6473</v>
      </c>
      <c r="BE1" s="686" t="s">
        <v>826</v>
      </c>
      <c r="BF1" s="686" t="s">
        <v>6507</v>
      </c>
      <c r="BG1" s="686"/>
      <c r="BH1" s="691"/>
      <c r="BI1" s="691"/>
      <c r="BJ1" s="691"/>
    </row>
    <row r="2" ht="15.75" customHeight="1">
      <c r="A2" s="692" t="s">
        <v>6508</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5</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6509</v>
      </c>
      <c r="B4" s="702" t="s">
        <v>6510</v>
      </c>
      <c r="C4" s="703" t="s">
        <v>332</v>
      </c>
      <c r="D4" s="704" t="s">
        <v>912</v>
      </c>
      <c r="E4" s="705" t="s">
        <v>332</v>
      </c>
      <c r="F4" s="706"/>
      <c r="G4" s="707" t="s">
        <v>1263</v>
      </c>
      <c r="H4" s="708" t="s">
        <v>5796</v>
      </c>
      <c r="I4" s="708" t="str">
        <f>HYPERLINK("https://youtu.be/BAG8a3WI9KM","52.27")</f>
        <v>52.27</v>
      </c>
      <c r="J4" s="708" t="s">
        <v>2573</v>
      </c>
      <c r="K4" s="709" t="s">
        <v>1992</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6511</v>
      </c>
      <c r="B5" s="702" t="s">
        <v>6512</v>
      </c>
      <c r="C5" s="703" t="s">
        <v>6513</v>
      </c>
      <c r="D5" s="712" t="s">
        <v>6514</v>
      </c>
      <c r="E5" s="712" t="s">
        <v>6515</v>
      </c>
      <c r="F5" s="713"/>
      <c r="G5" s="707" t="s">
        <v>6516</v>
      </c>
      <c r="H5" s="712"/>
      <c r="I5" s="712" t="s">
        <v>6517</v>
      </c>
      <c r="J5" s="712"/>
      <c r="K5" s="712" t="s">
        <v>4881</v>
      </c>
      <c r="L5" s="712"/>
      <c r="M5" s="712"/>
      <c r="N5" s="712" t="s">
        <v>6518</v>
      </c>
      <c r="O5" s="712" t="str">
        <f>HYPERLINK("https://youtu.be/y9FQ4EcrohI", "1:21.52")</f>
        <v>1:21.52</v>
      </c>
      <c r="P5" s="710" t="s">
        <v>6519</v>
      </c>
      <c r="Q5" s="712"/>
      <c r="R5" s="712" t="s">
        <v>6513</v>
      </c>
      <c r="S5" s="712" t="s">
        <v>2537</v>
      </c>
      <c r="T5" s="712"/>
      <c r="U5" s="712"/>
      <c r="V5" s="712"/>
      <c r="W5" s="712"/>
      <c r="X5" s="712"/>
      <c r="Y5" s="712"/>
      <c r="Z5" s="712"/>
      <c r="AA5" s="712" t="s">
        <v>6520</v>
      </c>
      <c r="AB5" s="712"/>
      <c r="AC5" s="712"/>
      <c r="AD5" s="712" t="s">
        <v>6521</v>
      </c>
      <c r="AE5" s="712"/>
      <c r="AF5" s="712"/>
      <c r="AG5" s="712"/>
      <c r="AH5" s="712"/>
      <c r="AI5" s="712"/>
      <c r="AJ5" s="712"/>
      <c r="AK5" s="712"/>
      <c r="AL5" s="712"/>
      <c r="AM5" s="712"/>
      <c r="AN5" s="712" t="s">
        <v>6114</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6522</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6523</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6524</v>
      </c>
      <c r="Q7" s="709" t="s">
        <v>100</v>
      </c>
      <c r="R7" s="709"/>
      <c r="S7" s="709"/>
      <c r="T7" s="709"/>
      <c r="U7" s="709"/>
      <c r="V7" s="708" t="s">
        <v>6525</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6526</v>
      </c>
      <c r="B8" s="724" t="s">
        <v>6510</v>
      </c>
      <c r="C8" s="703" t="s">
        <v>6527</v>
      </c>
      <c r="D8" s="712" t="s">
        <v>2873</v>
      </c>
      <c r="E8" s="712" t="s">
        <v>6527</v>
      </c>
      <c r="F8" s="725" t="s">
        <v>1157</v>
      </c>
      <c r="G8" s="720"/>
      <c r="H8" s="712"/>
      <c r="I8" s="712" t="s">
        <v>1377</v>
      </c>
      <c r="J8" s="712"/>
      <c r="K8" s="712"/>
      <c r="L8" s="712" t="s">
        <v>1143</v>
      </c>
      <c r="M8" s="712" t="s">
        <v>1143</v>
      </c>
      <c r="N8" s="712" t="s">
        <v>6528</v>
      </c>
      <c r="O8" s="712"/>
      <c r="P8" s="710"/>
      <c r="Q8" s="712" t="s">
        <v>838</v>
      </c>
      <c r="R8" s="712" t="s">
        <v>3783</v>
      </c>
      <c r="S8" s="712" t="s">
        <v>6529</v>
      </c>
      <c r="T8" s="712" t="s">
        <v>6530</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6531</v>
      </c>
      <c r="B9" s="724" t="s">
        <v>6512</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2582</v>
      </c>
      <c r="AD9" s="726"/>
      <c r="AE9" s="726"/>
      <c r="AF9" s="726"/>
      <c r="AG9" s="726"/>
      <c r="AH9" s="726"/>
      <c r="AI9" s="726"/>
      <c r="AJ9" s="726"/>
      <c r="AK9" s="726"/>
      <c r="AL9" s="726"/>
      <c r="AM9" s="726"/>
      <c r="AN9" s="726" t="s">
        <v>6532</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6522</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6523</v>
      </c>
      <c r="C11" s="703" t="s">
        <v>6533</v>
      </c>
      <c r="D11" s="709"/>
      <c r="E11" s="708" t="s">
        <v>1244</v>
      </c>
      <c r="F11" s="728" t="s">
        <v>262</v>
      </c>
      <c r="G11" s="707" t="s">
        <v>2234</v>
      </c>
      <c r="H11" s="709"/>
      <c r="I11" s="709"/>
      <c r="J11" s="709"/>
      <c r="K11" s="709"/>
      <c r="L11" s="709"/>
      <c r="M11" s="709"/>
      <c r="N11" s="709"/>
      <c r="O11" s="708" t="s">
        <v>6533</v>
      </c>
      <c r="P11" s="710"/>
      <c r="Q11" s="709"/>
      <c r="R11" s="709"/>
      <c r="S11" s="709"/>
      <c r="T11" s="709"/>
      <c r="U11" s="709"/>
      <c r="V11" s="709"/>
      <c r="W11" s="709"/>
      <c r="X11" s="709"/>
      <c r="Y11" s="708" t="s">
        <v>6534</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6535</v>
      </c>
      <c r="B12" s="702" t="s">
        <v>6536</v>
      </c>
      <c r="C12" s="703" t="s">
        <v>2763</v>
      </c>
      <c r="D12" s="712" t="s">
        <v>1705</v>
      </c>
      <c r="E12" s="712" t="s">
        <v>2763</v>
      </c>
      <c r="F12" s="729" t="s">
        <v>6537</v>
      </c>
      <c r="G12" s="707" t="s">
        <v>6538</v>
      </c>
      <c r="H12" s="712"/>
      <c r="I12" s="712" t="s">
        <v>6539</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6540</v>
      </c>
      <c r="AB12" s="712"/>
      <c r="AC12" s="712"/>
      <c r="AD12" s="712"/>
      <c r="AE12" s="712"/>
      <c r="AF12" s="712"/>
      <c r="AG12" s="712"/>
      <c r="AH12" s="712"/>
      <c r="AI12" s="712"/>
      <c r="AJ12" s="712"/>
      <c r="AK12" s="712"/>
      <c r="AL12" s="712" t="s">
        <v>1961</v>
      </c>
      <c r="AM12" s="712"/>
      <c r="AN12" s="712" t="s">
        <v>6049</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6541</v>
      </c>
      <c r="C13" s="703" t="s">
        <v>4239</v>
      </c>
      <c r="D13" s="721" t="s">
        <v>1563</v>
      </c>
      <c r="E13" s="708" t="s">
        <v>334</v>
      </c>
      <c r="F13" s="725" t="s">
        <v>2893</v>
      </c>
      <c r="G13" s="707" t="s">
        <v>1265</v>
      </c>
      <c r="H13" s="708" t="s">
        <v>4239</v>
      </c>
      <c r="I13" s="709" t="s">
        <v>6542</v>
      </c>
      <c r="J13" s="708" t="s">
        <v>723</v>
      </c>
      <c r="K13" s="709"/>
      <c r="L13" s="709" t="s">
        <v>101</v>
      </c>
      <c r="M13" s="708" t="s">
        <v>2103</v>
      </c>
      <c r="N13" s="709" t="s">
        <v>6543</v>
      </c>
      <c r="O13" s="708" t="s">
        <v>6544</v>
      </c>
      <c r="P13" s="710" t="s">
        <v>2763</v>
      </c>
      <c r="Q13" s="709" t="s">
        <v>3801</v>
      </c>
      <c r="R13" s="709"/>
      <c r="S13" s="708" t="s">
        <v>6545</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t="s">
        <v>3868</v>
      </c>
      <c r="BG13" s="710"/>
      <c r="BH13" s="714"/>
      <c r="BI13" s="714"/>
      <c r="BJ13" s="714"/>
    </row>
    <row r="14" ht="15.75" customHeight="1">
      <c r="A14" s="723" t="s">
        <v>6526</v>
      </c>
      <c r="B14" s="731" t="s">
        <v>6536</v>
      </c>
      <c r="C14" s="703" t="s">
        <v>6121</v>
      </c>
      <c r="D14" s="712" t="s">
        <v>116</v>
      </c>
      <c r="E14" s="712" t="s">
        <v>6121</v>
      </c>
      <c r="F14" s="729" t="s">
        <v>6288</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2274</v>
      </c>
      <c r="R14" s="712" t="s">
        <v>3916</v>
      </c>
      <c r="S14" s="712"/>
      <c r="T14" s="712"/>
      <c r="U14" s="712" t="s">
        <v>5513</v>
      </c>
      <c r="V14" s="712"/>
      <c r="W14" s="712"/>
      <c r="X14" s="712" t="s">
        <v>4492</v>
      </c>
      <c r="Y14" s="712"/>
      <c r="Z14" s="712"/>
      <c r="AA14" s="712" t="s">
        <v>6288</v>
      </c>
      <c r="AB14" s="712"/>
      <c r="AC14" s="712"/>
      <c r="AD14" s="712" t="s">
        <v>659</v>
      </c>
      <c r="AE14" s="712" t="s">
        <v>6546</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6541</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2402</v>
      </c>
      <c r="Q15" s="712" t="s">
        <v>1880</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08" t="s">
        <v>1880</v>
      </c>
      <c r="BG15" s="710"/>
      <c r="BH15" s="714"/>
      <c r="BI15" s="714"/>
      <c r="BJ15" s="714"/>
    </row>
    <row r="16" ht="15.75" customHeight="1">
      <c r="A16" s="723" t="s">
        <v>6531</v>
      </c>
      <c r="B16" s="733" t="s">
        <v>6547</v>
      </c>
      <c r="C16" s="703" t="s">
        <v>6548</v>
      </c>
      <c r="D16" s="712" t="s">
        <v>5425</v>
      </c>
      <c r="E16" s="712"/>
      <c r="F16" s="729" t="s">
        <v>2141</v>
      </c>
      <c r="G16" s="720"/>
      <c r="H16" s="712"/>
      <c r="I16" s="712"/>
      <c r="J16" s="712"/>
      <c r="K16" s="712"/>
      <c r="L16" s="712"/>
      <c r="M16" s="712" t="s">
        <v>6548</v>
      </c>
      <c r="N16" s="712"/>
      <c r="O16" s="712"/>
      <c r="P16" s="710"/>
      <c r="Q16" s="712"/>
      <c r="R16" s="712"/>
      <c r="S16" s="712" t="s">
        <v>6549</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6550</v>
      </c>
      <c r="C17" s="703" t="s">
        <v>6551</v>
      </c>
      <c r="D17" s="709" t="s">
        <v>6552</v>
      </c>
      <c r="E17" s="708" t="s">
        <v>1099</v>
      </c>
      <c r="F17" s="728" t="s">
        <v>6553</v>
      </c>
      <c r="G17" s="707" t="s">
        <v>2215</v>
      </c>
      <c r="H17" s="709" t="s">
        <v>6554</v>
      </c>
      <c r="I17" s="709"/>
      <c r="J17" s="708" t="s">
        <v>6555</v>
      </c>
      <c r="K17" s="709"/>
      <c r="L17" s="709" t="s">
        <v>6555</v>
      </c>
      <c r="M17" s="709"/>
      <c r="N17" s="709"/>
      <c r="O17" s="708" t="s">
        <v>1916</v>
      </c>
      <c r="P17" s="710" t="s">
        <v>6556</v>
      </c>
      <c r="Q17" s="709" t="s">
        <v>6557</v>
      </c>
      <c r="R17" s="709"/>
      <c r="S17" s="709"/>
      <c r="T17" s="709" t="s">
        <v>6548</v>
      </c>
      <c r="U17" s="709"/>
      <c r="V17" s="709"/>
      <c r="W17" s="709" t="s">
        <v>6555</v>
      </c>
      <c r="X17" s="709"/>
      <c r="Y17" s="708" t="s">
        <v>1916</v>
      </c>
      <c r="Z17" s="709"/>
      <c r="AA17" s="709"/>
      <c r="AB17" s="709"/>
      <c r="AC17" s="709"/>
      <c r="AD17" s="709"/>
      <c r="AE17" s="709"/>
      <c r="AF17" s="708" t="s">
        <v>6551</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6558</v>
      </c>
      <c r="B18" s="702" t="s">
        <v>6559</v>
      </c>
      <c r="C18" s="703" t="s">
        <v>1784</v>
      </c>
      <c r="D18" s="712" t="s">
        <v>4660</v>
      </c>
      <c r="E18" s="712" t="s">
        <v>1176</v>
      </c>
      <c r="F18" s="713"/>
      <c r="G18" s="707" t="s">
        <v>4434</v>
      </c>
      <c r="H18" s="712"/>
      <c r="I18" s="712" t="s">
        <v>4191</v>
      </c>
      <c r="J18" s="712"/>
      <c r="K18" s="712" t="s">
        <v>6560</v>
      </c>
      <c r="L18" s="712"/>
      <c r="M18" s="712" t="s">
        <v>6561</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6562</v>
      </c>
      <c r="C19" s="703" t="s">
        <v>2799</v>
      </c>
      <c r="D19" s="712"/>
      <c r="E19" s="712" t="s">
        <v>883</v>
      </c>
      <c r="F19" s="706"/>
      <c r="G19" s="720"/>
      <c r="H19" s="712"/>
      <c r="I19" s="712"/>
      <c r="J19" s="712"/>
      <c r="K19" s="712" t="s">
        <v>6563</v>
      </c>
      <c r="L19" s="712"/>
      <c r="M19" s="712"/>
      <c r="N19" s="712"/>
      <c r="O19" s="712"/>
      <c r="P19" s="710"/>
      <c r="Q19" s="712" t="s">
        <v>6564</v>
      </c>
      <c r="R19" s="712" t="s">
        <v>6565</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6566</v>
      </c>
      <c r="C20" s="703" t="s">
        <v>6567</v>
      </c>
      <c r="D20" s="712" t="s">
        <v>1565</v>
      </c>
      <c r="E20" s="712" t="s">
        <v>6567</v>
      </c>
      <c r="F20" s="729" t="s">
        <v>1848</v>
      </c>
      <c r="G20" s="707" t="s">
        <v>1267</v>
      </c>
      <c r="H20" s="712" t="s">
        <v>4297</v>
      </c>
      <c r="I20" s="712" t="str">
        <f>HYPERLINK("https://clips.twitch.tv/EnergeticBeautifulMallardRalpherZ","42.96")</f>
        <v>42.96</v>
      </c>
      <c r="J20" s="712" t="s">
        <v>138</v>
      </c>
      <c r="K20" s="712" t="s">
        <v>1433</v>
      </c>
      <c r="L20" s="712" t="s">
        <v>624</v>
      </c>
      <c r="M20" s="712" t="s">
        <v>588</v>
      </c>
      <c r="N20" s="712" t="s">
        <v>1820</v>
      </c>
      <c r="O20" s="712" t="s">
        <v>654</v>
      </c>
      <c r="P20" s="710" t="s">
        <v>3315</v>
      </c>
      <c r="Q20" s="712" t="s">
        <v>1565</v>
      </c>
      <c r="R20" s="712"/>
      <c r="S20" s="712" t="s">
        <v>2540</v>
      </c>
      <c r="T20" s="712"/>
      <c r="U20" s="712" t="s">
        <v>6568</v>
      </c>
      <c r="V20" s="708" t="s">
        <v>2923</v>
      </c>
      <c r="W20" s="712" t="s">
        <v>550</v>
      </c>
      <c r="X20" s="712"/>
      <c r="Y20" s="712"/>
      <c r="Z20" s="712"/>
      <c r="AA20" s="712" t="s">
        <v>5111</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6569</v>
      </c>
      <c r="B21" s="702" t="s">
        <v>6570</v>
      </c>
      <c r="C21" s="734" t="s">
        <v>6571</v>
      </c>
      <c r="D21" s="735"/>
      <c r="E21" s="735"/>
      <c r="F21" s="706"/>
      <c r="G21" s="720"/>
      <c r="H21" s="735"/>
      <c r="I21" s="735"/>
      <c r="J21" s="735"/>
      <c r="K21" s="735"/>
      <c r="L21" s="735"/>
      <c r="M21" s="735"/>
      <c r="N21" s="735"/>
      <c r="O21" s="735"/>
      <c r="P21" s="736"/>
      <c r="Q21" s="735"/>
      <c r="R21" s="735"/>
      <c r="S21" s="735"/>
      <c r="T21" s="735"/>
      <c r="U21" s="735"/>
      <c r="V21" s="737" t="s">
        <v>6571</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6572</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6573</v>
      </c>
      <c r="C23" s="703" t="s">
        <v>6548</v>
      </c>
      <c r="D23" s="735"/>
      <c r="E23" s="735" t="s">
        <v>727</v>
      </c>
      <c r="F23" s="706"/>
      <c r="G23" s="720" t="s">
        <v>4143</v>
      </c>
      <c r="H23" s="735"/>
      <c r="I23" s="735"/>
      <c r="J23" s="735"/>
      <c r="K23" s="735"/>
      <c r="L23" s="735"/>
      <c r="M23" s="735"/>
      <c r="N23" s="735"/>
      <c r="O23" s="735"/>
      <c r="P23" s="736"/>
      <c r="Q23" s="735" t="s">
        <v>6574</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6575</v>
      </c>
      <c r="C24" s="703" t="s">
        <v>6576</v>
      </c>
      <c r="D24" s="712"/>
      <c r="E24" s="712" t="s">
        <v>3816</v>
      </c>
      <c r="F24" s="728" t="s">
        <v>4221</v>
      </c>
      <c r="G24" s="720"/>
      <c r="H24" s="712" t="s">
        <v>6577</v>
      </c>
      <c r="I24" s="712"/>
      <c r="J24" s="712"/>
      <c r="K24" s="712"/>
      <c r="L24" s="712" t="s">
        <v>784</v>
      </c>
      <c r="M24" s="712"/>
      <c r="N24" s="712"/>
      <c r="O24" s="712"/>
      <c r="P24" s="710"/>
      <c r="Q24" s="712" t="s">
        <v>2908</v>
      </c>
      <c r="R24" s="712"/>
      <c r="S24" s="712"/>
      <c r="T24" s="712"/>
      <c r="U24" s="712"/>
      <c r="V24" s="712"/>
      <c r="W24" s="712"/>
      <c r="X24" s="712"/>
      <c r="Y24" s="712" t="s">
        <v>6578</v>
      </c>
      <c r="Z24" s="712"/>
      <c r="AA24" s="712"/>
      <c r="AB24" s="712"/>
      <c r="AC24" s="712"/>
      <c r="AD24" s="712"/>
      <c r="AE24" s="712"/>
      <c r="AF24" s="712" t="s">
        <v>6576</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6579</v>
      </c>
      <c r="B25" s="702" t="s">
        <v>6580</v>
      </c>
      <c r="C25" s="703" t="s">
        <v>250</v>
      </c>
      <c r="D25" s="712"/>
      <c r="E25" s="712" t="s">
        <v>250</v>
      </c>
      <c r="F25" s="706"/>
      <c r="G25" s="720"/>
      <c r="H25" s="712"/>
      <c r="I25" s="712"/>
      <c r="J25" s="712"/>
      <c r="K25" s="712"/>
      <c r="L25" s="712"/>
      <c r="M25" s="712"/>
      <c r="N25" s="712" t="s">
        <v>6581</v>
      </c>
      <c r="O25" s="712"/>
      <c r="P25" s="710"/>
      <c r="Q25" s="712" t="s">
        <v>6582</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6583</v>
      </c>
      <c r="C26" s="703" t="s">
        <v>6584</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6585</v>
      </c>
      <c r="C27" s="703" t="s">
        <v>2766</v>
      </c>
      <c r="D27" s="708" t="s">
        <v>1567</v>
      </c>
      <c r="E27" s="712" t="s">
        <v>6586</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08" t="s">
        <v>6587</v>
      </c>
      <c r="BG27" s="710"/>
      <c r="BH27" s="711"/>
      <c r="BI27" s="711"/>
      <c r="BJ27" s="711"/>
    </row>
    <row r="28" ht="15.75" customHeight="1">
      <c r="A28" s="740"/>
      <c r="B28" s="730" t="s">
        <v>6588</v>
      </c>
      <c r="C28" s="703" t="s">
        <v>6589</v>
      </c>
      <c r="D28" s="712"/>
      <c r="E28" s="712" t="s">
        <v>6589</v>
      </c>
      <c r="F28" s="713"/>
      <c r="G28" s="707" t="s">
        <v>1269</v>
      </c>
      <c r="H28" s="712"/>
      <c r="I28" s="712"/>
      <c r="J28" s="712" t="s">
        <v>6590</v>
      </c>
      <c r="K28" s="712" t="s">
        <v>6591</v>
      </c>
      <c r="L28" s="712"/>
      <c r="M28" s="712"/>
      <c r="N28" s="712"/>
      <c r="O28" s="712" t="s">
        <v>6592</v>
      </c>
      <c r="P28" s="710" t="s">
        <v>6593</v>
      </c>
      <c r="Q28" s="712" t="s">
        <v>6594</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6526</v>
      </c>
      <c r="B29" s="724" t="s">
        <v>6595</v>
      </c>
      <c r="C29" s="703" t="s">
        <v>5300</v>
      </c>
      <c r="D29" s="712" t="s">
        <v>478</v>
      </c>
      <c r="E29" s="712" t="s">
        <v>5300</v>
      </c>
      <c r="F29" s="706"/>
      <c r="G29" s="707" t="s">
        <v>5467</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6596</v>
      </c>
      <c r="AR29" s="712"/>
      <c r="AS29" s="712"/>
      <c r="AT29" s="712"/>
      <c r="AU29" s="712"/>
      <c r="AV29" s="712"/>
      <c r="AW29" s="711"/>
      <c r="AX29" s="712"/>
      <c r="AY29" s="712"/>
      <c r="AZ29" s="712"/>
      <c r="BA29" s="712"/>
      <c r="BB29" s="712"/>
      <c r="BC29" s="712"/>
      <c r="BD29" s="711"/>
      <c r="BE29" s="712"/>
      <c r="BF29" s="708" t="s">
        <v>369</v>
      </c>
      <c r="BG29" s="710"/>
      <c r="BH29" s="711"/>
      <c r="BI29" s="711"/>
      <c r="BJ29" s="711"/>
    </row>
    <row r="30" ht="15.75" customHeight="1">
      <c r="A30" s="740"/>
      <c r="B30" s="730" t="s">
        <v>6597</v>
      </c>
      <c r="C30" s="703" t="s">
        <v>2829</v>
      </c>
      <c r="D30" s="712"/>
      <c r="E30" s="712" t="s">
        <v>2829</v>
      </c>
      <c r="F30" s="713"/>
      <c r="G30" s="720"/>
      <c r="H30" s="712"/>
      <c r="I30" s="712"/>
      <c r="J30" s="712"/>
      <c r="K30" s="712" t="s">
        <v>6598</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6599</v>
      </c>
      <c r="C31" s="703" t="s">
        <v>4230</v>
      </c>
      <c r="D31" s="712"/>
      <c r="E31" s="712" t="s">
        <v>1894</v>
      </c>
      <c r="F31" s="741" t="s">
        <v>6598</v>
      </c>
      <c r="G31" s="720"/>
      <c r="H31" s="712"/>
      <c r="I31" s="712" t="s">
        <v>4844</v>
      </c>
      <c r="J31" s="712" t="s">
        <v>771</v>
      </c>
      <c r="K31" s="712" t="s">
        <v>3475</v>
      </c>
      <c r="L31" s="712"/>
      <c r="M31" s="712" t="s">
        <v>1449</v>
      </c>
      <c r="N31" s="712" t="s">
        <v>6598</v>
      </c>
      <c r="O31" s="712"/>
      <c r="P31" s="710"/>
      <c r="Q31" s="712"/>
      <c r="R31" s="712"/>
      <c r="S31" s="712"/>
      <c r="T31" s="712"/>
      <c r="U31" s="712"/>
      <c r="V31" s="712"/>
      <c r="W31" s="712"/>
      <c r="X31" s="712" t="s">
        <v>449</v>
      </c>
      <c r="Y31" s="712"/>
      <c r="Z31" s="712"/>
      <c r="AA31" s="712" t="s">
        <v>6600</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6601</v>
      </c>
      <c r="C32" s="703" t="s">
        <v>1971</v>
      </c>
      <c r="D32" s="712"/>
      <c r="E32" s="712" t="s">
        <v>1429</v>
      </c>
      <c r="F32" s="713"/>
      <c r="G32" s="707" t="s">
        <v>110</v>
      </c>
      <c r="H32" s="712"/>
      <c r="I32" s="712" t="s">
        <v>1894</v>
      </c>
      <c r="J32" s="712" t="s">
        <v>1971</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6602</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6603</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6604</v>
      </c>
      <c r="C35" s="703" t="s">
        <v>3674</v>
      </c>
      <c r="D35" s="712"/>
      <c r="E35" s="712" t="s">
        <v>3475</v>
      </c>
      <c r="F35" s="706"/>
      <c r="G35" s="720"/>
      <c r="H35" s="712"/>
      <c r="I35" s="712"/>
      <c r="J35" s="712" t="s">
        <v>3674</v>
      </c>
      <c r="K35" s="712" t="s">
        <v>3804</v>
      </c>
      <c r="L35" s="712"/>
      <c r="M35" s="712" t="s">
        <v>5267</v>
      </c>
      <c r="N35" s="712"/>
      <c r="O35" s="712"/>
      <c r="P35" s="710"/>
      <c r="Q35" s="712" t="s">
        <v>6605</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6606</v>
      </c>
      <c r="C36" s="703" t="s">
        <v>2958</v>
      </c>
      <c r="D36" s="712"/>
      <c r="E36" s="712" t="s">
        <v>3777</v>
      </c>
      <c r="F36" s="713"/>
      <c r="G36" s="720"/>
      <c r="H36" s="712"/>
      <c r="I36" s="712"/>
      <c r="J36" s="712" t="s">
        <v>2958</v>
      </c>
      <c r="K36" s="712" t="s">
        <v>6607</v>
      </c>
      <c r="L36" s="712" t="s">
        <v>2267</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6608</v>
      </c>
      <c r="C37" s="703" t="s">
        <v>2311</v>
      </c>
      <c r="D37" s="712" t="s">
        <v>1568</v>
      </c>
      <c r="E37" s="712" t="s">
        <v>3674</v>
      </c>
      <c r="F37" s="741" t="s">
        <v>2811</v>
      </c>
      <c r="G37" s="720"/>
      <c r="H37" s="712"/>
      <c r="I37" s="712" t="s">
        <v>6609</v>
      </c>
      <c r="J37" s="712" t="s">
        <v>2311</v>
      </c>
      <c r="K37" s="712" t="s">
        <v>2267</v>
      </c>
      <c r="L37" s="712"/>
      <c r="M37" s="712" t="s">
        <v>6607</v>
      </c>
      <c r="N37" s="712"/>
      <c r="O37" s="712"/>
      <c r="P37" s="710"/>
      <c r="Q37" s="712" t="s">
        <v>1745</v>
      </c>
      <c r="R37" s="712"/>
      <c r="S37" s="712"/>
      <c r="T37" s="712"/>
      <c r="U37" s="712" t="s">
        <v>5746</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6610</v>
      </c>
      <c r="C38" s="703" t="s">
        <v>761</v>
      </c>
      <c r="D38" s="712"/>
      <c r="E38" s="712" t="s">
        <v>3868</v>
      </c>
      <c r="F38" s="725" t="s">
        <v>2700</v>
      </c>
      <c r="G38" s="707" t="s">
        <v>3688</v>
      </c>
      <c r="H38" s="712" t="s">
        <v>761</v>
      </c>
      <c r="I38" s="712" t="s">
        <v>1961</v>
      </c>
      <c r="J38" s="712" t="s">
        <v>1139</v>
      </c>
      <c r="K38" s="712" t="s">
        <v>4814</v>
      </c>
      <c r="L38" s="712"/>
      <c r="M38" s="712"/>
      <c r="N38" s="712"/>
      <c r="O38" s="712" t="s">
        <v>1961</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6531</v>
      </c>
      <c r="B39" s="724" t="s">
        <v>6611</v>
      </c>
      <c r="C39" s="703" t="s">
        <v>4284</v>
      </c>
      <c r="D39" s="712" t="s">
        <v>6612</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6613</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6614</v>
      </c>
      <c r="C40" s="703" t="s">
        <v>2530</v>
      </c>
      <c r="D40" s="712" t="s">
        <v>2960</v>
      </c>
      <c r="E40" s="712" t="s">
        <v>3559</v>
      </c>
      <c r="F40" s="725" t="s">
        <v>4539</v>
      </c>
      <c r="G40" s="707" t="s">
        <v>710</v>
      </c>
      <c r="H40" s="712" t="s">
        <v>6615</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6616</v>
      </c>
      <c r="B41" s="702" t="s">
        <v>6617</v>
      </c>
      <c r="C41" s="703" t="s">
        <v>1001</v>
      </c>
      <c r="D41" s="712" t="s">
        <v>5198</v>
      </c>
      <c r="E41" s="712" t="s">
        <v>6618</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6619</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08" t="s">
        <v>4658</v>
      </c>
      <c r="BG42" s="710"/>
      <c r="BH42" s="714"/>
      <c r="BI42" s="714"/>
      <c r="BJ42" s="714"/>
    </row>
    <row r="43" ht="15.75" customHeight="1">
      <c r="A43" s="701" t="s">
        <v>6620</v>
      </c>
      <c r="B43" s="702" t="s">
        <v>6621</v>
      </c>
      <c r="C43" s="703" t="s">
        <v>4889</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6622</v>
      </c>
      <c r="B44" s="702" t="s">
        <v>6623</v>
      </c>
      <c r="C44" s="703" t="s">
        <v>2426</v>
      </c>
      <c r="D44" s="746" t="s">
        <v>1361</v>
      </c>
      <c r="E44" s="712" t="s">
        <v>2426</v>
      </c>
      <c r="F44" s="706"/>
      <c r="G44" s="720"/>
      <c r="H44" s="712"/>
      <c r="I44" s="712" t="str">
        <f>HYPERLINK("https://youtu.be/t-1yqXLdZMA","38.05")</f>
        <v>38.05</v>
      </c>
      <c r="J44" s="712" t="s">
        <v>6624</v>
      </c>
      <c r="K44" s="712" t="s">
        <v>2269</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6625</v>
      </c>
      <c r="B45" s="724" t="s">
        <v>6623</v>
      </c>
      <c r="C45" s="747" t="s">
        <v>6626</v>
      </c>
      <c r="D45" s="748" t="s">
        <v>6626</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6627</v>
      </c>
      <c r="B46" s="702" t="s">
        <v>6623</v>
      </c>
      <c r="C46" s="703" t="s">
        <v>3270</v>
      </c>
      <c r="D46" s="721" t="s">
        <v>646</v>
      </c>
      <c r="E46" s="712" t="s">
        <v>2778</v>
      </c>
      <c r="F46" s="706"/>
      <c r="G46" s="720"/>
      <c r="H46" s="712"/>
      <c r="I46" s="712" t="s">
        <v>1726</v>
      </c>
      <c r="J46" s="712"/>
      <c r="K46" s="712" t="s">
        <v>2243</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6628</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6629</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6630</v>
      </c>
      <c r="C49" s="703" t="s">
        <v>5298</v>
      </c>
      <c r="D49" s="748" t="s">
        <v>6065</v>
      </c>
      <c r="E49" s="710"/>
      <c r="F49" s="713"/>
      <c r="G49" s="720"/>
      <c r="H49" s="710"/>
      <c r="I49" s="749" t="s">
        <v>5298</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6625</v>
      </c>
      <c r="B50" s="724" t="s">
        <v>6623</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6631</v>
      </c>
      <c r="C51" s="751" t="s">
        <v>6632</v>
      </c>
      <c r="D51" s="748" t="s">
        <v>6633</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6632</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6510</v>
      </c>
      <c r="C52" s="703" t="s">
        <v>346</v>
      </c>
      <c r="D52" s="721" t="s">
        <v>6634</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6635</v>
      </c>
      <c r="B54" s="759" t="s">
        <v>6636</v>
      </c>
      <c r="C54" s="747" t="s">
        <v>1842</v>
      </c>
      <c r="D54" s="712"/>
      <c r="E54" s="712" t="s">
        <v>1483</v>
      </c>
      <c r="F54" s="706"/>
      <c r="G54" s="707" t="s">
        <v>1945</v>
      </c>
      <c r="H54" s="712"/>
      <c r="I54" s="712" t="s">
        <v>6140</v>
      </c>
      <c r="J54" s="712" t="s">
        <v>1842</v>
      </c>
      <c r="K54" s="712" t="s">
        <v>4584</v>
      </c>
      <c r="L54" s="712" t="s">
        <v>912</v>
      </c>
      <c r="M54" s="712" t="s">
        <v>752</v>
      </c>
      <c r="N54" s="712" t="s">
        <v>2981</v>
      </c>
      <c r="O54" s="712"/>
      <c r="P54" s="710" t="s">
        <v>3409</v>
      </c>
      <c r="Q54" s="712" t="s">
        <v>1140</v>
      </c>
      <c r="R54" s="712" t="s">
        <v>6637</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6638</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5724</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6639</v>
      </c>
      <c r="C56" s="747">
        <v>52.89</v>
      </c>
      <c r="D56" s="765" t="s">
        <v>4597</v>
      </c>
      <c r="E56" s="766"/>
      <c r="F56" s="706"/>
      <c r="G56" s="720"/>
      <c r="H56" s="766"/>
      <c r="I56" s="766"/>
      <c r="J56" s="766"/>
      <c r="K56" s="766"/>
      <c r="L56" s="766"/>
      <c r="M56" s="766"/>
      <c r="N56" s="767" t="s">
        <v>6640</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6641</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6531</v>
      </c>
      <c r="B58" s="769" t="s">
        <v>6636</v>
      </c>
      <c r="C58" s="747" t="s">
        <v>3700</v>
      </c>
      <c r="D58" s="765"/>
      <c r="E58" s="765" t="s">
        <v>5072</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6638</v>
      </c>
      <c r="C59" s="747" t="s">
        <v>466</v>
      </c>
      <c r="D59" s="765"/>
      <c r="E59" s="765" t="s">
        <v>6642</v>
      </c>
      <c r="F59" s="770"/>
      <c r="G59" s="720"/>
      <c r="H59" s="765" t="s">
        <v>466</v>
      </c>
      <c r="I59" s="765"/>
      <c r="J59" s="765"/>
      <c r="K59" s="765"/>
      <c r="L59" s="765"/>
      <c r="M59" s="765"/>
      <c r="N59" s="765"/>
      <c r="O59" s="765"/>
      <c r="P59" s="710" t="s">
        <v>6643</v>
      </c>
      <c r="Q59" s="765" t="s">
        <v>2142</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6639</v>
      </c>
      <c r="C60" s="747" t="s">
        <v>1371</v>
      </c>
      <c r="D60" s="765" t="s">
        <v>4966</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6641</v>
      </c>
      <c r="C61" s="747" t="s">
        <v>412</v>
      </c>
      <c r="D61" s="765"/>
      <c r="E61" s="765" t="s">
        <v>135</v>
      </c>
      <c r="F61" s="771" t="s">
        <v>3230</v>
      </c>
      <c r="G61" s="707" t="s">
        <v>6644</v>
      </c>
      <c r="H61" s="707" t="s">
        <v>619</v>
      </c>
      <c r="I61" s="765"/>
      <c r="J61" s="765"/>
      <c r="K61" s="765"/>
      <c r="L61" s="765"/>
      <c r="M61" s="765"/>
      <c r="N61" s="765"/>
      <c r="O61" s="707" t="s">
        <v>3843</v>
      </c>
      <c r="P61" s="710" t="s">
        <v>6645</v>
      </c>
      <c r="Q61" s="765" t="s">
        <v>6564</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6526</v>
      </c>
      <c r="B62" s="773" t="s">
        <v>6510</v>
      </c>
      <c r="C62" s="747" t="s">
        <v>4118</v>
      </c>
      <c r="D62" s="714"/>
      <c r="E62" s="714"/>
      <c r="F62" s="729" t="s">
        <v>6646</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6647</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6511</v>
      </c>
      <c r="B64" s="759" t="s">
        <v>6510</v>
      </c>
      <c r="C64" s="777" t="s">
        <v>2612</v>
      </c>
      <c r="D64" s="744" t="s">
        <v>6648</v>
      </c>
      <c r="E64" s="744"/>
      <c r="F64" s="778" t="s">
        <v>2612</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6526</v>
      </c>
      <c r="B65" s="769" t="s">
        <v>6649</v>
      </c>
      <c r="C65" s="747" t="s">
        <v>3671</v>
      </c>
      <c r="D65" s="744"/>
      <c r="E65" s="744"/>
      <c r="F65" s="706"/>
      <c r="G65" s="720"/>
      <c r="H65" s="707">
        <v>35.06</v>
      </c>
      <c r="I65" s="744"/>
      <c r="J65" s="744"/>
      <c r="K65" s="744"/>
      <c r="L65" s="744"/>
      <c r="M65" s="744"/>
      <c r="N65" s="744"/>
      <c r="O65" s="744"/>
      <c r="P65" s="745"/>
      <c r="Q65" s="744"/>
      <c r="R65" s="744"/>
      <c r="S65" s="744"/>
      <c r="T65" s="744"/>
      <c r="U65" s="744"/>
      <c r="V65" s="744" t="s">
        <v>6650</v>
      </c>
      <c r="W65" s="744"/>
      <c r="X65" s="744"/>
      <c r="Y65" s="744"/>
      <c r="Z65" s="744"/>
      <c r="AA65" s="744"/>
      <c r="AB65" s="744"/>
      <c r="AC65" s="744"/>
      <c r="AD65" s="744"/>
      <c r="AE65" s="744"/>
      <c r="AF65" s="744"/>
      <c r="AG65" s="744"/>
      <c r="AH65" s="744"/>
      <c r="AI65" s="744"/>
      <c r="AJ65" s="744"/>
      <c r="AK65" s="744"/>
      <c r="AL65" s="744"/>
      <c r="AM65" s="744"/>
      <c r="AN65" s="744"/>
      <c r="AO65" s="705" t="s">
        <v>6651</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6652</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6653</v>
      </c>
      <c r="C67" s="781" t="s">
        <v>2942</v>
      </c>
      <c r="D67" s="710" t="s">
        <v>6564</v>
      </c>
      <c r="E67" s="710"/>
      <c r="F67" s="729" t="s">
        <v>2942</v>
      </c>
      <c r="G67" s="720"/>
      <c r="H67" s="749" t="s">
        <v>1256</v>
      </c>
      <c r="I67" s="710"/>
      <c r="J67" s="710"/>
      <c r="K67" s="710"/>
      <c r="L67" s="710"/>
      <c r="M67" s="710"/>
      <c r="N67" s="710"/>
      <c r="O67" s="710"/>
      <c r="P67" s="710"/>
      <c r="Q67" s="710"/>
      <c r="R67" s="708" t="s">
        <v>6646</v>
      </c>
      <c r="S67" s="710"/>
      <c r="T67" s="710"/>
      <c r="U67" s="710"/>
      <c r="V67" s="708" t="s">
        <v>6654</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6531</v>
      </c>
      <c r="B68" s="769" t="s">
        <v>6649</v>
      </c>
      <c r="C68" s="751" t="s">
        <v>1033</v>
      </c>
      <c r="D68" s="710" t="s">
        <v>4200</v>
      </c>
      <c r="E68" s="710"/>
      <c r="F68" s="706"/>
      <c r="G68" s="720"/>
      <c r="H68" s="710"/>
      <c r="I68" s="710"/>
      <c r="J68" s="749" t="s">
        <v>6226</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6655</v>
      </c>
      <c r="C69" s="747" t="s">
        <v>2322</v>
      </c>
      <c r="D69" s="712" t="s">
        <v>2348</v>
      </c>
      <c r="E69" s="712" t="s">
        <v>3509</v>
      </c>
      <c r="F69" s="778" t="s">
        <v>3022</v>
      </c>
      <c r="G69" s="720"/>
      <c r="H69" s="712" t="s">
        <v>571</v>
      </c>
      <c r="I69" s="712"/>
      <c r="J69" s="712" t="s">
        <v>6656</v>
      </c>
      <c r="K69" s="712"/>
      <c r="L69" s="712"/>
      <c r="M69" s="712" t="s">
        <v>3509</v>
      </c>
      <c r="N69" s="712"/>
      <c r="O69" s="712"/>
      <c r="P69" s="710"/>
      <c r="Q69" s="712"/>
      <c r="R69" s="712"/>
      <c r="S69" s="712"/>
      <c r="T69" s="712" t="s">
        <v>2776</v>
      </c>
      <c r="U69" s="712"/>
      <c r="V69" s="712"/>
      <c r="W69" s="712" t="s">
        <v>3306</v>
      </c>
      <c r="X69" s="712" t="s">
        <v>5008</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6657</v>
      </c>
      <c r="B70" s="759" t="s">
        <v>6658</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6042</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6659</v>
      </c>
      <c r="C71" s="747" t="s">
        <v>4067</v>
      </c>
      <c r="D71" s="712" t="s">
        <v>527</v>
      </c>
      <c r="E71" s="712"/>
      <c r="F71" s="778" t="s">
        <v>3189</v>
      </c>
      <c r="G71" s="707" t="s">
        <v>2172</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6660</v>
      </c>
      <c r="C72" s="747" t="s">
        <v>659</v>
      </c>
      <c r="D72" s="712" t="s">
        <v>1277</v>
      </c>
      <c r="E72" s="744" t="s">
        <v>913</v>
      </c>
      <c r="F72" s="729" t="s">
        <v>4821</v>
      </c>
      <c r="G72" s="707" t="s">
        <v>1277</v>
      </c>
      <c r="H72" s="744" t="s">
        <v>1213</v>
      </c>
      <c r="I72" s="744" t="s">
        <v>1432</v>
      </c>
      <c r="J72" s="744" t="s">
        <v>4296</v>
      </c>
      <c r="K72" s="744" t="s">
        <v>3055</v>
      </c>
      <c r="L72" s="744" t="s">
        <v>6661</v>
      </c>
      <c r="M72" s="744" t="s">
        <v>5723</v>
      </c>
      <c r="N72" s="744" t="s">
        <v>355</v>
      </c>
      <c r="O72" s="744" t="s">
        <v>6662</v>
      </c>
      <c r="P72" s="745"/>
      <c r="Q72" s="744" t="s">
        <v>1886</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6663</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6664</v>
      </c>
      <c r="B73" s="759" t="s">
        <v>6665</v>
      </c>
      <c r="C73" s="747" t="s">
        <v>2157</v>
      </c>
      <c r="D73" s="712"/>
      <c r="E73" s="712" t="s">
        <v>2157</v>
      </c>
      <c r="F73" s="764"/>
      <c r="G73" s="707" t="s">
        <v>6440</v>
      </c>
      <c r="H73" s="712"/>
      <c r="I73" s="712" t="s">
        <v>6666</v>
      </c>
      <c r="J73" s="712"/>
      <c r="K73" s="712" t="s">
        <v>6073</v>
      </c>
      <c r="L73" s="712"/>
      <c r="M73" s="712"/>
      <c r="N73" s="712" t="s">
        <v>6667</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6668</v>
      </c>
      <c r="C74" s="747" t="s">
        <v>350</v>
      </c>
      <c r="D74" s="712" t="s">
        <v>1482</v>
      </c>
      <c r="E74" s="712" t="s">
        <v>350</v>
      </c>
      <c r="F74" s="722" t="s">
        <v>2897</v>
      </c>
      <c r="G74" s="707" t="s">
        <v>1278</v>
      </c>
      <c r="H74" s="712" t="s">
        <v>1544</v>
      </c>
      <c r="I74" s="712" t="s">
        <v>1433</v>
      </c>
      <c r="J74" s="712" t="s">
        <v>4924</v>
      </c>
      <c r="K74" s="712" t="s">
        <v>6669</v>
      </c>
      <c r="L74" s="712" t="s">
        <v>914</v>
      </c>
      <c r="M74" s="712" t="s">
        <v>754</v>
      </c>
      <c r="N74" s="712" t="s">
        <v>1364</v>
      </c>
      <c r="O74" s="712" t="s">
        <v>2319</v>
      </c>
      <c r="P74" s="710" t="s">
        <v>3808</v>
      </c>
      <c r="Q74" s="712" t="s">
        <v>6670</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6526</v>
      </c>
      <c r="B75" s="769" t="s">
        <v>6671</v>
      </c>
      <c r="C75" s="751" t="s">
        <v>6672</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6672</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6673</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6674</v>
      </c>
      <c r="C77" s="747" t="s">
        <v>6009</v>
      </c>
      <c r="D77" s="712" t="s">
        <v>1574</v>
      </c>
      <c r="E77" s="712" t="s">
        <v>755</v>
      </c>
      <c r="F77" s="722" t="s">
        <v>2898</v>
      </c>
      <c r="G77" s="707" t="s">
        <v>1279</v>
      </c>
      <c r="H77" s="712" t="s">
        <v>6009</v>
      </c>
      <c r="I77" s="712" t="str">
        <f>HYPERLINK("https://www.youtube.com/watch?v=Imyo7x5mfG4&amp;feature=youtu.be","30.15")</f>
        <v>30.15</v>
      </c>
      <c r="J77" s="712" t="s">
        <v>1650</v>
      </c>
      <c r="K77" s="712" t="s">
        <v>1891</v>
      </c>
      <c r="L77" s="712" t="s">
        <v>118</v>
      </c>
      <c r="M77" s="712" t="s">
        <v>755</v>
      </c>
      <c r="N77" s="712" t="s">
        <v>118</v>
      </c>
      <c r="O77" s="712" t="s">
        <v>1004</v>
      </c>
      <c r="P77" s="710" t="s">
        <v>3356</v>
      </c>
      <c r="Q77" s="712" t="s">
        <v>4956</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6675</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6531</v>
      </c>
      <c r="B78" s="769" t="s">
        <v>6665</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6676</v>
      </c>
      <c r="C79" s="747" t="s">
        <v>2723</v>
      </c>
      <c r="D79" s="712" t="s">
        <v>2526</v>
      </c>
      <c r="E79" s="712" t="s">
        <v>2424</v>
      </c>
      <c r="F79" s="741" t="s">
        <v>4080</v>
      </c>
      <c r="G79" s="707" t="s">
        <v>6677</v>
      </c>
      <c r="H79" s="712"/>
      <c r="I79" s="712"/>
      <c r="J79" s="712"/>
      <c r="K79" s="712"/>
      <c r="L79" s="712"/>
      <c r="M79" s="712" t="s">
        <v>6678</v>
      </c>
      <c r="N79" s="712"/>
      <c r="O79" s="712"/>
      <c r="P79" s="710" t="s">
        <v>6679</v>
      </c>
      <c r="Q79" s="712"/>
      <c r="R79" s="712"/>
      <c r="S79" s="712" t="s">
        <v>3908</v>
      </c>
      <c r="T79" s="712"/>
      <c r="U79" s="712"/>
      <c r="V79" s="712"/>
      <c r="W79" s="712" t="s">
        <v>6679</v>
      </c>
      <c r="X79" s="712" t="s">
        <v>2073</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6680</v>
      </c>
      <c r="C80" s="747" t="s">
        <v>3004</v>
      </c>
      <c r="D80" s="765"/>
      <c r="E80" s="765"/>
      <c r="F80" s="764"/>
      <c r="G80" s="720"/>
      <c r="H80" s="782" t="s">
        <v>3004</v>
      </c>
      <c r="I80" s="765"/>
      <c r="J80" s="765"/>
      <c r="K80" s="765"/>
      <c r="L80" s="765"/>
      <c r="M80" s="765"/>
      <c r="N80" s="765"/>
      <c r="O80" s="765" t="s">
        <v>3004</v>
      </c>
      <c r="P80" s="710" t="s">
        <v>4901</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6569</v>
      </c>
      <c r="B81" s="759" t="s">
        <v>6681</v>
      </c>
      <c r="C81" s="747" t="s">
        <v>2214</v>
      </c>
      <c r="D81" s="712"/>
      <c r="E81" s="712" t="s">
        <v>2214</v>
      </c>
      <c r="F81" s="764"/>
      <c r="G81" s="707" t="s">
        <v>6682</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6683</v>
      </c>
      <c r="C82" s="747" t="s">
        <v>2613</v>
      </c>
      <c r="D82" s="712" t="s">
        <v>3545</v>
      </c>
      <c r="E82" s="712" t="s">
        <v>2613</v>
      </c>
      <c r="F82" s="706"/>
      <c r="G82" s="720"/>
      <c r="H82" s="712"/>
      <c r="I82" s="712"/>
      <c r="J82" s="712"/>
      <c r="K82" s="712" t="s">
        <v>6684</v>
      </c>
      <c r="L82" s="712" t="s">
        <v>5119</v>
      </c>
      <c r="M82" s="712"/>
      <c r="N82" s="712" t="str">
        <f>HYPERLINK("https://youtu.be/HUwmtKe7cOY","56.54")</f>
        <v>56.54</v>
      </c>
      <c r="O82" s="712"/>
      <c r="P82" s="710" t="s">
        <v>3687</v>
      </c>
      <c r="Q82" s="712"/>
      <c r="R82" s="712"/>
      <c r="S82" s="712"/>
      <c r="T82" s="712"/>
      <c r="U82" s="712" t="s">
        <v>2275</v>
      </c>
      <c r="V82" s="712" t="s">
        <v>6685</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6686</v>
      </c>
      <c r="C83" s="747" t="s">
        <v>955</v>
      </c>
      <c r="D83" s="712" t="s">
        <v>1575</v>
      </c>
      <c r="E83" s="712" t="s">
        <v>5465</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6687</v>
      </c>
      <c r="B84" s="759" t="s">
        <v>6688</v>
      </c>
      <c r="C84" s="747" t="s">
        <v>3442</v>
      </c>
      <c r="D84" s="712"/>
      <c r="E84" s="712" t="s">
        <v>6689</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6690</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6691</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6692</v>
      </c>
      <c r="C86" s="747" t="s">
        <v>6409</v>
      </c>
      <c r="D86" s="765"/>
      <c r="E86" s="765" t="s">
        <v>6693</v>
      </c>
      <c r="F86" s="706"/>
      <c r="G86" s="707" t="s">
        <v>1281</v>
      </c>
      <c r="H86" s="765" t="s">
        <v>1078</v>
      </c>
      <c r="I86" s="765" t="s">
        <v>3059</v>
      </c>
      <c r="J86" s="765"/>
      <c r="K86" s="765" t="s">
        <v>6694</v>
      </c>
      <c r="L86" s="765" t="s">
        <v>758</v>
      </c>
      <c r="M86" s="765" t="s">
        <v>758</v>
      </c>
      <c r="N86" s="765" t="s">
        <v>6409</v>
      </c>
      <c r="O86" s="765" t="s">
        <v>663</v>
      </c>
      <c r="P86" s="710" t="s">
        <v>6695</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6696</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6697</v>
      </c>
      <c r="B87" s="773" t="s">
        <v>6510</v>
      </c>
      <c r="C87" s="777" t="s">
        <v>6698</v>
      </c>
      <c r="D87" s="708" t="s">
        <v>6699</v>
      </c>
      <c r="E87" s="765"/>
      <c r="F87" s="778" t="s">
        <v>6698</v>
      </c>
      <c r="G87" s="720"/>
      <c r="H87" s="765" t="s">
        <v>6700</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6701</v>
      </c>
      <c r="B88" s="773" t="s">
        <v>6510</v>
      </c>
      <c r="C88" s="788" t="s">
        <v>6702</v>
      </c>
      <c r="D88" s="708" t="s">
        <v>6703</v>
      </c>
      <c r="E88" s="765"/>
      <c r="F88" s="741" t="s">
        <v>6702</v>
      </c>
      <c r="G88" s="720"/>
      <c r="H88" s="765"/>
      <c r="I88" s="765"/>
      <c r="J88" s="765"/>
      <c r="K88" s="765"/>
      <c r="L88" s="765"/>
      <c r="M88" s="765"/>
      <c r="N88" s="765"/>
      <c r="O88" s="765"/>
      <c r="P88" s="710"/>
      <c r="Q88" s="765"/>
      <c r="R88" s="765"/>
      <c r="S88" s="765"/>
      <c r="T88" s="765"/>
      <c r="U88" s="765"/>
      <c r="V88" s="708" t="s">
        <v>6704</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6616</v>
      </c>
      <c r="B89" s="759" t="s">
        <v>6617</v>
      </c>
      <c r="C89" s="747" t="s">
        <v>5249</v>
      </c>
      <c r="D89" s="712" t="s">
        <v>6705</v>
      </c>
      <c r="E89" s="712" t="s">
        <v>5249</v>
      </c>
      <c r="F89" s="764"/>
      <c r="G89" s="720"/>
      <c r="H89" s="712" t="s">
        <v>5249</v>
      </c>
      <c r="I89" s="712" t="s">
        <v>5101</v>
      </c>
      <c r="J89" s="712"/>
      <c r="K89" s="712" t="s">
        <v>4690</v>
      </c>
      <c r="L89" s="712"/>
      <c r="M89" s="712" t="s">
        <v>3269</v>
      </c>
      <c r="N89" s="712" t="str">
        <f>HYPERLINK("https://youtu.be/HjDDp_Mj_yI","16.74")</f>
        <v>16.74</v>
      </c>
      <c r="O89" s="712"/>
      <c r="P89" s="710" t="s">
        <v>5138</v>
      </c>
      <c r="Q89" s="712"/>
      <c r="R89" s="712" t="s">
        <v>5249</v>
      </c>
      <c r="S89" s="712"/>
      <c r="T89" s="712"/>
      <c r="U89" s="712" t="s">
        <v>5101</v>
      </c>
      <c r="V89" s="712"/>
      <c r="W89" s="712"/>
      <c r="X89" s="712"/>
      <c r="Y89" s="712"/>
      <c r="Z89" s="712"/>
      <c r="AA89" s="712"/>
      <c r="AB89" s="712"/>
      <c r="AC89" s="712"/>
      <c r="AD89" s="712" t="s">
        <v>5249</v>
      </c>
      <c r="AE89" s="712"/>
      <c r="AF89" s="712"/>
      <c r="AG89" s="712"/>
      <c r="AH89" s="712"/>
      <c r="AI89" s="712"/>
      <c r="AJ89" s="712"/>
      <c r="AK89" s="712"/>
      <c r="AL89" s="712" t="s">
        <v>5490</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6706</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6707</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6708</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6709</v>
      </c>
      <c r="C92" s="747" t="s">
        <v>1079</v>
      </c>
      <c r="D92" s="712" t="s">
        <v>1577</v>
      </c>
      <c r="E92" s="708" t="s">
        <v>355</v>
      </c>
      <c r="F92" s="706"/>
      <c r="G92" s="707" t="s">
        <v>122</v>
      </c>
      <c r="H92" s="708" t="s">
        <v>1079</v>
      </c>
      <c r="I92" s="709"/>
      <c r="J92" s="708" t="s">
        <v>6710</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6711</v>
      </c>
      <c r="C93" s="747" t="s">
        <v>2467</v>
      </c>
      <c r="D93" s="712" t="s">
        <v>2467</v>
      </c>
      <c r="E93" s="712"/>
      <c r="F93" s="771" t="s">
        <v>2467</v>
      </c>
      <c r="G93" s="720"/>
      <c r="H93" s="709" t="s">
        <v>4948</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6620</v>
      </c>
      <c r="B94" s="759" t="s">
        <v>6712</v>
      </c>
      <c r="C94" s="747" t="s">
        <v>356</v>
      </c>
      <c r="D94" s="721" t="s">
        <v>1578</v>
      </c>
      <c r="E94" s="712" t="s">
        <v>1670</v>
      </c>
      <c r="F94" s="706"/>
      <c r="G94" s="707" t="s">
        <v>4939</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6713</v>
      </c>
      <c r="B95" s="759" t="s">
        <v>6623</v>
      </c>
      <c r="C95" s="747" t="s">
        <v>6714</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6715</v>
      </c>
      <c r="B96" s="773" t="s">
        <v>6623</v>
      </c>
      <c r="C96" s="747" t="s">
        <v>6716</v>
      </c>
      <c r="D96" s="748" t="s">
        <v>6716</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6510</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6717</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6509</v>
      </c>
      <c r="B99" s="796"/>
      <c r="C99" s="797" t="s">
        <v>4187</v>
      </c>
      <c r="D99" s="721" t="s">
        <v>1581</v>
      </c>
      <c r="E99" s="798" t="s">
        <v>2379</v>
      </c>
      <c r="F99" s="706"/>
      <c r="G99" s="707" t="s">
        <v>5862</v>
      </c>
      <c r="H99" s="798"/>
      <c r="I99" s="798" t="str">
        <f>HYPERLINK("https://youtu.be/ycBfir2aflI","41.70")</f>
        <v>41.70</v>
      </c>
      <c r="J99" s="798" t="s">
        <v>6542</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6526</v>
      </c>
      <c r="B100" s="803"/>
      <c r="C100" s="797" t="s">
        <v>1620</v>
      </c>
      <c r="D100" s="721" t="s">
        <v>1582</v>
      </c>
      <c r="E100" s="804"/>
      <c r="F100" s="805"/>
      <c r="G100" s="707" t="s">
        <v>6642</v>
      </c>
      <c r="H100" s="804"/>
      <c r="I100" s="804" t="s">
        <v>3361</v>
      </c>
      <c r="J100" s="804" t="s">
        <v>4137</v>
      </c>
      <c r="K100" s="804" t="s">
        <v>1237</v>
      </c>
      <c r="L100" s="804" t="s">
        <v>922</v>
      </c>
      <c r="M100" s="804" t="s">
        <v>762</v>
      </c>
      <c r="N100" s="804" t="s">
        <v>3653</v>
      </c>
      <c r="O100" s="804" t="s">
        <v>1620</v>
      </c>
      <c r="P100" s="806" t="s">
        <v>2738</v>
      </c>
      <c r="Q100" s="804"/>
      <c r="R100" s="804" t="s">
        <v>5634</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6531</v>
      </c>
      <c r="B101" s="807"/>
      <c r="C101" s="797" t="s">
        <v>3384</v>
      </c>
      <c r="D101" s="808" t="s">
        <v>4496</v>
      </c>
      <c r="E101" s="804"/>
      <c r="F101" s="706"/>
      <c r="G101" s="707" t="s">
        <v>5918</v>
      </c>
      <c r="H101" s="804"/>
      <c r="I101" s="804"/>
      <c r="J101" s="804" t="s">
        <v>3384</v>
      </c>
      <c r="K101" s="804"/>
      <c r="L101" s="804" t="s">
        <v>3509</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6718</v>
      </c>
      <c r="B102" s="809" t="s">
        <v>6719</v>
      </c>
      <c r="C102" s="797" t="s">
        <v>1519</v>
      </c>
      <c r="D102" s="746" t="s">
        <v>6720</v>
      </c>
      <c r="E102" s="804"/>
      <c r="F102" s="706"/>
      <c r="G102" s="707" t="s">
        <v>1286</v>
      </c>
      <c r="H102" s="804"/>
      <c r="I102" s="804" t="s">
        <v>6721</v>
      </c>
      <c r="J102" s="804" t="s">
        <v>6722</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6723</v>
      </c>
      <c r="C103" s="797" t="s">
        <v>6724</v>
      </c>
      <c r="D103" s="721" t="s">
        <v>1583</v>
      </c>
      <c r="E103" s="804"/>
      <c r="F103" s="805"/>
      <c r="G103" s="720"/>
      <c r="H103" s="804"/>
      <c r="I103" s="804"/>
      <c r="J103" s="804" t="s">
        <v>6724</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6657</v>
      </c>
      <c r="B104" s="809" t="s">
        <v>6725</v>
      </c>
      <c r="C104" s="797" t="s">
        <v>5562</v>
      </c>
      <c r="D104" s="746" t="s">
        <v>6726</v>
      </c>
      <c r="E104" s="804"/>
      <c r="F104" s="706"/>
      <c r="G104" s="707" t="s">
        <v>609</v>
      </c>
      <c r="H104" s="804"/>
      <c r="I104" s="804"/>
      <c r="J104" s="804" t="s">
        <v>6727</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6728</v>
      </c>
      <c r="BB104" s="804"/>
      <c r="BC104" s="804"/>
      <c r="BD104" s="801"/>
      <c r="BE104" s="804"/>
      <c r="BF104" s="800"/>
      <c r="BG104" s="800"/>
      <c r="BH104" s="801"/>
      <c r="BI104" s="801"/>
      <c r="BJ104" s="801"/>
    </row>
    <row r="105" ht="15.75" customHeight="1">
      <c r="A105" s="795" t="s">
        <v>6664</v>
      </c>
      <c r="B105" s="809" t="s">
        <v>6729</v>
      </c>
      <c r="C105" s="797" t="s">
        <v>6730</v>
      </c>
      <c r="D105" s="746" t="s">
        <v>3650</v>
      </c>
      <c r="E105" s="804"/>
      <c r="F105" s="805"/>
      <c r="G105" s="707" t="s">
        <v>131</v>
      </c>
      <c r="H105" s="804"/>
      <c r="I105" s="804" t="s">
        <v>6731</v>
      </c>
      <c r="J105" s="804" t="s">
        <v>6732</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6526</v>
      </c>
      <c r="B106" s="803" t="s">
        <v>6729</v>
      </c>
      <c r="C106" s="703" t="s">
        <v>6733</v>
      </c>
      <c r="D106" s="748" t="s">
        <v>6646</v>
      </c>
      <c r="E106" s="798" t="s">
        <v>364</v>
      </c>
      <c r="F106" s="706"/>
      <c r="G106" s="707" t="s">
        <v>6734</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6733</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6531</v>
      </c>
      <c r="B107" s="812" t="s">
        <v>6719</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6735</v>
      </c>
      <c r="B108" s="813" t="s">
        <v>6510</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6687</v>
      </c>
      <c r="B109" s="809" t="s">
        <v>6623</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6736</v>
      </c>
      <c r="C110" s="797" t="s">
        <v>1263</v>
      </c>
      <c r="D110" s="721" t="s">
        <v>1586</v>
      </c>
      <c r="E110" s="804"/>
      <c r="F110" s="706"/>
      <c r="G110" s="707" t="s">
        <v>1289</v>
      </c>
      <c r="H110" s="804"/>
      <c r="I110" s="804" t="s">
        <v>6737</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6616</v>
      </c>
      <c r="B111" s="809" t="s">
        <v>6617</v>
      </c>
      <c r="C111" s="797" t="s">
        <v>1059</v>
      </c>
      <c r="D111" s="798" t="s">
        <v>1555</v>
      </c>
      <c r="E111" s="798" t="s">
        <v>5918</v>
      </c>
      <c r="F111" s="815" t="s">
        <v>5419</v>
      </c>
      <c r="G111" s="720"/>
      <c r="H111" s="798" t="s">
        <v>5918</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6619</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6620</v>
      </c>
      <c r="B113" s="809" t="s">
        <v>6738</v>
      </c>
      <c r="C113" s="797" t="s">
        <v>2201</v>
      </c>
      <c r="D113" s="804"/>
      <c r="E113" s="804"/>
      <c r="F113" s="805"/>
      <c r="G113" s="707" t="s">
        <v>4223</v>
      </c>
      <c r="H113" s="804"/>
      <c r="I113" s="804"/>
      <c r="J113" s="804"/>
      <c r="K113" s="804" t="s">
        <v>3876</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6117</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6739</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6740</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6741</v>
      </c>
      <c r="C115" s="797" t="s">
        <v>6742</v>
      </c>
      <c r="D115" s="712" t="s">
        <v>1587</v>
      </c>
      <c r="E115" s="798" t="s">
        <v>6742</v>
      </c>
      <c r="F115" s="729" t="s">
        <v>1981</v>
      </c>
      <c r="G115" s="720"/>
      <c r="H115" s="798"/>
      <c r="I115" s="798" t="s">
        <v>256</v>
      </c>
      <c r="J115" s="798" t="s">
        <v>4744</v>
      </c>
      <c r="K115" s="798" t="s">
        <v>847</v>
      </c>
      <c r="L115" s="798"/>
      <c r="M115" s="798" t="s">
        <v>769</v>
      </c>
      <c r="N115" s="798"/>
      <c r="O115" s="798" t="s">
        <v>4257</v>
      </c>
      <c r="P115" s="799" t="s">
        <v>5979</v>
      </c>
      <c r="Q115" s="798" t="s">
        <v>6743</v>
      </c>
      <c r="R115" s="798" t="s">
        <v>3302</v>
      </c>
      <c r="S115" s="798"/>
      <c r="T115" s="798" t="s">
        <v>6744</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6745</v>
      </c>
      <c r="C116" s="797" t="s">
        <v>6746</v>
      </c>
      <c r="D116" s="804"/>
      <c r="E116" s="804"/>
      <c r="F116" s="706"/>
      <c r="G116" s="720"/>
      <c r="H116" s="804"/>
      <c r="I116" s="804"/>
      <c r="J116" s="804"/>
      <c r="K116" s="804"/>
      <c r="L116" s="804"/>
      <c r="M116" s="804"/>
      <c r="N116" s="804"/>
      <c r="O116" s="804"/>
      <c r="P116" s="806"/>
      <c r="Q116" s="804"/>
      <c r="R116" s="804"/>
      <c r="S116" s="804" t="s">
        <v>6747</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6748</v>
      </c>
      <c r="B117" s="813" t="s">
        <v>6623</v>
      </c>
      <c r="C117" s="797" t="s">
        <v>928</v>
      </c>
      <c r="D117" s="721" t="s">
        <v>1589</v>
      </c>
      <c r="E117" s="804"/>
      <c r="F117" s="805"/>
      <c r="G117" s="720"/>
      <c r="H117" s="804" t="s">
        <v>5079</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6715</v>
      </c>
      <c r="B118" s="803" t="s">
        <v>6623</v>
      </c>
      <c r="C118" s="747" t="s">
        <v>6749</v>
      </c>
      <c r="D118" s="748" t="s">
        <v>6749</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6750</v>
      </c>
      <c r="B119" s="813" t="s">
        <v>6510</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6719</v>
      </c>
      <c r="C120" s="797" t="s">
        <v>2830</v>
      </c>
      <c r="D120" s="721" t="s">
        <v>6751</v>
      </c>
      <c r="E120" s="804"/>
      <c r="F120" s="706"/>
      <c r="G120" s="720"/>
      <c r="H120" s="804"/>
      <c r="I120" s="804" t="s">
        <v>6752</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6753</v>
      </c>
      <c r="B122" s="824"/>
      <c r="C122" s="797" t="s">
        <v>4039</v>
      </c>
      <c r="D122" s="798" t="s">
        <v>6754</v>
      </c>
      <c r="E122" s="798" t="s">
        <v>6755</v>
      </c>
      <c r="F122" s="729" t="s">
        <v>6756</v>
      </c>
      <c r="G122" s="720"/>
      <c r="H122" s="798" t="s">
        <v>4039</v>
      </c>
      <c r="I122" s="798"/>
      <c r="J122" s="798"/>
      <c r="K122" s="798"/>
      <c r="L122" s="798" t="s">
        <v>6755</v>
      </c>
      <c r="M122" s="798"/>
      <c r="N122" s="798"/>
      <c r="O122" s="798"/>
      <c r="P122" s="799" t="s">
        <v>6757</v>
      </c>
      <c r="Q122" s="798"/>
      <c r="R122" s="798"/>
      <c r="S122" s="798" t="s">
        <v>6758</v>
      </c>
      <c r="T122" s="798"/>
      <c r="U122" s="798"/>
      <c r="V122" s="798"/>
      <c r="W122" s="798" t="s">
        <v>6757</v>
      </c>
      <c r="X122" s="798"/>
      <c r="Y122" s="798"/>
      <c r="Z122" s="798" t="s">
        <v>6756</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6509</v>
      </c>
      <c r="B123" s="826" t="s">
        <v>6759</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6760</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6761</v>
      </c>
      <c r="C125" s="781" t="s">
        <v>1186</v>
      </c>
      <c r="D125" s="712" t="s">
        <v>657</v>
      </c>
      <c r="E125" s="804"/>
      <c r="F125" s="729" t="s">
        <v>1186</v>
      </c>
      <c r="G125" s="707" t="s">
        <v>1355</v>
      </c>
      <c r="H125" s="804"/>
      <c r="I125" s="804"/>
      <c r="J125" s="804" t="s">
        <v>2652</v>
      </c>
      <c r="K125" s="804" t="s">
        <v>6762</v>
      </c>
      <c r="L125" s="804"/>
      <c r="M125" s="804"/>
      <c r="N125" s="804"/>
      <c r="O125" s="804"/>
      <c r="P125" s="806" t="s">
        <v>6763</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6764</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6526</v>
      </c>
      <c r="B127" s="831" t="s">
        <v>6510</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6531</v>
      </c>
      <c r="B128" s="835" t="s">
        <v>6510</v>
      </c>
      <c r="C128" s="797" t="s">
        <v>6765</v>
      </c>
      <c r="D128" s="804"/>
      <c r="E128" s="804"/>
      <c r="F128" s="729" t="s">
        <v>2078</v>
      </c>
      <c r="G128" s="707" t="s">
        <v>6766</v>
      </c>
      <c r="H128" s="707" t="s">
        <v>6765</v>
      </c>
      <c r="I128" s="804"/>
      <c r="J128" s="804"/>
      <c r="K128" s="804"/>
      <c r="L128" s="804"/>
      <c r="M128" s="804"/>
      <c r="N128" s="804"/>
      <c r="O128" s="804"/>
      <c r="P128" s="806"/>
      <c r="Q128" s="804"/>
      <c r="R128" s="804"/>
      <c r="S128" s="804" t="s">
        <v>6765</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6511</v>
      </c>
      <c r="B129" s="824"/>
      <c r="C129" s="797" t="s">
        <v>774</v>
      </c>
      <c r="D129" s="712" t="s">
        <v>939</v>
      </c>
      <c r="E129" s="804"/>
      <c r="F129" s="836" t="s">
        <v>1903</v>
      </c>
      <c r="G129" s="707" t="s">
        <v>1295</v>
      </c>
      <c r="H129" s="804"/>
      <c r="I129" s="739" t="str">
        <f>HYPERLINK("https://youtu.be/6f5dBhAmU1g","42.10")</f>
        <v>42.10</v>
      </c>
      <c r="J129" s="804" t="s">
        <v>6767</v>
      </c>
      <c r="K129" s="804" t="s">
        <v>2138</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6526</v>
      </c>
      <c r="B130" s="835" t="s">
        <v>6510</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6531</v>
      </c>
      <c r="B131" s="835" t="s">
        <v>6510</v>
      </c>
      <c r="C131" s="797" t="s">
        <v>6768</v>
      </c>
      <c r="D131" s="798"/>
      <c r="E131" s="798" t="s">
        <v>6768</v>
      </c>
      <c r="F131" s="832" t="s">
        <v>1552</v>
      </c>
      <c r="G131" s="707" t="s">
        <v>6769</v>
      </c>
      <c r="H131" s="798"/>
      <c r="I131" s="798"/>
      <c r="J131" s="798"/>
      <c r="K131" s="798"/>
      <c r="L131" s="798" t="s">
        <v>3004</v>
      </c>
      <c r="M131" s="798" t="s">
        <v>6769</v>
      </c>
      <c r="N131" s="798"/>
      <c r="O131" s="798"/>
      <c r="P131" s="799" t="s">
        <v>6768</v>
      </c>
      <c r="Q131" s="798" t="s">
        <v>485</v>
      </c>
      <c r="R131" s="798"/>
      <c r="S131" s="798"/>
      <c r="T131" s="798"/>
      <c r="U131" s="798"/>
      <c r="V131" s="798"/>
      <c r="W131" s="798"/>
      <c r="X131" s="798"/>
      <c r="Y131" s="798" t="s">
        <v>6770</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6657</v>
      </c>
      <c r="B132" s="826" t="s">
        <v>6771</v>
      </c>
      <c r="C132" s="797" t="s">
        <v>6772</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6773</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5144</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6774</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6309</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6775</v>
      </c>
      <c r="C135" s="797" t="s">
        <v>374</v>
      </c>
      <c r="D135" s="712" t="s">
        <v>775</v>
      </c>
      <c r="E135" s="707" t="s">
        <v>374</v>
      </c>
      <c r="F135" s="722" t="s">
        <v>2901</v>
      </c>
      <c r="G135" s="707" t="s">
        <v>1296</v>
      </c>
      <c r="H135" s="837" t="s">
        <v>6776</v>
      </c>
      <c r="I135" s="707" t="s">
        <v>5342</v>
      </c>
      <c r="J135" s="720"/>
      <c r="K135" s="720"/>
      <c r="L135" s="707" t="s">
        <v>932</v>
      </c>
      <c r="M135" s="707" t="s">
        <v>6308</v>
      </c>
      <c r="N135" s="720"/>
      <c r="O135" s="707" t="s">
        <v>6777</v>
      </c>
      <c r="P135" s="799" t="s">
        <v>5037</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6778</v>
      </c>
      <c r="AV135" s="720"/>
      <c r="AW135" s="714"/>
      <c r="AX135" s="720"/>
      <c r="AY135" s="720"/>
      <c r="AZ135" s="720"/>
      <c r="BA135" s="720"/>
      <c r="BB135" s="720"/>
      <c r="BC135" s="720"/>
      <c r="BD135" s="714"/>
      <c r="BE135" s="720"/>
      <c r="BF135" s="800"/>
      <c r="BG135" s="800"/>
      <c r="BH135" s="714"/>
      <c r="BI135" s="714"/>
      <c r="BJ135" s="714"/>
    </row>
    <row r="136" ht="15.75" customHeight="1">
      <c r="A136" s="823" t="s">
        <v>6558</v>
      </c>
      <c r="B136" s="826" t="s">
        <v>6779</v>
      </c>
      <c r="C136" s="797" t="s">
        <v>564</v>
      </c>
      <c r="D136" s="804" t="s">
        <v>4329</v>
      </c>
      <c r="E136" s="804"/>
      <c r="F136" s="706"/>
      <c r="G136" s="720"/>
      <c r="H136" s="804"/>
      <c r="I136" s="804"/>
      <c r="J136" s="707" t="s">
        <v>5546</v>
      </c>
      <c r="K136" s="804" t="s">
        <v>1742</v>
      </c>
      <c r="L136" s="804"/>
      <c r="M136" s="804"/>
      <c r="N136" s="804" t="str">
        <f>HYPERLINK("https://youtu.be/wzsts4r5VHY","56.24")</f>
        <v>56.24</v>
      </c>
      <c r="O136" s="707" t="s">
        <v>6780</v>
      </c>
      <c r="P136" s="806"/>
      <c r="Q136" s="804"/>
      <c r="R136" s="804"/>
      <c r="S136" s="804" t="s">
        <v>564</v>
      </c>
      <c r="T136" s="804"/>
      <c r="U136" s="804"/>
      <c r="V136" s="804"/>
      <c r="W136" s="804"/>
      <c r="X136" s="804"/>
      <c r="Y136" s="804"/>
      <c r="Z136" s="804"/>
      <c r="AA136" s="804"/>
      <c r="AB136" s="804"/>
      <c r="AC136" s="804"/>
      <c r="AD136" s="804" t="s">
        <v>6781</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6782</v>
      </c>
      <c r="C137" s="797" t="s">
        <v>4532</v>
      </c>
      <c r="D137" s="838"/>
      <c r="E137" s="838"/>
      <c r="F137" s="827"/>
      <c r="G137" s="720"/>
      <c r="H137" s="838"/>
      <c r="I137" s="838"/>
      <c r="J137" s="707" t="s">
        <v>6783</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6784</v>
      </c>
      <c r="C138" s="797" t="s">
        <v>6785</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6569</v>
      </c>
      <c r="B139" s="826" t="s">
        <v>6786</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6787</v>
      </c>
      <c r="C140" s="797" t="s">
        <v>6788</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6579</v>
      </c>
      <c r="B141" s="826" t="s">
        <v>6789</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6790</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6526</v>
      </c>
      <c r="B143" s="831" t="s">
        <v>6789</v>
      </c>
      <c r="C143" s="797" t="s">
        <v>4076</v>
      </c>
      <c r="D143" s="798" t="s">
        <v>5290</v>
      </c>
      <c r="E143" s="798" t="s">
        <v>4076</v>
      </c>
      <c r="F143" s="827"/>
      <c r="G143" s="707" t="s">
        <v>2818</v>
      </c>
      <c r="H143" s="798"/>
      <c r="I143" s="798"/>
      <c r="J143" s="798"/>
      <c r="K143" s="798" t="s">
        <v>473</v>
      </c>
      <c r="L143" s="798"/>
      <c r="M143" s="798" t="s">
        <v>2313</v>
      </c>
      <c r="N143" s="798" t="s">
        <v>1323</v>
      </c>
      <c r="O143" s="798"/>
      <c r="P143" s="799"/>
      <c r="Q143" s="798"/>
      <c r="R143" s="798"/>
      <c r="S143" s="798"/>
      <c r="T143" s="798"/>
      <c r="U143" s="798"/>
      <c r="V143" s="798"/>
      <c r="W143" s="798"/>
      <c r="X143" s="798" t="s">
        <v>6791</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6790</v>
      </c>
      <c r="C144" s="797" t="s">
        <v>1446</v>
      </c>
      <c r="D144" s="721" t="s">
        <v>1592</v>
      </c>
      <c r="E144" s="798" t="s">
        <v>5346</v>
      </c>
      <c r="F144" s="722" t="s">
        <v>148</v>
      </c>
      <c r="G144" s="707" t="s">
        <v>3302</v>
      </c>
      <c r="H144" s="808" t="s">
        <v>136</v>
      </c>
      <c r="I144" s="798" t="str">
        <f>HYPERLINK("https://youtu.be/NPrbRwZDn1I","27.54")</f>
        <v>27.54</v>
      </c>
      <c r="J144" s="798" t="s">
        <v>503</v>
      </c>
      <c r="K144" s="798" t="s">
        <v>6743</v>
      </c>
      <c r="L144" s="798"/>
      <c r="M144" s="798" t="s">
        <v>5346</v>
      </c>
      <c r="N144" s="798" t="str">
        <f>HYPERLINK("https://youtu.be/gwRV1gD1ndo","27.79")</f>
        <v>27.79</v>
      </c>
      <c r="O144" s="798" t="s">
        <v>1258</v>
      </c>
      <c r="P144" s="799" t="s">
        <v>429</v>
      </c>
      <c r="Q144" s="798" t="s">
        <v>407</v>
      </c>
      <c r="R144" s="798"/>
      <c r="S144" s="707" t="s">
        <v>396</v>
      </c>
      <c r="T144" s="798"/>
      <c r="U144" s="798" t="s">
        <v>6792</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6531</v>
      </c>
      <c r="B145" s="831" t="s">
        <v>6510</v>
      </c>
      <c r="C145" s="797" t="s">
        <v>6793</v>
      </c>
      <c r="D145" s="838"/>
      <c r="E145" s="838"/>
      <c r="F145" s="827"/>
      <c r="G145" s="707" t="s">
        <v>2685</v>
      </c>
      <c r="H145" s="838"/>
      <c r="I145" s="838"/>
      <c r="J145" s="838"/>
      <c r="K145" s="838"/>
      <c r="L145" s="838"/>
      <c r="M145" s="838"/>
      <c r="N145" s="838"/>
      <c r="O145" s="739" t="s">
        <v>6793</v>
      </c>
      <c r="P145" s="799"/>
      <c r="Q145" s="838"/>
      <c r="R145" s="838"/>
      <c r="S145" s="838"/>
      <c r="T145" s="838"/>
      <c r="U145" s="838"/>
      <c r="V145" s="838"/>
      <c r="W145" s="838"/>
      <c r="X145" s="838"/>
      <c r="Y145" s="838"/>
      <c r="Z145" s="838"/>
      <c r="AA145" s="838"/>
      <c r="AB145" s="838"/>
      <c r="AC145" s="838"/>
      <c r="AD145" s="838"/>
      <c r="AE145" s="838"/>
      <c r="AF145" s="838"/>
      <c r="AG145" s="838" t="s">
        <v>6792</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6794</v>
      </c>
      <c r="B146" s="835" t="s">
        <v>6795</v>
      </c>
      <c r="C146" s="797" t="s">
        <v>6796</v>
      </c>
      <c r="D146" s="798" t="s">
        <v>6797</v>
      </c>
      <c r="E146" s="798" t="s">
        <v>6796</v>
      </c>
      <c r="F146" s="706"/>
      <c r="G146" s="720"/>
      <c r="H146" s="798"/>
      <c r="I146" s="798" t="s">
        <v>6798</v>
      </c>
      <c r="J146" s="798" t="s">
        <v>6799</v>
      </c>
      <c r="K146" s="798"/>
      <c r="L146" s="798" t="s">
        <v>937</v>
      </c>
      <c r="M146" s="798"/>
      <c r="N146" s="798" t="s">
        <v>6800</v>
      </c>
      <c r="O146" s="798"/>
      <c r="P146" s="799"/>
      <c r="Q146" s="798"/>
      <c r="R146" s="798"/>
      <c r="S146" s="798"/>
      <c r="T146" s="798" t="s">
        <v>6801</v>
      </c>
      <c r="U146" s="798" t="s">
        <v>5048</v>
      </c>
      <c r="V146" s="798"/>
      <c r="W146" s="798"/>
      <c r="X146" s="798"/>
      <c r="Y146" s="798"/>
      <c r="Z146" s="798"/>
      <c r="AA146" s="798"/>
      <c r="AB146" s="798"/>
      <c r="AC146" s="798"/>
      <c r="AD146" s="798"/>
      <c r="AE146" s="798"/>
      <c r="AF146" s="798"/>
      <c r="AG146" s="798"/>
      <c r="AH146" s="798"/>
      <c r="AI146" s="798" t="s">
        <v>6802</v>
      </c>
      <c r="AJ146" s="798"/>
      <c r="AK146" s="798"/>
      <c r="AL146" s="798"/>
      <c r="AM146" s="798"/>
      <c r="AN146" s="798"/>
      <c r="AO146" s="800"/>
      <c r="AP146" s="798"/>
      <c r="AQ146" s="798"/>
      <c r="AR146" s="798"/>
      <c r="AS146" s="798"/>
      <c r="AT146" s="798"/>
      <c r="AU146" s="798"/>
      <c r="AV146" s="798"/>
      <c r="AW146" s="825"/>
      <c r="AX146" s="798"/>
      <c r="AY146" s="798"/>
      <c r="AZ146" s="798" t="s">
        <v>6803</v>
      </c>
      <c r="BA146" s="798"/>
      <c r="BB146" s="798"/>
      <c r="BC146" s="798"/>
      <c r="BD146" s="825"/>
      <c r="BE146" s="798"/>
      <c r="BF146" s="800"/>
      <c r="BG146" s="800"/>
      <c r="BH146" s="825"/>
      <c r="BI146" s="825"/>
      <c r="BJ146" s="825"/>
    </row>
    <row r="147" ht="15.75" customHeight="1">
      <c r="A147" s="828"/>
      <c r="B147" s="829" t="s">
        <v>6804</v>
      </c>
      <c r="C147" s="797" t="s">
        <v>6805</v>
      </c>
      <c r="D147" s="804"/>
      <c r="E147" s="804"/>
      <c r="F147" s="827"/>
      <c r="G147" s="720"/>
      <c r="H147" s="804"/>
      <c r="I147" s="804"/>
      <c r="J147" s="804"/>
      <c r="K147" s="804" t="s">
        <v>6806</v>
      </c>
      <c r="L147" s="804"/>
      <c r="M147" s="804"/>
      <c r="N147" s="804"/>
      <c r="O147" s="804" t="s">
        <v>6805</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6807</v>
      </c>
      <c r="C148" s="797" t="s">
        <v>6808</v>
      </c>
      <c r="D148" s="765" t="s">
        <v>1594</v>
      </c>
      <c r="E148" s="707" t="s">
        <v>379</v>
      </c>
      <c r="F148" s="722" t="s">
        <v>2875</v>
      </c>
      <c r="G148" s="720"/>
      <c r="H148" s="720" t="s">
        <v>6809</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6808</v>
      </c>
      <c r="BF148" s="800"/>
      <c r="BG148" s="800"/>
      <c r="BH148" s="825"/>
      <c r="BI148" s="825"/>
      <c r="BJ148" s="825"/>
    </row>
    <row r="149" ht="15.75" customHeight="1">
      <c r="A149" s="828"/>
      <c r="B149" s="829" t="s">
        <v>6810</v>
      </c>
      <c r="C149" s="703" t="s">
        <v>3581</v>
      </c>
      <c r="D149" s="721" t="s">
        <v>1593</v>
      </c>
      <c r="E149" s="804"/>
      <c r="F149" s="827"/>
      <c r="G149" s="707" t="s">
        <v>1300</v>
      </c>
      <c r="H149" s="804"/>
      <c r="I149" s="804"/>
      <c r="J149" s="804"/>
      <c r="K149" s="804"/>
      <c r="L149" s="804"/>
      <c r="M149" s="804" t="s">
        <v>6811</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6812</v>
      </c>
      <c r="B150" s="835" t="s">
        <v>6795</v>
      </c>
      <c r="C150" s="797" t="s">
        <v>776</v>
      </c>
      <c r="D150" s="841" t="s">
        <v>5045</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6804</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6813</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6814</v>
      </c>
      <c r="C153" s="703" t="s">
        <v>2586</v>
      </c>
      <c r="D153" s="841" t="s">
        <v>6815</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6810</v>
      </c>
      <c r="C154" s="703" t="s">
        <v>1433</v>
      </c>
      <c r="D154" s="841"/>
      <c r="E154" s="841"/>
      <c r="F154" s="827"/>
      <c r="G154" s="707" t="s">
        <v>6816</v>
      </c>
      <c r="H154" s="841" t="s">
        <v>6817</v>
      </c>
      <c r="I154" s="841" t="s">
        <v>283</v>
      </c>
      <c r="J154" s="841"/>
      <c r="K154" s="841"/>
      <c r="L154" s="841"/>
      <c r="M154" s="798" t="s">
        <v>4741</v>
      </c>
      <c r="N154" s="841"/>
      <c r="O154" s="841"/>
      <c r="P154" s="799"/>
      <c r="Q154" s="841"/>
      <c r="R154" s="841"/>
      <c r="S154" s="707" t="s">
        <v>6415</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6818</v>
      </c>
      <c r="B155" s="835" t="s">
        <v>6819</v>
      </c>
      <c r="C155" s="797" t="s">
        <v>6820</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6821</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6822</v>
      </c>
      <c r="B157" s="835" t="s">
        <v>6823</v>
      </c>
      <c r="C157" s="703" t="s">
        <v>6824</v>
      </c>
      <c r="D157" s="841"/>
      <c r="E157" s="841"/>
      <c r="F157" s="729" t="s">
        <v>6825</v>
      </c>
      <c r="G157" s="707" t="s">
        <v>6826</v>
      </c>
      <c r="H157" s="798" t="s">
        <v>6827</v>
      </c>
      <c r="I157" s="841" t="s">
        <v>6828</v>
      </c>
      <c r="J157" s="841"/>
      <c r="K157" s="841"/>
      <c r="L157" s="841"/>
      <c r="M157" s="798" t="s">
        <v>1327</v>
      </c>
      <c r="N157" s="841"/>
      <c r="O157" s="841"/>
      <c r="P157" s="799"/>
      <c r="Q157" s="841"/>
      <c r="R157" s="841"/>
      <c r="S157" s="707" t="s">
        <v>6824</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6829</v>
      </c>
      <c r="C158" s="797" t="s">
        <v>6830</v>
      </c>
      <c r="D158" s="841"/>
      <c r="E158" s="841"/>
      <c r="F158" s="832" t="s">
        <v>6831</v>
      </c>
      <c r="G158" s="720"/>
      <c r="H158" s="798" t="s">
        <v>6832</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6833</v>
      </c>
      <c r="C159" s="797" t="s">
        <v>6834</v>
      </c>
      <c r="D159" s="841"/>
      <c r="E159" s="841"/>
      <c r="F159" s="729" t="s">
        <v>6835</v>
      </c>
      <c r="G159" s="720"/>
      <c r="H159" s="798" t="s">
        <v>6834</v>
      </c>
      <c r="I159" s="841" t="s">
        <v>6836</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6837</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6616</v>
      </c>
      <c r="B161" s="842" t="s">
        <v>6838</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5497</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6839</v>
      </c>
      <c r="C162" s="797" t="s">
        <v>2382</v>
      </c>
      <c r="D162" s="712" t="s">
        <v>1595</v>
      </c>
      <c r="E162" s="798" t="s">
        <v>6840</v>
      </c>
      <c r="F162" s="729" t="s">
        <v>6841</v>
      </c>
      <c r="G162" s="720"/>
      <c r="H162" s="798" t="s">
        <v>6842</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6620</v>
      </c>
      <c r="B163" s="842" t="s">
        <v>6843</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6531</v>
      </c>
      <c r="B164" s="835" t="s">
        <v>6510</v>
      </c>
      <c r="C164" s="797" t="s">
        <v>6844</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6845</v>
      </c>
      <c r="B165" s="842" t="s">
        <v>6846</v>
      </c>
      <c r="C165" s="797" t="s">
        <v>6847</v>
      </c>
      <c r="D165" s="804" t="s">
        <v>5904</v>
      </c>
      <c r="E165" s="804"/>
      <c r="F165" s="706"/>
      <c r="G165" s="720"/>
      <c r="H165" s="804"/>
      <c r="I165" s="804"/>
      <c r="J165" s="804"/>
      <c r="K165" s="804" t="s">
        <v>6183</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6848</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6625</v>
      </c>
      <c r="B167" s="835" t="s">
        <v>6846</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6848</v>
      </c>
      <c r="C168" s="843" t="s">
        <v>6849</v>
      </c>
      <c r="D168" s="843" t="s">
        <v>6849</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6627</v>
      </c>
      <c r="B169" s="842" t="s">
        <v>6510</v>
      </c>
      <c r="C169" s="797" t="s">
        <v>1527</v>
      </c>
      <c r="D169" s="746" t="s">
        <v>1596</v>
      </c>
      <c r="E169" s="798" t="s">
        <v>6850</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6625</v>
      </c>
      <c r="B170" s="831" t="s">
        <v>6510</v>
      </c>
      <c r="C170" s="747" t="s">
        <v>6851</v>
      </c>
      <c r="D170" s="748" t="s">
        <v>6851</v>
      </c>
      <c r="E170" s="798"/>
      <c r="F170" s="706"/>
      <c r="G170" s="720"/>
      <c r="H170" s="798"/>
      <c r="I170" s="798"/>
      <c r="J170" s="798"/>
      <c r="K170" s="798"/>
      <c r="L170" s="798"/>
      <c r="M170" s="798"/>
      <c r="N170" s="798"/>
      <c r="O170" s="798"/>
      <c r="P170" s="799"/>
      <c r="Q170" s="798"/>
      <c r="R170" s="798"/>
      <c r="S170" s="798"/>
      <c r="T170" s="798"/>
      <c r="U170" s="798"/>
      <c r="V170" s="707" t="s">
        <v>6852</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6510</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6853</v>
      </c>
      <c r="B173" s="851" t="s">
        <v>6854</v>
      </c>
      <c r="C173" s="797" t="s">
        <v>6855</v>
      </c>
      <c r="D173" s="712" t="s">
        <v>6825</v>
      </c>
      <c r="E173" s="712" t="s">
        <v>6856</v>
      </c>
      <c r="F173" s="729" t="s">
        <v>6857</v>
      </c>
      <c r="G173" s="707" t="s">
        <v>6858</v>
      </c>
      <c r="H173" s="712" t="s">
        <v>6856</v>
      </c>
      <c r="I173" s="712"/>
      <c r="J173" s="712" t="s">
        <v>6859</v>
      </c>
      <c r="K173" s="712" t="s">
        <v>6860</v>
      </c>
      <c r="L173" s="712" t="s">
        <v>6857</v>
      </c>
      <c r="M173" s="712" t="s">
        <v>6857</v>
      </c>
      <c r="N173" s="712"/>
      <c r="O173" s="712"/>
      <c r="P173" s="710" t="s">
        <v>6856</v>
      </c>
      <c r="Q173" s="712"/>
      <c r="R173" s="712" t="s">
        <v>2239</v>
      </c>
      <c r="S173" s="712" t="s">
        <v>6861</v>
      </c>
      <c r="T173" s="712"/>
      <c r="U173" s="712"/>
      <c r="V173" s="712"/>
      <c r="W173" s="712"/>
      <c r="X173" s="712"/>
      <c r="Y173" s="712"/>
      <c r="Z173" s="712"/>
      <c r="AA173" s="712"/>
      <c r="AB173" s="712" t="s">
        <v>6827</v>
      </c>
      <c r="AC173" s="712" t="s">
        <v>6858</v>
      </c>
      <c r="AD173" s="712"/>
      <c r="AE173" s="712"/>
      <c r="AF173" s="712" t="s">
        <v>6855</v>
      </c>
      <c r="AG173" s="712"/>
      <c r="AH173" s="712"/>
      <c r="AI173" s="712"/>
      <c r="AJ173" s="712"/>
      <c r="AK173" s="712" t="s">
        <v>6860</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6862</v>
      </c>
      <c r="C174" s="797" t="s">
        <v>6863</v>
      </c>
      <c r="D174" s="712"/>
      <c r="E174" s="712" t="s">
        <v>6859</v>
      </c>
      <c r="F174" s="855"/>
      <c r="G174" s="720"/>
      <c r="H174" s="712" t="s">
        <v>6863</v>
      </c>
      <c r="I174" s="712"/>
      <c r="J174" s="712"/>
      <c r="K174" s="712"/>
      <c r="L174" s="712"/>
      <c r="M174" s="712"/>
      <c r="N174" s="712"/>
      <c r="O174" s="712"/>
      <c r="P174" s="710" t="s">
        <v>6864</v>
      </c>
      <c r="Q174" s="712"/>
      <c r="R174" s="712"/>
      <c r="S174" s="712"/>
      <c r="T174" s="712" t="s">
        <v>6859</v>
      </c>
      <c r="U174" s="712"/>
      <c r="V174" s="712"/>
      <c r="W174" s="712"/>
      <c r="X174" s="712"/>
      <c r="Y174" s="712"/>
      <c r="Z174" s="712" t="s">
        <v>6856</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6865</v>
      </c>
      <c r="B175" s="851" t="s">
        <v>6510</v>
      </c>
      <c r="C175" s="797" t="s">
        <v>1852</v>
      </c>
      <c r="D175" s="712" t="s">
        <v>5318</v>
      </c>
      <c r="E175" s="712" t="s">
        <v>6091</v>
      </c>
      <c r="F175" s="729" t="s">
        <v>6866</v>
      </c>
      <c r="G175" s="707" t="s">
        <v>6867</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6526</v>
      </c>
      <c r="B176" s="857" t="s">
        <v>6510</v>
      </c>
      <c r="C176" s="797" t="s">
        <v>6868</v>
      </c>
      <c r="D176" s="782"/>
      <c r="E176" s="782" t="s">
        <v>6869</v>
      </c>
      <c r="F176" s="858" t="s">
        <v>6870</v>
      </c>
      <c r="G176" s="720"/>
      <c r="H176" s="782" t="s">
        <v>6868</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6511</v>
      </c>
      <c r="B177" s="859" t="s">
        <v>6871</v>
      </c>
      <c r="C177" s="797" t="s">
        <v>5003</v>
      </c>
      <c r="D177" s="860"/>
      <c r="E177" s="860"/>
      <c r="F177" s="706"/>
      <c r="G177" s="720"/>
      <c r="H177" s="860"/>
      <c r="I177" s="860"/>
      <c r="J177" s="860" t="s">
        <v>5003</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6872</v>
      </c>
      <c r="C178" s="797" t="s">
        <v>6873</v>
      </c>
      <c r="D178" s="712" t="s">
        <v>6874</v>
      </c>
      <c r="E178" s="712" t="s">
        <v>6873</v>
      </c>
      <c r="F178" s="729" t="s">
        <v>2903</v>
      </c>
      <c r="G178" s="707" t="s">
        <v>1306</v>
      </c>
      <c r="H178" s="712" t="s">
        <v>6140</v>
      </c>
      <c r="I178" s="712"/>
      <c r="J178" s="712" t="s">
        <v>607</v>
      </c>
      <c r="K178" s="712" t="s">
        <v>352</v>
      </c>
      <c r="L178" s="712"/>
      <c r="M178" s="712"/>
      <c r="N178" s="712" t="s">
        <v>2494</v>
      </c>
      <c r="O178" s="712" t="s">
        <v>6875</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6526</v>
      </c>
      <c r="B179" s="861" t="s">
        <v>6876</v>
      </c>
      <c r="C179" s="797" t="s">
        <v>6877</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6878</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6879</v>
      </c>
      <c r="C180" s="797" t="s">
        <v>6880</v>
      </c>
      <c r="D180" s="712" t="s">
        <v>1599</v>
      </c>
      <c r="E180" s="712" t="s">
        <v>6880</v>
      </c>
      <c r="F180" s="722" t="s">
        <v>2904</v>
      </c>
      <c r="G180" s="707" t="s">
        <v>1307</v>
      </c>
      <c r="H180" s="712" t="s">
        <v>3106</v>
      </c>
      <c r="I180" s="712" t="s">
        <v>1463</v>
      </c>
      <c r="J180" s="712" t="s">
        <v>3860</v>
      </c>
      <c r="K180" s="712" t="s">
        <v>5294</v>
      </c>
      <c r="L180" s="712" t="s">
        <v>943</v>
      </c>
      <c r="M180" s="712" t="s">
        <v>2861</v>
      </c>
      <c r="N180" s="712" t="s">
        <v>1914</v>
      </c>
      <c r="O180" s="712" t="s">
        <v>4772</v>
      </c>
      <c r="P180" s="710" t="s">
        <v>1914</v>
      </c>
      <c r="Q180" s="712"/>
      <c r="R180" s="712"/>
      <c r="S180" s="712"/>
      <c r="T180" s="712"/>
      <c r="U180" s="712" t="s">
        <v>6881</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6882</v>
      </c>
      <c r="C181" s="797" t="s">
        <v>3878</v>
      </c>
      <c r="D181" s="712"/>
      <c r="E181" s="712" t="s">
        <v>3878</v>
      </c>
      <c r="F181" s="706"/>
      <c r="G181" s="720"/>
      <c r="H181" s="712"/>
      <c r="I181" s="712" t="s">
        <v>5232</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6883</v>
      </c>
      <c r="B182" s="861" t="s">
        <v>6658</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6884</v>
      </c>
      <c r="C183" s="797" t="s">
        <v>4731</v>
      </c>
      <c r="D183" s="863" t="s">
        <v>177</v>
      </c>
      <c r="E183" s="712" t="s">
        <v>4731</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6885</v>
      </c>
      <c r="B184" s="861" t="s">
        <v>6658</v>
      </c>
      <c r="C184" s="797" t="s">
        <v>6886</v>
      </c>
      <c r="D184" s="860"/>
      <c r="E184" s="860"/>
      <c r="F184" s="858" t="s">
        <v>6887</v>
      </c>
      <c r="G184" s="720"/>
      <c r="H184" s="860" t="s">
        <v>6886</v>
      </c>
      <c r="I184" s="860"/>
      <c r="J184" s="860" t="s">
        <v>6888</v>
      </c>
      <c r="K184" s="860"/>
      <c r="L184" s="860"/>
      <c r="M184" s="860"/>
      <c r="N184" s="860"/>
      <c r="O184" s="860"/>
      <c r="P184" s="732"/>
      <c r="Q184" s="860"/>
      <c r="R184" s="860"/>
      <c r="S184" s="860"/>
      <c r="T184" s="860"/>
      <c r="U184" s="860"/>
      <c r="V184" s="860"/>
      <c r="W184" s="860"/>
      <c r="X184" s="860" t="s">
        <v>6870</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6884</v>
      </c>
      <c r="C185" s="797" t="s">
        <v>6889</v>
      </c>
      <c r="D185" s="709" t="s">
        <v>6890</v>
      </c>
      <c r="E185" s="708" t="s">
        <v>6889</v>
      </c>
      <c r="F185" s="706"/>
      <c r="G185" s="720"/>
      <c r="H185" s="709" t="s">
        <v>6889</v>
      </c>
      <c r="I185" s="709"/>
      <c r="J185" s="709"/>
      <c r="K185" s="709"/>
      <c r="L185" s="709"/>
      <c r="M185" s="709"/>
      <c r="N185" s="709"/>
      <c r="O185" s="709"/>
      <c r="P185" s="710"/>
      <c r="Q185" s="709"/>
      <c r="R185" s="709"/>
      <c r="S185" s="709"/>
      <c r="T185" s="709"/>
      <c r="U185" s="709"/>
      <c r="V185" s="709"/>
      <c r="W185" s="709"/>
      <c r="X185" s="709"/>
      <c r="Y185" s="708" t="s">
        <v>6889</v>
      </c>
      <c r="Z185" s="709"/>
      <c r="AA185" s="709"/>
      <c r="AB185" s="709"/>
      <c r="AC185" s="709"/>
      <c r="AD185" s="709"/>
      <c r="AE185" s="709"/>
      <c r="AF185" s="709"/>
      <c r="AG185" s="709" t="s">
        <v>6891</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6535</v>
      </c>
      <c r="B186" s="859" t="s">
        <v>6892</v>
      </c>
      <c r="C186" s="797" t="s">
        <v>2572</v>
      </c>
      <c r="D186" s="860"/>
      <c r="E186" s="860"/>
      <c r="F186" s="855"/>
      <c r="G186" s="707" t="s">
        <v>6893</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6894</v>
      </c>
      <c r="C187" s="797" t="s">
        <v>820</v>
      </c>
      <c r="D187" s="860" t="s">
        <v>3497</v>
      </c>
      <c r="E187" s="860"/>
      <c r="F187" s="729" t="s">
        <v>2187</v>
      </c>
      <c r="G187" s="720"/>
      <c r="H187" s="860"/>
      <c r="I187" s="860" t="s">
        <v>6028</v>
      </c>
      <c r="J187" s="860"/>
      <c r="K187" s="860" t="s">
        <v>3296</v>
      </c>
      <c r="L187" s="860"/>
      <c r="M187" s="860"/>
      <c r="N187" s="860" t="s">
        <v>6895</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6896</v>
      </c>
      <c r="C188" s="797" t="s">
        <v>493</v>
      </c>
      <c r="D188" s="712" t="s">
        <v>2750</v>
      </c>
      <c r="E188" s="860"/>
      <c r="F188" s="858" t="s">
        <v>1710</v>
      </c>
      <c r="G188" s="707" t="s">
        <v>628</v>
      </c>
      <c r="H188" s="860" t="s">
        <v>784</v>
      </c>
      <c r="I188" s="860"/>
      <c r="J188" s="860" t="s">
        <v>5521</v>
      </c>
      <c r="K188" s="860"/>
      <c r="L188" s="860" t="s">
        <v>944</v>
      </c>
      <c r="M188" s="860"/>
      <c r="N188" s="860"/>
      <c r="O188" s="860" t="s">
        <v>1031</v>
      </c>
      <c r="P188" s="732"/>
      <c r="Q188" s="860" t="s">
        <v>6285</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6526</v>
      </c>
      <c r="B189" s="861" t="s">
        <v>6897</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6898</v>
      </c>
      <c r="C190" s="797" t="s">
        <v>6835</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6899</v>
      </c>
      <c r="C191" s="797" t="s">
        <v>6900</v>
      </c>
      <c r="D191" s="860" t="s">
        <v>1552</v>
      </c>
      <c r="E191" s="860"/>
      <c r="F191" s="741" t="s">
        <v>6901</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6902</v>
      </c>
      <c r="C192" s="797" t="s">
        <v>2239</v>
      </c>
      <c r="D192" s="744" t="s">
        <v>6903</v>
      </c>
      <c r="E192" s="860"/>
      <c r="F192" s="858" t="s">
        <v>586</v>
      </c>
      <c r="G192" s="720"/>
      <c r="H192" s="860" t="s">
        <v>3097</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6664</v>
      </c>
      <c r="B193" s="866" t="s">
        <v>6904</v>
      </c>
      <c r="C193" s="797" t="s">
        <v>5319</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6905</v>
      </c>
      <c r="C194" s="797" t="s">
        <v>5360</v>
      </c>
      <c r="D194" s="860" t="s">
        <v>3417</v>
      </c>
      <c r="E194" s="860"/>
      <c r="F194" s="858" t="s">
        <v>656</v>
      </c>
      <c r="G194" s="707" t="s">
        <v>6457</v>
      </c>
      <c r="H194" s="860"/>
      <c r="I194" s="860"/>
      <c r="J194" s="860"/>
      <c r="K194" s="860" t="s">
        <v>5569</v>
      </c>
      <c r="L194" s="860" t="s">
        <v>175</v>
      </c>
      <c r="M194" s="860"/>
      <c r="N194" s="860" t="s">
        <v>4663</v>
      </c>
      <c r="O194" s="860"/>
      <c r="P194" s="732"/>
      <c r="Q194" s="860"/>
      <c r="R194" s="860"/>
      <c r="S194" s="860"/>
      <c r="T194" s="860" t="s">
        <v>3437</v>
      </c>
      <c r="U194" s="860" t="s">
        <v>6906</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6907</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6908</v>
      </c>
      <c r="C196" s="797" t="s">
        <v>363</v>
      </c>
      <c r="D196" s="709" t="s">
        <v>5673</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6909</v>
      </c>
      <c r="C197" s="797" t="s">
        <v>945</v>
      </c>
      <c r="D197" s="712" t="s">
        <v>160</v>
      </c>
      <c r="E197" s="744"/>
      <c r="F197" s="741" t="s">
        <v>2905</v>
      </c>
      <c r="G197" s="707" t="s">
        <v>1308</v>
      </c>
      <c r="H197" s="798" t="s">
        <v>6910</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6526</v>
      </c>
      <c r="B198" s="861" t="s">
        <v>6904</v>
      </c>
      <c r="C198" s="797" t="s">
        <v>1497</v>
      </c>
      <c r="D198" s="744"/>
      <c r="E198" s="744"/>
      <c r="F198" s="855"/>
      <c r="G198" s="720"/>
      <c r="H198" s="744"/>
      <c r="I198" s="744"/>
      <c r="J198" s="744" t="s">
        <v>5392</v>
      </c>
      <c r="K198" s="744"/>
      <c r="L198" s="744"/>
      <c r="M198" s="744"/>
      <c r="N198" s="744"/>
      <c r="O198" s="744"/>
      <c r="P198" s="745"/>
      <c r="Q198" s="744"/>
      <c r="R198" s="744"/>
      <c r="S198" s="744"/>
      <c r="T198" s="744"/>
      <c r="U198" s="744"/>
      <c r="V198" s="744"/>
      <c r="W198" s="744"/>
      <c r="X198" s="798" t="s">
        <v>846</v>
      </c>
      <c r="Y198" s="744"/>
      <c r="Z198" s="744"/>
      <c r="AA198" s="744"/>
      <c r="AB198" s="744"/>
      <c r="AC198" s="798" t="s">
        <v>6911</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6912</v>
      </c>
      <c r="BC198" s="744"/>
      <c r="BD198" s="852"/>
      <c r="BE198" s="744"/>
      <c r="BF198" s="760"/>
      <c r="BG198" s="760"/>
      <c r="BH198" s="852"/>
      <c r="BI198" s="852"/>
      <c r="BJ198" s="852"/>
    </row>
    <row r="199" ht="15.75" customHeight="1">
      <c r="A199" s="853"/>
      <c r="B199" s="854" t="s">
        <v>6905</v>
      </c>
      <c r="C199" s="797" t="s">
        <v>6913</v>
      </c>
      <c r="D199" s="744" t="s">
        <v>213</v>
      </c>
      <c r="E199" s="744" t="s">
        <v>3695</v>
      </c>
      <c r="F199" s="858" t="s">
        <v>4908</v>
      </c>
      <c r="G199" s="707" t="s">
        <v>6914</v>
      </c>
      <c r="H199" s="744"/>
      <c r="I199" s="744" t="s">
        <v>6915</v>
      </c>
      <c r="J199" s="744"/>
      <c r="K199" s="744"/>
      <c r="L199" s="744" t="s">
        <v>3695</v>
      </c>
      <c r="M199" s="744"/>
      <c r="N199" s="744" t="s">
        <v>6916</v>
      </c>
      <c r="O199" s="744"/>
      <c r="P199" s="745" t="s">
        <v>3786</v>
      </c>
      <c r="Q199" s="744"/>
      <c r="R199" s="765" t="s">
        <v>6917</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6907</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6908</v>
      </c>
      <c r="C201" s="797" t="s">
        <v>2753</v>
      </c>
      <c r="D201" s="712" t="s">
        <v>541</v>
      </c>
      <c r="E201" s="712" t="s">
        <v>2753</v>
      </c>
      <c r="F201" s="741" t="s">
        <v>6917</v>
      </c>
      <c r="G201" s="720"/>
      <c r="H201" s="712"/>
      <c r="I201" s="712" t="s">
        <v>1464</v>
      </c>
      <c r="J201" s="712" t="s">
        <v>6918</v>
      </c>
      <c r="K201" s="712" t="s">
        <v>4220</v>
      </c>
      <c r="L201" s="712"/>
      <c r="M201" s="712" t="s">
        <v>6919</v>
      </c>
      <c r="N201" s="712" t="s">
        <v>4487</v>
      </c>
      <c r="O201" s="712" t="s">
        <v>4781</v>
      </c>
      <c r="P201" s="708" t="s">
        <v>6078</v>
      </c>
      <c r="Q201" s="712"/>
      <c r="R201" s="708" t="s">
        <v>5698</v>
      </c>
      <c r="S201" s="712"/>
      <c r="T201" s="712"/>
      <c r="U201" s="712"/>
      <c r="V201" s="712"/>
      <c r="W201" s="712" t="s">
        <v>2522</v>
      </c>
      <c r="X201" s="712" t="s">
        <v>6920</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6909</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6531</v>
      </c>
      <c r="B203" s="861" t="s">
        <v>6510</v>
      </c>
      <c r="C203" s="797" t="s">
        <v>896</v>
      </c>
      <c r="D203" s="709" t="s">
        <v>5837</v>
      </c>
      <c r="E203" s="708" t="s">
        <v>377</v>
      </c>
      <c r="F203" s="729" t="s">
        <v>6921</v>
      </c>
      <c r="G203" s="707" t="s">
        <v>6922</v>
      </c>
      <c r="H203" s="709" t="s">
        <v>2237</v>
      </c>
      <c r="I203" s="709"/>
      <c r="J203" s="709"/>
      <c r="K203" s="709"/>
      <c r="L203" s="709" t="s">
        <v>6923</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6924</v>
      </c>
      <c r="B204" s="861" t="s">
        <v>6510</v>
      </c>
      <c r="C204" s="797" t="s">
        <v>6925</v>
      </c>
      <c r="D204" s="709"/>
      <c r="E204" s="708" t="s">
        <v>6925</v>
      </c>
      <c r="F204" s="858" t="s">
        <v>6926</v>
      </c>
      <c r="G204" s="720"/>
      <c r="H204" s="709" t="s">
        <v>6927</v>
      </c>
      <c r="I204" s="709"/>
      <c r="J204" s="709" t="s">
        <v>6928</v>
      </c>
      <c r="K204" s="709"/>
      <c r="L204" s="709"/>
      <c r="M204" s="709"/>
      <c r="N204" s="709"/>
      <c r="O204" s="708" t="s">
        <v>6925</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6735</v>
      </c>
      <c r="B205" s="859" t="s">
        <v>6929</v>
      </c>
      <c r="C205" s="797" t="s">
        <v>6930</v>
      </c>
      <c r="D205" s="712" t="s">
        <v>1601</v>
      </c>
      <c r="E205" s="712" t="s">
        <v>6930</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6531</v>
      </c>
      <c r="B206" s="861" t="s">
        <v>6510</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6931</v>
      </c>
      <c r="T206" s="712"/>
      <c r="U206" s="712"/>
      <c r="V206" s="712"/>
      <c r="W206" s="712" t="s">
        <v>6932</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6579</v>
      </c>
      <c r="B207" s="859" t="s">
        <v>6933</v>
      </c>
      <c r="C207" s="869" t="s">
        <v>6934</v>
      </c>
      <c r="D207" s="860"/>
      <c r="E207" s="860"/>
      <c r="F207" s="862" t="s">
        <v>6934</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6935</v>
      </c>
      <c r="C208" s="797" t="s">
        <v>6767</v>
      </c>
      <c r="D208" s="860"/>
      <c r="E208" s="860"/>
      <c r="F208" s="706"/>
      <c r="G208" s="720"/>
      <c r="H208" s="860" t="s">
        <v>6767</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6616</v>
      </c>
      <c r="B209" s="859" t="s">
        <v>6936</v>
      </c>
      <c r="C209" s="797" t="s">
        <v>1868</v>
      </c>
      <c r="D209" s="860" t="s">
        <v>4143</v>
      </c>
      <c r="E209" s="860"/>
      <c r="F209" s="858" t="s">
        <v>6937</v>
      </c>
      <c r="G209" s="707" t="s">
        <v>3072</v>
      </c>
      <c r="H209" s="860"/>
      <c r="I209" s="860"/>
      <c r="J209" s="860"/>
      <c r="K209" s="860" t="s">
        <v>1128</v>
      </c>
      <c r="L209" s="860"/>
      <c r="M209" s="860"/>
      <c r="N209" s="860" t="s">
        <v>6938</v>
      </c>
      <c r="O209" s="798" t="s">
        <v>6939</v>
      </c>
      <c r="P209" s="732" t="s">
        <v>6940</v>
      </c>
      <c r="Q209" s="860"/>
      <c r="R209" s="860" t="s">
        <v>891</v>
      </c>
      <c r="S209" s="860" t="s">
        <v>6940</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6941</v>
      </c>
      <c r="C210" s="797" t="s">
        <v>391</v>
      </c>
      <c r="D210" s="712" t="s">
        <v>1529</v>
      </c>
      <c r="E210" s="860"/>
      <c r="F210" s="741" t="s">
        <v>2908</v>
      </c>
      <c r="G210" s="707" t="s">
        <v>1312</v>
      </c>
      <c r="H210" s="860"/>
      <c r="I210" s="860"/>
      <c r="J210" s="860"/>
      <c r="K210" s="860"/>
      <c r="L210" s="798" t="s">
        <v>950</v>
      </c>
      <c r="M210" s="798" t="s">
        <v>165</v>
      </c>
      <c r="N210" s="860"/>
      <c r="O210" s="798" t="s">
        <v>1920</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6620</v>
      </c>
      <c r="B211" s="859" t="s">
        <v>6942</v>
      </c>
      <c r="C211" s="797" t="s">
        <v>1469</v>
      </c>
      <c r="D211" s="748" t="s">
        <v>1603</v>
      </c>
      <c r="E211" s="860"/>
      <c r="F211" s="855"/>
      <c r="G211" s="720"/>
      <c r="H211" s="860"/>
      <c r="I211" s="860" t="s">
        <v>1469</v>
      </c>
      <c r="J211" s="860" t="s">
        <v>6943</v>
      </c>
      <c r="K211" s="860" t="s">
        <v>6944</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6945</v>
      </c>
      <c r="BD211" s="852"/>
      <c r="BE211" s="860"/>
      <c r="BF211" s="760"/>
      <c r="BG211" s="760"/>
      <c r="BH211" s="852"/>
      <c r="BI211" s="852"/>
      <c r="BJ211" s="852"/>
    </row>
    <row r="212" ht="15.75" customHeight="1">
      <c r="A212" s="850" t="s">
        <v>6845</v>
      </c>
      <c r="B212" s="859" t="s">
        <v>6510</v>
      </c>
      <c r="C212" s="797" t="str">
        <f>HYPERLINK("https://www.youtube.com/watch?v=_HQgQjbTLjM","1:11.32")</f>
        <v>1:11.32</v>
      </c>
      <c r="D212" s="721" t="s">
        <v>1604</v>
      </c>
      <c r="E212" s="860"/>
      <c r="F212" s="855"/>
      <c r="G212" s="707" t="s">
        <v>1314</v>
      </c>
      <c r="H212" s="860"/>
      <c r="I212" s="860" t="s">
        <v>1479</v>
      </c>
      <c r="J212" s="860" t="s">
        <v>6946</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6625</v>
      </c>
      <c r="B213" s="861" t="s">
        <v>6510</v>
      </c>
      <c r="C213" s="751" t="s">
        <v>6947</v>
      </c>
      <c r="D213" s="708" t="s">
        <v>6947</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6948</v>
      </c>
      <c r="B214" s="861" t="s">
        <v>6949</v>
      </c>
      <c r="C214" s="797" t="s">
        <v>6950</v>
      </c>
      <c r="D214" s="860"/>
      <c r="E214" s="860"/>
      <c r="F214" s="855"/>
      <c r="G214" s="720"/>
      <c r="H214" s="860"/>
      <c r="I214" s="860"/>
      <c r="J214" s="860" t="s">
        <v>6950</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6951</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6713</v>
      </c>
      <c r="B216" s="859" t="s">
        <v>6510</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6625</v>
      </c>
      <c r="B217" s="861" t="s">
        <v>6510</v>
      </c>
      <c r="C217" s="751" t="s">
        <v>6952</v>
      </c>
      <c r="D217" s="708" t="s">
        <v>6952</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6953</v>
      </c>
      <c r="C218" s="797" t="s">
        <v>1471</v>
      </c>
      <c r="D218" s="721" t="s">
        <v>6954</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6955</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6509</v>
      </c>
      <c r="B220" s="878" t="s">
        <v>6510</v>
      </c>
      <c r="C220" s="797" t="s">
        <v>872</v>
      </c>
      <c r="D220" s="712" t="s">
        <v>1606</v>
      </c>
      <c r="E220" s="804"/>
      <c r="F220" s="741" t="s">
        <v>6956</v>
      </c>
      <c r="G220" s="707" t="s">
        <v>1316</v>
      </c>
      <c r="H220" s="798" t="s">
        <v>1105</v>
      </c>
      <c r="I220" s="804" t="s">
        <v>6957</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6718</v>
      </c>
      <c r="B221" s="878" t="s">
        <v>6958</v>
      </c>
      <c r="C221" s="797" t="s">
        <v>148</v>
      </c>
      <c r="D221" s="712" t="s">
        <v>1607</v>
      </c>
      <c r="E221" s="798" t="s">
        <v>148</v>
      </c>
      <c r="F221" s="836" t="s">
        <v>2909</v>
      </c>
      <c r="G221" s="707" t="s">
        <v>2976</v>
      </c>
      <c r="H221" s="798" t="s">
        <v>2173</v>
      </c>
      <c r="I221" s="798" t="s">
        <v>1607</v>
      </c>
      <c r="J221" s="798" t="s">
        <v>6792</v>
      </c>
      <c r="K221" s="798" t="s">
        <v>2173</v>
      </c>
      <c r="L221" s="798" t="s">
        <v>956</v>
      </c>
      <c r="M221" s="798" t="s">
        <v>1244</v>
      </c>
      <c r="N221" s="798" t="s">
        <v>373</v>
      </c>
      <c r="O221" s="798" t="s">
        <v>2754</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6535</v>
      </c>
      <c r="B222" s="878" t="s">
        <v>6510</v>
      </c>
      <c r="C222" s="797" t="str">
        <f>HYPERLINK("https://www.youtube.com/watch?v=aWzlUqH0LaM","41.87")</f>
        <v>41.87</v>
      </c>
      <c r="D222" s="808"/>
      <c r="E222" s="804"/>
      <c r="F222" s="706"/>
      <c r="G222" s="707" t="s">
        <v>6959</v>
      </c>
      <c r="H222" s="798" t="s">
        <v>308</v>
      </c>
      <c r="I222" s="798" t="s">
        <v>1641</v>
      </c>
      <c r="J222" s="804"/>
      <c r="K222" s="798" t="s">
        <v>6428</v>
      </c>
      <c r="L222" s="798" t="s">
        <v>4418</v>
      </c>
      <c r="M222" s="798" t="str">
        <f>HYPERLINK("https://www.youtube.com/watch?v=aWzlUqH0LaM","41.87")</f>
        <v>41.87</v>
      </c>
      <c r="N222" s="804" t="s">
        <v>2154</v>
      </c>
      <c r="O222" s="798" t="s">
        <v>1541</v>
      </c>
      <c r="P222" s="806" t="s">
        <v>3315</v>
      </c>
      <c r="Q222" s="804"/>
      <c r="R222" s="804"/>
      <c r="S222" s="804"/>
      <c r="T222" s="804"/>
      <c r="U222" s="804" t="s">
        <v>6960</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6664</v>
      </c>
      <c r="B223" s="878" t="s">
        <v>6961</v>
      </c>
      <c r="C223" s="797" t="str">
        <f>HYPERLINK("https://youtu.be/F-20O1FDNbI","1:45.11")</f>
        <v>1:45.11</v>
      </c>
      <c r="D223" s="804" t="s">
        <v>6962</v>
      </c>
      <c r="E223" s="804"/>
      <c r="F223" s="880"/>
      <c r="G223" s="707" t="s">
        <v>6963</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6964</v>
      </c>
      <c r="C224" s="797" t="s">
        <v>505</v>
      </c>
      <c r="D224" s="712" t="s">
        <v>6965</v>
      </c>
      <c r="E224" s="804"/>
      <c r="F224" s="741" t="s">
        <v>6966</v>
      </c>
      <c r="G224" s="707" t="s">
        <v>1319</v>
      </c>
      <c r="H224" s="804" t="s">
        <v>6967</v>
      </c>
      <c r="I224" s="804"/>
      <c r="J224" s="798" t="s">
        <v>6968</v>
      </c>
      <c r="K224" s="804"/>
      <c r="L224" s="804" t="s">
        <v>958</v>
      </c>
      <c r="M224" s="798" t="s">
        <v>792</v>
      </c>
      <c r="N224" s="804"/>
      <c r="O224" s="804"/>
      <c r="P224" s="806" t="s">
        <v>4178</v>
      </c>
      <c r="Q224" s="804"/>
      <c r="R224" s="804"/>
      <c r="S224" s="804"/>
      <c r="T224" s="798" t="s">
        <v>505</v>
      </c>
      <c r="U224" s="804" t="s">
        <v>6167</v>
      </c>
      <c r="V224" s="804"/>
      <c r="W224" s="804"/>
      <c r="X224" s="804"/>
      <c r="Y224" s="804"/>
      <c r="Z224" s="804"/>
      <c r="AA224" s="804"/>
      <c r="AB224" s="804" t="s">
        <v>6969</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6970</v>
      </c>
      <c r="C225" s="797" t="s">
        <v>6971</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6971</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6972</v>
      </c>
      <c r="C226" s="797" t="s">
        <v>3074</v>
      </c>
      <c r="D226" s="804"/>
      <c r="E226" s="804"/>
      <c r="F226" s="722" t="s">
        <v>2911</v>
      </c>
      <c r="G226" s="720"/>
      <c r="H226" s="798" t="s">
        <v>6973</v>
      </c>
      <c r="I226" s="804"/>
      <c r="J226" s="804"/>
      <c r="K226" s="804"/>
      <c r="L226" s="804"/>
      <c r="M226" s="804"/>
      <c r="N226" s="804"/>
      <c r="O226" s="804"/>
      <c r="P226" s="806"/>
      <c r="Q226" s="804"/>
      <c r="R226" s="804"/>
      <c r="S226" s="804"/>
      <c r="T226" s="804"/>
      <c r="U226" s="804"/>
      <c r="V226" s="804"/>
      <c r="W226" s="804"/>
      <c r="X226" s="804"/>
      <c r="Y226" s="804"/>
      <c r="Z226" s="804"/>
      <c r="AA226" s="804"/>
      <c r="AB226" s="798" t="s">
        <v>6974</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6526</v>
      </c>
      <c r="B227" s="885" t="s">
        <v>6961</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6964</v>
      </c>
      <c r="C228" s="889" t="s">
        <v>6975</v>
      </c>
      <c r="D228" s="890" t="s">
        <v>6975</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6970</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6972</v>
      </c>
      <c r="C230" s="703" t="s">
        <v>764</v>
      </c>
      <c r="D230" s="886"/>
      <c r="E230" s="886"/>
      <c r="F230" s="729" t="s">
        <v>6976</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6531</v>
      </c>
      <c r="B231" s="885" t="s">
        <v>6977</v>
      </c>
      <c r="C231" s="797" t="s">
        <v>6978</v>
      </c>
      <c r="D231" s="891">
        <v>13.23</v>
      </c>
      <c r="E231" s="886"/>
      <c r="F231" s="892" t="s">
        <v>6979</v>
      </c>
      <c r="G231" s="707" t="s">
        <v>6980</v>
      </c>
      <c r="H231" s="886"/>
      <c r="I231" s="886"/>
      <c r="J231" s="893" t="s">
        <v>4080</v>
      </c>
      <c r="K231" s="886"/>
      <c r="L231" s="886"/>
      <c r="M231" s="886"/>
      <c r="N231" s="886"/>
      <c r="O231" s="886"/>
      <c r="P231" s="887"/>
      <c r="Q231" s="886"/>
      <c r="R231" s="893" t="s">
        <v>6826</v>
      </c>
      <c r="S231" s="886"/>
      <c r="T231" s="886"/>
      <c r="U231" s="886"/>
      <c r="V231" s="886"/>
      <c r="W231" s="893" t="s">
        <v>2565</v>
      </c>
      <c r="X231" s="886"/>
      <c r="Y231" s="886"/>
      <c r="Z231" s="886"/>
      <c r="AA231" s="886"/>
      <c r="AB231" s="893" t="s">
        <v>6978</v>
      </c>
      <c r="AC231" s="886"/>
      <c r="AD231" s="886"/>
      <c r="AE231" s="886"/>
      <c r="AF231" s="886"/>
      <c r="AG231" s="886"/>
      <c r="AH231" s="886"/>
      <c r="AI231" s="886"/>
      <c r="AJ231" s="886"/>
      <c r="AK231" s="886" t="s">
        <v>6981</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6982</v>
      </c>
      <c r="C232" s="797" t="s">
        <v>485</v>
      </c>
      <c r="D232" s="798"/>
      <c r="E232" s="798" t="s">
        <v>799</v>
      </c>
      <c r="F232" s="706"/>
      <c r="G232" s="707" t="s">
        <v>6983</v>
      </c>
      <c r="H232" s="798" t="s">
        <v>485</v>
      </c>
      <c r="I232" s="798"/>
      <c r="J232" s="798"/>
      <c r="K232" s="798"/>
      <c r="L232" s="798" t="s">
        <v>6978</v>
      </c>
      <c r="M232" s="798"/>
      <c r="N232" s="798"/>
      <c r="O232" s="798"/>
      <c r="P232" s="799"/>
      <c r="Q232" s="798"/>
      <c r="R232" s="798"/>
      <c r="S232" s="798" t="s">
        <v>6984</v>
      </c>
      <c r="T232" s="798"/>
      <c r="U232" s="798"/>
      <c r="V232" s="798"/>
      <c r="W232" s="798"/>
      <c r="X232" s="798"/>
      <c r="Y232" s="798" t="s">
        <v>6826</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6735</v>
      </c>
      <c r="B233" s="878" t="s">
        <v>6510</v>
      </c>
      <c r="C233" s="894" t="s">
        <v>6985</v>
      </c>
      <c r="D233" s="804"/>
      <c r="E233" s="804"/>
      <c r="F233" s="895" t="s">
        <v>6985</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6986</v>
      </c>
      <c r="B234" s="897" t="s">
        <v>6510</v>
      </c>
      <c r="C234" s="781" t="s">
        <v>6987</v>
      </c>
      <c r="D234" s="707" t="s">
        <v>6988</v>
      </c>
      <c r="E234" s="804"/>
      <c r="F234" s="729" t="s">
        <v>6989</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6579</v>
      </c>
      <c r="B235" s="878" t="s">
        <v>6990</v>
      </c>
      <c r="C235" s="797" t="s">
        <v>6991</v>
      </c>
      <c r="D235" s="804" t="s">
        <v>4173</v>
      </c>
      <c r="E235" s="804"/>
      <c r="F235" s="880"/>
      <c r="G235" s="720"/>
      <c r="H235" s="804"/>
      <c r="I235" s="804"/>
      <c r="J235" s="804"/>
      <c r="K235" s="798" t="s">
        <v>5331</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6992</v>
      </c>
      <c r="C236" s="899" t="s">
        <v>2170</v>
      </c>
      <c r="D236" s="712" t="s">
        <v>1927</v>
      </c>
      <c r="E236" s="804"/>
      <c r="F236" s="722" t="s">
        <v>2170</v>
      </c>
      <c r="G236" s="707" t="s">
        <v>1320</v>
      </c>
      <c r="H236" s="804"/>
      <c r="I236" s="804" t="s">
        <v>4300</v>
      </c>
      <c r="J236" s="798" t="s">
        <v>6993</v>
      </c>
      <c r="K236" s="798" t="s">
        <v>3446</v>
      </c>
      <c r="L236" s="804"/>
      <c r="M236" s="804"/>
      <c r="N236" s="804" t="s">
        <v>4283</v>
      </c>
      <c r="O236" s="798" t="s">
        <v>1320</v>
      </c>
      <c r="P236" s="806" t="s">
        <v>2139</v>
      </c>
      <c r="Q236" s="804" t="s">
        <v>1927</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6994</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6526</v>
      </c>
      <c r="B238" s="900" t="s">
        <v>6995</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6996</v>
      </c>
      <c r="C239" s="785" t="s">
        <v>1780</v>
      </c>
      <c r="D239" s="798"/>
      <c r="E239" s="798" t="s">
        <v>4216</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6997</v>
      </c>
      <c r="C240" s="797" t="s">
        <v>5260</v>
      </c>
      <c r="D240" s="804" t="s">
        <v>1627</v>
      </c>
      <c r="E240" s="804"/>
      <c r="H240" s="804"/>
      <c r="I240" s="804" t="s">
        <v>2437</v>
      </c>
      <c r="J240" s="804"/>
      <c r="L240" s="804"/>
      <c r="M240" s="804"/>
      <c r="N240" s="804" t="s">
        <v>3250</v>
      </c>
      <c r="O240" s="804"/>
      <c r="P240" s="806" t="s">
        <v>6998</v>
      </c>
      <c r="Q240" s="804"/>
      <c r="R240" s="804" t="s">
        <v>5260</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6999</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7000</v>
      </c>
      <c r="C242" s="797" t="s">
        <v>7001</v>
      </c>
      <c r="D242" s="712" t="s">
        <v>1611</v>
      </c>
      <c r="E242" s="804"/>
      <c r="F242" s="880"/>
      <c r="G242" s="720"/>
      <c r="H242" s="798" t="s">
        <v>2513</v>
      </c>
      <c r="I242" s="804"/>
      <c r="J242" s="798" t="s">
        <v>1080</v>
      </c>
      <c r="K242" s="804"/>
      <c r="L242" s="798" t="s">
        <v>960</v>
      </c>
      <c r="M242" s="798" t="s">
        <v>240</v>
      </c>
      <c r="N242" s="804"/>
      <c r="O242" s="798" t="s">
        <v>3075</v>
      </c>
      <c r="P242" s="806"/>
      <c r="Q242" s="804" t="s">
        <v>7002</v>
      </c>
      <c r="R242" s="707" t="s">
        <v>2140</v>
      </c>
      <c r="S242" s="804"/>
      <c r="T242" s="804"/>
      <c r="U242" s="804"/>
      <c r="V242" s="804"/>
      <c r="W242" s="804"/>
      <c r="X242" s="804"/>
      <c r="Y242" s="804"/>
      <c r="Z242" s="804"/>
      <c r="AA242" s="804"/>
      <c r="AB242" s="804"/>
      <c r="AC242" s="804"/>
      <c r="AD242" s="804"/>
      <c r="AE242" s="804"/>
      <c r="AF242" s="804"/>
      <c r="AG242" s="804"/>
      <c r="AH242" s="707" t="s">
        <v>7001</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6531</v>
      </c>
      <c r="B243" s="900" t="s">
        <v>7003</v>
      </c>
      <c r="C243" s="797" t="s">
        <v>4952</v>
      </c>
      <c r="D243" s="902"/>
      <c r="E243" s="798" t="s">
        <v>5628</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7004</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7005</v>
      </c>
      <c r="C244" s="797" t="s">
        <v>1348</v>
      </c>
      <c r="D244" s="798" t="s">
        <v>1309</v>
      </c>
      <c r="E244" s="798" t="s">
        <v>1348</v>
      </c>
      <c r="F244" s="880"/>
      <c r="G244" s="707" t="s">
        <v>3265</v>
      </c>
      <c r="H244" s="707" t="s">
        <v>5427</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7006</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7007</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6029</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6616</v>
      </c>
      <c r="B246" s="878" t="s">
        <v>6936</v>
      </c>
      <c r="C246" s="797" t="s">
        <v>5419</v>
      </c>
      <c r="D246" s="798" t="s">
        <v>1417</v>
      </c>
      <c r="E246" s="798" t="s">
        <v>2556</v>
      </c>
      <c r="F246" s="741" t="s">
        <v>4098</v>
      </c>
      <c r="G246" s="720"/>
      <c r="H246" s="798" t="s">
        <v>5419</v>
      </c>
      <c r="I246" s="798"/>
      <c r="J246" s="798"/>
      <c r="K246" s="798" t="s">
        <v>5528</v>
      </c>
      <c r="L246" s="798"/>
      <c r="M246" s="798"/>
      <c r="N246" s="798" t="s">
        <v>5199</v>
      </c>
      <c r="O246" s="798" t="s">
        <v>4098</v>
      </c>
      <c r="P246" s="799" t="s">
        <v>5460</v>
      </c>
      <c r="Q246" s="798"/>
      <c r="R246" s="798" t="s">
        <v>5419</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6706</v>
      </c>
      <c r="C247" s="797" t="s">
        <v>3092</v>
      </c>
      <c r="D247" s="798"/>
      <c r="E247" s="798" t="s">
        <v>4236</v>
      </c>
      <c r="F247" s="892" t="s">
        <v>7008</v>
      </c>
      <c r="G247" s="720"/>
      <c r="H247" s="798" t="s">
        <v>3092</v>
      </c>
      <c r="I247" s="798" t="str">
        <f>HYPERLINK("https://youtu.be/yGR2akJEjQQ","19.18")</f>
        <v>19.18</v>
      </c>
      <c r="J247" s="798"/>
      <c r="K247" s="798"/>
      <c r="L247" s="798"/>
      <c r="M247" s="798"/>
      <c r="N247" s="798"/>
      <c r="O247" s="798"/>
      <c r="P247" s="799"/>
      <c r="Q247" s="798"/>
      <c r="R247" s="707" t="s">
        <v>5345</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7009</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7010</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7011</v>
      </c>
      <c r="C250" s="703" t="s">
        <v>4967</v>
      </c>
      <c r="D250" s="804"/>
      <c r="E250" s="804"/>
      <c r="F250" s="729" t="s">
        <v>1996</v>
      </c>
      <c r="G250" s="720"/>
      <c r="H250" s="707" t="s">
        <v>4967</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7012</v>
      </c>
      <c r="B251" s="878" t="s">
        <v>6510</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6627</v>
      </c>
      <c r="B252" s="878" t="s">
        <v>6623</v>
      </c>
      <c r="C252" s="797" t="s">
        <v>5960</v>
      </c>
      <c r="D252" s="721" t="s">
        <v>1615</v>
      </c>
      <c r="E252" s="804"/>
      <c r="F252" s="880"/>
      <c r="G252" s="720"/>
      <c r="H252" s="804"/>
      <c r="I252" s="804" t="s">
        <v>1853</v>
      </c>
      <c r="J252" s="798" t="s">
        <v>1470</v>
      </c>
      <c r="K252" s="804" t="s">
        <v>7013</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6625</v>
      </c>
      <c r="B253" s="904" t="s">
        <v>6623</v>
      </c>
      <c r="C253" s="747" t="s">
        <v>7014</v>
      </c>
      <c r="D253" s="748" t="s">
        <v>7014</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7015</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7016</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6510</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7017</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6509</v>
      </c>
      <c r="B258" s="912" t="s">
        <v>7018</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7019</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7020</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7021</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7022</v>
      </c>
      <c r="C260" s="797" t="s">
        <v>426</v>
      </c>
      <c r="D260" s="804" t="s">
        <v>4528</v>
      </c>
      <c r="E260" s="804"/>
      <c r="F260" s="706"/>
      <c r="G260" s="720"/>
      <c r="H260" s="804"/>
      <c r="I260" s="804" t="s">
        <v>7023</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7024</v>
      </c>
      <c r="C261" s="797" t="s">
        <v>3808</v>
      </c>
      <c r="D261" s="804"/>
      <c r="E261" s="804"/>
      <c r="F261" s="917"/>
      <c r="G261" s="707" t="s">
        <v>6310</v>
      </c>
      <c r="H261" s="804"/>
      <c r="I261" s="798" t="s">
        <v>7025</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7026</v>
      </c>
      <c r="C262" s="797" t="s">
        <v>1998</v>
      </c>
      <c r="D262" s="798"/>
      <c r="E262" s="798" t="s">
        <v>1541</v>
      </c>
      <c r="F262" s="729" t="s">
        <v>934</v>
      </c>
      <c r="G262" s="720"/>
      <c r="H262" s="798" t="s">
        <v>1998</v>
      </c>
      <c r="I262" s="798"/>
      <c r="J262" s="798" t="s">
        <v>2161</v>
      </c>
      <c r="K262" s="798"/>
      <c r="L262" s="799" t="s">
        <v>7027</v>
      </c>
      <c r="M262" s="798"/>
      <c r="N262" s="798"/>
      <c r="O262" s="798" t="s">
        <v>1401</v>
      </c>
      <c r="P262" s="799" t="s">
        <v>7028</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7029</v>
      </c>
      <c r="C263" s="797" t="s">
        <v>2161</v>
      </c>
      <c r="D263" s="798"/>
      <c r="E263" s="798" t="s">
        <v>2161</v>
      </c>
      <c r="F263" s="916" t="s">
        <v>7030</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7031</v>
      </c>
      <c r="C264" s="797" t="s">
        <v>356</v>
      </c>
      <c r="D264" s="798"/>
      <c r="E264" s="798" t="s">
        <v>800</v>
      </c>
      <c r="F264" s="729" t="s">
        <v>1401</v>
      </c>
      <c r="G264" s="720"/>
      <c r="H264" s="799" t="s">
        <v>5479</v>
      </c>
      <c r="I264" s="798"/>
      <c r="J264" s="798"/>
      <c r="K264" s="798"/>
      <c r="L264" s="798"/>
      <c r="M264" s="798"/>
      <c r="N264" s="798"/>
      <c r="O264" s="798" t="s">
        <v>6031</v>
      </c>
      <c r="P264" s="799"/>
      <c r="Q264" s="798"/>
      <c r="R264" s="798"/>
      <c r="S264" s="798"/>
      <c r="T264" s="798"/>
      <c r="U264" s="798"/>
      <c r="V264" s="798"/>
      <c r="W264" s="799" t="s">
        <v>7032</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7033</v>
      </c>
      <c r="C265" s="781" t="s">
        <v>2912</v>
      </c>
      <c r="D265" s="798" t="s">
        <v>848</v>
      </c>
      <c r="E265" s="798" t="s">
        <v>7034</v>
      </c>
      <c r="F265" s="729" t="s">
        <v>2912</v>
      </c>
      <c r="G265" s="707" t="s">
        <v>2931</v>
      </c>
      <c r="H265" s="798"/>
      <c r="I265" s="798"/>
      <c r="J265" s="798"/>
      <c r="K265" s="798"/>
      <c r="L265" s="798"/>
      <c r="M265" s="798"/>
      <c r="N265" s="798"/>
      <c r="O265" s="798" t="s">
        <v>7035</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6511</v>
      </c>
      <c r="B266" s="912" t="s">
        <v>6510</v>
      </c>
      <c r="C266" s="781" t="s">
        <v>7036</v>
      </c>
      <c r="D266" s="804"/>
      <c r="E266" s="804"/>
      <c r="F266" s="729" t="s">
        <v>7036</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6657</v>
      </c>
      <c r="B267" s="912" t="s">
        <v>7037</v>
      </c>
      <c r="C267" s="797" t="s">
        <v>1627</v>
      </c>
      <c r="D267" s="804" t="s">
        <v>1758</v>
      </c>
      <c r="E267" s="804"/>
      <c r="F267" s="917"/>
      <c r="G267" s="707" t="s">
        <v>4256</v>
      </c>
      <c r="H267" s="804"/>
      <c r="I267" s="798" t="str">
        <f>HYPERLINK("https://youtu.be/_GZXmZdCc5s","31.80")</f>
        <v>31.80</v>
      </c>
      <c r="J267" s="804"/>
      <c r="K267" s="798" t="s">
        <v>7038</v>
      </c>
      <c r="L267" s="804"/>
      <c r="M267" s="798" t="s">
        <v>1627</v>
      </c>
      <c r="N267" s="798" t="str">
        <f>HYPERLINK("https://youtu.be/kUsh0nBBuMY","32.45")</f>
        <v>32.45</v>
      </c>
      <c r="O267" s="804"/>
      <c r="P267" s="806" t="s">
        <v>2216</v>
      </c>
      <c r="Q267" s="804"/>
      <c r="R267" s="804" t="s">
        <v>1089</v>
      </c>
      <c r="S267" s="804"/>
      <c r="T267" s="804"/>
      <c r="U267" s="804" t="s">
        <v>818</v>
      </c>
      <c r="V267" s="707" t="s">
        <v>7039</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7040</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7041</v>
      </c>
      <c r="C269" s="797" t="s">
        <v>4956</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7042</v>
      </c>
      <c r="C270" s="797" t="s">
        <v>3543</v>
      </c>
      <c r="D270" s="798" t="s">
        <v>240</v>
      </c>
      <c r="E270" s="798" t="s">
        <v>3543</v>
      </c>
      <c r="F270" s="722" t="s">
        <v>179</v>
      </c>
      <c r="G270" s="707" t="s">
        <v>1328</v>
      </c>
      <c r="H270" s="798" t="s">
        <v>1543</v>
      </c>
      <c r="I270" s="798" t="s">
        <v>203</v>
      </c>
      <c r="J270" s="798" t="s">
        <v>2140</v>
      </c>
      <c r="K270" s="798" t="s">
        <v>5393</v>
      </c>
      <c r="L270" s="798" t="s">
        <v>915</v>
      </c>
      <c r="M270" s="798" t="s">
        <v>275</v>
      </c>
      <c r="N270" s="798" t="s">
        <v>5676</v>
      </c>
      <c r="O270" s="798" t="s">
        <v>716</v>
      </c>
      <c r="P270" s="799" t="s">
        <v>423</v>
      </c>
      <c r="Q270" s="798" t="s">
        <v>4021</v>
      </c>
      <c r="R270" s="798"/>
      <c r="S270" s="798"/>
      <c r="T270" s="798"/>
      <c r="U270" s="798" t="s">
        <v>7043</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6558</v>
      </c>
      <c r="B271" s="912" t="s">
        <v>7044</v>
      </c>
      <c r="C271" s="797" t="s">
        <v>7045</v>
      </c>
      <c r="D271" s="798" t="s">
        <v>6670</v>
      </c>
      <c r="E271" s="798" t="s">
        <v>4139</v>
      </c>
      <c r="F271" s="919" t="s">
        <v>7046</v>
      </c>
      <c r="G271" s="707" t="s">
        <v>7047</v>
      </c>
      <c r="H271" s="798"/>
      <c r="I271" s="798" t="str">
        <f>HYPERLINK("https://youtu.be/fNmQmNF7N9I","46.93")</f>
        <v>46.93</v>
      </c>
      <c r="J271" s="798" t="s">
        <v>7045</v>
      </c>
      <c r="K271" s="798" t="s">
        <v>534</v>
      </c>
      <c r="L271" s="798" t="s">
        <v>7048</v>
      </c>
      <c r="M271" s="798" t="s">
        <v>1578</v>
      </c>
      <c r="N271" s="798"/>
      <c r="O271" s="798"/>
      <c r="P271" s="799"/>
      <c r="Q271" s="798"/>
      <c r="R271" s="798"/>
      <c r="S271" s="798" t="s">
        <v>3855</v>
      </c>
      <c r="T271" s="798" t="s">
        <v>7023</v>
      </c>
      <c r="U271" s="798" t="s">
        <v>7049</v>
      </c>
      <c r="V271" s="798"/>
      <c r="W271" s="798" t="s">
        <v>4314</v>
      </c>
      <c r="X271" s="798" t="s">
        <v>7050</v>
      </c>
      <c r="Y271" s="798"/>
      <c r="Z271" s="798"/>
      <c r="AA271" s="798" t="s">
        <v>7051</v>
      </c>
      <c r="AB271" s="798" t="s">
        <v>7052</v>
      </c>
      <c r="AC271" s="798"/>
      <c r="AD271" s="798"/>
      <c r="AE271" s="798"/>
      <c r="AF271" s="798"/>
      <c r="AG271" s="798"/>
      <c r="AH271" s="798"/>
      <c r="AI271" s="798"/>
      <c r="AJ271" s="798"/>
      <c r="AK271" s="798"/>
      <c r="AL271" s="798"/>
      <c r="AM271" s="798"/>
      <c r="AN271" s="798"/>
      <c r="AO271" s="800"/>
      <c r="AP271" s="798" t="s">
        <v>7053</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7054</v>
      </c>
      <c r="C272" s="797" t="s">
        <v>3840</v>
      </c>
      <c r="D272" s="798" t="s">
        <v>5111</v>
      </c>
      <c r="E272" s="798" t="s">
        <v>3419</v>
      </c>
      <c r="F272" s="741" t="s">
        <v>7055</v>
      </c>
      <c r="G272" s="707" t="s">
        <v>7056</v>
      </c>
      <c r="H272" s="798"/>
      <c r="I272" s="798" t="str">
        <f>HYPERLINK(" https://youtu.be/dsDcBzsPA5s","45.74")</f>
        <v>45.74</v>
      </c>
      <c r="J272" s="798" t="s">
        <v>3840</v>
      </c>
      <c r="K272" s="798" t="s">
        <v>7057</v>
      </c>
      <c r="L272" s="798" t="s">
        <v>3917</v>
      </c>
      <c r="M272" s="798" t="s">
        <v>1700</v>
      </c>
      <c r="N272" s="798" t="s">
        <v>1999</v>
      </c>
      <c r="O272" s="798" t="s">
        <v>3906</v>
      </c>
      <c r="P272" s="799" t="s">
        <v>3457</v>
      </c>
      <c r="Q272" s="798" t="s">
        <v>7058</v>
      </c>
      <c r="R272" s="798"/>
      <c r="S272" s="798" t="s">
        <v>7059</v>
      </c>
      <c r="T272" s="798" t="s">
        <v>283</v>
      </c>
      <c r="U272" s="798" t="s">
        <v>7032</v>
      </c>
      <c r="V272" s="798"/>
      <c r="W272" s="798" t="s">
        <v>703</v>
      </c>
      <c r="X272" s="798" t="s">
        <v>7060</v>
      </c>
      <c r="Y272" s="798"/>
      <c r="Z272" s="798"/>
      <c r="AA272" s="798"/>
      <c r="AB272" s="798" t="s">
        <v>6730</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7061</v>
      </c>
      <c r="C273" s="797" t="s">
        <v>1047</v>
      </c>
      <c r="D273" s="798" t="s">
        <v>4585</v>
      </c>
      <c r="E273" s="798" t="s">
        <v>408</v>
      </c>
      <c r="F273" s="919" t="s">
        <v>2062</v>
      </c>
      <c r="G273" s="707" t="s">
        <v>186</v>
      </c>
      <c r="H273" s="798" t="s">
        <v>2043</v>
      </c>
      <c r="I273" s="798" t="str">
        <f>HYPERLINK("https://youtu.be/9O9oqhlyCxY","45.20")</f>
        <v>45.20</v>
      </c>
      <c r="J273" s="798" t="s">
        <v>7062</v>
      </c>
      <c r="K273" s="707" t="s">
        <v>3565</v>
      </c>
      <c r="L273" s="798" t="s">
        <v>319</v>
      </c>
      <c r="M273" s="798" t="s">
        <v>1402</v>
      </c>
      <c r="N273" s="798" t="s">
        <v>7025</v>
      </c>
      <c r="O273" s="798" t="s">
        <v>1047</v>
      </c>
      <c r="P273" s="799"/>
      <c r="Q273" s="798" t="s">
        <v>1856</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6735</v>
      </c>
      <c r="B274" s="921" t="s">
        <v>7063</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6526</v>
      </c>
      <c r="B275" s="925" t="s">
        <v>7063</v>
      </c>
      <c r="C275" s="797" t="s">
        <v>6921</v>
      </c>
      <c r="D275" s="922" t="s">
        <v>148</v>
      </c>
      <c r="E275" s="922" t="s">
        <v>410</v>
      </c>
      <c r="F275" s="722" t="s">
        <v>2914</v>
      </c>
      <c r="G275" s="720"/>
      <c r="H275" s="922" t="s">
        <v>6921</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6531</v>
      </c>
      <c r="B276" s="927" t="s">
        <v>6510</v>
      </c>
      <c r="C276" s="797" t="s">
        <v>5634</v>
      </c>
      <c r="D276" s="798" t="s">
        <v>5648</v>
      </c>
      <c r="E276" s="798" t="s">
        <v>2823</v>
      </c>
      <c r="F276" s="729" t="s">
        <v>3930</v>
      </c>
      <c r="G276" s="707" t="s">
        <v>5602</v>
      </c>
      <c r="H276" s="798" t="s">
        <v>5634</v>
      </c>
      <c r="I276" s="798"/>
      <c r="J276" s="798" t="s">
        <v>5199</v>
      </c>
      <c r="K276" s="798"/>
      <c r="L276" s="798" t="s">
        <v>7064</v>
      </c>
      <c r="M276" s="798"/>
      <c r="N276" s="798"/>
      <c r="O276" s="798" t="s">
        <v>5634</v>
      </c>
      <c r="P276" s="799"/>
      <c r="Q276" s="798"/>
      <c r="R276" s="707" t="s">
        <v>7065</v>
      </c>
      <c r="S276" s="798"/>
      <c r="T276" s="798" t="s">
        <v>5634</v>
      </c>
      <c r="U276" s="798"/>
      <c r="V276" s="798"/>
      <c r="W276" s="798" t="s">
        <v>4098</v>
      </c>
      <c r="X276" s="798" t="s">
        <v>6028</v>
      </c>
      <c r="Y276" s="798" t="s">
        <v>7066</v>
      </c>
      <c r="Z276" s="798" t="s">
        <v>6086</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6687</v>
      </c>
      <c r="B277" s="928" t="s">
        <v>7067</v>
      </c>
      <c r="C277" s="797" t="s">
        <v>7068</v>
      </c>
      <c r="D277" s="712" t="s">
        <v>1484</v>
      </c>
      <c r="E277" s="798" t="s">
        <v>4400</v>
      </c>
      <c r="F277" s="722" t="s">
        <v>189</v>
      </c>
      <c r="G277" s="707" t="s">
        <v>1331</v>
      </c>
      <c r="H277" s="798" t="s">
        <v>7068</v>
      </c>
      <c r="I277" s="798" t="s">
        <v>1484</v>
      </c>
      <c r="J277" s="798" t="s">
        <v>3703</v>
      </c>
      <c r="K277" s="798"/>
      <c r="L277" s="798" t="s">
        <v>965</v>
      </c>
      <c r="M277" s="798"/>
      <c r="N277" s="798"/>
      <c r="O277" s="798" t="s">
        <v>7069</v>
      </c>
      <c r="P277" s="799"/>
      <c r="Q277" s="798" t="s">
        <v>189</v>
      </c>
      <c r="R277" s="798"/>
      <c r="S277" s="798"/>
      <c r="T277" s="798" t="s">
        <v>520</v>
      </c>
      <c r="U277" s="798"/>
      <c r="V277" s="798"/>
      <c r="W277" s="798" t="s">
        <v>7070</v>
      </c>
      <c r="X277" s="798"/>
      <c r="Y277" s="798"/>
      <c r="Z277" s="798"/>
      <c r="AA277" s="798"/>
      <c r="AB277" s="798"/>
      <c r="AC277" s="798"/>
      <c r="AD277" s="798"/>
      <c r="AE277" s="798"/>
      <c r="AF277" s="798" t="s">
        <v>7071</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6697</v>
      </c>
      <c r="B278" s="927" t="s">
        <v>7067</v>
      </c>
      <c r="C278" s="797" t="s">
        <v>7072</v>
      </c>
      <c r="D278" s="798" t="s">
        <v>7073</v>
      </c>
      <c r="E278" s="798"/>
      <c r="F278" s="729" t="s">
        <v>7074</v>
      </c>
      <c r="G278" s="720"/>
      <c r="H278" s="799" t="s">
        <v>7072</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6616</v>
      </c>
      <c r="B279" s="912" t="s">
        <v>7075</v>
      </c>
      <c r="C279" s="797" t="s">
        <v>4197</v>
      </c>
      <c r="D279" s="720"/>
      <c r="E279" s="707" t="s">
        <v>4272</v>
      </c>
      <c r="F279" s="917"/>
      <c r="G279" s="707" t="s">
        <v>3266</v>
      </c>
      <c r="H279" s="707" t="s">
        <v>4197</v>
      </c>
      <c r="I279" s="720"/>
      <c r="J279" s="720"/>
      <c r="K279" s="720"/>
      <c r="L279" s="720"/>
      <c r="M279" s="720"/>
      <c r="N279" s="720" t="s">
        <v>4369</v>
      </c>
      <c r="O279" s="720"/>
      <c r="P279" s="799" t="s">
        <v>7076</v>
      </c>
      <c r="Q279" s="720"/>
      <c r="R279" s="720"/>
      <c r="S279" s="720"/>
      <c r="T279" s="720"/>
      <c r="U279" s="720"/>
      <c r="V279" s="707" t="s">
        <v>7008</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7077</v>
      </c>
      <c r="C280" s="797" t="s">
        <v>4422</v>
      </c>
      <c r="D280" s="798" t="s">
        <v>1620</v>
      </c>
      <c r="E280" s="798" t="s">
        <v>2744</v>
      </c>
      <c r="F280" s="729" t="s">
        <v>2915</v>
      </c>
      <c r="G280" s="720"/>
      <c r="H280" s="799" t="s">
        <v>1371</v>
      </c>
      <c r="I280" s="798"/>
      <c r="J280" s="798"/>
      <c r="K280" s="798"/>
      <c r="L280" s="798"/>
      <c r="M280" s="798"/>
      <c r="N280" s="798"/>
      <c r="O280" s="798"/>
      <c r="P280" s="799" t="s">
        <v>5202</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7078</v>
      </c>
      <c r="C281" s="797" t="s">
        <v>619</v>
      </c>
      <c r="D281" s="798"/>
      <c r="E281" s="798" t="s">
        <v>367</v>
      </c>
      <c r="F281" s="919" t="s">
        <v>2915</v>
      </c>
      <c r="G281" s="707" t="s">
        <v>3691</v>
      </c>
      <c r="H281" s="799" t="s">
        <v>6247</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6620</v>
      </c>
      <c r="B282" s="912" t="s">
        <v>6510</v>
      </c>
      <c r="C282" s="797" t="s">
        <v>7079</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7080</v>
      </c>
      <c r="B283" s="912" t="s">
        <v>6510</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6625</v>
      </c>
      <c r="B284" s="927" t="s">
        <v>6510</v>
      </c>
      <c r="C284" s="703" t="s">
        <v>7081</v>
      </c>
      <c r="D284" s="707" t="s">
        <v>7081</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6750</v>
      </c>
      <c r="B285" s="912" t="s">
        <v>6719</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6723</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6510</v>
      </c>
      <c r="C287" s="797" t="s">
        <v>7082</v>
      </c>
      <c r="D287" s="804" t="s">
        <v>7083</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7084</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7085</v>
      </c>
      <c r="B289" s="938" t="s">
        <v>7086</v>
      </c>
      <c r="C289" s="703" t="s">
        <v>7087</v>
      </c>
      <c r="D289" s="901"/>
      <c r="E289" s="720"/>
      <c r="F289" s="719"/>
      <c r="G289" s="707" t="s">
        <v>4795</v>
      </c>
      <c r="H289" s="720"/>
      <c r="I289" s="720"/>
      <c r="J289" s="720"/>
      <c r="K289" s="720"/>
      <c r="L289" s="720"/>
      <c r="M289" s="720"/>
      <c r="N289" s="720"/>
      <c r="O289" s="720"/>
      <c r="P289" s="799"/>
      <c r="Q289" s="720"/>
      <c r="R289" s="720"/>
      <c r="S289" s="720"/>
      <c r="T289" s="720"/>
      <c r="U289" s="720"/>
      <c r="V289" s="707" t="s">
        <v>7087</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7088</v>
      </c>
      <c r="C290" s="797" t="s">
        <v>7089</v>
      </c>
      <c r="D290" s="798" t="s">
        <v>7090</v>
      </c>
      <c r="E290" s="798" t="s">
        <v>7089</v>
      </c>
      <c r="F290" s="706"/>
      <c r="H290" s="798"/>
      <c r="I290" s="798"/>
      <c r="J290" s="798"/>
      <c r="K290" s="799" t="s">
        <v>7091</v>
      </c>
      <c r="L290" s="798"/>
      <c r="M290" s="798"/>
      <c r="N290" s="798"/>
      <c r="O290" s="798"/>
      <c r="P290" s="799" t="s">
        <v>7092</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7093</v>
      </c>
      <c r="C291" s="797" t="s">
        <v>422</v>
      </c>
      <c r="D291" s="712" t="s">
        <v>1626</v>
      </c>
      <c r="E291" s="707" t="s">
        <v>422</v>
      </c>
      <c r="F291" s="722" t="s">
        <v>2917</v>
      </c>
      <c r="G291" s="707" t="s">
        <v>1343</v>
      </c>
      <c r="H291" s="707" t="s">
        <v>7094</v>
      </c>
      <c r="I291" s="707" t="str">
        <f>HYPERLINK("https://youtu.be/ZpzmhXUsVhA","1:19.38")</f>
        <v>1:19.38</v>
      </c>
      <c r="J291" s="720"/>
      <c r="K291" s="707" t="s">
        <v>3571</v>
      </c>
      <c r="L291" s="720" t="s">
        <v>974</v>
      </c>
      <c r="M291" s="720" t="s">
        <v>5928</v>
      </c>
      <c r="N291" s="720" t="s">
        <v>7095</v>
      </c>
      <c r="O291" s="707" t="s">
        <v>7096</v>
      </c>
      <c r="P291" s="799" t="s">
        <v>7097</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7098</v>
      </c>
      <c r="B292" s="943" t="s">
        <v>7086</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7088</v>
      </c>
      <c r="C293" s="797" t="s">
        <v>5446</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7093</v>
      </c>
      <c r="C294" s="797" t="s">
        <v>2178</v>
      </c>
      <c r="D294" s="945" t="s">
        <v>7099</v>
      </c>
      <c r="E294" s="798" t="s">
        <v>4075</v>
      </c>
      <c r="F294" s="771" t="s">
        <v>2068</v>
      </c>
      <c r="G294" s="707" t="s">
        <v>2774</v>
      </c>
      <c r="H294" s="837" t="s">
        <v>4637</v>
      </c>
      <c r="I294" s="798"/>
      <c r="J294" s="798"/>
      <c r="K294" s="798"/>
      <c r="L294" s="798"/>
      <c r="M294" s="798"/>
      <c r="N294" s="798"/>
      <c r="O294" s="798" t="s">
        <v>2178</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7100</v>
      </c>
      <c r="B295" s="946" t="s">
        <v>7101</v>
      </c>
      <c r="C295" s="797" t="s">
        <v>4243</v>
      </c>
      <c r="D295" s="903" t="s">
        <v>1796</v>
      </c>
      <c r="E295" s="798" t="s">
        <v>4243</v>
      </c>
      <c r="F295" s="706"/>
      <c r="G295" s="720"/>
      <c r="H295" s="798"/>
      <c r="I295" s="798"/>
      <c r="J295" s="798"/>
      <c r="K295" s="798" t="s">
        <v>2334</v>
      </c>
      <c r="L295" s="798"/>
      <c r="M295" s="798"/>
      <c r="N295" s="798"/>
      <c r="O295" s="798"/>
      <c r="P295" s="799" t="s">
        <v>7102</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7103</v>
      </c>
      <c r="C296" s="797" t="s">
        <v>7043</v>
      </c>
      <c r="D296" s="712" t="s">
        <v>1627</v>
      </c>
      <c r="E296" s="707" t="s">
        <v>423</v>
      </c>
      <c r="F296" s="836" t="s">
        <v>2918</v>
      </c>
      <c r="G296" s="707" t="s">
        <v>1344</v>
      </c>
      <c r="H296" s="707" t="s">
        <v>2072</v>
      </c>
      <c r="I296" s="720"/>
      <c r="J296" s="720"/>
      <c r="K296" s="720"/>
      <c r="L296" s="707" t="s">
        <v>975</v>
      </c>
      <c r="M296" s="720" t="s">
        <v>816</v>
      </c>
      <c r="N296" s="720"/>
      <c r="O296" s="707" t="s">
        <v>7043</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7104</v>
      </c>
      <c r="B297" s="938" t="s">
        <v>7105</v>
      </c>
      <c r="C297" s="797" t="s">
        <v>6135</v>
      </c>
      <c r="D297" s="798"/>
      <c r="E297" s="798" t="s">
        <v>6135</v>
      </c>
      <c r="F297" s="706"/>
      <c r="G297" s="720"/>
      <c r="H297" s="798"/>
      <c r="I297" s="798" t="s">
        <v>6978</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7106</v>
      </c>
      <c r="C298" s="797" t="s">
        <v>6900</v>
      </c>
      <c r="D298" s="798"/>
      <c r="E298" s="798" t="s">
        <v>1412</v>
      </c>
      <c r="F298" s="764"/>
      <c r="G298" s="720"/>
      <c r="H298" s="798"/>
      <c r="I298" s="798" t="s">
        <v>6900</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7107</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7108</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7109</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7110</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6526</v>
      </c>
      <c r="B303" s="946" t="s">
        <v>6623</v>
      </c>
      <c r="C303" s="797" t="s">
        <v>3287</v>
      </c>
      <c r="D303" s="798"/>
      <c r="E303" s="798" t="s">
        <v>3727</v>
      </c>
      <c r="F303" s="706"/>
      <c r="G303" s="720"/>
      <c r="H303" s="798" t="s">
        <v>3287</v>
      </c>
      <c r="I303" s="798" t="s">
        <v>7111</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7112</v>
      </c>
      <c r="B304" s="949"/>
      <c r="C304" s="703" t="s">
        <v>7113</v>
      </c>
      <c r="D304" s="804"/>
      <c r="E304" s="804"/>
      <c r="F304" s="764"/>
      <c r="G304" s="720"/>
      <c r="H304" s="707" t="s">
        <v>7113</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7114</v>
      </c>
      <c r="B305" s="946" t="s">
        <v>7115</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7116</v>
      </c>
      <c r="C306" s="797" t="s">
        <v>3956</v>
      </c>
      <c r="D306" s="839"/>
      <c r="E306" s="839" t="s">
        <v>4164</v>
      </c>
      <c r="F306" s="764"/>
      <c r="G306" s="720"/>
      <c r="H306" s="839"/>
      <c r="I306" s="707" t="s">
        <v>3956</v>
      </c>
      <c r="J306" s="839"/>
      <c r="K306" s="839"/>
      <c r="L306" s="839"/>
      <c r="M306" s="839" t="s">
        <v>6564</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7117</v>
      </c>
      <c r="B307" s="948" t="s">
        <v>7118</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7119</v>
      </c>
      <c r="C308" s="797" t="s">
        <v>5406</v>
      </c>
      <c r="D308" s="804"/>
      <c r="E308" s="804"/>
      <c r="F308" s="764"/>
      <c r="G308" s="720"/>
      <c r="H308" s="804"/>
      <c r="I308" s="804"/>
      <c r="J308" s="804"/>
      <c r="K308" s="804"/>
      <c r="L308" s="804"/>
      <c r="M308" s="804"/>
      <c r="N308" s="804" t="s">
        <v>5406</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7120</v>
      </c>
      <c r="B309" s="948" t="s">
        <v>7121</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7122</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7123</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7124</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7124</v>
      </c>
      <c r="C313" s="797" t="s">
        <v>7125</v>
      </c>
      <c r="D313" s="804"/>
      <c r="E313" s="804"/>
      <c r="F313" s="706"/>
      <c r="G313" s="720"/>
      <c r="H313" s="804"/>
      <c r="I313" s="707" t="s">
        <v>7125</v>
      </c>
      <c r="J313" s="804"/>
      <c r="K313" s="804"/>
      <c r="L313" s="804"/>
      <c r="M313" s="804"/>
      <c r="N313" s="804" t="s">
        <v>5717</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7126</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7127</v>
      </c>
      <c r="B315" s="938" t="s">
        <v>7128</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7129</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7130</v>
      </c>
      <c r="C317" s="797" t="s">
        <v>3017</v>
      </c>
      <c r="D317" s="707" t="s">
        <v>404</v>
      </c>
      <c r="E317" s="707" t="s">
        <v>5246</v>
      </c>
      <c r="F317" s="729" t="s">
        <v>4648</v>
      </c>
      <c r="G317" s="720"/>
      <c r="H317" s="720" t="s">
        <v>2038</v>
      </c>
      <c r="I317" s="720"/>
      <c r="J317" s="720"/>
      <c r="K317" s="720"/>
      <c r="L317" s="720"/>
      <c r="M317" s="720"/>
      <c r="N317" s="720"/>
      <c r="O317" s="720"/>
      <c r="P317" s="799"/>
      <c r="Q317" s="720"/>
      <c r="R317" s="707" t="s">
        <v>5246</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7131</v>
      </c>
      <c r="B318" s="938" t="s">
        <v>6617</v>
      </c>
      <c r="C318" s="797" t="s">
        <v>7132</v>
      </c>
      <c r="D318" s="720"/>
      <c r="E318" s="707" t="s">
        <v>7132</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6619</v>
      </c>
      <c r="C319" s="797" t="s">
        <v>6313</v>
      </c>
      <c r="D319" s="720" t="s">
        <v>5037</v>
      </c>
      <c r="E319" s="707" t="s">
        <v>4468</v>
      </c>
      <c r="F319" s="729" t="s">
        <v>7133</v>
      </c>
      <c r="G319" s="720"/>
      <c r="H319" s="707" t="s">
        <v>6313</v>
      </c>
      <c r="I319" s="720"/>
      <c r="J319" s="720"/>
      <c r="K319" s="720"/>
      <c r="L319" s="720"/>
      <c r="M319" s="720"/>
      <c r="N319" s="720"/>
      <c r="O319" s="720"/>
      <c r="P319" s="799"/>
      <c r="Q319" s="720"/>
      <c r="R319" s="707" t="s">
        <v>6777</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6777</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7134</v>
      </c>
      <c r="B320" s="938" t="s">
        <v>6510</v>
      </c>
      <c r="C320" s="797" t="s">
        <v>2410</v>
      </c>
      <c r="D320" s="738"/>
      <c r="E320" s="737" t="s">
        <v>1784</v>
      </c>
      <c r="F320" s="778" t="s">
        <v>2888</v>
      </c>
      <c r="G320" s="720"/>
      <c r="H320" s="737" t="s">
        <v>2410</v>
      </c>
      <c r="I320" s="738"/>
      <c r="J320" s="737" t="s">
        <v>1784</v>
      </c>
      <c r="K320" s="738"/>
      <c r="L320" s="737" t="s">
        <v>7135</v>
      </c>
      <c r="M320" s="737" t="s">
        <v>7136</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7137</v>
      </c>
      <c r="B321" s="938" t="s">
        <v>7138</v>
      </c>
      <c r="C321" s="797" t="s">
        <v>7139</v>
      </c>
      <c r="D321" s="720"/>
      <c r="E321" s="707" t="s">
        <v>7139</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7140</v>
      </c>
      <c r="C322" s="797" t="s">
        <v>7141</v>
      </c>
      <c r="D322" s="720"/>
      <c r="E322" s="707" t="s">
        <v>7142</v>
      </c>
      <c r="F322" s="778" t="s">
        <v>7143</v>
      </c>
      <c r="G322" s="720"/>
      <c r="H322" s="720" t="s">
        <v>1428</v>
      </c>
      <c r="I322" s="720"/>
      <c r="J322" s="720"/>
      <c r="K322" s="720"/>
      <c r="L322" s="720"/>
      <c r="M322" s="720"/>
      <c r="N322" s="720"/>
      <c r="O322" s="720"/>
      <c r="P322" s="799"/>
      <c r="Q322" s="720"/>
      <c r="R322" s="720"/>
      <c r="S322" s="720"/>
      <c r="T322" s="720"/>
      <c r="U322" s="720"/>
      <c r="V322" s="720"/>
      <c r="W322" s="720"/>
      <c r="X322" s="720"/>
      <c r="Y322" s="707" t="s">
        <v>7141</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7144</v>
      </c>
      <c r="B323" s="938" t="s">
        <v>7145</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7146</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7147</v>
      </c>
      <c r="C325" s="797" t="s">
        <v>7148</v>
      </c>
      <c r="D325" s="720"/>
      <c r="E325" s="707" t="s">
        <v>7148</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7149</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7150</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7151</v>
      </c>
      <c r="C328" s="797" t="s">
        <v>7152</v>
      </c>
      <c r="D328" s="720"/>
      <c r="E328" s="707" t="s">
        <v>3933</v>
      </c>
      <c r="F328" s="778" t="s">
        <v>1109</v>
      </c>
      <c r="G328" s="720"/>
      <c r="H328" s="707" t="s">
        <v>7152</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7153</v>
      </c>
      <c r="C329" s="797" t="s">
        <v>7154</v>
      </c>
      <c r="D329" s="804" t="s">
        <v>7155</v>
      </c>
      <c r="E329" s="804"/>
      <c r="F329" s="729" t="s">
        <v>7156</v>
      </c>
      <c r="G329" s="720"/>
      <c r="H329" s="707" t="s">
        <v>7157</v>
      </c>
      <c r="I329" s="804"/>
      <c r="J329" s="804"/>
      <c r="K329" s="804"/>
      <c r="L329" s="804"/>
      <c r="M329" s="804"/>
      <c r="N329" s="804"/>
      <c r="O329" s="804"/>
      <c r="P329" s="806"/>
      <c r="Q329" s="804"/>
      <c r="R329" s="707" t="s">
        <v>7158</v>
      </c>
      <c r="S329" s="804"/>
      <c r="T329" s="707" t="s">
        <v>7159</v>
      </c>
      <c r="U329" s="804"/>
      <c r="V329" s="804"/>
      <c r="W329" s="804"/>
      <c r="X329" s="804"/>
      <c r="Y329" s="707" t="s">
        <v>7154</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7160</v>
      </c>
      <c r="B330" s="938" t="s">
        <v>6510</v>
      </c>
      <c r="C330" s="797" t="s">
        <v>528</v>
      </c>
      <c r="D330" s="808" t="s">
        <v>5443</v>
      </c>
      <c r="E330" s="804"/>
      <c r="F330" s="778" t="s">
        <v>5427</v>
      </c>
      <c r="G330" s="720"/>
      <c r="H330" s="707" t="s">
        <v>528</v>
      </c>
      <c r="I330" s="804"/>
      <c r="J330" s="707" t="s">
        <v>3971</v>
      </c>
      <c r="K330" s="804"/>
      <c r="L330" s="804"/>
      <c r="M330" s="804"/>
      <c r="N330" s="804"/>
      <c r="O330" s="804"/>
      <c r="P330" s="806"/>
      <c r="Q330" s="804"/>
      <c r="R330" s="804" t="s">
        <v>7161</v>
      </c>
      <c r="S330" s="804"/>
      <c r="T330" s="804"/>
      <c r="U330" s="804"/>
      <c r="V330" s="804"/>
      <c r="W330" s="804" t="s">
        <v>6285</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7162</v>
      </c>
      <c r="B331" s="938" t="s">
        <v>7163</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7164</v>
      </c>
      <c r="C332" s="703" t="s">
        <v>7165</v>
      </c>
      <c r="D332" s="720" t="s">
        <v>1013</v>
      </c>
      <c r="E332" s="707" t="s">
        <v>7166</v>
      </c>
      <c r="F332" s="771" t="s">
        <v>7167</v>
      </c>
      <c r="G332" s="720"/>
      <c r="H332" s="720"/>
      <c r="I332" s="720"/>
      <c r="J332" s="707" t="s">
        <v>7168</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7169</v>
      </c>
      <c r="C333" s="703" t="s">
        <v>7170</v>
      </c>
      <c r="D333" s="720"/>
      <c r="E333" s="720"/>
      <c r="F333" s="729" t="s">
        <v>7171</v>
      </c>
      <c r="G333" s="720"/>
      <c r="H333" s="720" t="s">
        <v>7172</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7170</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7173</v>
      </c>
      <c r="B334" s="948" t="s">
        <v>7174</v>
      </c>
      <c r="C334" s="797" t="s">
        <v>5648</v>
      </c>
      <c r="D334" s="953"/>
      <c r="E334" s="953"/>
      <c r="F334" s="778" t="s">
        <v>4567</v>
      </c>
      <c r="G334" s="720"/>
      <c r="H334" s="707" t="s">
        <v>1392</v>
      </c>
      <c r="I334" s="953"/>
      <c r="J334" s="707" t="s">
        <v>5648</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7175</v>
      </c>
      <c r="C335" s="797" t="s">
        <v>4603</v>
      </c>
      <c r="D335" s="720"/>
      <c r="E335" s="707" t="s">
        <v>6045</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7176</v>
      </c>
      <c r="B336" s="938" t="s">
        <v>6510</v>
      </c>
      <c r="C336" s="797" t="s">
        <v>7177</v>
      </c>
      <c r="D336" s="838"/>
      <c r="E336" s="838"/>
      <c r="F336" s="764"/>
      <c r="G336" s="720"/>
      <c r="H336" s="707" t="s">
        <v>7177</v>
      </c>
      <c r="I336" s="838"/>
      <c r="J336" s="838"/>
      <c r="K336" s="838"/>
      <c r="L336" s="838"/>
      <c r="M336" s="707" t="s">
        <v>7178</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7179</v>
      </c>
      <c r="B337" s="938" t="s">
        <v>7180</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7181</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6074</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7182</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BF15"/>
    <hyperlink r:id="rId83" ref="C16"/>
    <hyperlink r:id="rId84" ref="F16"/>
    <hyperlink r:id="rId85" ref="M16"/>
    <hyperlink r:id="rId86" ref="S16"/>
    <hyperlink r:id="rId87" ref="C17"/>
    <hyperlink r:id="rId88" ref="E17"/>
    <hyperlink r:id="rId89" ref="F17"/>
    <hyperlink r:id="rId90" ref="G17"/>
    <hyperlink r:id="rId91" ref="J17"/>
    <hyperlink r:id="rId92" ref="O17"/>
    <hyperlink r:id="rId93" ref="Y17"/>
    <hyperlink r:id="rId94" ref="AF17"/>
    <hyperlink r:id="rId95" ref="C18"/>
    <hyperlink r:id="rId96" ref="E18"/>
    <hyperlink r:id="rId97" ref="G18"/>
    <hyperlink r:id="rId98" ref="K18"/>
    <hyperlink r:id="rId99" ref="M18"/>
    <hyperlink r:id="rId100" ref="C19"/>
    <hyperlink r:id="rId101" ref="E19"/>
    <hyperlink r:id="rId102" ref="K19"/>
    <hyperlink r:id="rId103" ref="R19"/>
    <hyperlink r:id="rId104" ref="AI19"/>
    <hyperlink r:id="rId105" ref="C20"/>
    <hyperlink r:id="rId106" ref="D20"/>
    <hyperlink r:id="rId107" ref="E20"/>
    <hyperlink r:id="rId108" ref="F20"/>
    <hyperlink r:id="rId109" ref="G20"/>
    <hyperlink r:id="rId110" ref="H20"/>
    <hyperlink r:id="rId111" ref="J20"/>
    <hyperlink r:id="rId112" ref="K20"/>
    <hyperlink r:id="rId113" ref="L20"/>
    <hyperlink r:id="rId114" ref="M20"/>
    <hyperlink r:id="rId115" ref="O20"/>
    <hyperlink r:id="rId116" ref="S20"/>
    <hyperlink r:id="rId117" ref="V20"/>
    <hyperlink r:id="rId118" ref="W20"/>
    <hyperlink r:id="rId119" ref="AA20"/>
    <hyperlink r:id="rId120" ref="C21"/>
    <hyperlink r:id="rId121" ref="V21"/>
    <hyperlink r:id="rId122" ref="C22"/>
    <hyperlink r:id="rId123" ref="R22"/>
    <hyperlink r:id="rId124" ref="C23"/>
    <hyperlink r:id="rId125" ref="E23"/>
    <hyperlink r:id="rId126" ref="C24"/>
    <hyperlink r:id="rId127" ref="E24"/>
    <hyperlink r:id="rId128" ref="F24"/>
    <hyperlink r:id="rId129" ref="Y24"/>
    <hyperlink r:id="rId130" ref="AF24"/>
    <hyperlink r:id="rId131" ref="C25"/>
    <hyperlink r:id="rId132" ref="E25"/>
    <hyperlink r:id="rId133" ref="N25"/>
    <hyperlink r:id="rId134" ref="C26"/>
    <hyperlink r:id="rId135" ref="E26"/>
    <hyperlink r:id="rId136" ref="F26"/>
    <hyperlink r:id="rId137" ref="C27"/>
    <hyperlink r:id="rId138" ref="D27"/>
    <hyperlink r:id="rId139" ref="E27"/>
    <hyperlink r:id="rId140" ref="F27"/>
    <hyperlink r:id="rId141" ref="V27"/>
    <hyperlink r:id="rId142" ref="BF27"/>
    <hyperlink r:id="rId143" ref="C28"/>
    <hyperlink r:id="rId144" ref="E28"/>
    <hyperlink r:id="rId145" ref="G28"/>
    <hyperlink r:id="rId146" ref="J28"/>
    <hyperlink r:id="rId147" ref="O28"/>
    <hyperlink r:id="rId148" ref="S28"/>
    <hyperlink r:id="rId149" ref="C29"/>
    <hyperlink r:id="rId150" ref="E29"/>
    <hyperlink r:id="rId151" ref="G29"/>
    <hyperlink r:id="rId152" ref="K29"/>
    <hyperlink r:id="rId153" ref="AQ29"/>
    <hyperlink r:id="rId154" ref="BF29"/>
    <hyperlink r:id="rId155" ref="C30"/>
    <hyperlink r:id="rId156" ref="E30"/>
    <hyperlink r:id="rId157" ref="K30"/>
    <hyperlink r:id="rId158" ref="C31"/>
    <hyperlink r:id="rId159" ref="E31"/>
    <hyperlink r:id="rId160" ref="F31"/>
    <hyperlink r:id="rId161" ref="J31"/>
    <hyperlink r:id="rId162" ref="K31"/>
    <hyperlink r:id="rId163" ref="AA31"/>
    <hyperlink r:id="rId164" ref="C32"/>
    <hyperlink r:id="rId165" ref="E32"/>
    <hyperlink r:id="rId166" ref="G32"/>
    <hyperlink r:id="rId167" ref="J32"/>
    <hyperlink r:id="rId168" ref="K32"/>
    <hyperlink r:id="rId169" ref="M32"/>
    <hyperlink r:id="rId170" ref="C33"/>
    <hyperlink r:id="rId171" ref="E33"/>
    <hyperlink r:id="rId172" ref="K33"/>
    <hyperlink r:id="rId173" ref="C34"/>
    <hyperlink r:id="rId174" ref="E34"/>
    <hyperlink r:id="rId175" ref="K34"/>
    <hyperlink r:id="rId176" ref="M34"/>
    <hyperlink r:id="rId177" ref="C35"/>
    <hyperlink r:id="rId178" ref="E35"/>
    <hyperlink r:id="rId179" ref="J35"/>
    <hyperlink r:id="rId180" ref="K35"/>
    <hyperlink r:id="rId181" ref="R35"/>
    <hyperlink r:id="rId182" ref="C36"/>
    <hyperlink r:id="rId183" ref="E36"/>
    <hyperlink r:id="rId184" ref="J36"/>
    <hyperlink r:id="rId185" ref="K36"/>
    <hyperlink r:id="rId186" ref="M36"/>
    <hyperlink r:id="rId187" ref="C37"/>
    <hyperlink r:id="rId188" ref="D37"/>
    <hyperlink r:id="rId189" ref="E37"/>
    <hyperlink r:id="rId190" ref="F37"/>
    <hyperlink r:id="rId191" ref="J37"/>
    <hyperlink r:id="rId192" ref="K37"/>
    <hyperlink r:id="rId193" ref="M37"/>
    <hyperlink r:id="rId194" ref="V37"/>
    <hyperlink r:id="rId195" ref="AA37"/>
    <hyperlink r:id="rId196" ref="C38"/>
    <hyperlink r:id="rId197" ref="E38"/>
    <hyperlink r:id="rId198" ref="F38"/>
    <hyperlink r:id="rId199" ref="G38"/>
    <hyperlink r:id="rId200" ref="H38"/>
    <hyperlink r:id="rId201" ref="I38"/>
    <hyperlink r:id="rId202" ref="J38"/>
    <hyperlink r:id="rId203" ref="K38"/>
    <hyperlink r:id="rId204" ref="O38"/>
    <hyperlink r:id="rId205" ref="T38"/>
    <hyperlink r:id="rId206" ref="V38"/>
    <hyperlink r:id="rId207" ref="AJ38"/>
    <hyperlink r:id="rId208" ref="C39"/>
    <hyperlink r:id="rId209" ref="E39"/>
    <hyperlink r:id="rId210" ref="F39"/>
    <hyperlink r:id="rId211" ref="G39"/>
    <hyperlink r:id="rId212" ref="K39"/>
    <hyperlink r:id="rId213" ref="X39"/>
    <hyperlink r:id="rId214" ref="AA39"/>
    <hyperlink r:id="rId215" ref="C40"/>
    <hyperlink r:id="rId216" ref="E40"/>
    <hyperlink r:id="rId217" ref="F40"/>
    <hyperlink r:id="rId218" ref="G40"/>
    <hyperlink r:id="rId219" ref="H40"/>
    <hyperlink r:id="rId220" ref="J40"/>
    <hyperlink r:id="rId221" ref="K40"/>
    <hyperlink r:id="rId222" ref="S40"/>
    <hyperlink r:id="rId223" ref="Y40"/>
    <hyperlink r:id="rId224" ref="AX40"/>
    <hyperlink r:id="rId225" ref="C41"/>
    <hyperlink r:id="rId226" ref="E41"/>
    <hyperlink r:id="rId227" ref="S41"/>
    <hyperlink r:id="rId228" ref="C42"/>
    <hyperlink r:id="rId229" ref="E42"/>
    <hyperlink r:id="rId230" ref="G42"/>
    <hyperlink r:id="rId231" ref="H42"/>
    <hyperlink r:id="rId232" ref="I42"/>
    <hyperlink r:id="rId233" ref="J42"/>
    <hyperlink r:id="rId234" ref="K42"/>
    <hyperlink r:id="rId235" ref="M42"/>
    <hyperlink r:id="rId236" ref="O42"/>
    <hyperlink r:id="rId237" ref="V42"/>
    <hyperlink r:id="rId238" ref="BF42"/>
    <hyperlink r:id="rId239" ref="C43"/>
    <hyperlink r:id="rId240" ref="D43"/>
    <hyperlink r:id="rId241" ref="V43"/>
    <hyperlink r:id="rId242" ref="C44"/>
    <hyperlink r:id="rId243" ref="E44"/>
    <hyperlink r:id="rId244" ref="J44"/>
    <hyperlink r:id="rId245" ref="K44"/>
    <hyperlink r:id="rId246" ref="AY44"/>
    <hyperlink r:id="rId247" ref="C45"/>
    <hyperlink r:id="rId248" ref="D45"/>
    <hyperlink r:id="rId249" ref="C46"/>
    <hyperlink r:id="rId250" ref="D46"/>
    <hyperlink r:id="rId251" ref="E46"/>
    <hyperlink r:id="rId252" ref="I46"/>
    <hyperlink r:id="rId253" ref="K46"/>
    <hyperlink r:id="rId254" ref="S46"/>
    <hyperlink r:id="rId255" ref="C47"/>
    <hyperlink r:id="rId256" ref="I47"/>
    <hyperlink r:id="rId257" ref="C48"/>
    <hyperlink r:id="rId258" ref="I48"/>
    <hyperlink r:id="rId259" ref="C49"/>
    <hyperlink r:id="rId260" ref="D49"/>
    <hyperlink r:id="rId261" ref="I49"/>
    <hyperlink r:id="rId262" ref="J49"/>
    <hyperlink r:id="rId263" ref="C51"/>
    <hyperlink r:id="rId264" ref="D51"/>
    <hyperlink r:id="rId265" ref="AS51"/>
    <hyperlink r:id="rId266" ref="C52"/>
    <hyperlink r:id="rId267" ref="D52"/>
    <hyperlink r:id="rId268" ref="E52"/>
    <hyperlink r:id="rId269" ref="G52"/>
    <hyperlink r:id="rId270" ref="L52"/>
    <hyperlink r:id="rId271" ref="C54"/>
    <hyperlink r:id="rId272" ref="E54"/>
    <hyperlink r:id="rId273" ref="G54"/>
    <hyperlink r:id="rId274" ref="J54"/>
    <hyperlink r:id="rId275" ref="L54"/>
    <hyperlink r:id="rId276" ref="M54"/>
    <hyperlink r:id="rId277" ref="R54"/>
    <hyperlink r:id="rId278" ref="V54"/>
    <hyperlink r:id="rId279" ref="C55"/>
    <hyperlink r:id="rId280" ref="E55"/>
    <hyperlink r:id="rId281" ref="O55"/>
    <hyperlink r:id="rId282" ref="C56"/>
    <hyperlink r:id="rId283" ref="V56"/>
    <hyperlink r:id="rId284" ref="C57"/>
    <hyperlink r:id="rId285" ref="D57"/>
    <hyperlink r:id="rId286" ref="F57"/>
    <hyperlink r:id="rId287" ref="G57"/>
    <hyperlink r:id="rId288" ref="H57"/>
    <hyperlink r:id="rId289" ref="C58"/>
    <hyperlink r:id="rId290" ref="C59"/>
    <hyperlink r:id="rId291" ref="C60"/>
    <hyperlink r:id="rId292" ref="H60"/>
    <hyperlink r:id="rId293" ref="C61"/>
    <hyperlink r:id="rId294" ref="F61"/>
    <hyperlink r:id="rId295" ref="G61"/>
    <hyperlink r:id="rId296" ref="H61"/>
    <hyperlink r:id="rId297" ref="O61"/>
    <hyperlink r:id="rId298" ref="R61"/>
    <hyperlink r:id="rId299" ref="AE61"/>
    <hyperlink r:id="rId300" ref="AF61"/>
    <hyperlink r:id="rId301" ref="C62"/>
    <hyperlink r:id="rId302" ref="F62"/>
    <hyperlink r:id="rId303" ref="C64"/>
    <hyperlink r:id="rId304" ref="F64"/>
    <hyperlink r:id="rId305" ref="Y64"/>
    <hyperlink r:id="rId306" ref="C65"/>
    <hyperlink r:id="rId307" ref="H65"/>
    <hyperlink r:id="rId308" ref="V65"/>
    <hyperlink r:id="rId309" ref="AO65"/>
    <hyperlink r:id="rId310" ref="C67"/>
    <hyperlink r:id="rId311" ref="F67"/>
    <hyperlink r:id="rId312" ref="H67"/>
    <hyperlink r:id="rId313" ref="R67"/>
    <hyperlink r:id="rId314" ref="V67"/>
    <hyperlink r:id="rId315" ref="C68"/>
    <hyperlink r:id="rId316" ref="J68"/>
    <hyperlink r:id="rId317" ref="AO68"/>
    <hyperlink r:id="rId318" ref="AV68"/>
    <hyperlink r:id="rId319" ref="C69"/>
    <hyperlink r:id="rId320" ref="E69"/>
    <hyperlink r:id="rId321" ref="F69"/>
    <hyperlink r:id="rId322" ref="H69"/>
    <hyperlink r:id="rId323" ref="J69"/>
    <hyperlink r:id="rId324" ref="M69"/>
    <hyperlink r:id="rId325" ref="T69"/>
    <hyperlink r:id="rId326" ref="AE69"/>
    <hyperlink r:id="rId327" ref="AS69"/>
    <hyperlink r:id="rId328" ref="N70"/>
    <hyperlink r:id="rId329" ref="C71"/>
    <hyperlink r:id="rId330" ref="F71"/>
    <hyperlink r:id="rId331" ref="G71"/>
    <hyperlink r:id="rId332" ref="I71"/>
    <hyperlink r:id="rId333" ref="J71"/>
    <hyperlink r:id="rId334" ref="C72"/>
    <hyperlink r:id="rId335" ref="D72"/>
    <hyperlink r:id="rId336" ref="F72"/>
    <hyperlink r:id="rId337" ref="G72"/>
    <hyperlink r:id="rId338" ref="H72"/>
    <hyperlink r:id="rId339" ref="J72"/>
    <hyperlink r:id="rId340" ref="K72"/>
    <hyperlink r:id="rId341" ref="M72"/>
    <hyperlink r:id="rId342" ref="O72"/>
    <hyperlink r:id="rId343" ref="S72"/>
    <hyperlink r:id="rId344" ref="AA72"/>
    <hyperlink r:id="rId345" ref="AH72"/>
    <hyperlink r:id="rId346" ref="C73"/>
    <hyperlink r:id="rId347" ref="E73"/>
    <hyperlink r:id="rId348" ref="G73"/>
    <hyperlink r:id="rId349" ref="K73"/>
    <hyperlink r:id="rId350" ref="C74"/>
    <hyperlink r:id="rId351" ref="D74"/>
    <hyperlink r:id="rId352" ref="E74"/>
    <hyperlink r:id="rId353" ref="F74"/>
    <hyperlink r:id="rId354" ref="G74"/>
    <hyperlink r:id="rId355" ref="H74"/>
    <hyperlink r:id="rId356" ref="J74"/>
    <hyperlink r:id="rId357" ref="K74"/>
    <hyperlink r:id="rId358" ref="L74"/>
    <hyperlink r:id="rId359" ref="M74"/>
    <hyperlink r:id="rId360" ref="O74"/>
    <hyperlink r:id="rId361" ref="S74"/>
    <hyperlink r:id="rId362" ref="C75"/>
    <hyperlink r:id="rId363" ref="AO75"/>
    <hyperlink r:id="rId364" ref="C76"/>
    <hyperlink r:id="rId365" ref="V76"/>
    <hyperlink r:id="rId366" ref="AW76"/>
    <hyperlink r:id="rId367" ref="C77"/>
    <hyperlink r:id="rId368" ref="D77"/>
    <hyperlink r:id="rId369" ref="E77"/>
    <hyperlink r:id="rId370" ref="F77"/>
    <hyperlink r:id="rId371" ref="G77"/>
    <hyperlink r:id="rId372" ref="H77"/>
    <hyperlink r:id="rId373" ref="J77"/>
    <hyperlink r:id="rId374" ref="K77"/>
    <hyperlink r:id="rId375" ref="M77"/>
    <hyperlink r:id="rId376" ref="O77"/>
    <hyperlink r:id="rId377" ref="V77"/>
    <hyperlink r:id="rId378" ref="AJ77"/>
    <hyperlink r:id="rId379" ref="AQ77"/>
    <hyperlink r:id="rId380" ref="C78"/>
    <hyperlink r:id="rId381" ref="E78"/>
    <hyperlink r:id="rId382" ref="G78"/>
    <hyperlink r:id="rId383" ref="C79"/>
    <hyperlink r:id="rId384" ref="E79"/>
    <hyperlink r:id="rId385" ref="F79"/>
    <hyperlink r:id="rId386" ref="G79"/>
    <hyperlink r:id="rId387" ref="S79"/>
    <hyperlink r:id="rId388" ref="Y79"/>
    <hyperlink r:id="rId389" ref="C80"/>
    <hyperlink r:id="rId390" ref="O80"/>
    <hyperlink r:id="rId391" ref="Z80"/>
    <hyperlink r:id="rId392" ref="C81"/>
    <hyperlink r:id="rId393" ref="E81"/>
    <hyperlink r:id="rId394" ref="G81"/>
    <hyperlink r:id="rId395" ref="C82"/>
    <hyperlink r:id="rId396" ref="E82"/>
    <hyperlink r:id="rId397" ref="K82"/>
    <hyperlink r:id="rId398" ref="V82"/>
    <hyperlink r:id="rId399" ref="C83"/>
    <hyperlink r:id="rId400" ref="D83"/>
    <hyperlink r:id="rId401" ref="E83"/>
    <hyperlink r:id="rId402" ref="F83"/>
    <hyperlink r:id="rId403" ref="G83"/>
    <hyperlink r:id="rId404" ref="H83"/>
    <hyperlink r:id="rId405" ref="J83"/>
    <hyperlink r:id="rId406" ref="O83"/>
    <hyperlink r:id="rId407" ref="T83"/>
    <hyperlink r:id="rId408" ref="C84"/>
    <hyperlink r:id="rId409" ref="E84"/>
    <hyperlink r:id="rId410" ref="G84"/>
    <hyperlink r:id="rId411" ref="AB84"/>
    <hyperlink r:id="rId412" ref="C85"/>
    <hyperlink r:id="rId413" ref="D85"/>
    <hyperlink r:id="rId414" ref="F85"/>
    <hyperlink r:id="rId415" ref="R85"/>
    <hyperlink r:id="rId416" ref="W85"/>
    <hyperlink r:id="rId417" ref="AD85"/>
    <hyperlink r:id="rId418" ref="AR85"/>
    <hyperlink r:id="rId419" ref="C86"/>
    <hyperlink r:id="rId420" ref="G86"/>
    <hyperlink r:id="rId421" ref="H86"/>
    <hyperlink r:id="rId422" ref="K86"/>
    <hyperlink r:id="rId423" ref="M86"/>
    <hyperlink r:id="rId424" ref="N86"/>
    <hyperlink r:id="rId425" ref="O86"/>
    <hyperlink r:id="rId426" ref="AQ86"/>
    <hyperlink r:id="rId427" ref="C87"/>
    <hyperlink r:id="rId428" ref="D87"/>
    <hyperlink r:id="rId429" ref="F87"/>
    <hyperlink r:id="rId430" ref="C88"/>
    <hyperlink r:id="rId431" ref="D88"/>
    <hyperlink r:id="rId432" ref="F88"/>
    <hyperlink r:id="rId433" ref="V88"/>
    <hyperlink r:id="rId434" ref="C89"/>
    <hyperlink r:id="rId435" ref="E89"/>
    <hyperlink r:id="rId436" ref="H89"/>
    <hyperlink r:id="rId437" ref="R89"/>
    <hyperlink r:id="rId438" ref="AL89"/>
    <hyperlink r:id="rId439" ref="C90"/>
    <hyperlink r:id="rId440" ref="E90"/>
    <hyperlink r:id="rId441" ref="H90"/>
    <hyperlink r:id="rId442" ref="M90"/>
    <hyperlink r:id="rId443" ref="R90"/>
    <hyperlink r:id="rId444" ref="C91"/>
    <hyperlink r:id="rId445" ref="E91"/>
    <hyperlink r:id="rId446" ref="H91"/>
    <hyperlink r:id="rId447" ref="AI91"/>
    <hyperlink r:id="rId448" ref="C92"/>
    <hyperlink r:id="rId449" ref="D92"/>
    <hyperlink r:id="rId450" ref="E92"/>
    <hyperlink r:id="rId451" ref="G92"/>
    <hyperlink r:id="rId452" ref="H92"/>
    <hyperlink r:id="rId453" ref="J92"/>
    <hyperlink r:id="rId454" ref="M92"/>
    <hyperlink r:id="rId455" ref="O92"/>
    <hyperlink r:id="rId456" ref="AD92"/>
    <hyperlink r:id="rId457" ref="C93"/>
    <hyperlink r:id="rId458" ref="D93"/>
    <hyperlink r:id="rId459" ref="F93"/>
    <hyperlink r:id="rId460" ref="C94"/>
    <hyperlink r:id="rId461" ref="D94"/>
    <hyperlink r:id="rId462" ref="E94"/>
    <hyperlink r:id="rId463" ref="G94"/>
    <hyperlink r:id="rId464" ref="J94"/>
    <hyperlink r:id="rId465" ref="C95"/>
    <hyperlink r:id="rId466" ref="D95"/>
    <hyperlink r:id="rId467" ref="E95"/>
    <hyperlink r:id="rId468" ref="N95"/>
    <hyperlink r:id="rId469" ref="C96"/>
    <hyperlink r:id="rId470" ref="D96"/>
    <hyperlink r:id="rId471" ref="C97"/>
    <hyperlink r:id="rId472" ref="D97"/>
    <hyperlink r:id="rId473" ref="E97"/>
    <hyperlink r:id="rId474" ref="G97"/>
    <hyperlink r:id="rId475" ref="L97"/>
    <hyperlink r:id="rId476" ref="C99"/>
    <hyperlink r:id="rId477" ref="D99"/>
    <hyperlink r:id="rId478" ref="E99"/>
    <hyperlink r:id="rId479" ref="G99"/>
    <hyperlink r:id="rId480" ref="J99"/>
    <hyperlink r:id="rId481" ref="L99"/>
    <hyperlink r:id="rId482" ref="C100"/>
    <hyperlink r:id="rId483" ref="D100"/>
    <hyperlink r:id="rId484" ref="G100"/>
    <hyperlink r:id="rId485" ref="I100"/>
    <hyperlink r:id="rId486" ref="J100"/>
    <hyperlink r:id="rId487" ref="M100"/>
    <hyperlink r:id="rId488" ref="O100"/>
    <hyperlink r:id="rId489" ref="C101"/>
    <hyperlink r:id="rId490" ref="G101"/>
    <hyperlink r:id="rId491" ref="J101"/>
    <hyperlink r:id="rId492" ref="C102"/>
    <hyperlink r:id="rId493" ref="G102"/>
    <hyperlink r:id="rId494" ref="J102"/>
    <hyperlink r:id="rId495" ref="L102"/>
    <hyperlink r:id="rId496" ref="Z102"/>
    <hyperlink r:id="rId497" ref="C103"/>
    <hyperlink r:id="rId498" ref="D103"/>
    <hyperlink r:id="rId499" ref="J103"/>
    <hyperlink r:id="rId500" ref="C104"/>
    <hyperlink r:id="rId501" ref="G104"/>
    <hyperlink r:id="rId502" ref="J104"/>
    <hyperlink r:id="rId503" ref="K104"/>
    <hyperlink r:id="rId504" ref="C105"/>
    <hyperlink r:id="rId505" ref="G105"/>
    <hyperlink r:id="rId506" ref="J105"/>
    <hyperlink r:id="rId507" ref="C106"/>
    <hyperlink r:id="rId508" ref="D106"/>
    <hyperlink r:id="rId509" ref="E106"/>
    <hyperlink r:id="rId510" ref="G106"/>
    <hyperlink r:id="rId511" ref="T106"/>
    <hyperlink r:id="rId512" ref="AO106"/>
    <hyperlink r:id="rId513" ref="C107"/>
    <hyperlink r:id="rId514" ref="G107"/>
    <hyperlink r:id="rId515" ref="C110"/>
    <hyperlink r:id="rId516" ref="D110"/>
    <hyperlink r:id="rId517" ref="G110"/>
    <hyperlink r:id="rId518" ref="J110"/>
    <hyperlink r:id="rId519" ref="L110"/>
    <hyperlink r:id="rId520" ref="C111"/>
    <hyperlink r:id="rId521" ref="E111"/>
    <hyperlink r:id="rId522" ref="F111"/>
    <hyperlink r:id="rId523" ref="H111"/>
    <hyperlink r:id="rId524" ref="J111"/>
    <hyperlink r:id="rId525" ref="K111"/>
    <hyperlink r:id="rId526" ref="R111"/>
    <hyperlink r:id="rId527" ref="C112"/>
    <hyperlink r:id="rId528" ref="D112"/>
    <hyperlink r:id="rId529" ref="E112"/>
    <hyperlink r:id="rId530" ref="F112"/>
    <hyperlink r:id="rId531" ref="G112"/>
    <hyperlink r:id="rId532" ref="H112"/>
    <hyperlink r:id="rId533" ref="J112"/>
    <hyperlink r:id="rId534" ref="K112"/>
    <hyperlink r:id="rId535" ref="L112"/>
    <hyperlink r:id="rId536" ref="M112"/>
    <hyperlink r:id="rId537" ref="O112"/>
    <hyperlink r:id="rId538" ref="AH112"/>
    <hyperlink r:id="rId539" ref="C113"/>
    <hyperlink r:id="rId540" ref="G113"/>
    <hyperlink r:id="rId541" ref="K113"/>
    <hyperlink r:id="rId542" ref="AN113"/>
    <hyperlink r:id="rId543" ref="C114"/>
    <hyperlink r:id="rId544" ref="G114"/>
    <hyperlink r:id="rId545" ref="J114"/>
    <hyperlink r:id="rId546" ref="R114"/>
    <hyperlink r:id="rId547" ref="V114"/>
    <hyperlink r:id="rId548" ref="C115"/>
    <hyperlink r:id="rId549" ref="D115"/>
    <hyperlink r:id="rId550" ref="E115"/>
    <hyperlink r:id="rId551" ref="F115"/>
    <hyperlink r:id="rId552" ref="J115"/>
    <hyperlink r:id="rId553" ref="K115"/>
    <hyperlink r:id="rId554" ref="M115"/>
    <hyperlink r:id="rId555" ref="O115"/>
    <hyperlink r:id="rId556" ref="R115"/>
    <hyperlink r:id="rId557" ref="T115"/>
    <hyperlink r:id="rId558" ref="C116"/>
    <hyperlink r:id="rId559" ref="S116"/>
    <hyperlink r:id="rId560" ref="C117"/>
    <hyperlink r:id="rId561" ref="D117"/>
    <hyperlink r:id="rId562" ref="L117"/>
    <hyperlink r:id="rId563" ref="AH117"/>
    <hyperlink r:id="rId564" ref="AK117"/>
    <hyperlink r:id="rId565" ref="C118"/>
    <hyperlink r:id="rId566" ref="D118"/>
    <hyperlink r:id="rId567" ref="C119"/>
    <hyperlink r:id="rId568" ref="D119"/>
    <hyperlink r:id="rId569" ref="G119"/>
    <hyperlink r:id="rId570" ref="M119"/>
    <hyperlink r:id="rId571" ref="O119"/>
    <hyperlink r:id="rId572" ref="C120"/>
    <hyperlink r:id="rId573" ref="D120"/>
    <hyperlink r:id="rId574" ref="I120"/>
    <hyperlink r:id="rId575" ref="C122"/>
    <hyperlink r:id="rId576" ref="E122"/>
    <hyperlink r:id="rId577" ref="F122"/>
    <hyperlink r:id="rId578" ref="H122"/>
    <hyperlink r:id="rId579" ref="L122"/>
    <hyperlink r:id="rId580" ref="C124"/>
    <hyperlink r:id="rId581" ref="G124"/>
    <hyperlink r:id="rId582" ref="AA124"/>
    <hyperlink r:id="rId583" ref="C125"/>
    <hyperlink r:id="rId584" ref="D125"/>
    <hyperlink r:id="rId585" ref="F125"/>
    <hyperlink r:id="rId586" ref="G125"/>
    <hyperlink r:id="rId587" ref="J125"/>
    <hyperlink r:id="rId588" ref="K125"/>
    <hyperlink r:id="rId589" ref="C126"/>
    <hyperlink r:id="rId590" ref="G126"/>
    <hyperlink r:id="rId591" ref="H126"/>
    <hyperlink r:id="rId592" ref="O126"/>
    <hyperlink r:id="rId593" ref="S126"/>
    <hyperlink r:id="rId594" ref="AE126"/>
    <hyperlink r:id="rId595" ref="C127"/>
    <hyperlink r:id="rId596" ref="F127"/>
    <hyperlink r:id="rId597" ref="H127"/>
    <hyperlink r:id="rId598" ref="C128"/>
    <hyperlink r:id="rId599" ref="F128"/>
    <hyperlink r:id="rId600" ref="G128"/>
    <hyperlink r:id="rId601" ref="H128"/>
    <hyperlink r:id="rId602" ref="S128"/>
    <hyperlink r:id="rId603" ref="C129"/>
    <hyperlink r:id="rId604" ref="D129"/>
    <hyperlink r:id="rId605" ref="F129"/>
    <hyperlink r:id="rId606" ref="G129"/>
    <hyperlink r:id="rId607" ref="J129"/>
    <hyperlink r:id="rId608" ref="L129"/>
    <hyperlink r:id="rId609" ref="M129"/>
    <hyperlink r:id="rId610" ref="D130"/>
    <hyperlink r:id="rId611" ref="F130"/>
    <hyperlink r:id="rId612" ref="G130"/>
    <hyperlink r:id="rId613" ref="H130"/>
    <hyperlink r:id="rId614" ref="J130"/>
    <hyperlink r:id="rId615" ref="L130"/>
    <hyperlink r:id="rId616" ref="M130"/>
    <hyperlink r:id="rId617" ref="O130"/>
    <hyperlink r:id="rId618" ref="S130"/>
    <hyperlink r:id="rId619" ref="C131"/>
    <hyperlink r:id="rId620" ref="E131"/>
    <hyperlink r:id="rId621" ref="F131"/>
    <hyperlink r:id="rId622" ref="G131"/>
    <hyperlink r:id="rId623" ref="M131"/>
    <hyperlink r:id="rId624" ref="Y131"/>
    <hyperlink r:id="rId625" ref="C132"/>
    <hyperlink r:id="rId626" ref="G132"/>
    <hyperlink r:id="rId627" ref="K132"/>
    <hyperlink r:id="rId628" ref="C133"/>
    <hyperlink r:id="rId629" ref="R133"/>
    <hyperlink r:id="rId630" ref="X133"/>
    <hyperlink r:id="rId631" ref="Z133"/>
    <hyperlink r:id="rId632" ref="C134"/>
    <hyperlink r:id="rId633" ref="AF134"/>
    <hyperlink r:id="rId634" ref="C135"/>
    <hyperlink r:id="rId635" ref="D135"/>
    <hyperlink r:id="rId636" ref="E135"/>
    <hyperlink r:id="rId637" ref="F135"/>
    <hyperlink r:id="rId638" ref="G135"/>
    <hyperlink r:id="rId639" ref="I135"/>
    <hyperlink r:id="rId640" ref="L135"/>
    <hyperlink r:id="rId641" ref="M135"/>
    <hyperlink r:id="rId642" ref="O135"/>
    <hyperlink r:id="rId643" ref="R135"/>
    <hyperlink r:id="rId644" ref="V135"/>
    <hyperlink r:id="rId645" ref="Z135"/>
    <hyperlink r:id="rId646" ref="C136"/>
    <hyperlink r:id="rId647" ref="J136"/>
    <hyperlink r:id="rId648" ref="K136"/>
    <hyperlink r:id="rId649" ref="O136"/>
    <hyperlink r:id="rId650" ref="S136"/>
    <hyperlink r:id="rId651" ref="C137"/>
    <hyperlink r:id="rId652" ref="J137"/>
    <hyperlink r:id="rId653" ref="R137"/>
    <hyperlink r:id="rId654" ref="C138"/>
    <hyperlink r:id="rId655" ref="D138"/>
    <hyperlink r:id="rId656" ref="F138"/>
    <hyperlink r:id="rId657" ref="G138"/>
    <hyperlink r:id="rId658" ref="H138"/>
    <hyperlink r:id="rId659" ref="L138"/>
    <hyperlink r:id="rId660" ref="M138"/>
    <hyperlink r:id="rId661" ref="O138"/>
    <hyperlink r:id="rId662" ref="AR138"/>
    <hyperlink r:id="rId663" ref="C139"/>
    <hyperlink r:id="rId664" ref="C140"/>
    <hyperlink r:id="rId665" ref="D140"/>
    <hyperlink r:id="rId666" ref="G140"/>
    <hyperlink r:id="rId667" ref="J140"/>
    <hyperlink r:id="rId668" ref="O140"/>
    <hyperlink r:id="rId669" ref="C142"/>
    <hyperlink r:id="rId670" ref="D142"/>
    <hyperlink r:id="rId671" ref="G142"/>
    <hyperlink r:id="rId672" ref="C143"/>
    <hyperlink r:id="rId673" ref="E143"/>
    <hyperlink r:id="rId674" ref="G143"/>
    <hyperlink r:id="rId675" ref="K143"/>
    <hyperlink r:id="rId676" ref="M143"/>
    <hyperlink r:id="rId677" ref="AE143"/>
    <hyperlink r:id="rId678" ref="C144"/>
    <hyperlink r:id="rId679" ref="D144"/>
    <hyperlink r:id="rId680" ref="E144"/>
    <hyperlink r:id="rId681" ref="F144"/>
    <hyperlink r:id="rId682" ref="G144"/>
    <hyperlink r:id="rId683" ref="J144"/>
    <hyperlink r:id="rId684" ref="K144"/>
    <hyperlink r:id="rId685" ref="M144"/>
    <hyperlink r:id="rId686" ref="O144"/>
    <hyperlink r:id="rId687" ref="S144"/>
    <hyperlink r:id="rId688" ref="C145"/>
    <hyperlink r:id="rId689" ref="G145"/>
    <hyperlink r:id="rId690" ref="O145"/>
    <hyperlink r:id="rId691" ref="C146"/>
    <hyperlink r:id="rId692" ref="E146"/>
    <hyperlink r:id="rId693" ref="J146"/>
    <hyperlink r:id="rId694" ref="L146"/>
    <hyperlink r:id="rId695" ref="AI146"/>
    <hyperlink r:id="rId696" ref="C147"/>
    <hyperlink r:id="rId697" ref="O147"/>
    <hyperlink r:id="rId698" ref="C148"/>
    <hyperlink r:id="rId699" ref="E148"/>
    <hyperlink r:id="rId700" ref="F148"/>
    <hyperlink r:id="rId701" ref="I148"/>
    <hyperlink r:id="rId702" ref="J148"/>
    <hyperlink r:id="rId703" ref="V148"/>
    <hyperlink r:id="rId704" ref="BE148"/>
    <hyperlink r:id="rId705" ref="C149"/>
    <hyperlink r:id="rId706" ref="D149"/>
    <hyperlink r:id="rId707" ref="G149"/>
    <hyperlink r:id="rId708" ref="M149"/>
    <hyperlink r:id="rId709" ref="O149"/>
    <hyperlink r:id="rId710" ref="S149"/>
    <hyperlink r:id="rId711" ref="C150"/>
    <hyperlink r:id="rId712" ref="I150"/>
    <hyperlink r:id="rId713" ref="C153"/>
    <hyperlink r:id="rId714" ref="F153"/>
    <hyperlink r:id="rId715" ref="H153"/>
    <hyperlink r:id="rId716" ref="W153"/>
    <hyperlink r:id="rId717" ref="C154"/>
    <hyperlink r:id="rId718" ref="G154"/>
    <hyperlink r:id="rId719" ref="I154"/>
    <hyperlink r:id="rId720" ref="M154"/>
    <hyperlink r:id="rId721" ref="S154"/>
    <hyperlink r:id="rId722" ref="C155"/>
    <hyperlink r:id="rId723" ref="C157"/>
    <hyperlink r:id="rId724" ref="F157"/>
    <hyperlink r:id="rId725" ref="G157"/>
    <hyperlink r:id="rId726" ref="H157"/>
    <hyperlink r:id="rId727" ref="I157"/>
    <hyperlink r:id="rId728" ref="M157"/>
    <hyperlink r:id="rId729" ref="S157"/>
    <hyperlink r:id="rId730" ref="C158"/>
    <hyperlink r:id="rId731" ref="F158"/>
    <hyperlink r:id="rId732" ref="H158"/>
    <hyperlink r:id="rId733" ref="C159"/>
    <hyperlink r:id="rId734" ref="F159"/>
    <hyperlink r:id="rId735" ref="H159"/>
    <hyperlink r:id="rId736" ref="I159"/>
    <hyperlink r:id="rId737" ref="Y159"/>
    <hyperlink r:id="rId738" ref="C160"/>
    <hyperlink r:id="rId739" ref="F160"/>
    <hyperlink r:id="rId740" ref="H160"/>
    <hyperlink r:id="rId741" ref="M160"/>
    <hyperlink r:id="rId742" ref="W160"/>
    <hyperlink r:id="rId743" ref="C161"/>
    <hyperlink r:id="rId744" ref="F161"/>
    <hyperlink r:id="rId745" ref="G161"/>
    <hyperlink r:id="rId746" ref="H161"/>
    <hyperlink r:id="rId747" ref="K161"/>
    <hyperlink r:id="rId748" ref="O161"/>
    <hyperlink r:id="rId749" ref="R161"/>
    <hyperlink r:id="rId750" ref="S161"/>
    <hyperlink r:id="rId751" ref="AA161"/>
    <hyperlink r:id="rId752" ref="AE161"/>
    <hyperlink r:id="rId753" ref="AL161"/>
    <hyperlink r:id="rId754" ref="C162"/>
    <hyperlink r:id="rId755" ref="D162"/>
    <hyperlink r:id="rId756" ref="E162"/>
    <hyperlink r:id="rId757" ref="F162"/>
    <hyperlink r:id="rId758" ref="J162"/>
    <hyperlink r:id="rId759" ref="K162"/>
    <hyperlink r:id="rId760" ref="O162"/>
    <hyperlink r:id="rId761" ref="V162"/>
    <hyperlink r:id="rId762" ref="C163"/>
    <hyperlink r:id="rId763" ref="D163"/>
    <hyperlink r:id="rId764" ref="G163"/>
    <hyperlink r:id="rId765" ref="J163"/>
    <hyperlink r:id="rId766" ref="C164"/>
    <hyperlink r:id="rId767" ref="G164"/>
    <hyperlink r:id="rId768" ref="C165"/>
    <hyperlink r:id="rId769" ref="C166"/>
    <hyperlink r:id="rId770" ref="D166"/>
    <hyperlink r:id="rId771" ref="L166"/>
    <hyperlink r:id="rId772" ref="C169"/>
    <hyperlink r:id="rId773" ref="E169"/>
    <hyperlink r:id="rId774" ref="K169"/>
    <hyperlink r:id="rId775" ref="V169"/>
    <hyperlink r:id="rId776" ref="Z169"/>
    <hyperlink r:id="rId777" ref="C170"/>
    <hyperlink r:id="rId778" ref="D170"/>
    <hyperlink r:id="rId779" ref="V170"/>
    <hyperlink r:id="rId780" ref="C171"/>
    <hyperlink r:id="rId781" ref="D171"/>
    <hyperlink r:id="rId782" ref="G171"/>
    <hyperlink r:id="rId783" ref="I171"/>
    <hyperlink r:id="rId784" ref="L171"/>
    <hyperlink r:id="rId785" ref="C173"/>
    <hyperlink r:id="rId786" ref="E173"/>
    <hyperlink r:id="rId787" ref="F173"/>
    <hyperlink r:id="rId788" ref="G173"/>
    <hyperlink r:id="rId789" ref="J173"/>
    <hyperlink r:id="rId790" ref="K173"/>
    <hyperlink r:id="rId791" ref="M173"/>
    <hyperlink r:id="rId792" ref="R173"/>
    <hyperlink r:id="rId793" ref="S173"/>
    <hyperlink r:id="rId794" ref="AB173"/>
    <hyperlink r:id="rId795" ref="AF173"/>
    <hyperlink r:id="rId796" ref="C174"/>
    <hyperlink r:id="rId797" ref="E174"/>
    <hyperlink r:id="rId798" ref="H174"/>
    <hyperlink r:id="rId799" ref="Z174"/>
    <hyperlink r:id="rId800" ref="C175"/>
    <hyperlink r:id="rId801" ref="E175"/>
    <hyperlink r:id="rId802" ref="F175"/>
    <hyperlink r:id="rId803" ref="G175"/>
    <hyperlink r:id="rId804" ref="S175"/>
    <hyperlink r:id="rId805" ref="AB175"/>
    <hyperlink r:id="rId806" ref="C176"/>
    <hyperlink r:id="rId807" ref="F176"/>
    <hyperlink r:id="rId808" ref="H176"/>
    <hyperlink r:id="rId809" ref="C177"/>
    <hyperlink r:id="rId810" ref="J177"/>
    <hyperlink r:id="rId811" ref="C178"/>
    <hyperlink r:id="rId812" ref="D178"/>
    <hyperlink r:id="rId813" ref="E178"/>
    <hyperlink r:id="rId814" ref="F178"/>
    <hyperlink r:id="rId815" ref="G178"/>
    <hyperlink r:id="rId816" ref="J178"/>
    <hyperlink r:id="rId817" ref="K178"/>
    <hyperlink r:id="rId818" ref="O178"/>
    <hyperlink r:id="rId819" ref="S178"/>
    <hyperlink r:id="rId820" ref="C179"/>
    <hyperlink r:id="rId821" ref="J179"/>
    <hyperlink r:id="rId822" ref="C180"/>
    <hyperlink r:id="rId823" ref="D180"/>
    <hyperlink r:id="rId824" ref="E180"/>
    <hyperlink r:id="rId825" ref="F180"/>
    <hyperlink r:id="rId826" ref="G180"/>
    <hyperlink r:id="rId827" ref="H180"/>
    <hyperlink r:id="rId828" ref="J180"/>
    <hyperlink r:id="rId829" ref="K180"/>
    <hyperlink r:id="rId830" ref="L180"/>
    <hyperlink r:id="rId831" ref="M180"/>
    <hyperlink r:id="rId832" ref="O180"/>
    <hyperlink r:id="rId833" ref="C181"/>
    <hyperlink r:id="rId834" ref="E181"/>
    <hyperlink r:id="rId835" ref="M181"/>
    <hyperlink r:id="rId836" ref="O181"/>
    <hyperlink r:id="rId837" ref="C182"/>
    <hyperlink r:id="rId838" ref="F182"/>
    <hyperlink r:id="rId839" ref="C183"/>
    <hyperlink r:id="rId840" ref="E183"/>
    <hyperlink r:id="rId841" ref="G183"/>
    <hyperlink r:id="rId842" ref="S183"/>
    <hyperlink r:id="rId843" ref="Y183"/>
    <hyperlink r:id="rId844" ref="C184"/>
    <hyperlink r:id="rId845" ref="F184"/>
    <hyperlink r:id="rId846" ref="H184"/>
    <hyperlink r:id="rId847" ref="J184"/>
    <hyperlink r:id="rId848" ref="C185"/>
    <hyperlink r:id="rId849" ref="E185"/>
    <hyperlink r:id="rId850" ref="Y185"/>
    <hyperlink r:id="rId851" ref="C186"/>
    <hyperlink r:id="rId852" ref="G186"/>
    <hyperlink r:id="rId853" ref="V186"/>
    <hyperlink r:id="rId854" ref="C187"/>
    <hyperlink r:id="rId855" ref="F187"/>
    <hyperlink r:id="rId856" ref="I187"/>
    <hyperlink r:id="rId857" ref="K187"/>
    <hyperlink r:id="rId858" ref="C188"/>
    <hyperlink r:id="rId859" ref="D188"/>
    <hyperlink r:id="rId860" ref="F188"/>
    <hyperlink r:id="rId861" ref="G188"/>
    <hyperlink r:id="rId862" ref="H188"/>
    <hyperlink r:id="rId863" ref="J188"/>
    <hyperlink r:id="rId864" ref="L188"/>
    <hyperlink r:id="rId865" ref="O188"/>
    <hyperlink r:id="rId866" ref="T188"/>
    <hyperlink r:id="rId867" ref="V188"/>
    <hyperlink r:id="rId868" ref="Z188"/>
    <hyperlink r:id="rId869" ref="C190"/>
    <hyperlink r:id="rId870" ref="C191"/>
    <hyperlink r:id="rId871" ref="F191"/>
    <hyperlink r:id="rId872" ref="C192"/>
    <hyperlink r:id="rId873" ref="F192"/>
    <hyperlink r:id="rId874" ref="T192"/>
    <hyperlink r:id="rId875" ref="AB192"/>
    <hyperlink r:id="rId876" ref="C193"/>
    <hyperlink r:id="rId877" ref="G193"/>
    <hyperlink r:id="rId878" ref="C194"/>
    <hyperlink r:id="rId879" ref="F194"/>
    <hyperlink r:id="rId880" ref="G194"/>
    <hyperlink r:id="rId881" ref="K194"/>
    <hyperlink r:id="rId882" ref="C195"/>
    <hyperlink r:id="rId883" ref="I195"/>
    <hyperlink r:id="rId884" ref="C196"/>
    <hyperlink r:id="rId885" ref="E196"/>
    <hyperlink r:id="rId886" ref="F196"/>
    <hyperlink r:id="rId887" ref="J196"/>
    <hyperlink r:id="rId888" ref="C197"/>
    <hyperlink r:id="rId889" ref="D197"/>
    <hyperlink r:id="rId890" ref="F197"/>
    <hyperlink r:id="rId891" ref="G197"/>
    <hyperlink r:id="rId892" ref="H197"/>
    <hyperlink r:id="rId893" ref="L197"/>
    <hyperlink r:id="rId894" ref="M197"/>
    <hyperlink r:id="rId895" ref="C198"/>
    <hyperlink r:id="rId896" ref="J198"/>
    <hyperlink r:id="rId897" ref="X198"/>
    <hyperlink r:id="rId898" ref="AC198"/>
    <hyperlink r:id="rId899" ref="C199"/>
    <hyperlink r:id="rId900" ref="F199"/>
    <hyperlink r:id="rId901" ref="G199"/>
    <hyperlink r:id="rId902" ref="C200"/>
    <hyperlink r:id="rId903" ref="C201"/>
    <hyperlink r:id="rId904" ref="E201"/>
    <hyperlink r:id="rId905" ref="F201"/>
    <hyperlink r:id="rId906" ref="J201"/>
    <hyperlink r:id="rId907" ref="K201"/>
    <hyperlink r:id="rId908" ref="M201"/>
    <hyperlink r:id="rId909" ref="O201"/>
    <hyperlink r:id="rId910" ref="P201"/>
    <hyperlink r:id="rId911" ref="R201"/>
    <hyperlink r:id="rId912" ref="AJ201"/>
    <hyperlink r:id="rId913" ref="C202"/>
    <hyperlink r:id="rId914" ref="D202"/>
    <hyperlink r:id="rId915" ref="F202"/>
    <hyperlink r:id="rId916" ref="H202"/>
    <hyperlink r:id="rId917" ref="T202"/>
    <hyperlink r:id="rId918" ref="Z202"/>
    <hyperlink r:id="rId919" ref="C203"/>
    <hyperlink r:id="rId920" ref="E203"/>
    <hyperlink r:id="rId921" ref="F203"/>
    <hyperlink r:id="rId922" ref="G203"/>
    <hyperlink r:id="rId923" ref="Z203"/>
    <hyperlink r:id="rId924" ref="AB203"/>
    <hyperlink r:id="rId925" ref="C204"/>
    <hyperlink r:id="rId926" ref="E204"/>
    <hyperlink r:id="rId927" ref="F204"/>
    <hyperlink r:id="rId928" ref="O204"/>
    <hyperlink r:id="rId929" ref="C205"/>
    <hyperlink r:id="rId930" ref="D205"/>
    <hyperlink r:id="rId931" ref="E205"/>
    <hyperlink r:id="rId932" ref="F205"/>
    <hyperlink r:id="rId933" ref="G205"/>
    <hyperlink r:id="rId934" ref="C206"/>
    <hyperlink r:id="rId935" ref="E206"/>
    <hyperlink r:id="rId936" ref="F206"/>
    <hyperlink r:id="rId937" ref="G206"/>
    <hyperlink r:id="rId938" ref="S206"/>
    <hyperlink r:id="rId939" ref="W206"/>
    <hyperlink r:id="rId940" ref="AE206"/>
    <hyperlink r:id="rId941" ref="C207"/>
    <hyperlink r:id="rId942" ref="F207"/>
    <hyperlink r:id="rId943" ref="C209"/>
    <hyperlink r:id="rId944" ref="F209"/>
    <hyperlink r:id="rId945" ref="G209"/>
    <hyperlink r:id="rId946" ref="O209"/>
    <hyperlink r:id="rId947" ref="R209"/>
    <hyperlink r:id="rId948" ref="S209"/>
    <hyperlink r:id="rId949" ref="C210"/>
    <hyperlink r:id="rId950" ref="D210"/>
    <hyperlink r:id="rId951" ref="F210"/>
    <hyperlink r:id="rId952" ref="G210"/>
    <hyperlink r:id="rId953" ref="L210"/>
    <hyperlink r:id="rId954" ref="M210"/>
    <hyperlink r:id="rId955" ref="O210"/>
    <hyperlink r:id="rId956" ref="R210"/>
    <hyperlink r:id="rId957" ref="C211"/>
    <hyperlink r:id="rId958" ref="D211"/>
    <hyperlink r:id="rId959" ref="I211"/>
    <hyperlink r:id="rId960" ref="J211"/>
    <hyperlink r:id="rId961" ref="D212"/>
    <hyperlink r:id="rId962" ref="G212"/>
    <hyperlink r:id="rId963" ref="J212"/>
    <hyperlink r:id="rId964" ref="K212"/>
    <hyperlink r:id="rId965" ref="M212"/>
    <hyperlink r:id="rId966" ref="C213"/>
    <hyperlink r:id="rId967" ref="D213"/>
    <hyperlink r:id="rId968" ref="J213"/>
    <hyperlink r:id="rId969" ref="C214"/>
    <hyperlink r:id="rId970" ref="J214"/>
    <hyperlink r:id="rId971" ref="C215"/>
    <hyperlink r:id="rId972" ref="J215"/>
    <hyperlink r:id="rId973" ref="C216"/>
    <hyperlink r:id="rId974" ref="D216"/>
    <hyperlink r:id="rId975" ref="E216"/>
    <hyperlink r:id="rId976" ref="J216"/>
    <hyperlink r:id="rId977" ref="AK216"/>
    <hyperlink r:id="rId978" ref="C217"/>
    <hyperlink r:id="rId979" ref="D217"/>
    <hyperlink r:id="rId980" ref="C218"/>
    <hyperlink r:id="rId981" ref="D218"/>
    <hyperlink r:id="rId982" ref="G218"/>
    <hyperlink r:id="rId983" ref="I218"/>
    <hyperlink r:id="rId984" ref="L218"/>
    <hyperlink r:id="rId985" ref="C220"/>
    <hyperlink r:id="rId986" ref="D220"/>
    <hyperlink r:id="rId987" ref="F220"/>
    <hyperlink r:id="rId988" ref="G220"/>
    <hyperlink r:id="rId989" ref="H220"/>
    <hyperlink r:id="rId990" ref="J220"/>
    <hyperlink r:id="rId991" ref="K220"/>
    <hyperlink r:id="rId992" ref="L220"/>
    <hyperlink r:id="rId993" ref="M220"/>
    <hyperlink r:id="rId994" ref="O220"/>
    <hyperlink r:id="rId995" ref="Z220"/>
    <hyperlink r:id="rId996" ref="C221"/>
    <hyperlink r:id="rId997" ref="D221"/>
    <hyperlink r:id="rId998" ref="E221"/>
    <hyperlink r:id="rId999" ref="F221"/>
    <hyperlink r:id="rId1000" ref="G221"/>
    <hyperlink r:id="rId1001" ref="H221"/>
    <hyperlink r:id="rId1002" ref="I221"/>
    <hyperlink r:id="rId1003" ref="K221"/>
    <hyperlink r:id="rId1004" ref="L221"/>
    <hyperlink r:id="rId1005" ref="M221"/>
    <hyperlink r:id="rId1006" ref="O221"/>
    <hyperlink r:id="rId1007" ref="G222"/>
    <hyperlink r:id="rId1008" ref="H222"/>
    <hyperlink r:id="rId1009" ref="I222"/>
    <hyperlink r:id="rId1010" ref="K222"/>
    <hyperlink r:id="rId1011" ref="L222"/>
    <hyperlink r:id="rId1012" ref="O222"/>
    <hyperlink r:id="rId1013" ref="D223"/>
    <hyperlink r:id="rId1014" ref="G223"/>
    <hyperlink r:id="rId1015" ref="C224"/>
    <hyperlink r:id="rId1016" ref="D224"/>
    <hyperlink r:id="rId1017" ref="F224"/>
    <hyperlink r:id="rId1018" ref="G224"/>
    <hyperlink r:id="rId1019" ref="J224"/>
    <hyperlink r:id="rId1020" ref="M224"/>
    <hyperlink r:id="rId1021" ref="T224"/>
    <hyperlink r:id="rId1022" ref="C225"/>
    <hyperlink r:id="rId1023" ref="AB225"/>
    <hyperlink r:id="rId1024" ref="AM225"/>
    <hyperlink r:id="rId1025" ref="C226"/>
    <hyperlink r:id="rId1026" ref="F226"/>
    <hyperlink r:id="rId1027" ref="H226"/>
    <hyperlink r:id="rId1028" ref="AB226"/>
    <hyperlink r:id="rId1029" ref="C228"/>
    <hyperlink r:id="rId1030" ref="D228"/>
    <hyperlink r:id="rId1031" ref="C230"/>
    <hyperlink r:id="rId1032" ref="F230"/>
    <hyperlink r:id="rId1033" ref="H230"/>
    <hyperlink r:id="rId1034" ref="C231"/>
    <hyperlink r:id="rId1035" ref="F231"/>
    <hyperlink r:id="rId1036" ref="G231"/>
    <hyperlink r:id="rId1037" ref="J231"/>
    <hyperlink r:id="rId1038" ref="R231"/>
    <hyperlink r:id="rId1039" ref="W231"/>
    <hyperlink r:id="rId1040" ref="AB231"/>
    <hyperlink r:id="rId1041" ref="C232"/>
    <hyperlink r:id="rId1042" ref="E232"/>
    <hyperlink r:id="rId1043" ref="G232"/>
    <hyperlink r:id="rId1044" ref="S232"/>
    <hyperlink r:id="rId1045" ref="Y232"/>
    <hyperlink r:id="rId1046" ref="AB232"/>
    <hyperlink r:id="rId1047" ref="C233"/>
    <hyperlink r:id="rId1048" ref="F233"/>
    <hyperlink r:id="rId1049" ref="C234"/>
    <hyperlink r:id="rId1050" ref="D234"/>
    <hyperlink r:id="rId1051" ref="F234"/>
    <hyperlink r:id="rId1052" ref="C235"/>
    <hyperlink r:id="rId1053" ref="K235"/>
    <hyperlink r:id="rId1054" ref="S235"/>
    <hyperlink r:id="rId1055" ref="C236"/>
    <hyperlink r:id="rId1056" ref="D236"/>
    <hyperlink r:id="rId1057" ref="F236"/>
    <hyperlink r:id="rId1058" ref="G236"/>
    <hyperlink r:id="rId1059" ref="J236"/>
    <hyperlink r:id="rId1060" ref="K236"/>
    <hyperlink r:id="rId1061" ref="O236"/>
    <hyperlink r:id="rId1062" ref="R236"/>
    <hyperlink r:id="rId1063" ref="S236"/>
    <hyperlink r:id="rId1064" ref="T236"/>
    <hyperlink r:id="rId1065" ref="C237"/>
    <hyperlink r:id="rId1066" ref="E237"/>
    <hyperlink r:id="rId1067" ref="C238"/>
    <hyperlink r:id="rId1068" ref="K238"/>
    <hyperlink r:id="rId1069" ref="C239"/>
    <hyperlink r:id="rId1070" ref="E239"/>
    <hyperlink r:id="rId1071" ref="F239"/>
    <hyperlink r:id="rId1072" ref="R239"/>
    <hyperlink r:id="rId1073" ref="AW239"/>
    <hyperlink r:id="rId1074" ref="C240"/>
    <hyperlink r:id="rId1075" ref="R240"/>
    <hyperlink r:id="rId1076" ref="V240"/>
    <hyperlink r:id="rId1077" ref="F241"/>
    <hyperlink r:id="rId1078" ref="G241"/>
    <hyperlink r:id="rId1079" ref="K241"/>
    <hyperlink r:id="rId1080" ref="AE241"/>
    <hyperlink r:id="rId1081" ref="AF241"/>
    <hyperlink r:id="rId1082" ref="AK241"/>
    <hyperlink r:id="rId1083" ref="C242"/>
    <hyperlink r:id="rId1084" ref="D242"/>
    <hyperlink r:id="rId1085" ref="H242"/>
    <hyperlink r:id="rId1086" ref="J242"/>
    <hyperlink r:id="rId1087" ref="L242"/>
    <hyperlink r:id="rId1088" ref="M242"/>
    <hyperlink r:id="rId1089" ref="O242"/>
    <hyperlink r:id="rId1090" ref="R242"/>
    <hyperlink r:id="rId1091" ref="AH242"/>
    <hyperlink r:id="rId1092" ref="C243"/>
    <hyperlink r:id="rId1093" ref="E243"/>
    <hyperlink r:id="rId1094" ref="X243"/>
    <hyperlink r:id="rId1095" ref="C244"/>
    <hyperlink r:id="rId1096" ref="E244"/>
    <hyperlink r:id="rId1097" ref="G244"/>
    <hyperlink r:id="rId1098" ref="H244"/>
    <hyperlink r:id="rId1099" ref="J244"/>
    <hyperlink r:id="rId1100" ref="K244"/>
    <hyperlink r:id="rId1101" ref="R244"/>
    <hyperlink r:id="rId1102" ref="S244"/>
    <hyperlink r:id="rId1103" ref="W244"/>
    <hyperlink r:id="rId1104" ref="AF244"/>
    <hyperlink r:id="rId1105" ref="C245"/>
    <hyperlink r:id="rId1106" ref="F245"/>
    <hyperlink r:id="rId1107" ref="V245"/>
    <hyperlink r:id="rId1108" ref="C246"/>
    <hyperlink r:id="rId1109" ref="D246"/>
    <hyperlink r:id="rId1110" ref="E246"/>
    <hyperlink r:id="rId1111" ref="F246"/>
    <hyperlink r:id="rId1112" ref="K246"/>
    <hyperlink r:id="rId1113" ref="O246"/>
    <hyperlink r:id="rId1114" ref="R246"/>
    <hyperlink r:id="rId1115" ref="AL246"/>
    <hyperlink r:id="rId1116" ref="C247"/>
    <hyperlink r:id="rId1117" ref="E247"/>
    <hyperlink r:id="rId1118" ref="F247"/>
    <hyperlink r:id="rId1119" ref="H247"/>
    <hyperlink r:id="rId1120" ref="R247"/>
    <hyperlink r:id="rId1121" ref="T247"/>
    <hyperlink r:id="rId1122" ref="C248"/>
    <hyperlink r:id="rId1123" ref="E248"/>
    <hyperlink r:id="rId1124" ref="H248"/>
    <hyperlink r:id="rId1125" ref="T248"/>
    <hyperlink r:id="rId1126" ref="C249"/>
    <hyperlink r:id="rId1127" ref="D249"/>
    <hyperlink r:id="rId1128" ref="E249"/>
    <hyperlink r:id="rId1129" ref="F249"/>
    <hyperlink r:id="rId1130" ref="G249"/>
    <hyperlink r:id="rId1131" ref="H249"/>
    <hyperlink r:id="rId1132" ref="I249"/>
    <hyperlink r:id="rId1133" ref="K249"/>
    <hyperlink r:id="rId1134" ref="L249"/>
    <hyperlink r:id="rId1135" ref="O249"/>
    <hyperlink r:id="rId1136" ref="C250"/>
    <hyperlink r:id="rId1137" ref="F250"/>
    <hyperlink r:id="rId1138" ref="H250"/>
    <hyperlink r:id="rId1139" ref="C251"/>
    <hyperlink r:id="rId1140" ref="D251"/>
    <hyperlink r:id="rId1141" ref="G251"/>
    <hyperlink r:id="rId1142" ref="L251"/>
    <hyperlink r:id="rId1143" ref="M251"/>
    <hyperlink r:id="rId1144" ref="C252"/>
    <hyperlink r:id="rId1145" ref="D252"/>
    <hyperlink r:id="rId1146" ref="J252"/>
    <hyperlink r:id="rId1147" ref="C253"/>
    <hyperlink r:id="rId1148" ref="D253"/>
    <hyperlink r:id="rId1149" ref="C254"/>
    <hyperlink r:id="rId1150" ref="E254"/>
    <hyperlink r:id="rId1151" ref="C255"/>
    <hyperlink r:id="rId1152" ref="D255"/>
    <hyperlink r:id="rId1153" ref="E255"/>
    <hyperlink r:id="rId1154" ref="G255"/>
    <hyperlink r:id="rId1155" ref="H255"/>
    <hyperlink r:id="rId1156" ref="J255"/>
    <hyperlink r:id="rId1157" ref="M255"/>
    <hyperlink r:id="rId1158" ref="O255"/>
    <hyperlink r:id="rId1159" ref="C256"/>
    <hyperlink r:id="rId1160" ref="D256"/>
    <hyperlink r:id="rId1161" ref="G256"/>
    <hyperlink r:id="rId1162" ref="L256"/>
    <hyperlink r:id="rId1163" ref="T256"/>
    <hyperlink r:id="rId1164" ref="C258"/>
    <hyperlink r:id="rId1165" ref="J258"/>
    <hyperlink r:id="rId1166" ref="C259"/>
    <hyperlink r:id="rId1167" ref="F259"/>
    <hyperlink r:id="rId1168" ref="R259"/>
    <hyperlink r:id="rId1169" ref="T259"/>
    <hyperlink r:id="rId1170" ref="C260"/>
    <hyperlink r:id="rId1171" ref="J260"/>
    <hyperlink r:id="rId1172" ref="C261"/>
    <hyperlink r:id="rId1173" ref="G261"/>
    <hyperlink r:id="rId1174" ref="I261"/>
    <hyperlink r:id="rId1175" ref="C262"/>
    <hyperlink r:id="rId1176" ref="E262"/>
    <hyperlink r:id="rId1177" ref="F262"/>
    <hyperlink r:id="rId1178" ref="H262"/>
    <hyperlink r:id="rId1179" ref="J262"/>
    <hyperlink r:id="rId1180" ref="O262"/>
    <hyperlink r:id="rId1181" ref="Y262"/>
    <hyperlink r:id="rId1182" ref="C263"/>
    <hyperlink r:id="rId1183" ref="E263"/>
    <hyperlink r:id="rId1184" ref="F263"/>
    <hyperlink r:id="rId1185" ref="Q263"/>
    <hyperlink r:id="rId1186" ref="C264"/>
    <hyperlink r:id="rId1187" ref="E264"/>
    <hyperlink r:id="rId1188" ref="F264"/>
    <hyperlink r:id="rId1189" ref="O264"/>
    <hyperlink r:id="rId1190" ref="C265"/>
    <hyperlink r:id="rId1191" ref="D265"/>
    <hyperlink r:id="rId1192" ref="E265"/>
    <hyperlink r:id="rId1193" ref="F265"/>
    <hyperlink r:id="rId1194" ref="G265"/>
    <hyperlink r:id="rId1195" ref="O265"/>
    <hyperlink r:id="rId1196" ref="V265"/>
    <hyperlink r:id="rId1197" ref="C266"/>
    <hyperlink r:id="rId1198" ref="F266"/>
    <hyperlink r:id="rId1199" ref="C267"/>
    <hyperlink r:id="rId1200" ref="G267"/>
    <hyperlink r:id="rId1201" ref="K267"/>
    <hyperlink r:id="rId1202" ref="M267"/>
    <hyperlink r:id="rId1203" ref="R267"/>
    <hyperlink r:id="rId1204" ref="V267"/>
    <hyperlink r:id="rId1205" ref="C268"/>
    <hyperlink r:id="rId1206" ref="K268"/>
    <hyperlink r:id="rId1207" ref="T268"/>
    <hyperlink r:id="rId1208" ref="C269"/>
    <hyperlink r:id="rId1209" ref="K269"/>
    <hyperlink r:id="rId1210" ref="C270"/>
    <hyperlink r:id="rId1211" ref="D270"/>
    <hyperlink r:id="rId1212" ref="E270"/>
    <hyperlink r:id="rId1213" ref="F270"/>
    <hyperlink r:id="rId1214" ref="G270"/>
    <hyperlink r:id="rId1215" ref="H270"/>
    <hyperlink r:id="rId1216" ref="J270"/>
    <hyperlink r:id="rId1217" ref="K270"/>
    <hyperlink r:id="rId1218" ref="M270"/>
    <hyperlink r:id="rId1219" ref="O270"/>
    <hyperlink r:id="rId1220" ref="V270"/>
    <hyperlink r:id="rId1221" ref="C271"/>
    <hyperlink r:id="rId1222" ref="E271"/>
    <hyperlink r:id="rId1223" ref="F271"/>
    <hyperlink r:id="rId1224" ref="G271"/>
    <hyperlink r:id="rId1225" ref="J271"/>
    <hyperlink r:id="rId1226" ref="K271"/>
    <hyperlink r:id="rId1227" ref="AP271"/>
    <hyperlink r:id="rId1228" ref="C272"/>
    <hyperlink r:id="rId1229" ref="E272"/>
    <hyperlink r:id="rId1230" ref="F272"/>
    <hyperlink r:id="rId1231" ref="G272"/>
    <hyperlink r:id="rId1232" ref="J272"/>
    <hyperlink r:id="rId1233" ref="K272"/>
    <hyperlink r:id="rId1234" ref="O272"/>
    <hyperlink r:id="rId1235" ref="AP272"/>
    <hyperlink r:id="rId1236" ref="C273"/>
    <hyperlink r:id="rId1237" ref="D273"/>
    <hyperlink r:id="rId1238" ref="E273"/>
    <hyperlink r:id="rId1239" ref="F273"/>
    <hyperlink r:id="rId1240" ref="G273"/>
    <hyperlink r:id="rId1241" ref="J273"/>
    <hyperlink r:id="rId1242" ref="K273"/>
    <hyperlink r:id="rId1243" ref="O273"/>
    <hyperlink r:id="rId1244" ref="W273"/>
    <hyperlink r:id="rId1245" ref="AA273"/>
    <hyperlink r:id="rId1246" ref="C274"/>
    <hyperlink r:id="rId1247" ref="D274"/>
    <hyperlink r:id="rId1248" ref="E274"/>
    <hyperlink r:id="rId1249" ref="F274"/>
    <hyperlink r:id="rId1250" ref="G274"/>
    <hyperlink r:id="rId1251" ref="H274"/>
    <hyperlink r:id="rId1252" ref="O274"/>
    <hyperlink r:id="rId1253" ref="C275"/>
    <hyperlink r:id="rId1254" ref="D275"/>
    <hyperlink r:id="rId1255" ref="E275"/>
    <hyperlink r:id="rId1256" ref="F275"/>
    <hyperlink r:id="rId1257" ref="H275"/>
    <hyperlink r:id="rId1258" ref="L275"/>
    <hyperlink r:id="rId1259" ref="M275"/>
    <hyperlink r:id="rId1260" ref="O275"/>
    <hyperlink r:id="rId1261" ref="C276"/>
    <hyperlink r:id="rId1262" ref="E276"/>
    <hyperlink r:id="rId1263" ref="F276"/>
    <hyperlink r:id="rId1264" ref="G276"/>
    <hyperlink r:id="rId1265" ref="J276"/>
    <hyperlink r:id="rId1266" ref="O276"/>
    <hyperlink r:id="rId1267" ref="R276"/>
    <hyperlink r:id="rId1268" ref="T276"/>
    <hyperlink r:id="rId1269" ref="W276"/>
    <hyperlink r:id="rId1270" ref="Y276"/>
    <hyperlink r:id="rId1271" ref="AE276"/>
    <hyperlink r:id="rId1272" ref="C277"/>
    <hyperlink r:id="rId1273" ref="D277"/>
    <hyperlink r:id="rId1274" ref="E277"/>
    <hyperlink r:id="rId1275" ref="F277"/>
    <hyperlink r:id="rId1276" ref="G277"/>
    <hyperlink r:id="rId1277" ref="H277"/>
    <hyperlink r:id="rId1278" ref="I277"/>
    <hyperlink r:id="rId1279" ref="J277"/>
    <hyperlink r:id="rId1280" ref="O277"/>
    <hyperlink r:id="rId1281" ref="T277"/>
    <hyperlink r:id="rId1282" ref="W277"/>
    <hyperlink r:id="rId1283" ref="AF277"/>
    <hyperlink r:id="rId1284" ref="F278"/>
    <hyperlink r:id="rId1285" ref="C279"/>
    <hyperlink r:id="rId1286" ref="E279"/>
    <hyperlink r:id="rId1287" ref="G279"/>
    <hyperlink r:id="rId1288" ref="H279"/>
    <hyperlink r:id="rId1289" ref="V279"/>
    <hyperlink r:id="rId1290" ref="C280"/>
    <hyperlink r:id="rId1291" ref="D280"/>
    <hyperlink r:id="rId1292" ref="E280"/>
    <hyperlink r:id="rId1293" ref="F280"/>
    <hyperlink r:id="rId1294" ref="R280"/>
    <hyperlink r:id="rId1295" ref="T280"/>
    <hyperlink r:id="rId1296" ref="AA280"/>
    <hyperlink r:id="rId1297" ref="C281"/>
    <hyperlink r:id="rId1298" ref="E281"/>
    <hyperlink r:id="rId1299" ref="F281"/>
    <hyperlink r:id="rId1300" ref="G281"/>
    <hyperlink r:id="rId1301" ref="J281"/>
    <hyperlink r:id="rId1302" ref="M281"/>
    <hyperlink r:id="rId1303" ref="O281"/>
    <hyperlink r:id="rId1304" ref="T281"/>
    <hyperlink r:id="rId1305" ref="W281"/>
    <hyperlink r:id="rId1306" ref="C282"/>
    <hyperlink r:id="rId1307" ref="D282"/>
    <hyperlink r:id="rId1308" ref="G282"/>
    <hyperlink r:id="rId1309" ref="C284"/>
    <hyperlink r:id="rId1310" ref="D284"/>
    <hyperlink r:id="rId1311" ref="C285"/>
    <hyperlink r:id="rId1312" ref="G285"/>
    <hyperlink r:id="rId1313" ref="I285"/>
    <hyperlink r:id="rId1314" ref="C286"/>
    <hyperlink r:id="rId1315" ref="G286"/>
    <hyperlink r:id="rId1316" ref="S286"/>
    <hyperlink r:id="rId1317" ref="C287"/>
    <hyperlink r:id="rId1318" ref="D287"/>
    <hyperlink r:id="rId1319" ref="G287"/>
    <hyperlink r:id="rId1320" ref="L287"/>
    <hyperlink r:id="rId1321" ref="C289"/>
    <hyperlink r:id="rId1322" ref="G289"/>
    <hyperlink r:id="rId1323" ref="V289"/>
    <hyperlink r:id="rId1324" ref="C290"/>
    <hyperlink r:id="rId1325" ref="E290"/>
    <hyperlink r:id="rId1326" ref="C291"/>
    <hyperlink r:id="rId1327" ref="D291"/>
    <hyperlink r:id="rId1328" ref="E291"/>
    <hyperlink r:id="rId1329" ref="F291"/>
    <hyperlink r:id="rId1330" ref="G291"/>
    <hyperlink r:id="rId1331" ref="H291"/>
    <hyperlink r:id="rId1332" ref="K291"/>
    <hyperlink r:id="rId1333" ref="O291"/>
    <hyperlink r:id="rId1334" ref="V291"/>
    <hyperlink r:id="rId1335" ref="C292"/>
    <hyperlink r:id="rId1336" ref="V292"/>
    <hyperlink r:id="rId1337" ref="C293"/>
    <hyperlink r:id="rId1338" ref="E293"/>
    <hyperlink r:id="rId1339" ref="C294"/>
    <hyperlink r:id="rId1340" ref="E294"/>
    <hyperlink r:id="rId1341" ref="F294"/>
    <hyperlink r:id="rId1342" ref="G294"/>
    <hyperlink r:id="rId1343" ref="O294"/>
    <hyperlink r:id="rId1344" ref="V294"/>
    <hyperlink r:id="rId1345" ref="C295"/>
    <hyperlink r:id="rId1346" ref="E295"/>
    <hyperlink r:id="rId1347" ref="K295"/>
    <hyperlink r:id="rId1348" ref="C296"/>
    <hyperlink r:id="rId1349" ref="D296"/>
    <hyperlink r:id="rId1350" ref="E296"/>
    <hyperlink r:id="rId1351" ref="F296"/>
    <hyperlink r:id="rId1352" ref="G296"/>
    <hyperlink r:id="rId1353" ref="H296"/>
    <hyperlink r:id="rId1354" ref="L296"/>
    <hyperlink r:id="rId1355" ref="O296"/>
    <hyperlink r:id="rId1356" ref="Z296"/>
    <hyperlink r:id="rId1357" ref="C297"/>
    <hyperlink r:id="rId1358" ref="E297"/>
    <hyperlink r:id="rId1359" ref="I297"/>
    <hyperlink r:id="rId1360" ref="C298"/>
    <hyperlink r:id="rId1361" ref="E298"/>
    <hyperlink r:id="rId1362" ref="I298"/>
    <hyperlink r:id="rId1363" ref="C301"/>
    <hyperlink r:id="rId1364" ref="I301"/>
    <hyperlink r:id="rId1365" ref="AF301"/>
    <hyperlink r:id="rId1366" ref="C303"/>
    <hyperlink r:id="rId1367" ref="E303"/>
    <hyperlink r:id="rId1368" ref="H303"/>
    <hyperlink r:id="rId1369" ref="AS303"/>
    <hyperlink r:id="rId1370" ref="C304"/>
    <hyperlink r:id="rId1371" ref="H304"/>
    <hyperlink r:id="rId1372" ref="C305"/>
    <hyperlink r:id="rId1373" ref="D305"/>
    <hyperlink r:id="rId1374" ref="I305"/>
    <hyperlink r:id="rId1375" ref="C306"/>
    <hyperlink r:id="rId1376" ref="I306"/>
    <hyperlink r:id="rId1377" ref="C313"/>
    <hyperlink r:id="rId1378" ref="I313"/>
    <hyperlink r:id="rId1379" ref="C315"/>
    <hyperlink r:id="rId1380" ref="C316"/>
    <hyperlink r:id="rId1381" ref="E316"/>
    <hyperlink r:id="rId1382" ref="C317"/>
    <hyperlink r:id="rId1383" ref="D317"/>
    <hyperlink r:id="rId1384" ref="E317"/>
    <hyperlink r:id="rId1385" ref="F317"/>
    <hyperlink r:id="rId1386" ref="R317"/>
    <hyperlink r:id="rId1387" ref="T317"/>
    <hyperlink r:id="rId1388" ref="Y317"/>
    <hyperlink r:id="rId1389" ref="AP317"/>
    <hyperlink r:id="rId1390" ref="C318"/>
    <hyperlink r:id="rId1391" ref="E318"/>
    <hyperlink r:id="rId1392" ref="C319"/>
    <hyperlink r:id="rId1393" ref="E319"/>
    <hyperlink r:id="rId1394" ref="F319"/>
    <hyperlink r:id="rId1395" ref="H319"/>
    <hyperlink r:id="rId1396" ref="R319"/>
    <hyperlink r:id="rId1397" ref="W319"/>
    <hyperlink r:id="rId1398" ref="Y319"/>
    <hyperlink r:id="rId1399" ref="AP319"/>
    <hyperlink r:id="rId1400" ref="C320"/>
    <hyperlink r:id="rId1401" ref="E320"/>
    <hyperlink r:id="rId1402" ref="F320"/>
    <hyperlink r:id="rId1403" ref="H320"/>
    <hyperlink r:id="rId1404" ref="J320"/>
    <hyperlink r:id="rId1405" ref="L320"/>
    <hyperlink r:id="rId1406" ref="M320"/>
    <hyperlink r:id="rId1407" ref="W320"/>
    <hyperlink r:id="rId1408" ref="Y320"/>
    <hyperlink r:id="rId1409" ref="C321"/>
    <hyperlink r:id="rId1410" ref="E321"/>
    <hyperlink r:id="rId1411" ref="C322"/>
    <hyperlink r:id="rId1412" ref="E322"/>
    <hyperlink r:id="rId1413" ref="F322"/>
    <hyperlink r:id="rId1414" ref="Y322"/>
    <hyperlink r:id="rId1415" ref="C323"/>
    <hyperlink r:id="rId1416" ref="E323"/>
    <hyperlink r:id="rId1417" ref="C324"/>
    <hyperlink r:id="rId1418" ref="E324"/>
    <hyperlink r:id="rId1419" ref="C325"/>
    <hyperlink r:id="rId1420" ref="E325"/>
    <hyperlink r:id="rId1421" ref="C326"/>
    <hyperlink r:id="rId1422" ref="E326"/>
    <hyperlink r:id="rId1423" ref="C327"/>
    <hyperlink r:id="rId1424" ref="E327"/>
    <hyperlink r:id="rId1425" ref="C328"/>
    <hyperlink r:id="rId1426" ref="E328"/>
    <hyperlink r:id="rId1427" ref="F328"/>
    <hyperlink r:id="rId1428" ref="H328"/>
    <hyperlink r:id="rId1429" ref="C329"/>
    <hyperlink r:id="rId1430" ref="F329"/>
    <hyperlink r:id="rId1431" ref="H329"/>
    <hyperlink r:id="rId1432" ref="R329"/>
    <hyperlink r:id="rId1433" ref="T329"/>
    <hyperlink r:id="rId1434" ref="Y329"/>
    <hyperlink r:id="rId1435" ref="C330"/>
    <hyperlink r:id="rId1436" ref="F330"/>
    <hyperlink r:id="rId1437" ref="H330"/>
    <hyperlink r:id="rId1438" ref="J330"/>
    <hyperlink r:id="rId1439" ref="AC330"/>
    <hyperlink r:id="rId1440" ref="AI330"/>
    <hyperlink r:id="rId1441" ref="C331"/>
    <hyperlink r:id="rId1442" ref="E331"/>
    <hyperlink r:id="rId1443" ref="C332"/>
    <hyperlink r:id="rId1444" ref="E332"/>
    <hyperlink r:id="rId1445" ref="F332"/>
    <hyperlink r:id="rId1446" ref="J332"/>
    <hyperlink r:id="rId1447" ref="C333"/>
    <hyperlink r:id="rId1448" ref="F333"/>
    <hyperlink r:id="rId1449" ref="AO333"/>
    <hyperlink r:id="rId1450" ref="C334"/>
    <hyperlink r:id="rId1451" ref="F334"/>
    <hyperlink r:id="rId1452" ref="H334"/>
    <hyperlink r:id="rId1453" ref="J334"/>
    <hyperlink r:id="rId1454" ref="Y334"/>
    <hyperlink r:id="rId1455" ref="C335"/>
    <hyperlink r:id="rId1456" ref="E335"/>
    <hyperlink r:id="rId1457" ref="F335"/>
    <hyperlink r:id="rId1458" ref="R335"/>
    <hyperlink r:id="rId1459" ref="Y335"/>
    <hyperlink r:id="rId1460" ref="C336"/>
    <hyperlink r:id="rId1461" ref="H336"/>
    <hyperlink r:id="rId1462" ref="M336"/>
    <hyperlink r:id="rId1463" ref="C337"/>
    <hyperlink r:id="rId1464" ref="AC337"/>
    <hyperlink r:id="rId1465" ref="C338"/>
    <hyperlink r:id="rId1466" ref="F338"/>
    <hyperlink r:id="rId1467" ref="H338"/>
    <hyperlink r:id="rId1468" ref="O338"/>
    <hyperlink r:id="rId1469" ref="Y338"/>
    <hyperlink r:id="rId1470" ref="C339"/>
    <hyperlink r:id="rId1471" ref="E339"/>
  </hyperlinks>
  <drawing r:id="rId1472"/>
  <legacyDrawing r:id="rId1473"/>
  <tableParts count="10">
    <tablePart r:id="rId1484"/>
    <tablePart r:id="rId1485"/>
    <tablePart r:id="rId1486"/>
    <tablePart r:id="rId1487"/>
    <tablePart r:id="rId1488"/>
    <tablePart r:id="rId1489"/>
    <tablePart r:id="rId1490"/>
    <tablePart r:id="rId1491"/>
    <tablePart r:id="rId1492"/>
    <tablePart r:id="rId1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7184</v>
      </c>
      <c r="H2" s="961" t="s">
        <v>47</v>
      </c>
      <c r="I2" s="961" t="s">
        <v>48</v>
      </c>
      <c r="J2" s="961" t="s">
        <v>7185</v>
      </c>
      <c r="K2" s="961" t="s">
        <v>54</v>
      </c>
      <c r="N2" s="961" t="s">
        <v>7186</v>
      </c>
      <c r="P2" s="962"/>
      <c r="Q2" s="963" t="s">
        <v>47</v>
      </c>
      <c r="R2" s="963" t="s">
        <v>7187</v>
      </c>
      <c r="S2" s="963" t="s">
        <v>52</v>
      </c>
      <c r="T2" s="963" t="s">
        <v>53</v>
      </c>
      <c r="U2" s="963" t="s">
        <v>54</v>
      </c>
      <c r="V2" s="963" t="s">
        <v>7188</v>
      </c>
      <c r="W2" s="962"/>
      <c r="X2" s="964" t="s">
        <v>47</v>
      </c>
      <c r="Y2" s="964" t="s">
        <v>48</v>
      </c>
      <c r="Z2" s="964" t="s">
        <v>49</v>
      </c>
      <c r="AA2" s="964" t="s">
        <v>50</v>
      </c>
      <c r="AC2" s="964" t="s">
        <v>52</v>
      </c>
      <c r="AD2" s="964" t="s">
        <v>53</v>
      </c>
      <c r="AE2" s="964" t="s">
        <v>54</v>
      </c>
      <c r="AF2" s="964" t="s">
        <v>6750</v>
      </c>
      <c r="AG2" s="964" t="s">
        <v>7186</v>
      </c>
      <c r="AI2" s="962"/>
      <c r="AJ2" s="965" t="s">
        <v>47</v>
      </c>
      <c r="AK2" s="965" t="s">
        <v>48</v>
      </c>
      <c r="AM2" s="965" t="s">
        <v>49</v>
      </c>
      <c r="AP2" s="965" t="s">
        <v>51</v>
      </c>
      <c r="AR2" s="965" t="s">
        <v>52</v>
      </c>
      <c r="AV2" s="965" t="s">
        <v>52</v>
      </c>
      <c r="AW2" s="965" t="s">
        <v>53</v>
      </c>
      <c r="AX2" s="965" t="s">
        <v>7188</v>
      </c>
      <c r="AZ2" s="966"/>
      <c r="BA2" s="967" t="s">
        <v>47</v>
      </c>
      <c r="BB2" s="967" t="s">
        <v>52</v>
      </c>
      <c r="BC2" s="967" t="s">
        <v>53</v>
      </c>
      <c r="BD2" s="967" t="s">
        <v>54</v>
      </c>
      <c r="BE2" s="967" t="s">
        <v>7186</v>
      </c>
      <c r="BF2" s="966"/>
      <c r="BG2" s="968" t="s">
        <v>47</v>
      </c>
      <c r="BH2" s="968" t="s">
        <v>48</v>
      </c>
      <c r="BI2" s="968" t="s">
        <v>50</v>
      </c>
      <c r="BK2" s="968" t="s">
        <v>52</v>
      </c>
      <c r="BL2" s="968" t="s">
        <v>7186</v>
      </c>
      <c r="BN2" s="962"/>
      <c r="BO2" s="969" t="s">
        <v>49</v>
      </c>
      <c r="BP2" s="969" t="s">
        <v>50</v>
      </c>
      <c r="BQ2" s="969" t="s">
        <v>51</v>
      </c>
      <c r="BR2" s="969" t="s">
        <v>52</v>
      </c>
      <c r="BT2" s="969" t="s">
        <v>53</v>
      </c>
      <c r="BU2" s="969" t="s">
        <v>54</v>
      </c>
      <c r="BW2" s="969" t="s">
        <v>7188</v>
      </c>
      <c r="BX2" s="966"/>
      <c r="BY2" s="970" t="s">
        <v>7189</v>
      </c>
      <c r="BZ2" s="971" t="s">
        <v>75</v>
      </c>
      <c r="CA2" s="970" t="s">
        <v>80</v>
      </c>
      <c r="CD2" s="970" t="s">
        <v>77</v>
      </c>
      <c r="CE2" s="970" t="s">
        <v>7190</v>
      </c>
      <c r="CF2" s="970" t="s">
        <v>7191</v>
      </c>
      <c r="CG2" s="972" t="s">
        <v>68</v>
      </c>
      <c r="CH2" s="970" t="s">
        <v>76</v>
      </c>
      <c r="CI2" s="970" t="s">
        <v>66</v>
      </c>
      <c r="CJ2" s="971" t="s">
        <v>78</v>
      </c>
    </row>
    <row r="3" ht="23.25" customHeight="1">
      <c r="J3" s="973" t="s">
        <v>7192</v>
      </c>
      <c r="K3" s="973" t="s">
        <v>7193</v>
      </c>
      <c r="L3" s="974" t="s">
        <v>7194</v>
      </c>
      <c r="M3" s="974" t="s">
        <v>7195</v>
      </c>
      <c r="N3" s="974" t="s">
        <v>7196</v>
      </c>
      <c r="O3" s="973" t="s">
        <v>7197</v>
      </c>
      <c r="P3" s="962"/>
      <c r="W3" s="962"/>
      <c r="AA3" s="975" t="s">
        <v>7198</v>
      </c>
      <c r="AB3" s="976" t="s">
        <v>91</v>
      </c>
      <c r="AF3" s="976" t="s">
        <v>7199</v>
      </c>
      <c r="AG3" s="975" t="s">
        <v>52</v>
      </c>
      <c r="AH3" s="977" t="s">
        <v>49</v>
      </c>
      <c r="AI3" s="962"/>
      <c r="AK3" s="978" t="s">
        <v>7200</v>
      </c>
      <c r="AL3" s="978" t="s">
        <v>7201</v>
      </c>
      <c r="AM3" s="979" t="s">
        <v>7196</v>
      </c>
      <c r="AN3" s="979" t="s">
        <v>7202</v>
      </c>
      <c r="AO3" s="979" t="s">
        <v>7203</v>
      </c>
      <c r="AP3" s="979" t="s">
        <v>7196</v>
      </c>
      <c r="AQ3" s="980" t="s">
        <v>7204</v>
      </c>
      <c r="AR3" s="979" t="s">
        <v>7205</v>
      </c>
      <c r="AS3" s="979" t="s">
        <v>7206</v>
      </c>
      <c r="AT3" s="979" t="s">
        <v>7207</v>
      </c>
      <c r="AU3" s="979" t="s">
        <v>7208</v>
      </c>
      <c r="AX3" s="979" t="s">
        <v>7209</v>
      </c>
      <c r="AY3" s="979" t="s">
        <v>7210</v>
      </c>
      <c r="AZ3" s="966"/>
      <c r="BF3" s="981"/>
      <c r="BI3" s="968" t="s">
        <v>7211</v>
      </c>
      <c r="BJ3" s="968" t="s">
        <v>7212</v>
      </c>
      <c r="BL3" s="982" t="s">
        <v>88</v>
      </c>
      <c r="BM3" s="982" t="s">
        <v>7213</v>
      </c>
      <c r="BN3" s="962"/>
      <c r="BR3" s="983" t="s">
        <v>7203</v>
      </c>
      <c r="BS3" s="983" t="s">
        <v>7214</v>
      </c>
      <c r="BU3" s="983" t="s">
        <v>7196</v>
      </c>
      <c r="BV3" s="983" t="s">
        <v>7203</v>
      </c>
      <c r="BX3" s="966"/>
      <c r="CA3" s="984" t="s">
        <v>7215</v>
      </c>
      <c r="CB3" s="984" t="s">
        <v>7216</v>
      </c>
      <c r="CC3" s="984" t="s">
        <v>7217</v>
      </c>
      <c r="CJ3" s="984" t="s">
        <v>7218</v>
      </c>
      <c r="CK3" s="984" t="s">
        <v>7219</v>
      </c>
    </row>
    <row r="4">
      <c r="A4" s="985" t="s">
        <v>6491</v>
      </c>
      <c r="B4" s="986" t="s">
        <v>7220</v>
      </c>
      <c r="C4" s="987" t="s">
        <v>329</v>
      </c>
      <c r="D4" s="988" t="s">
        <v>1064</v>
      </c>
      <c r="E4" s="989" t="s">
        <v>437</v>
      </c>
      <c r="F4" s="990" t="s">
        <v>3364</v>
      </c>
      <c r="G4" s="986" t="s">
        <v>4630</v>
      </c>
      <c r="H4" s="991"/>
      <c r="I4" s="992" t="s">
        <v>1264</v>
      </c>
      <c r="J4" s="992"/>
      <c r="K4" s="993" t="s">
        <v>7221</v>
      </c>
      <c r="L4" s="992" t="s">
        <v>7222</v>
      </c>
      <c r="M4" s="991"/>
      <c r="N4" s="991"/>
      <c r="O4" s="994" t="s">
        <v>7223</v>
      </c>
      <c r="P4" s="995"/>
      <c r="Q4" s="996" t="s">
        <v>7224</v>
      </c>
      <c r="R4" s="997"/>
      <c r="S4" s="997"/>
      <c r="T4" s="998" t="s">
        <v>6707</v>
      </c>
      <c r="U4" s="999"/>
      <c r="V4" s="1000" t="s">
        <v>7225</v>
      </c>
      <c r="W4" s="995"/>
      <c r="X4" s="1001" t="s">
        <v>138</v>
      </c>
      <c r="Y4" s="1001" t="s">
        <v>7226</v>
      </c>
      <c r="Z4" s="1002" t="s">
        <v>4436</v>
      </c>
      <c r="AA4" s="1003" t="s">
        <v>5572</v>
      </c>
      <c r="AB4" s="1003" t="s">
        <v>791</v>
      </c>
      <c r="AC4" s="1004" t="s">
        <v>2852</v>
      </c>
      <c r="AD4" s="1004" t="s">
        <v>1217</v>
      </c>
      <c r="AE4" s="1003" t="s">
        <v>2887</v>
      </c>
      <c r="AF4" s="1005"/>
      <c r="AG4" s="1004" t="s">
        <v>7227</v>
      </c>
      <c r="AH4" s="1006"/>
      <c r="AI4" s="995"/>
      <c r="AJ4" s="1007"/>
      <c r="AK4" s="1007" t="s">
        <v>4004</v>
      </c>
      <c r="AL4" s="1008"/>
      <c r="AM4" s="1007" t="s">
        <v>4578</v>
      </c>
      <c r="AN4" s="1007"/>
      <c r="AO4" s="1009" t="s">
        <v>2410</v>
      </c>
      <c r="AP4" s="1008"/>
      <c r="AQ4" s="1010" t="s">
        <v>7228</v>
      </c>
      <c r="AR4" s="1007" t="s">
        <v>7229</v>
      </c>
      <c r="AS4" s="1007" t="s">
        <v>7230</v>
      </c>
      <c r="AT4" s="1008"/>
      <c r="AU4" s="1008"/>
      <c r="AV4" s="1008"/>
      <c r="AW4" s="1011" t="s">
        <v>4253</v>
      </c>
      <c r="AX4" s="1012" t="s">
        <v>3720</v>
      </c>
      <c r="AY4" s="1007" t="s">
        <v>7231</v>
      </c>
      <c r="AZ4" s="995"/>
      <c r="BA4" s="1013"/>
      <c r="BB4" s="1014" t="s">
        <v>7232</v>
      </c>
      <c r="BC4" s="1015" t="s">
        <v>7233</v>
      </c>
      <c r="BD4" s="1013"/>
      <c r="BE4" s="1016" t="s">
        <v>7234</v>
      </c>
      <c r="BF4" s="995"/>
      <c r="BG4" s="1017" t="s">
        <v>7235</v>
      </c>
      <c r="BH4" s="1018" t="s">
        <v>1869</v>
      </c>
      <c r="BI4" s="1018"/>
      <c r="BJ4" s="1018"/>
      <c r="BK4" s="1019" t="s">
        <v>1976</v>
      </c>
      <c r="BL4" s="1020"/>
      <c r="BM4" s="1018" t="s">
        <v>7236</v>
      </c>
      <c r="BN4" s="995"/>
      <c r="BO4" s="1021" t="s">
        <v>6346</v>
      </c>
      <c r="BP4" s="1022"/>
      <c r="BQ4" s="1022"/>
      <c r="BR4" s="1023" t="s">
        <v>7237</v>
      </c>
      <c r="BS4" s="1022"/>
      <c r="BT4" s="1024" t="s">
        <v>148</v>
      </c>
      <c r="BU4" s="1022"/>
      <c r="BV4" s="1025" t="s">
        <v>3789</v>
      </c>
      <c r="BW4" s="1024" t="s">
        <v>5999</v>
      </c>
      <c r="BX4" s="995"/>
      <c r="BY4" s="1026" t="s">
        <v>2677</v>
      </c>
      <c r="BZ4" s="1027" t="s">
        <v>4190</v>
      </c>
      <c r="CA4" s="1028"/>
      <c r="CB4" s="1028"/>
      <c r="CC4" s="1028"/>
      <c r="CD4" s="1027" t="s">
        <v>1402</v>
      </c>
      <c r="CE4" s="1029" t="s">
        <v>4684</v>
      </c>
      <c r="CF4" s="1027" t="s">
        <v>7238</v>
      </c>
      <c r="CG4" s="1028"/>
      <c r="CH4" s="1028"/>
      <c r="CI4" s="1028"/>
      <c r="CJ4" s="1028"/>
      <c r="CK4" s="1028"/>
    </row>
    <row r="5">
      <c r="A5" s="985" t="s">
        <v>7239</v>
      </c>
      <c r="B5" s="986" t="s">
        <v>7240</v>
      </c>
      <c r="C5" s="987" t="s">
        <v>3364</v>
      </c>
      <c r="D5" s="988" t="s">
        <v>1064</v>
      </c>
      <c r="E5" s="989" t="s">
        <v>544</v>
      </c>
      <c r="F5" s="990" t="s">
        <v>3047</v>
      </c>
      <c r="G5" s="986" t="s">
        <v>2100</v>
      </c>
      <c r="H5" s="993" t="s">
        <v>2981</v>
      </c>
      <c r="I5" s="991"/>
      <c r="J5" s="1030" t="s">
        <v>1956</v>
      </c>
      <c r="K5" s="1031" t="s">
        <v>7241</v>
      </c>
      <c r="L5" s="1030" t="s">
        <v>7242</v>
      </c>
      <c r="M5" s="1032" t="s">
        <v>3243</v>
      </c>
      <c r="N5" s="991"/>
      <c r="O5" s="1033" t="s">
        <v>7243</v>
      </c>
      <c r="P5" s="1034"/>
      <c r="Q5" s="1035" t="s">
        <v>7244</v>
      </c>
      <c r="R5" s="1000" t="s">
        <v>1650</v>
      </c>
      <c r="S5" s="996" t="s">
        <v>5001</v>
      </c>
      <c r="T5" s="996" t="s">
        <v>5575</v>
      </c>
      <c r="U5" s="996"/>
      <c r="V5" s="1004" t="s">
        <v>7245</v>
      </c>
      <c r="W5" s="1034"/>
      <c r="X5" s="1000" t="s">
        <v>2403</v>
      </c>
      <c r="Y5" s="1004" t="s">
        <v>7246</v>
      </c>
      <c r="Z5" s="1004" t="s">
        <v>7247</v>
      </c>
      <c r="AA5" s="1002" t="s">
        <v>4965</v>
      </c>
      <c r="AB5" s="1002" t="s">
        <v>7248</v>
      </c>
      <c r="AC5" s="1001" t="s">
        <v>2686</v>
      </c>
      <c r="AD5" s="1036" t="s">
        <v>4236</v>
      </c>
      <c r="AE5" s="1036" t="s">
        <v>2519</v>
      </c>
      <c r="AF5" s="1005"/>
      <c r="AG5" s="1002" t="s">
        <v>7249</v>
      </c>
      <c r="AH5" s="1006"/>
      <c r="AI5" s="1037"/>
      <c r="AJ5" s="1007"/>
      <c r="AK5" s="1008"/>
      <c r="AL5" s="1008"/>
      <c r="AM5" s="1038" t="s">
        <v>1210</v>
      </c>
      <c r="AN5" s="1007"/>
      <c r="AO5" s="1008"/>
      <c r="AP5" s="1009" t="s">
        <v>910</v>
      </c>
      <c r="AQ5" s="1007" t="s">
        <v>7250</v>
      </c>
      <c r="AR5" s="1008"/>
      <c r="AS5" s="1008"/>
      <c r="AT5" s="1039"/>
      <c r="AU5" s="1008"/>
      <c r="AV5" s="1008"/>
      <c r="AW5" s="1012" t="s">
        <v>4690</v>
      </c>
      <c r="AX5" s="1009" t="s">
        <v>1675</v>
      </c>
      <c r="AY5" s="1009" t="s">
        <v>2163</v>
      </c>
      <c r="AZ5" s="995"/>
      <c r="BA5" s="1009" t="s">
        <v>7251</v>
      </c>
      <c r="BB5" s="1015" t="s">
        <v>7252</v>
      </c>
      <c r="BC5" s="1040" t="s">
        <v>291</v>
      </c>
      <c r="BD5" s="1041" t="s">
        <v>4241</v>
      </c>
      <c r="BE5" s="1014" t="s">
        <v>7253</v>
      </c>
      <c r="BF5" s="995"/>
      <c r="BG5" s="1017" t="s">
        <v>3014</v>
      </c>
      <c r="BH5" s="1017" t="s">
        <v>693</v>
      </c>
      <c r="BI5" s="1042" t="s">
        <v>7254</v>
      </c>
      <c r="BJ5" s="1042" t="s">
        <v>7255</v>
      </c>
      <c r="BK5" s="1043" t="s">
        <v>7256</v>
      </c>
      <c r="BL5" s="1020"/>
      <c r="BM5" s="1044" t="s">
        <v>7257</v>
      </c>
      <c r="BN5" s="1037"/>
      <c r="BO5" s="1024" t="s">
        <v>6005</v>
      </c>
      <c r="BP5" s="1045"/>
      <c r="BQ5" s="1022"/>
      <c r="BR5" s="1023" t="s">
        <v>2682</v>
      </c>
      <c r="BS5" s="1022"/>
      <c r="BT5" s="1046"/>
      <c r="BU5" s="1025" t="s">
        <v>6264</v>
      </c>
      <c r="BV5" s="1023"/>
      <c r="BW5" s="1024" t="s">
        <v>7258</v>
      </c>
      <c r="BX5" s="1034"/>
      <c r="BY5" s="1047" t="s">
        <v>3374</v>
      </c>
      <c r="BZ5" s="1048" t="s">
        <v>7259</v>
      </c>
      <c r="CA5" s="1049" t="s">
        <v>7260</v>
      </c>
      <c r="CB5" s="1050"/>
      <c r="CC5" s="1051"/>
      <c r="CD5" s="1049" t="s">
        <v>7261</v>
      </c>
      <c r="CE5" s="1052" t="s">
        <v>7262</v>
      </c>
      <c r="CF5" s="1049" t="s">
        <v>1597</v>
      </c>
      <c r="CG5" s="1053" t="s">
        <v>5036</v>
      </c>
      <c r="CH5" s="1026" t="s">
        <v>7263</v>
      </c>
      <c r="CI5" s="1028"/>
      <c r="CJ5" s="1049" t="s">
        <v>2173</v>
      </c>
      <c r="CK5" s="1049" t="s">
        <v>3802</v>
      </c>
    </row>
    <row r="6">
      <c r="A6" s="1054" t="s">
        <v>433</v>
      </c>
      <c r="B6" s="986" t="s">
        <v>7264</v>
      </c>
      <c r="C6" s="987" t="s">
        <v>435</v>
      </c>
      <c r="D6" s="988" t="s">
        <v>1064</v>
      </c>
      <c r="E6" s="989" t="s">
        <v>1064</v>
      </c>
      <c r="F6" s="990" t="s">
        <v>3982</v>
      </c>
      <c r="G6" s="986" t="s">
        <v>1504</v>
      </c>
      <c r="H6" s="1055" t="s">
        <v>1610</v>
      </c>
      <c r="I6" s="1030" t="s">
        <v>3067</v>
      </c>
      <c r="J6" s="994" t="s">
        <v>7265</v>
      </c>
      <c r="K6" s="1056" t="s">
        <v>5744</v>
      </c>
      <c r="L6" s="1055" t="s">
        <v>5423</v>
      </c>
      <c r="M6" s="991"/>
      <c r="N6" s="991"/>
      <c r="O6" s="993" t="s">
        <v>7266</v>
      </c>
      <c r="P6" s="1034"/>
      <c r="Q6" s="1057" t="s">
        <v>5965</v>
      </c>
      <c r="R6" s="1057" t="s">
        <v>2678</v>
      </c>
      <c r="S6" s="997"/>
      <c r="T6" s="1058" t="s">
        <v>230</v>
      </c>
      <c r="U6" s="1059"/>
      <c r="V6" s="998" t="s">
        <v>7267</v>
      </c>
      <c r="W6" s="1034"/>
      <c r="X6" s="1036" t="s">
        <v>3196</v>
      </c>
      <c r="Y6" s="1036" t="s">
        <v>7268</v>
      </c>
      <c r="Z6" s="1036" t="s">
        <v>2553</v>
      </c>
      <c r="AA6" s="1060" t="s">
        <v>7269</v>
      </c>
      <c r="AB6" s="1001" t="s">
        <v>119</v>
      </c>
      <c r="AC6" s="1060" t="s">
        <v>1322</v>
      </c>
      <c r="AD6" s="1004" t="s">
        <v>1217</v>
      </c>
      <c r="AE6" s="1004" t="s">
        <v>6600</v>
      </c>
      <c r="AF6" s="1061"/>
      <c r="AG6" s="1062" t="s">
        <v>7270</v>
      </c>
      <c r="AH6" s="1006"/>
      <c r="AI6" s="1037"/>
      <c r="AJ6" s="1007"/>
      <c r="AK6" s="1007" t="s">
        <v>7271</v>
      </c>
      <c r="AL6" s="1008"/>
      <c r="AM6" s="1039" t="s">
        <v>2963</v>
      </c>
      <c r="AN6" s="1038" t="s">
        <v>3443</v>
      </c>
      <c r="AO6" s="1007" t="s">
        <v>7272</v>
      </c>
      <c r="AP6" s="1039" t="s">
        <v>2458</v>
      </c>
      <c r="AQ6" s="1063" t="s">
        <v>7273</v>
      </c>
      <c r="AR6" s="1007" t="s">
        <v>7274</v>
      </c>
      <c r="AS6" s="1008"/>
      <c r="AT6" s="1009" t="s">
        <v>4828</v>
      </c>
      <c r="AU6" s="1008"/>
      <c r="AV6" s="1008"/>
      <c r="AW6" s="1012" t="s">
        <v>4967</v>
      </c>
      <c r="AX6" s="1038" t="s">
        <v>1305</v>
      </c>
      <c r="AY6" s="1008"/>
      <c r="AZ6" s="995"/>
      <c r="BA6" s="1064"/>
      <c r="BB6" s="1015" t="s">
        <v>7275</v>
      </c>
      <c r="BC6" s="1016" t="s">
        <v>6662</v>
      </c>
      <c r="BD6" s="1064"/>
      <c r="BE6" s="1065" t="s">
        <v>7276</v>
      </c>
      <c r="BF6" s="995"/>
      <c r="BG6" s="1066" t="s">
        <v>3253</v>
      </c>
      <c r="BH6" s="1017" t="s">
        <v>1307</v>
      </c>
      <c r="BI6" s="1067" t="s">
        <v>5827</v>
      </c>
      <c r="BJ6" s="1068"/>
      <c r="BK6" s="1017" t="s">
        <v>7277</v>
      </c>
      <c r="BL6" s="1020"/>
      <c r="BM6" s="1018" t="s">
        <v>7278</v>
      </c>
      <c r="BN6" s="1034"/>
      <c r="BO6" s="1069" t="s">
        <v>4092</v>
      </c>
      <c r="BP6" s="1023"/>
      <c r="BQ6" s="1070" t="s">
        <v>1767</v>
      </c>
      <c r="BR6" s="1023" t="s">
        <v>7279</v>
      </c>
      <c r="BS6" s="1022"/>
      <c r="BT6" s="1070" t="s">
        <v>2035</v>
      </c>
      <c r="BU6" s="1022"/>
      <c r="BV6" s="1023" t="s">
        <v>5752</v>
      </c>
      <c r="BW6" s="1023" t="s">
        <v>2128</v>
      </c>
      <c r="BX6" s="1034"/>
      <c r="BY6" s="1053" t="s">
        <v>299</v>
      </c>
      <c r="BZ6" s="1027" t="s">
        <v>3438</v>
      </c>
      <c r="CA6" s="1050"/>
      <c r="CB6" s="1050"/>
      <c r="CC6" s="1050"/>
      <c r="CD6" s="1028"/>
      <c r="CE6" s="1028"/>
      <c r="CF6" s="1028"/>
      <c r="CG6" s="1028"/>
      <c r="CH6" s="1028"/>
      <c r="CI6" s="1028"/>
      <c r="CJ6" s="1050"/>
      <c r="CK6" s="1050"/>
    </row>
    <row r="7">
      <c r="A7" s="1071" t="s">
        <v>1557</v>
      </c>
      <c r="B7" s="986" t="s">
        <v>7280</v>
      </c>
      <c r="C7" s="987" t="s">
        <v>437</v>
      </c>
      <c r="D7" s="988" t="s">
        <v>645</v>
      </c>
      <c r="E7" s="989" t="s">
        <v>331</v>
      </c>
      <c r="F7" s="990" t="s">
        <v>2808</v>
      </c>
      <c r="G7" s="986" t="s">
        <v>5690</v>
      </c>
      <c r="H7" s="1055" t="s">
        <v>1297</v>
      </c>
      <c r="I7" s="1032" t="s">
        <v>7281</v>
      </c>
      <c r="J7" s="991"/>
      <c r="K7" s="992" t="s">
        <v>7282</v>
      </c>
      <c r="L7" s="1032" t="s">
        <v>7283</v>
      </c>
      <c r="M7" s="991"/>
      <c r="N7" s="993" t="s">
        <v>7284</v>
      </c>
      <c r="O7" s="991"/>
      <c r="P7" s="1034"/>
      <c r="Q7" s="996" t="s">
        <v>4145</v>
      </c>
      <c r="R7" s="1058" t="s">
        <v>3166</v>
      </c>
      <c r="S7" s="1059" t="s">
        <v>5727</v>
      </c>
      <c r="T7" s="1072" t="s">
        <v>5287</v>
      </c>
      <c r="U7" s="1072" t="s">
        <v>7285</v>
      </c>
      <c r="V7" s="1057" t="s">
        <v>7286</v>
      </c>
      <c r="W7" s="1034"/>
      <c r="X7" s="1060" t="s">
        <v>914</v>
      </c>
      <c r="Y7" s="1060" t="s">
        <v>7287</v>
      </c>
      <c r="Z7" s="1036" t="s">
        <v>6726</v>
      </c>
      <c r="AA7" s="1073" t="s">
        <v>7288</v>
      </c>
      <c r="AB7" s="1001" t="s">
        <v>4889</v>
      </c>
      <c r="AC7" s="1001" t="s">
        <v>5062</v>
      </c>
      <c r="AD7" s="1060" t="s">
        <v>4894</v>
      </c>
      <c r="AE7" s="1001" t="s">
        <v>6563</v>
      </c>
      <c r="AF7" s="1001"/>
      <c r="AG7" s="1074"/>
      <c r="AH7" s="1075" t="s">
        <v>7289</v>
      </c>
      <c r="AI7" s="1034"/>
      <c r="AJ7" s="1007"/>
      <c r="AK7" s="1007" t="s">
        <v>7290</v>
      </c>
      <c r="AL7" s="1007" t="s">
        <v>5468</v>
      </c>
      <c r="AM7" s="1007" t="s">
        <v>559</v>
      </c>
      <c r="AN7" s="1012" t="s">
        <v>7291</v>
      </c>
      <c r="AO7" s="1008"/>
      <c r="AP7" s="1012" t="s">
        <v>7292</v>
      </c>
      <c r="AQ7" s="1076" t="s">
        <v>4996</v>
      </c>
      <c r="AR7" s="1007" t="s">
        <v>7293</v>
      </c>
      <c r="AS7" s="1038" t="s">
        <v>7294</v>
      </c>
      <c r="AT7" s="1039"/>
      <c r="AU7" s="1007" t="s">
        <v>7295</v>
      </c>
      <c r="AV7" s="1008"/>
      <c r="AW7" s="1007" t="s">
        <v>471</v>
      </c>
      <c r="AX7" s="1012" t="s">
        <v>7296</v>
      </c>
      <c r="AY7" s="1038" t="s">
        <v>7297</v>
      </c>
      <c r="AZ7" s="995"/>
      <c r="BA7" s="1014" t="s">
        <v>7298</v>
      </c>
      <c r="BB7" s="1015" t="s">
        <v>7299</v>
      </c>
      <c r="BC7" s="1077" t="s">
        <v>3454</v>
      </c>
      <c r="BD7" s="1064"/>
      <c r="BE7" s="1065" t="s">
        <v>7300</v>
      </c>
      <c r="BF7" s="995"/>
      <c r="BG7" s="1066" t="s">
        <v>3253</v>
      </c>
      <c r="BH7" s="1017" t="s">
        <v>7301</v>
      </c>
      <c r="BI7" s="1018" t="s">
        <v>770</v>
      </c>
      <c r="BJ7" s="1078"/>
      <c r="BK7" s="1017" t="s">
        <v>7302</v>
      </c>
      <c r="BL7" s="1019" t="s">
        <v>7303</v>
      </c>
      <c r="BM7" s="1079" t="s">
        <v>7304</v>
      </c>
      <c r="BN7" s="1034"/>
      <c r="BO7" s="1023" t="s">
        <v>7305</v>
      </c>
      <c r="BP7" s="1045"/>
      <c r="BQ7" s="1023" t="s">
        <v>6939</v>
      </c>
      <c r="BR7" s="1080" t="s">
        <v>7306</v>
      </c>
      <c r="BS7" s="1025" t="s">
        <v>7307</v>
      </c>
      <c r="BT7" s="1023" t="s">
        <v>6744</v>
      </c>
      <c r="BU7" s="1080" t="s">
        <v>7298</v>
      </c>
      <c r="BV7" s="1024" t="s">
        <v>7308</v>
      </c>
      <c r="BW7" s="1070" t="s">
        <v>7309</v>
      </c>
      <c r="BX7" s="1034"/>
      <c r="BY7" s="1027" t="s">
        <v>7310</v>
      </c>
      <c r="BZ7" s="1027" t="s">
        <v>2607</v>
      </c>
      <c r="CA7" s="1050"/>
      <c r="CB7" s="1081" t="s">
        <v>2427</v>
      </c>
      <c r="CC7" s="1081"/>
      <c r="CD7" s="1027" t="s">
        <v>2825</v>
      </c>
      <c r="CE7" s="1082" t="s">
        <v>7311</v>
      </c>
      <c r="CF7" s="1047" t="s">
        <v>7082</v>
      </c>
      <c r="CG7" s="1047" t="s">
        <v>7312</v>
      </c>
      <c r="CH7" s="1049" t="s">
        <v>7313</v>
      </c>
      <c r="CI7" s="1049" t="s">
        <v>3540</v>
      </c>
      <c r="CJ7" s="1047" t="s">
        <v>4975</v>
      </c>
      <c r="CK7" s="1050"/>
    </row>
    <row r="8">
      <c r="A8" s="1083" t="s">
        <v>7314</v>
      </c>
      <c r="B8" s="1084" t="s">
        <v>7315</v>
      </c>
      <c r="C8" s="987" t="s">
        <v>331</v>
      </c>
      <c r="D8" s="988" t="s">
        <v>645</v>
      </c>
      <c r="E8" s="989" t="s">
        <v>1204</v>
      </c>
      <c r="F8" s="990" t="s">
        <v>3578</v>
      </c>
      <c r="G8" s="986" t="s">
        <v>3799</v>
      </c>
      <c r="H8" s="1085" t="s">
        <v>7019</v>
      </c>
      <c r="I8" s="1055" t="s">
        <v>7316</v>
      </c>
      <c r="J8" s="1085" t="s">
        <v>3654</v>
      </c>
      <c r="K8" s="1055" t="s">
        <v>7317</v>
      </c>
      <c r="L8" s="1086" t="s">
        <v>1956</v>
      </c>
      <c r="M8" s="1030" t="s">
        <v>7318</v>
      </c>
      <c r="N8" s="1055" t="s">
        <v>7319</v>
      </c>
      <c r="O8" s="1055" t="s">
        <v>7320</v>
      </c>
      <c r="P8" s="1034"/>
      <c r="Q8" s="1000" t="s">
        <v>7321</v>
      </c>
      <c r="R8" s="1000" t="s">
        <v>2072</v>
      </c>
      <c r="S8" s="998" t="s">
        <v>726</v>
      </c>
      <c r="T8" s="1000" t="s">
        <v>5114</v>
      </c>
      <c r="U8" s="1057" t="s">
        <v>7322</v>
      </c>
      <c r="V8" s="998" t="s">
        <v>7323</v>
      </c>
      <c r="W8" s="1034"/>
      <c r="X8" s="1003" t="s">
        <v>833</v>
      </c>
      <c r="Y8" s="1002" t="s">
        <v>7324</v>
      </c>
      <c r="Z8" s="1036" t="s">
        <v>2071</v>
      </c>
      <c r="AA8" s="1036" t="s">
        <v>7325</v>
      </c>
      <c r="AB8" s="1073" t="s">
        <v>4300</v>
      </c>
      <c r="AC8" s="1036" t="s">
        <v>5657</v>
      </c>
      <c r="AD8" s="1036" t="s">
        <v>128</v>
      </c>
      <c r="AE8" s="1036" t="s">
        <v>7326</v>
      </c>
      <c r="AF8" s="1005"/>
      <c r="AG8" s="1062" t="s">
        <v>7327</v>
      </c>
      <c r="AH8" s="1087" t="s">
        <v>7328</v>
      </c>
      <c r="AI8" s="1034"/>
      <c r="AJ8" s="1088"/>
      <c r="AK8" s="1038" t="s">
        <v>100</v>
      </c>
      <c r="AL8" s="1063" t="s">
        <v>7329</v>
      </c>
      <c r="AM8" s="1012" t="s">
        <v>2188</v>
      </c>
      <c r="AN8" s="1007" t="s">
        <v>4617</v>
      </c>
      <c r="AO8" s="1007" t="s">
        <v>7330</v>
      </c>
      <c r="AP8" s="1012" t="s">
        <v>7331</v>
      </c>
      <c r="AQ8" s="1007" t="s">
        <v>7332</v>
      </c>
      <c r="AR8" s="1038" t="s">
        <v>7333</v>
      </c>
      <c r="AS8" s="1012" t="s">
        <v>2954</v>
      </c>
      <c r="AT8" s="1063" t="s">
        <v>7334</v>
      </c>
      <c r="AU8" s="1009" t="s">
        <v>7335</v>
      </c>
      <c r="AV8" s="1063" t="s">
        <v>7336</v>
      </c>
      <c r="AW8" s="1012" t="s">
        <v>2768</v>
      </c>
      <c r="AX8" s="1063" t="s">
        <v>2240</v>
      </c>
      <c r="AY8" s="1063" t="s">
        <v>7337</v>
      </c>
      <c r="AZ8" s="995"/>
      <c r="BA8" s="1016" t="s">
        <v>7338</v>
      </c>
      <c r="BB8" s="1041" t="s">
        <v>7339</v>
      </c>
      <c r="BC8" s="1089" t="s">
        <v>3209</v>
      </c>
      <c r="BD8" s="1090"/>
      <c r="BE8" s="1015" t="s">
        <v>7340</v>
      </c>
      <c r="BF8" s="995"/>
      <c r="BG8" s="1042" t="s">
        <v>7341</v>
      </c>
      <c r="BH8" s="1091" t="s">
        <v>3455</v>
      </c>
      <c r="BI8" s="1017" t="s">
        <v>608</v>
      </c>
      <c r="BJ8" s="1018" t="s">
        <v>7342</v>
      </c>
      <c r="BK8" s="1017" t="s">
        <v>7343</v>
      </c>
      <c r="BL8" s="1017" t="s">
        <v>7344</v>
      </c>
      <c r="BM8" s="1017" t="s">
        <v>7345</v>
      </c>
      <c r="BN8" s="1034"/>
      <c r="BO8" s="1024" t="s">
        <v>2458</v>
      </c>
      <c r="BP8" s="1025" t="s">
        <v>5635</v>
      </c>
      <c r="BQ8" s="1024" t="s">
        <v>6028</v>
      </c>
      <c r="BR8" s="1024" t="s">
        <v>3966</v>
      </c>
      <c r="BS8" s="1024" t="s">
        <v>815</v>
      </c>
      <c r="BT8" s="1024" t="s">
        <v>1375</v>
      </c>
      <c r="BU8" s="1070" t="s">
        <v>3966</v>
      </c>
      <c r="BV8" s="1069" t="s">
        <v>7346</v>
      </c>
      <c r="BW8" s="1024" t="s">
        <v>7347</v>
      </c>
      <c r="BX8" s="1034"/>
      <c r="BY8" s="1053" t="s">
        <v>7348</v>
      </c>
      <c r="BZ8" s="1047" t="s">
        <v>5144</v>
      </c>
      <c r="CA8" s="1082" t="s">
        <v>2343</v>
      </c>
      <c r="CB8" s="1047" t="s">
        <v>3490</v>
      </c>
      <c r="CC8" s="1047"/>
      <c r="CD8" s="1092"/>
      <c r="CE8" s="1053" t="s">
        <v>2686</v>
      </c>
      <c r="CF8" s="1053" t="s">
        <v>6973</v>
      </c>
      <c r="CG8" s="1053" t="s">
        <v>7349</v>
      </c>
      <c r="CH8" s="1053" t="s">
        <v>2203</v>
      </c>
      <c r="CI8" s="1082" t="s">
        <v>7350</v>
      </c>
      <c r="CJ8" s="1082" t="s">
        <v>2942</v>
      </c>
      <c r="CK8" s="1047"/>
    </row>
    <row r="9">
      <c r="A9" s="1054" t="s">
        <v>1419</v>
      </c>
      <c r="B9" s="986" t="s">
        <v>7351</v>
      </c>
      <c r="C9" s="987" t="s">
        <v>435</v>
      </c>
      <c r="D9" s="988" t="s">
        <v>435</v>
      </c>
      <c r="E9" s="989" t="s">
        <v>1064</v>
      </c>
      <c r="F9" s="990" t="s">
        <v>217</v>
      </c>
      <c r="G9" s="986" t="s">
        <v>1725</v>
      </c>
      <c r="H9" s="991"/>
      <c r="I9" s="1055" t="s">
        <v>7352</v>
      </c>
      <c r="J9" s="1056"/>
      <c r="K9" s="1030" t="s">
        <v>7353</v>
      </c>
      <c r="L9" s="1085" t="s">
        <v>3080</v>
      </c>
      <c r="M9" s="991"/>
      <c r="N9" s="991"/>
      <c r="O9" s="1032" t="s">
        <v>7354</v>
      </c>
      <c r="P9" s="1034"/>
      <c r="Q9" s="1000" t="s">
        <v>6802</v>
      </c>
      <c r="R9" s="997"/>
      <c r="S9" s="997"/>
      <c r="T9" s="1093" t="s">
        <v>5697</v>
      </c>
      <c r="U9" s="996"/>
      <c r="V9" s="1072" t="s">
        <v>7355</v>
      </c>
      <c r="W9" s="1034"/>
      <c r="X9" s="1036" t="s">
        <v>588</v>
      </c>
      <c r="Y9" s="1094" t="s">
        <v>6721</v>
      </c>
      <c r="Z9" s="1060" t="s">
        <v>2890</v>
      </c>
      <c r="AA9" s="1060" t="s">
        <v>5459</v>
      </c>
      <c r="AB9" s="1036" t="s">
        <v>2347</v>
      </c>
      <c r="AC9" s="1060" t="s">
        <v>7356</v>
      </c>
      <c r="AD9" s="1095" t="s">
        <v>2441</v>
      </c>
      <c r="AE9" s="1036" t="s">
        <v>1095</v>
      </c>
      <c r="AF9" s="1061"/>
      <c r="AG9" s="1003" t="s">
        <v>7357</v>
      </c>
      <c r="AH9" s="1096" t="s">
        <v>7358</v>
      </c>
      <c r="AI9" s="1037"/>
      <c r="AJ9" s="1008"/>
      <c r="AK9" s="1039" t="s">
        <v>7359</v>
      </c>
      <c r="AL9" s="1038" t="s">
        <v>5852</v>
      </c>
      <c r="AM9" s="1012" t="s">
        <v>656</v>
      </c>
      <c r="AN9" s="1097"/>
      <c r="AO9" s="1012" t="s">
        <v>5662</v>
      </c>
      <c r="AP9" s="1039" t="s">
        <v>7360</v>
      </c>
      <c r="AQ9" s="1098" t="s">
        <v>5710</v>
      </c>
      <c r="AR9" s="1008"/>
      <c r="AS9" s="1008"/>
      <c r="AT9" s="1039"/>
      <c r="AU9" s="1008"/>
      <c r="AV9" s="1039" t="s">
        <v>7361</v>
      </c>
      <c r="AW9" s="1039" t="s">
        <v>966</v>
      </c>
      <c r="AX9" s="1076" t="s">
        <v>7362</v>
      </c>
      <c r="AY9" s="1076" t="s">
        <v>7363</v>
      </c>
      <c r="AZ9" s="995"/>
      <c r="BA9" s="1099"/>
      <c r="BB9" s="1100" t="s">
        <v>7364</v>
      </c>
      <c r="BC9" s="1015" t="s">
        <v>5359</v>
      </c>
      <c r="BD9" s="1064"/>
      <c r="BE9" s="1015" t="s">
        <v>7365</v>
      </c>
      <c r="BF9" s="995"/>
      <c r="BG9" s="1017" t="s">
        <v>7366</v>
      </c>
      <c r="BH9" s="1101" t="s">
        <v>4711</v>
      </c>
      <c r="BI9" s="1020"/>
      <c r="BJ9" s="1078"/>
      <c r="BK9" s="1020"/>
      <c r="BL9" s="1020"/>
      <c r="BM9" s="1102" t="s">
        <v>7367</v>
      </c>
      <c r="BN9" s="1037"/>
      <c r="BO9" s="1024" t="s">
        <v>7368</v>
      </c>
      <c r="BP9" s="1045"/>
      <c r="BQ9" s="1022"/>
      <c r="BR9" s="1025" t="s">
        <v>7369</v>
      </c>
      <c r="BS9" s="1022"/>
      <c r="BT9" s="1045" t="s">
        <v>293</v>
      </c>
      <c r="BU9" s="1022"/>
      <c r="BV9" s="1045" t="s">
        <v>7370</v>
      </c>
      <c r="BW9" s="1024" t="s">
        <v>7371</v>
      </c>
      <c r="BX9" s="1037"/>
      <c r="BY9" s="1103"/>
      <c r="BZ9" s="1082" t="s">
        <v>723</v>
      </c>
      <c r="CA9" s="1050"/>
      <c r="CB9" s="1050"/>
      <c r="CC9" s="1050"/>
      <c r="CD9" s="1047" t="s">
        <v>4372</v>
      </c>
      <c r="CE9" s="1028"/>
      <c r="CF9" s="1082" t="s">
        <v>7372</v>
      </c>
      <c r="CG9" s="1081" t="s">
        <v>2596</v>
      </c>
      <c r="CH9" s="1028"/>
      <c r="CI9" s="1028"/>
      <c r="CJ9" s="1050"/>
      <c r="CK9" s="1050"/>
    </row>
    <row r="10">
      <c r="A10" s="1104" t="s">
        <v>826</v>
      </c>
      <c r="B10" s="986" t="s">
        <v>6001</v>
      </c>
      <c r="C10" s="987" t="s">
        <v>1204</v>
      </c>
      <c r="D10" s="988" t="s">
        <v>1064</v>
      </c>
      <c r="E10" s="989" t="s">
        <v>329</v>
      </c>
      <c r="F10" s="990" t="s">
        <v>6084</v>
      </c>
      <c r="G10" s="986" t="s">
        <v>2979</v>
      </c>
      <c r="H10" s="991"/>
      <c r="I10" s="1085" t="s">
        <v>7373</v>
      </c>
      <c r="J10" s="992" t="s">
        <v>7374</v>
      </c>
      <c r="K10" s="992"/>
      <c r="L10" s="993" t="s">
        <v>7375</v>
      </c>
      <c r="M10" s="991"/>
      <c r="N10" s="1030" t="s">
        <v>7376</v>
      </c>
      <c r="O10" s="991"/>
      <c r="P10" s="1034"/>
      <c r="Q10" s="1058" t="s">
        <v>7377</v>
      </c>
      <c r="R10" s="1035" t="s">
        <v>2116</v>
      </c>
      <c r="S10" s="997"/>
      <c r="T10" s="997"/>
      <c r="U10" s="1058" t="s">
        <v>7378</v>
      </c>
      <c r="V10" s="998" t="s">
        <v>7379</v>
      </c>
      <c r="W10" s="1034"/>
      <c r="X10" s="1002" t="s">
        <v>7380</v>
      </c>
      <c r="Y10" s="1001"/>
      <c r="Z10" s="1001" t="s">
        <v>7381</v>
      </c>
      <c r="AA10" s="1105" t="s">
        <v>7382</v>
      </c>
      <c r="AB10" s="1001"/>
      <c r="AC10" s="1001" t="s">
        <v>7383</v>
      </c>
      <c r="AD10" s="1004" t="s">
        <v>1217</v>
      </c>
      <c r="AE10" s="1074"/>
      <c r="AF10" s="1074"/>
      <c r="AG10" s="1001" t="s">
        <v>7384</v>
      </c>
      <c r="AH10" s="1006"/>
      <c r="AI10" s="1034"/>
      <c r="AJ10" s="1008"/>
      <c r="AK10" s="1008"/>
      <c r="AL10" s="1008"/>
      <c r="AM10" s="1009" t="s">
        <v>6140</v>
      </c>
      <c r="AN10" s="1008"/>
      <c r="AO10" s="1038" t="s">
        <v>1990</v>
      </c>
      <c r="AP10" s="1063" t="s">
        <v>7385</v>
      </c>
      <c r="AQ10" s="1009" t="s">
        <v>7386</v>
      </c>
      <c r="AR10" s="1008"/>
      <c r="AS10" s="1008"/>
      <c r="AT10" s="1039"/>
      <c r="AU10" s="1008"/>
      <c r="AV10" s="1008"/>
      <c r="AW10" s="1009" t="s">
        <v>2930</v>
      </c>
      <c r="AX10" s="1008"/>
      <c r="AY10" s="1008"/>
      <c r="AZ10" s="995"/>
      <c r="BA10" s="1099"/>
      <c r="BB10" s="1099"/>
      <c r="BC10" s="1041" t="s">
        <v>6546</v>
      </c>
      <c r="BD10" s="1064"/>
      <c r="BE10" s="1065" t="s">
        <v>7387</v>
      </c>
      <c r="BF10" s="995"/>
      <c r="BG10" s="1043" t="s">
        <v>7388</v>
      </c>
      <c r="BH10" s="1043" t="s">
        <v>7111</v>
      </c>
      <c r="BI10" s="1019" t="s">
        <v>323</v>
      </c>
      <c r="BJ10" s="1078"/>
      <c r="BK10" s="1020"/>
      <c r="BL10" s="1020"/>
      <c r="BM10" s="1018" t="s">
        <v>7389</v>
      </c>
      <c r="BN10" s="1034"/>
      <c r="BO10" s="1025" t="s">
        <v>7390</v>
      </c>
      <c r="BP10" s="1045"/>
      <c r="BQ10" s="1023" t="s">
        <v>7391</v>
      </c>
      <c r="BR10" s="1022"/>
      <c r="BS10" s="1022"/>
      <c r="BT10" s="1069" t="s">
        <v>873</v>
      </c>
      <c r="BU10" s="1022"/>
      <c r="BV10" s="1023" t="s">
        <v>3989</v>
      </c>
      <c r="BW10" s="1023" t="s">
        <v>7392</v>
      </c>
      <c r="BX10" s="1034"/>
      <c r="BY10" s="1027" t="s">
        <v>970</v>
      </c>
      <c r="BZ10" s="1049" t="s">
        <v>7393</v>
      </c>
      <c r="CA10" s="1050"/>
      <c r="CB10" s="1050"/>
      <c r="CC10" s="1050"/>
      <c r="CD10" s="1028"/>
      <c r="CE10" s="1028"/>
      <c r="CF10" s="1028"/>
      <c r="CG10" s="1028"/>
      <c r="CH10" s="1028"/>
      <c r="CI10" s="1028"/>
      <c r="CJ10" s="1050"/>
      <c r="CK10" s="1050"/>
    </row>
    <row r="11">
      <c r="A11" s="1054" t="s">
        <v>327</v>
      </c>
      <c r="B11" s="986" t="s">
        <v>7394</v>
      </c>
      <c r="C11" s="987" t="s">
        <v>437</v>
      </c>
      <c r="D11" s="988" t="s">
        <v>1064</v>
      </c>
      <c r="E11" s="989" t="s">
        <v>436</v>
      </c>
      <c r="F11" s="990" t="s">
        <v>3834</v>
      </c>
      <c r="G11" s="986" t="s">
        <v>1504</v>
      </c>
      <c r="H11" s="1106" t="s">
        <v>2752</v>
      </c>
      <c r="I11" s="993" t="s">
        <v>7395</v>
      </c>
      <c r="J11" s="993" t="s">
        <v>7396</v>
      </c>
      <c r="K11" s="1085" t="s">
        <v>712</v>
      </c>
      <c r="L11" s="1107" t="s">
        <v>7397</v>
      </c>
      <c r="M11" s="991"/>
      <c r="N11" s="991"/>
      <c r="O11" s="1032" t="s">
        <v>7398</v>
      </c>
      <c r="P11" s="1034"/>
      <c r="Q11" s="1000" t="s">
        <v>7399</v>
      </c>
      <c r="R11" s="997"/>
      <c r="S11" s="997"/>
      <c r="T11" s="1057" t="s">
        <v>5249</v>
      </c>
      <c r="U11" s="996"/>
      <c r="V11" s="1072" t="s">
        <v>7400</v>
      </c>
      <c r="W11" s="1034"/>
      <c r="X11" s="1074"/>
      <c r="Y11" s="1060" t="s">
        <v>7401</v>
      </c>
      <c r="Z11" s="1094" t="s">
        <v>7397</v>
      </c>
      <c r="AA11" s="1094" t="s">
        <v>7402</v>
      </c>
      <c r="AB11" s="1004" t="s">
        <v>3417</v>
      </c>
      <c r="AC11" s="1060" t="s">
        <v>2722</v>
      </c>
      <c r="AD11" s="1036" t="s">
        <v>2419</v>
      </c>
      <c r="AE11" s="1002" t="s">
        <v>1251</v>
      </c>
      <c r="AF11" s="1061"/>
      <c r="AG11" s="1094" t="s">
        <v>7403</v>
      </c>
      <c r="AH11" s="1006"/>
      <c r="AI11" s="1034"/>
      <c r="AJ11" s="1108"/>
      <c r="AK11" s="1012" t="s">
        <v>7404</v>
      </c>
      <c r="AL11" s="1008"/>
      <c r="AM11" s="1109"/>
      <c r="AN11" s="1109" t="s">
        <v>7405</v>
      </c>
      <c r="AO11" s="1110" t="s">
        <v>4791</v>
      </c>
      <c r="AP11" s="1111" t="s">
        <v>7406</v>
      </c>
      <c r="AQ11" s="1111" t="s">
        <v>7407</v>
      </c>
      <c r="AR11" s="1112"/>
      <c r="AS11" s="1009" t="s">
        <v>7230</v>
      </c>
      <c r="AT11" s="1113"/>
      <c r="AU11" s="1097"/>
      <c r="AV11" s="1009" t="s">
        <v>7408</v>
      </c>
      <c r="AW11" s="1038" t="s">
        <v>7409</v>
      </c>
      <c r="AX11" s="1076" t="s">
        <v>7410</v>
      </c>
      <c r="AY11" s="1076" t="s">
        <v>7411</v>
      </c>
      <c r="AZ11" s="995"/>
      <c r="BA11" s="1013"/>
      <c r="BB11" s="1016" t="s">
        <v>7412</v>
      </c>
      <c r="BC11" s="1015" t="s">
        <v>3716</v>
      </c>
      <c r="BD11" s="1064"/>
      <c r="BE11" s="1100" t="s">
        <v>7413</v>
      </c>
      <c r="BF11" s="995"/>
      <c r="BG11" s="1019" t="s">
        <v>7414</v>
      </c>
      <c r="BH11" s="1066" t="s">
        <v>5351</v>
      </c>
      <c r="BI11" s="1018"/>
      <c r="BJ11" s="1114"/>
      <c r="BK11" s="1114" t="s">
        <v>7415</v>
      </c>
      <c r="BL11" s="1020"/>
      <c r="BM11" s="1114" t="s">
        <v>7416</v>
      </c>
      <c r="BN11" s="1034"/>
      <c r="BO11" s="1070" t="s">
        <v>7417</v>
      </c>
      <c r="BP11" s="1045"/>
      <c r="BQ11" s="1069" t="s">
        <v>694</v>
      </c>
      <c r="BR11" s="1080" t="s">
        <v>7418</v>
      </c>
      <c r="BS11" s="1022"/>
      <c r="BT11" s="1024" t="s">
        <v>2064</v>
      </c>
      <c r="BU11" s="1022"/>
      <c r="BV11" s="1045" t="s">
        <v>7419</v>
      </c>
      <c r="BW11" s="1115" t="s">
        <v>7420</v>
      </c>
      <c r="BX11" s="1037"/>
      <c r="BY11" s="1081" t="s">
        <v>4420</v>
      </c>
      <c r="BZ11" s="1028"/>
      <c r="CA11" s="1116"/>
      <c r="CB11" s="1049" t="s">
        <v>2783</v>
      </c>
      <c r="CC11" s="1117"/>
      <c r="CD11" s="1081" t="s">
        <v>1176</v>
      </c>
      <c r="CE11" s="1028"/>
      <c r="CF11" s="1081" t="s">
        <v>7421</v>
      </c>
      <c r="CG11" s="1028"/>
      <c r="CH11" s="1047" t="s">
        <v>4799</v>
      </c>
      <c r="CI11" s="1028"/>
      <c r="CJ11" s="1050"/>
      <c r="CK11" s="1050"/>
    </row>
    <row r="12">
      <c r="A12" s="985" t="s">
        <v>2398</v>
      </c>
      <c r="B12" s="986" t="s">
        <v>7422</v>
      </c>
      <c r="C12" s="987" t="s">
        <v>435</v>
      </c>
      <c r="D12" s="988" t="s">
        <v>437</v>
      </c>
      <c r="E12" s="989" t="s">
        <v>436</v>
      </c>
      <c r="F12" s="990" t="s">
        <v>2100</v>
      </c>
      <c r="G12" s="986" t="s">
        <v>2100</v>
      </c>
      <c r="H12" s="1055" t="s">
        <v>1210</v>
      </c>
      <c r="I12" s="1055" t="s">
        <v>7423</v>
      </c>
      <c r="J12" s="1085" t="s">
        <v>3654</v>
      </c>
      <c r="K12" s="1055" t="s">
        <v>1958</v>
      </c>
      <c r="L12" s="991"/>
      <c r="M12" s="991"/>
      <c r="N12" s="991"/>
      <c r="O12" s="1085" t="s">
        <v>7424</v>
      </c>
      <c r="P12" s="1034"/>
      <c r="Q12" s="1000" t="s">
        <v>7425</v>
      </c>
      <c r="R12" s="997"/>
      <c r="S12" s="1057" t="s">
        <v>7426</v>
      </c>
      <c r="T12" s="1000" t="s">
        <v>5180</v>
      </c>
      <c r="U12" s="1000" t="s">
        <v>7427</v>
      </c>
      <c r="V12" s="1000" t="s">
        <v>7428</v>
      </c>
      <c r="W12" s="1034"/>
      <c r="X12" s="1036" t="s">
        <v>2644</v>
      </c>
      <c r="Y12" s="1003" t="s">
        <v>7429</v>
      </c>
      <c r="Z12" s="1036" t="s">
        <v>7430</v>
      </c>
      <c r="AA12" s="1036" t="s">
        <v>7325</v>
      </c>
      <c r="AB12" s="1036" t="s">
        <v>6242</v>
      </c>
      <c r="AC12" s="1036" t="s">
        <v>7431</v>
      </c>
      <c r="AD12" s="1036" t="s">
        <v>1059</v>
      </c>
      <c r="AE12" s="1036" t="s">
        <v>7432</v>
      </c>
      <c r="AF12" s="1061"/>
      <c r="AG12" s="1036" t="s">
        <v>7433</v>
      </c>
      <c r="AH12" s="1006"/>
      <c r="AI12" s="1034"/>
      <c r="AJ12" s="1108"/>
      <c r="AK12" s="1063" t="s">
        <v>2084</v>
      </c>
      <c r="AL12" s="1008"/>
      <c r="AM12" s="1012" t="s">
        <v>4219</v>
      </c>
      <c r="AN12" s="1008"/>
      <c r="AO12" s="1008"/>
      <c r="AP12" s="1012" t="s">
        <v>3456</v>
      </c>
      <c r="AQ12" s="1008"/>
      <c r="AR12" s="1009" t="s">
        <v>7434</v>
      </c>
      <c r="AS12" s="1012" t="s">
        <v>7435</v>
      </c>
      <c r="AT12" s="1039"/>
      <c r="AU12" s="1038" t="s">
        <v>7436</v>
      </c>
      <c r="AV12" s="1008"/>
      <c r="AW12" s="1012" t="s">
        <v>5315</v>
      </c>
      <c r="AX12" s="1012" t="s">
        <v>4762</v>
      </c>
      <c r="AY12" s="1012" t="s">
        <v>7437</v>
      </c>
      <c r="AZ12" s="995"/>
      <c r="BA12" s="1015" t="s">
        <v>7438</v>
      </c>
      <c r="BB12" s="1015" t="s">
        <v>7439</v>
      </c>
      <c r="BC12" s="1015" t="s">
        <v>5239</v>
      </c>
      <c r="BD12" s="1064"/>
      <c r="BE12" s="1015" t="s">
        <v>7440</v>
      </c>
      <c r="BF12" s="995"/>
      <c r="BG12" s="1017" t="s">
        <v>7441</v>
      </c>
      <c r="BH12" s="1017" t="s">
        <v>3353</v>
      </c>
      <c r="BI12" s="1017" t="s">
        <v>2173</v>
      </c>
      <c r="BJ12" s="1118" t="s">
        <v>7442</v>
      </c>
      <c r="BK12" s="1017" t="s">
        <v>2875</v>
      </c>
      <c r="BL12" s="1020"/>
      <c r="BM12" s="1017" t="s">
        <v>7443</v>
      </c>
      <c r="BN12" s="1034"/>
      <c r="BO12" s="1022"/>
      <c r="BP12" s="1045"/>
      <c r="BQ12" s="1024" t="s">
        <v>2626</v>
      </c>
      <c r="BR12" s="1024" t="s">
        <v>7444</v>
      </c>
      <c r="BS12" s="1022"/>
      <c r="BT12" s="1024" t="s">
        <v>171</v>
      </c>
      <c r="BU12" s="1022"/>
      <c r="BV12" s="1024" t="s">
        <v>7445</v>
      </c>
      <c r="BW12" s="1024" t="s">
        <v>6050</v>
      </c>
      <c r="BX12" s="1034"/>
      <c r="BY12" s="1053" t="s">
        <v>7272</v>
      </c>
      <c r="BZ12" s="1053" t="s">
        <v>2648</v>
      </c>
      <c r="CA12" s="1119" t="s">
        <v>7446</v>
      </c>
      <c r="CB12" s="1050"/>
      <c r="CC12" s="1050"/>
      <c r="CD12" s="1047" t="s">
        <v>4372</v>
      </c>
      <c r="CE12" s="1053" t="s">
        <v>7447</v>
      </c>
      <c r="CF12" s="1053" t="s">
        <v>2961</v>
      </c>
      <c r="CG12" s="1082" t="s">
        <v>7448</v>
      </c>
      <c r="CH12" s="1028"/>
      <c r="CI12" s="1047" t="s">
        <v>4757</v>
      </c>
      <c r="CJ12" s="1050"/>
      <c r="CK12" s="1050"/>
    </row>
    <row r="13">
      <c r="A13" s="985" t="s">
        <v>1952</v>
      </c>
      <c r="B13" s="986" t="s">
        <v>7449</v>
      </c>
      <c r="C13" s="987" t="s">
        <v>1262</v>
      </c>
      <c r="D13" s="988" t="s">
        <v>437</v>
      </c>
      <c r="E13" s="989" t="s">
        <v>329</v>
      </c>
      <c r="F13" s="990" t="s">
        <v>2692</v>
      </c>
      <c r="G13" s="986" t="s">
        <v>5784</v>
      </c>
      <c r="H13" s="991"/>
      <c r="I13" s="992" t="s">
        <v>7450</v>
      </c>
      <c r="J13" s="992"/>
      <c r="K13" s="1055" t="s">
        <v>1696</v>
      </c>
      <c r="L13" s="992"/>
      <c r="M13" s="992"/>
      <c r="N13" s="991"/>
      <c r="O13" s="1055" t="s">
        <v>7451</v>
      </c>
      <c r="P13" s="1034"/>
      <c r="Q13" s="997"/>
      <c r="R13" s="999"/>
      <c r="S13" s="1000" t="s">
        <v>7452</v>
      </c>
      <c r="T13" s="997"/>
      <c r="U13" s="997"/>
      <c r="V13" s="1000" t="s">
        <v>7453</v>
      </c>
      <c r="W13" s="1034"/>
      <c r="X13" s="1004" t="s">
        <v>1378</v>
      </c>
      <c r="Y13" s="1074"/>
      <c r="Z13" s="1001" t="s">
        <v>7454</v>
      </c>
      <c r="AA13" s="1036" t="s">
        <v>7455</v>
      </c>
      <c r="AB13" s="1001" t="s">
        <v>3652</v>
      </c>
      <c r="AC13" s="1036" t="s">
        <v>1976</v>
      </c>
      <c r="AD13" s="1001" t="s">
        <v>4123</v>
      </c>
      <c r="AE13" s="1001" t="s">
        <v>7456</v>
      </c>
      <c r="AF13" s="1001"/>
      <c r="AG13" s="1036" t="s">
        <v>7457</v>
      </c>
      <c r="AH13" s="1006"/>
      <c r="AI13" s="1034"/>
      <c r="AJ13" s="1008"/>
      <c r="AK13" s="1008"/>
      <c r="AL13" s="1008"/>
      <c r="AM13" s="1063" t="s">
        <v>1422</v>
      </c>
      <c r="AN13" s="1008"/>
      <c r="AO13" s="1008"/>
      <c r="AP13" s="1007" t="s">
        <v>7458</v>
      </c>
      <c r="AQ13" s="1008"/>
      <c r="AR13" s="1008"/>
      <c r="AS13" s="1008"/>
      <c r="AT13" s="1039"/>
      <c r="AU13" s="1008"/>
      <c r="AV13" s="1008"/>
      <c r="AW13" s="1008"/>
      <c r="AX13" s="1012" t="s">
        <v>7459</v>
      </c>
      <c r="AY13" s="1007" t="s">
        <v>7460</v>
      </c>
      <c r="AZ13" s="995"/>
      <c r="BA13" s="1065"/>
      <c r="BB13" s="1065"/>
      <c r="BC13" s="1015" t="s">
        <v>3269</v>
      </c>
      <c r="BD13" s="1013"/>
      <c r="BE13" s="1065" t="s">
        <v>7461</v>
      </c>
      <c r="BF13" s="995"/>
      <c r="BG13" s="1018" t="s">
        <v>6003</v>
      </c>
      <c r="BH13" s="1019" t="s">
        <v>7133</v>
      </c>
      <c r="BI13" s="1020"/>
      <c r="BJ13" s="1078"/>
      <c r="BK13" s="1066" t="s">
        <v>7462</v>
      </c>
      <c r="BL13" s="1020"/>
      <c r="BM13" s="1017" t="s">
        <v>7463</v>
      </c>
      <c r="BN13" s="1034"/>
      <c r="BO13" s="1023" t="s">
        <v>7464</v>
      </c>
      <c r="BP13" s="1080"/>
      <c r="BQ13" s="1023"/>
      <c r="BR13" s="1069" t="s">
        <v>7465</v>
      </c>
      <c r="BS13" s="1023"/>
      <c r="BT13" s="1024" t="s">
        <v>1407</v>
      </c>
      <c r="BU13" s="1022"/>
      <c r="BV13" s="1070" t="s">
        <v>7466</v>
      </c>
      <c r="BW13" s="1024" t="s">
        <v>7467</v>
      </c>
      <c r="BX13" s="1034"/>
      <c r="BY13" s="1082" t="s">
        <v>461</v>
      </c>
      <c r="BZ13" s="1028"/>
      <c r="CA13" s="1050"/>
      <c r="CB13" s="1050"/>
      <c r="CC13" s="1050"/>
      <c r="CD13" s="1028"/>
      <c r="CE13" s="1028"/>
      <c r="CF13" s="1027" t="s">
        <v>4605</v>
      </c>
      <c r="CG13" s="1028"/>
      <c r="CH13" s="1028"/>
      <c r="CI13" s="1028"/>
      <c r="CJ13" s="1050"/>
      <c r="CK13" s="1050"/>
    </row>
    <row r="14">
      <c r="A14" s="985" t="s">
        <v>6480</v>
      </c>
      <c r="B14" s="986" t="s">
        <v>7468</v>
      </c>
      <c r="C14" s="987" t="s">
        <v>1262</v>
      </c>
      <c r="D14" s="988" t="s">
        <v>435</v>
      </c>
      <c r="E14" s="989" t="s">
        <v>435</v>
      </c>
      <c r="F14" s="990" t="s">
        <v>5537</v>
      </c>
      <c r="G14" s="986" t="s">
        <v>1725</v>
      </c>
      <c r="H14" s="1055" t="s">
        <v>2119</v>
      </c>
      <c r="I14" s="1055" t="s">
        <v>7469</v>
      </c>
      <c r="J14" s="991"/>
      <c r="K14" s="991"/>
      <c r="L14" s="1055" t="s">
        <v>3308</v>
      </c>
      <c r="M14" s="991"/>
      <c r="N14" s="1055" t="s">
        <v>7470</v>
      </c>
      <c r="O14" s="991"/>
      <c r="P14" s="1034"/>
      <c r="Q14" s="1000" t="s">
        <v>243</v>
      </c>
      <c r="R14" s="997"/>
      <c r="S14" s="1000" t="s">
        <v>7359</v>
      </c>
      <c r="T14" s="1000" t="s">
        <v>3669</v>
      </c>
      <c r="U14" s="997"/>
      <c r="V14" s="1000" t="s">
        <v>7471</v>
      </c>
      <c r="W14" s="1034"/>
      <c r="X14" s="1036" t="s">
        <v>270</v>
      </c>
      <c r="Y14" s="1036" t="s">
        <v>7472</v>
      </c>
      <c r="Z14" s="1036" t="s">
        <v>2364</v>
      </c>
      <c r="AA14" s="1073" t="s">
        <v>7473</v>
      </c>
      <c r="AB14" s="1036" t="s">
        <v>7474</v>
      </c>
      <c r="AC14" s="1036" t="s">
        <v>1671</v>
      </c>
      <c r="AD14" s="1036" t="s">
        <v>5464</v>
      </c>
      <c r="AE14" s="1036" t="s">
        <v>7475</v>
      </c>
      <c r="AF14" s="1005"/>
      <c r="AG14" s="1001" t="s">
        <v>7476</v>
      </c>
      <c r="AH14" s="1006"/>
      <c r="AI14" s="1034"/>
      <c r="AJ14" s="1088"/>
      <c r="AK14" s="1012" t="s">
        <v>7477</v>
      </c>
      <c r="AL14" s="1012" t="s">
        <v>7478</v>
      </c>
      <c r="AM14" s="1012" t="s">
        <v>1215</v>
      </c>
      <c r="AN14" s="1007"/>
      <c r="AO14" s="1008"/>
      <c r="AP14" s="1012" t="s">
        <v>4000</v>
      </c>
      <c r="AQ14" s="1008"/>
      <c r="AR14" s="1012" t="s">
        <v>7479</v>
      </c>
      <c r="AS14" s="1063" t="s">
        <v>7480</v>
      </c>
      <c r="AT14" s="1038" t="s">
        <v>7481</v>
      </c>
      <c r="AU14" s="1063" t="s">
        <v>7482</v>
      </c>
      <c r="AV14" s="1008"/>
      <c r="AW14" s="1012" t="s">
        <v>367</v>
      </c>
      <c r="AX14" s="1012" t="s">
        <v>7483</v>
      </c>
      <c r="AY14" s="1012" t="s">
        <v>7484</v>
      </c>
      <c r="AZ14" s="995"/>
      <c r="BA14" s="1099"/>
      <c r="BB14" s="1015" t="s">
        <v>7485</v>
      </c>
      <c r="BC14" s="1015" t="s">
        <v>7486</v>
      </c>
      <c r="BD14" s="1013"/>
      <c r="BE14" s="1015" t="s">
        <v>7487</v>
      </c>
      <c r="BF14" s="995"/>
      <c r="BG14" s="1018" t="s">
        <v>4015</v>
      </c>
      <c r="BH14" s="1018" t="s">
        <v>4604</v>
      </c>
      <c r="BI14" s="1066" t="s">
        <v>1592</v>
      </c>
      <c r="BJ14" s="1078"/>
      <c r="BK14" s="1018" t="s">
        <v>4339</v>
      </c>
      <c r="BL14" s="1020"/>
      <c r="BM14" s="1018" t="s">
        <v>7488</v>
      </c>
      <c r="BN14" s="1034"/>
      <c r="BO14" s="1024" t="s">
        <v>3413</v>
      </c>
      <c r="BP14" s="1045"/>
      <c r="BQ14" s="1022"/>
      <c r="BR14" s="1022"/>
      <c r="BS14" s="1022"/>
      <c r="BT14" s="1024" t="s">
        <v>847</v>
      </c>
      <c r="BU14" s="1022"/>
      <c r="BV14" s="1023" t="s">
        <v>7489</v>
      </c>
      <c r="BW14" s="1023" t="s">
        <v>7490</v>
      </c>
      <c r="BX14" s="1034"/>
      <c r="BY14" s="1053" t="s">
        <v>1618</v>
      </c>
      <c r="BZ14" s="1027"/>
      <c r="CA14" s="1050"/>
      <c r="CB14" s="1050"/>
      <c r="CC14" s="1050"/>
      <c r="CD14" s="1028"/>
      <c r="CE14" s="1027" t="s">
        <v>7491</v>
      </c>
      <c r="CF14" s="1028"/>
      <c r="CG14" s="1028"/>
      <c r="CH14" s="1028"/>
      <c r="CI14" s="1028"/>
      <c r="CJ14" s="1050"/>
      <c r="CK14" s="1050"/>
    </row>
    <row r="15">
      <c r="A15" s="1120" t="s">
        <v>1723</v>
      </c>
      <c r="B15" s="986" t="s">
        <v>7492</v>
      </c>
      <c r="C15" s="987" t="s">
        <v>1262</v>
      </c>
      <c r="D15" s="988" t="s">
        <v>435</v>
      </c>
      <c r="E15" s="989" t="s">
        <v>544</v>
      </c>
      <c r="F15" s="990" t="s">
        <v>3311</v>
      </c>
      <c r="G15" s="986" t="s">
        <v>2225</v>
      </c>
      <c r="H15" s="1055" t="s">
        <v>2352</v>
      </c>
      <c r="I15" s="1121" t="s">
        <v>7493</v>
      </c>
      <c r="J15" s="992" t="s">
        <v>1303</v>
      </c>
      <c r="K15" s="992" t="s">
        <v>7494</v>
      </c>
      <c r="L15" s="992" t="s">
        <v>2143</v>
      </c>
      <c r="M15" s="991"/>
      <c r="N15" s="992" t="s">
        <v>7495</v>
      </c>
      <c r="O15" s="992" t="s">
        <v>7496</v>
      </c>
      <c r="P15" s="1034"/>
      <c r="Q15" s="996" t="s">
        <v>7497</v>
      </c>
      <c r="R15" s="996" t="s">
        <v>2397</v>
      </c>
      <c r="S15" s="996" t="s">
        <v>7498</v>
      </c>
      <c r="T15" s="996" t="s">
        <v>5614</v>
      </c>
      <c r="U15" s="996" t="s">
        <v>7499</v>
      </c>
      <c r="V15" s="996" t="s">
        <v>7500</v>
      </c>
      <c r="W15" s="1034"/>
      <c r="X15" s="1001" t="s">
        <v>3840</v>
      </c>
      <c r="Y15" s="1001" t="s">
        <v>7501</v>
      </c>
      <c r="Z15" s="1060" t="s">
        <v>7502</v>
      </c>
      <c r="AA15" s="1122" t="s">
        <v>7503</v>
      </c>
      <c r="AB15" s="1001" t="s">
        <v>7504</v>
      </c>
      <c r="AC15" s="1001" t="s">
        <v>7505</v>
      </c>
      <c r="AD15" s="1073" t="s">
        <v>1702</v>
      </c>
      <c r="AE15" s="1036" t="s">
        <v>5390</v>
      </c>
      <c r="AF15" s="1001" t="s">
        <v>2911</v>
      </c>
      <c r="AG15" s="1001" t="s">
        <v>7506</v>
      </c>
      <c r="AH15" s="1123" t="s">
        <v>7507</v>
      </c>
      <c r="AI15" s="1034"/>
      <c r="AJ15" s="1088"/>
      <c r="AK15" s="1012" t="s">
        <v>7508</v>
      </c>
      <c r="AL15" s="1007"/>
      <c r="AM15" s="1007" t="s">
        <v>3407</v>
      </c>
      <c r="AN15" s="1012" t="s">
        <v>1644</v>
      </c>
      <c r="AO15" s="1007" t="s">
        <v>4056</v>
      </c>
      <c r="AP15" s="1010" t="s">
        <v>7509</v>
      </c>
      <c r="AQ15" s="1007" t="s">
        <v>7510</v>
      </c>
      <c r="AR15" s="1063" t="s">
        <v>7511</v>
      </c>
      <c r="AS15" s="1007" t="s">
        <v>7512</v>
      </c>
      <c r="AT15" s="1076"/>
      <c r="AU15" s="1007"/>
      <c r="AV15" s="1007"/>
      <c r="AW15" s="1010" t="s">
        <v>303</v>
      </c>
      <c r="AX15" s="1076" t="s">
        <v>7513</v>
      </c>
      <c r="AY15" s="1007" t="s">
        <v>7514</v>
      </c>
      <c r="AZ15" s="995"/>
      <c r="BA15" s="1065" t="s">
        <v>7515</v>
      </c>
      <c r="BB15" s="1065" t="s">
        <v>7516</v>
      </c>
      <c r="BC15" s="1065" t="s">
        <v>4199</v>
      </c>
      <c r="BD15" s="1065"/>
      <c r="BE15" s="1124" t="s">
        <v>7517</v>
      </c>
      <c r="BF15" s="995"/>
      <c r="BG15" s="1018" t="s">
        <v>7518</v>
      </c>
      <c r="BH15" s="1018" t="s">
        <v>5105</v>
      </c>
      <c r="BI15" s="1017" t="s">
        <v>2072</v>
      </c>
      <c r="BJ15" s="1043" t="s">
        <v>7519</v>
      </c>
      <c r="BK15" s="1079" t="s">
        <v>7520</v>
      </c>
      <c r="BL15" s="1018"/>
      <c r="BM15" s="1018" t="s">
        <v>7521</v>
      </c>
      <c r="BN15" s="1034"/>
      <c r="BO15" s="1024" t="s">
        <v>7522</v>
      </c>
      <c r="BP15" s="1080"/>
      <c r="BQ15" s="1125" t="s">
        <v>4717</v>
      </c>
      <c r="BR15" s="1023" t="s">
        <v>7523</v>
      </c>
      <c r="BS15" s="1023"/>
      <c r="BT15" s="1046" t="s">
        <v>7524</v>
      </c>
      <c r="BU15" s="1080" t="s">
        <v>4735</v>
      </c>
      <c r="BV15" s="1023" t="s">
        <v>7525</v>
      </c>
      <c r="BW15" s="1023" t="s">
        <v>7526</v>
      </c>
      <c r="BX15" s="1034"/>
      <c r="BY15" s="1027" t="s">
        <v>2512</v>
      </c>
      <c r="BZ15" s="1027" t="s">
        <v>2067</v>
      </c>
      <c r="CA15" s="1050"/>
      <c r="CB15" s="1050"/>
      <c r="CC15" s="1050"/>
      <c r="CD15" s="1027"/>
      <c r="CE15" s="1027" t="s">
        <v>7527</v>
      </c>
      <c r="CF15" s="1027" t="s">
        <v>7528</v>
      </c>
      <c r="CG15" s="1027"/>
      <c r="CH15" s="1082" t="s">
        <v>7529</v>
      </c>
      <c r="CI15" s="1028"/>
      <c r="CJ15" s="1050"/>
      <c r="CK15" s="1050"/>
    </row>
    <row r="16">
      <c r="A16" s="985" t="s">
        <v>7530</v>
      </c>
      <c r="B16" s="986" t="s">
        <v>7531</v>
      </c>
      <c r="C16" s="987" t="s">
        <v>1262</v>
      </c>
      <c r="D16" s="988" t="s">
        <v>1262</v>
      </c>
      <c r="E16" s="989" t="s">
        <v>1262</v>
      </c>
      <c r="F16" s="990" t="s">
        <v>1262</v>
      </c>
      <c r="G16" s="986" t="s">
        <v>3277</v>
      </c>
      <c r="H16" s="991"/>
      <c r="I16" s="1032" t="s">
        <v>2947</v>
      </c>
      <c r="J16" s="992"/>
      <c r="K16" s="991"/>
      <c r="L16" s="991"/>
      <c r="M16" s="991"/>
      <c r="N16" s="991"/>
      <c r="O16" s="992" t="s">
        <v>7532</v>
      </c>
      <c r="P16" s="1034"/>
      <c r="Q16" s="1072" t="s">
        <v>1490</v>
      </c>
      <c r="R16" s="997"/>
      <c r="S16" s="997"/>
      <c r="T16" s="1072" t="s">
        <v>1120</v>
      </c>
      <c r="U16" s="996"/>
      <c r="V16" s="996" t="s">
        <v>7533</v>
      </c>
      <c r="W16" s="1034"/>
      <c r="X16" s="1094" t="s">
        <v>7534</v>
      </c>
      <c r="Y16" s="1001" t="s">
        <v>7535</v>
      </c>
      <c r="Z16" s="1094" t="s">
        <v>7397</v>
      </c>
      <c r="AA16" s="1060" t="s">
        <v>6513</v>
      </c>
      <c r="AB16" s="1060" t="s">
        <v>1651</v>
      </c>
      <c r="AC16" s="1060" t="s">
        <v>3540</v>
      </c>
      <c r="AD16" s="1094" t="s">
        <v>199</v>
      </c>
      <c r="AE16" s="1060" t="s">
        <v>4616</v>
      </c>
      <c r="AF16" s="1001"/>
      <c r="AG16" s="1060" t="s">
        <v>7536</v>
      </c>
      <c r="AH16" s="1006"/>
      <c r="AI16" s="1034"/>
      <c r="AJ16" s="1008"/>
      <c r="AK16" s="1039" t="s">
        <v>5570</v>
      </c>
      <c r="AL16" s="1076" t="s">
        <v>7537</v>
      </c>
      <c r="AM16" s="1039" t="s">
        <v>7538</v>
      </c>
      <c r="AN16" s="1008"/>
      <c r="AO16" s="1076" t="s">
        <v>978</v>
      </c>
      <c r="AP16" s="1039" t="s">
        <v>1571</v>
      </c>
      <c r="AQ16" s="1076" t="s">
        <v>7539</v>
      </c>
      <c r="AR16" s="1076" t="s">
        <v>7540</v>
      </c>
      <c r="AS16" s="1008"/>
      <c r="AT16" s="1039"/>
      <c r="AU16" s="1008"/>
      <c r="AV16" s="1008"/>
      <c r="AW16" s="1039" t="s">
        <v>1253</v>
      </c>
      <c r="AX16" s="1076" t="s">
        <v>7541</v>
      </c>
      <c r="AY16" s="1076" t="s">
        <v>7542</v>
      </c>
      <c r="AZ16" s="995"/>
      <c r="BA16" s="1065"/>
      <c r="BB16" s="1124" t="s">
        <v>7543</v>
      </c>
      <c r="BC16" s="1099"/>
      <c r="BD16" s="1099"/>
      <c r="BE16" s="1124" t="s">
        <v>7544</v>
      </c>
      <c r="BF16" s="995"/>
      <c r="BG16" s="1114" t="s">
        <v>7545</v>
      </c>
      <c r="BH16" s="1114" t="s">
        <v>2126</v>
      </c>
      <c r="BI16" s="1020"/>
      <c r="BJ16" s="1078"/>
      <c r="BK16" s="1020"/>
      <c r="BL16" s="1020"/>
      <c r="BM16" s="1018" t="s">
        <v>7546</v>
      </c>
      <c r="BN16" s="1034"/>
      <c r="BO16" s="1080" t="s">
        <v>1960</v>
      </c>
      <c r="BP16" s="1045"/>
      <c r="BQ16" s="1022"/>
      <c r="BR16" s="1080" t="s">
        <v>7547</v>
      </c>
      <c r="BS16" s="1022"/>
      <c r="BT16" s="1080" t="s">
        <v>3111</v>
      </c>
      <c r="BU16" s="1022"/>
      <c r="BV16" s="1080" t="s">
        <v>7548</v>
      </c>
      <c r="BW16" s="1080" t="s">
        <v>7549</v>
      </c>
      <c r="BX16" s="1034"/>
      <c r="BY16" s="1081" t="s">
        <v>3605</v>
      </c>
      <c r="BZ16" s="1028"/>
      <c r="CA16" s="1050"/>
      <c r="CB16" s="1050"/>
      <c r="CC16" s="1050"/>
      <c r="CD16" s="1028"/>
      <c r="CE16" s="1028"/>
      <c r="CF16" s="1028"/>
      <c r="CG16" s="1028"/>
      <c r="CH16" s="1028"/>
      <c r="CI16" s="1028"/>
      <c r="CJ16" s="1050"/>
      <c r="CK16" s="1050"/>
    </row>
    <row r="17">
      <c r="A17" s="985" t="s">
        <v>7550</v>
      </c>
      <c r="B17" s="986" t="s">
        <v>7551</v>
      </c>
      <c r="C17" s="987" t="s">
        <v>1262</v>
      </c>
      <c r="D17" s="988" t="s">
        <v>1262</v>
      </c>
      <c r="E17" s="989" t="s">
        <v>1262</v>
      </c>
      <c r="F17" s="990" t="s">
        <v>1064</v>
      </c>
      <c r="G17" s="986" t="s">
        <v>5669</v>
      </c>
      <c r="H17" s="991"/>
      <c r="I17" s="991"/>
      <c r="J17" s="992" t="s">
        <v>7552</v>
      </c>
      <c r="K17" s="992" t="s">
        <v>7553</v>
      </c>
      <c r="L17" s="1055" t="s">
        <v>7554</v>
      </c>
      <c r="M17" s="991"/>
      <c r="N17" s="1032" t="s">
        <v>7555</v>
      </c>
      <c r="O17" s="992" t="s">
        <v>7556</v>
      </c>
      <c r="P17" s="1034"/>
      <c r="Q17" s="1072" t="s">
        <v>725</v>
      </c>
      <c r="R17" s="997"/>
      <c r="S17" s="997"/>
      <c r="T17" s="997"/>
      <c r="U17" s="996"/>
      <c r="V17" s="1000" t="s">
        <v>7476</v>
      </c>
      <c r="W17" s="1034"/>
      <c r="X17" s="1074"/>
      <c r="Y17" s="1036" t="s">
        <v>7557</v>
      </c>
      <c r="Z17" s="1060" t="s">
        <v>2425</v>
      </c>
      <c r="AA17" s="1126"/>
      <c r="AB17" s="1074"/>
      <c r="AC17" s="1060" t="s">
        <v>815</v>
      </c>
      <c r="AD17" s="1060" t="s">
        <v>5634</v>
      </c>
      <c r="AE17" s="1060" t="s">
        <v>6816</v>
      </c>
      <c r="AF17" s="1001"/>
      <c r="AG17" s="1060" t="s">
        <v>7558</v>
      </c>
      <c r="AH17" s="1006"/>
      <c r="AI17" s="1034"/>
      <c r="AJ17" s="1007"/>
      <c r="AK17" s="1076" t="s">
        <v>1475</v>
      </c>
      <c r="AL17" s="1008"/>
      <c r="AM17" s="1008"/>
      <c r="AN17" s="1008"/>
      <c r="AO17" s="1008"/>
      <c r="AP17" s="1076" t="s">
        <v>7559</v>
      </c>
      <c r="AQ17" s="1008"/>
      <c r="AR17" s="1008"/>
      <c r="AS17" s="1008"/>
      <c r="AT17" s="1039"/>
      <c r="AU17" s="1008"/>
      <c r="AV17" s="1008"/>
      <c r="AW17" s="1012" t="s">
        <v>6056</v>
      </c>
      <c r="AX17" s="1007" t="s">
        <v>7560</v>
      </c>
      <c r="AY17" s="1007" t="s">
        <v>6178</v>
      </c>
      <c r="AZ17" s="995"/>
      <c r="BA17" s="1065" t="s">
        <v>7561</v>
      </c>
      <c r="BB17" s="1124" t="s">
        <v>7562</v>
      </c>
      <c r="BC17" s="1015" t="s">
        <v>509</v>
      </c>
      <c r="BD17" s="1013"/>
      <c r="BE17" s="1124" t="s">
        <v>7563</v>
      </c>
      <c r="BF17" s="995"/>
      <c r="BG17" s="1018" t="s">
        <v>2792</v>
      </c>
      <c r="BH17" s="1114" t="s">
        <v>7564</v>
      </c>
      <c r="BI17" s="1018"/>
      <c r="BJ17" s="1114"/>
      <c r="BK17" s="1020"/>
      <c r="BL17" s="1020"/>
      <c r="BM17" s="1017" t="s">
        <v>7565</v>
      </c>
      <c r="BN17" s="1034"/>
      <c r="BO17" s="1080" t="s">
        <v>2895</v>
      </c>
      <c r="BP17" s="1045"/>
      <c r="BQ17" s="1022"/>
      <c r="BR17" s="1023" t="s">
        <v>7566</v>
      </c>
      <c r="BS17" s="1022"/>
      <c r="BT17" s="1080" t="s">
        <v>2321</v>
      </c>
      <c r="BU17" s="1022"/>
      <c r="BV17" s="1023" t="s">
        <v>249</v>
      </c>
      <c r="BW17" s="1023" t="s">
        <v>1580</v>
      </c>
      <c r="BX17" s="1034"/>
      <c r="BY17" s="1027" t="s">
        <v>4191</v>
      </c>
      <c r="BZ17" s="1053" t="s">
        <v>5894</v>
      </c>
      <c r="CA17" s="1050"/>
      <c r="CB17" s="1050"/>
      <c r="CC17" s="1050"/>
      <c r="CD17" s="1028"/>
      <c r="CE17" s="1027" t="s">
        <v>5725</v>
      </c>
      <c r="CF17" s="1081" t="s">
        <v>7567</v>
      </c>
      <c r="CG17" s="1028"/>
      <c r="CH17" s="1028"/>
      <c r="CI17" s="1027" t="s">
        <v>7568</v>
      </c>
      <c r="CJ17" s="1050"/>
      <c r="CK17" s="1050"/>
    </row>
    <row r="18">
      <c r="A18" s="985" t="s">
        <v>1806</v>
      </c>
      <c r="B18" s="986" t="s">
        <v>6174</v>
      </c>
      <c r="C18" s="987" t="s">
        <v>1262</v>
      </c>
      <c r="D18" s="988" t="s">
        <v>1262</v>
      </c>
      <c r="E18" s="989" t="s">
        <v>1262</v>
      </c>
      <c r="F18" s="990" t="s">
        <v>1262</v>
      </c>
      <c r="G18" s="986" t="s">
        <v>5669</v>
      </c>
      <c r="H18" s="991"/>
      <c r="I18" s="992" t="s">
        <v>2622</v>
      </c>
      <c r="J18" s="992" t="s">
        <v>3643</v>
      </c>
      <c r="K18" s="992" t="s">
        <v>7569</v>
      </c>
      <c r="L18" s="1032" t="s">
        <v>7570</v>
      </c>
      <c r="M18" s="991"/>
      <c r="N18" s="1032" t="s">
        <v>7571</v>
      </c>
      <c r="O18" s="992" t="s">
        <v>7572</v>
      </c>
      <c r="P18" s="1034"/>
      <c r="Q18" s="1072" t="s">
        <v>2900</v>
      </c>
      <c r="R18" s="997"/>
      <c r="S18" s="997"/>
      <c r="T18" s="1072" t="s">
        <v>4968</v>
      </c>
      <c r="U18" s="996"/>
      <c r="V18" s="1072" t="s">
        <v>7573</v>
      </c>
      <c r="W18" s="1034"/>
      <c r="X18" s="1060" t="s">
        <v>4048</v>
      </c>
      <c r="Y18" s="1060" t="s">
        <v>7574</v>
      </c>
      <c r="Z18" s="1060" t="s">
        <v>7575</v>
      </c>
      <c r="AA18" s="1060" t="s">
        <v>3023</v>
      </c>
      <c r="AB18" s="1060" t="s">
        <v>4678</v>
      </c>
      <c r="AC18" s="1001" t="s">
        <v>7576</v>
      </c>
      <c r="AD18" s="1060" t="s">
        <v>4603</v>
      </c>
      <c r="AE18" s="1060" t="s">
        <v>4838</v>
      </c>
      <c r="AF18" s="1001"/>
      <c r="AG18" s="1001" t="s">
        <v>7577</v>
      </c>
      <c r="AH18" s="1127" t="s">
        <v>7578</v>
      </c>
      <c r="AI18" s="1034"/>
      <c r="AJ18" s="1008"/>
      <c r="AK18" s="1008"/>
      <c r="AL18" s="1008"/>
      <c r="AM18" s="1007" t="s">
        <v>170</v>
      </c>
      <c r="AN18" s="1008"/>
      <c r="AO18" s="1076" t="s">
        <v>4311</v>
      </c>
      <c r="AP18" s="1007" t="s">
        <v>3327</v>
      </c>
      <c r="AQ18" s="1076" t="s">
        <v>7579</v>
      </c>
      <c r="AR18" s="1008"/>
      <c r="AS18" s="1008"/>
      <c r="AT18" s="1039"/>
      <c r="AU18" s="1008"/>
      <c r="AV18" s="1008"/>
      <c r="AW18" s="1076" t="s">
        <v>1011</v>
      </c>
      <c r="AX18" s="1076" t="s">
        <v>4828</v>
      </c>
      <c r="AY18" s="1008"/>
      <c r="AZ18" s="995"/>
      <c r="BA18" s="1099"/>
      <c r="BB18" s="1099"/>
      <c r="BC18" s="1124" t="s">
        <v>6705</v>
      </c>
      <c r="BD18" s="1065"/>
      <c r="BE18" s="1065" t="s">
        <v>7580</v>
      </c>
      <c r="BF18" s="995"/>
      <c r="BG18" s="1114" t="s">
        <v>1208</v>
      </c>
      <c r="BH18" s="1114" t="s">
        <v>2126</v>
      </c>
      <c r="BI18" s="1020"/>
      <c r="BJ18" s="1078"/>
      <c r="BK18" s="1018" t="s">
        <v>7581</v>
      </c>
      <c r="BL18" s="1020"/>
      <c r="BM18" s="1114" t="s">
        <v>7582</v>
      </c>
      <c r="BN18" s="1034"/>
      <c r="BO18" s="1080" t="s">
        <v>7583</v>
      </c>
      <c r="BP18" s="1045"/>
      <c r="BQ18" s="1022"/>
      <c r="BR18" s="1022"/>
      <c r="BS18" s="1022"/>
      <c r="BT18" s="1080" t="s">
        <v>2960</v>
      </c>
      <c r="BU18" s="1022"/>
      <c r="BV18" s="1022"/>
      <c r="BW18" s="1045" t="s">
        <v>7584</v>
      </c>
      <c r="BX18" s="1034"/>
      <c r="BY18" s="1027" t="s">
        <v>2988</v>
      </c>
      <c r="BZ18" s="1028"/>
      <c r="CA18" s="1050"/>
      <c r="CB18" s="1050"/>
      <c r="CC18" s="1050"/>
      <c r="CD18" s="1028"/>
      <c r="CE18" s="1028"/>
      <c r="CF18" s="1028"/>
      <c r="CG18" s="1028"/>
      <c r="CH18" s="1028"/>
      <c r="CI18" s="1028"/>
      <c r="CJ18" s="1050"/>
      <c r="CK18" s="1050"/>
    </row>
    <row r="19">
      <c r="A19" s="985" t="s">
        <v>6489</v>
      </c>
      <c r="B19" s="986" t="s">
        <v>7585</v>
      </c>
      <c r="C19" s="987" t="s">
        <v>1262</v>
      </c>
      <c r="D19" s="988" t="s">
        <v>544</v>
      </c>
      <c r="E19" s="989" t="s">
        <v>1262</v>
      </c>
      <c r="F19" s="990" t="s">
        <v>544</v>
      </c>
      <c r="G19" s="986" t="s">
        <v>5784</v>
      </c>
      <c r="H19" s="991"/>
      <c r="I19" s="991"/>
      <c r="J19" s="992" t="s">
        <v>7586</v>
      </c>
      <c r="K19" s="992" t="s">
        <v>7587</v>
      </c>
      <c r="L19" s="991"/>
      <c r="M19" s="991"/>
      <c r="N19" s="991"/>
      <c r="O19" s="1032" t="s">
        <v>7588</v>
      </c>
      <c r="P19" s="1034"/>
      <c r="Q19" s="996" t="s">
        <v>7589</v>
      </c>
      <c r="R19" s="997"/>
      <c r="S19" s="996" t="s">
        <v>5727</v>
      </c>
      <c r="T19" s="996" t="s">
        <v>5081</v>
      </c>
      <c r="U19" s="996" t="s">
        <v>7590</v>
      </c>
      <c r="V19" s="1072" t="s">
        <v>7591</v>
      </c>
      <c r="W19" s="1034"/>
      <c r="X19" s="1074"/>
      <c r="Y19" s="1074"/>
      <c r="Z19" s="1001" t="s">
        <v>7592</v>
      </c>
      <c r="AA19" s="1126"/>
      <c r="AB19" s="1001" t="s">
        <v>2268</v>
      </c>
      <c r="AC19" s="1060" t="s">
        <v>7593</v>
      </c>
      <c r="AD19" s="1074"/>
      <c r="AE19" s="1074"/>
      <c r="AF19" s="1074"/>
      <c r="AG19" s="1060" t="s">
        <v>7594</v>
      </c>
      <c r="AH19" s="1006"/>
      <c r="AI19" s="1034"/>
      <c r="AJ19" s="1008"/>
      <c r="AK19" s="1008"/>
      <c r="AL19" s="1008"/>
      <c r="AM19" s="1007" t="s">
        <v>1316</v>
      </c>
      <c r="AN19" s="1007"/>
      <c r="AO19" s="1008"/>
      <c r="AP19" s="1008"/>
      <c r="AQ19" s="1008"/>
      <c r="AR19" s="1008"/>
      <c r="AS19" s="1008"/>
      <c r="AT19" s="1039"/>
      <c r="AU19" s="1008"/>
      <c r="AV19" s="1008"/>
      <c r="AW19" s="1007" t="s">
        <v>3839</v>
      </c>
      <c r="AX19" s="1076" t="s">
        <v>7595</v>
      </c>
      <c r="AY19" s="1008"/>
      <c r="AZ19" s="995"/>
      <c r="BA19" s="1099"/>
      <c r="BB19" s="1065" t="s">
        <v>7596</v>
      </c>
      <c r="BC19" s="1065" t="s">
        <v>3666</v>
      </c>
      <c r="BD19" s="1065"/>
      <c r="BE19" s="1124" t="s">
        <v>7597</v>
      </c>
      <c r="BF19" s="995"/>
      <c r="BG19" s="1018" t="s">
        <v>712</v>
      </c>
      <c r="BH19" s="1114" t="s">
        <v>4342</v>
      </c>
      <c r="BI19" s="1018" t="s">
        <v>1758</v>
      </c>
      <c r="BJ19" s="1018" t="s">
        <v>7598</v>
      </c>
      <c r="BK19" s="1018" t="s">
        <v>7599</v>
      </c>
      <c r="BL19" s="1020"/>
      <c r="BM19" s="1018" t="s">
        <v>7600</v>
      </c>
      <c r="BN19" s="1034"/>
      <c r="BO19" s="1023" t="s">
        <v>4709</v>
      </c>
      <c r="BP19" s="1045"/>
      <c r="BQ19" s="1022"/>
      <c r="BR19" s="1070" t="s">
        <v>7601</v>
      </c>
      <c r="BS19" s="1022"/>
      <c r="BT19" s="1023" t="s">
        <v>2362</v>
      </c>
      <c r="BU19" s="1022"/>
      <c r="BV19" s="1023" t="s">
        <v>7602</v>
      </c>
      <c r="BW19" s="1023" t="s">
        <v>2049</v>
      </c>
      <c r="BX19" s="1034"/>
      <c r="BY19" s="1027" t="s">
        <v>4561</v>
      </c>
      <c r="BZ19" s="1116"/>
      <c r="CA19" s="1050"/>
      <c r="CB19" s="1050"/>
      <c r="CC19" s="1050"/>
      <c r="CD19" s="1028"/>
      <c r="CE19" s="1028"/>
      <c r="CF19" s="1028"/>
      <c r="CG19" s="1028"/>
      <c r="CH19" s="1028"/>
      <c r="CI19" s="1028"/>
      <c r="CJ19" s="1050"/>
      <c r="CK19" s="1050"/>
    </row>
    <row r="20">
      <c r="A20" s="1128" t="s">
        <v>1060</v>
      </c>
      <c r="B20" s="986" t="s">
        <v>7603</v>
      </c>
      <c r="C20" s="987" t="s">
        <v>3311</v>
      </c>
      <c r="D20" s="988" t="s">
        <v>435</v>
      </c>
      <c r="E20" s="989" t="s">
        <v>435</v>
      </c>
      <c r="F20" s="990" t="s">
        <v>218</v>
      </c>
      <c r="G20" s="986" t="s">
        <v>6138</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5098</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7604</v>
      </c>
      <c r="BJ20" s="1078"/>
      <c r="BK20" s="1020"/>
      <c r="BL20" s="1020"/>
      <c r="BM20" s="1020"/>
      <c r="BN20" s="1034"/>
      <c r="BO20" s="1023"/>
      <c r="BP20" s="1045"/>
      <c r="BQ20" s="1025" t="s">
        <v>4969</v>
      </c>
      <c r="BR20" s="1022"/>
      <c r="BS20" s="1022"/>
      <c r="BT20" s="1025" t="s">
        <v>5392</v>
      </c>
      <c r="BU20" s="1022"/>
      <c r="BV20" s="1080" t="s">
        <v>7605</v>
      </c>
      <c r="BW20" s="1069" t="s">
        <v>7606</v>
      </c>
      <c r="BX20" s="1034"/>
      <c r="BY20" s="1049" t="s">
        <v>3489</v>
      </c>
      <c r="BZ20" s="1027"/>
      <c r="CA20" s="1050"/>
      <c r="CB20" s="1050"/>
      <c r="CC20" s="1050"/>
      <c r="CD20" s="1028"/>
      <c r="CE20" s="1028"/>
      <c r="CF20" s="1028"/>
      <c r="CG20" s="1049" t="s">
        <v>7607</v>
      </c>
      <c r="CH20" s="1028"/>
      <c r="CI20" s="1028"/>
      <c r="CJ20" s="1050"/>
      <c r="CK20" s="1050"/>
    </row>
    <row r="21">
      <c r="A21" s="985" t="s">
        <v>2977</v>
      </c>
      <c r="B21" s="986" t="s">
        <v>7608</v>
      </c>
      <c r="C21" s="987" t="s">
        <v>544</v>
      </c>
      <c r="D21" s="988" t="s">
        <v>1262</v>
      </c>
      <c r="E21" s="989" t="s">
        <v>1262</v>
      </c>
      <c r="F21" s="990" t="s">
        <v>544</v>
      </c>
      <c r="G21" s="986" t="s">
        <v>5076</v>
      </c>
      <c r="H21" s="991"/>
      <c r="I21" s="991"/>
      <c r="J21" s="992" t="s">
        <v>309</v>
      </c>
      <c r="K21" s="992" t="s">
        <v>7609</v>
      </c>
      <c r="L21" s="992"/>
      <c r="M21" s="991"/>
      <c r="N21" s="991"/>
      <c r="O21" s="992" t="s">
        <v>7610</v>
      </c>
      <c r="P21" s="1034"/>
      <c r="Q21" s="996" t="s">
        <v>4861</v>
      </c>
      <c r="R21" s="996" t="s">
        <v>3770</v>
      </c>
      <c r="S21" s="996" t="s">
        <v>690</v>
      </c>
      <c r="T21" s="996" t="s">
        <v>248</v>
      </c>
      <c r="U21" s="997"/>
      <c r="V21" s="996" t="s">
        <v>7611</v>
      </c>
      <c r="W21" s="1034"/>
      <c r="X21" s="1001" t="s">
        <v>6306</v>
      </c>
      <c r="Y21" s="1074"/>
      <c r="Z21" s="1001" t="s">
        <v>4874</v>
      </c>
      <c r="AA21" s="1001" t="s">
        <v>7612</v>
      </c>
      <c r="AB21" s="1001" t="s">
        <v>2996</v>
      </c>
      <c r="AC21" s="1001" t="s">
        <v>1671</v>
      </c>
      <c r="AD21" s="1001" t="s">
        <v>6548</v>
      </c>
      <c r="AE21" s="1001" t="s">
        <v>2778</v>
      </c>
      <c r="AF21" s="1001"/>
      <c r="AG21" s="1001" t="s">
        <v>7613</v>
      </c>
      <c r="AH21" s="1129" t="s">
        <v>2999</v>
      </c>
      <c r="AI21" s="1034"/>
      <c r="AJ21" s="1008"/>
      <c r="AK21" s="1008"/>
      <c r="AL21" s="1009" t="s">
        <v>7614</v>
      </c>
      <c r="AM21" s="1007" t="s">
        <v>1892</v>
      </c>
      <c r="AN21" s="1007"/>
      <c r="AO21" s="1008"/>
      <c r="AP21" s="1008"/>
      <c r="AQ21" s="1008"/>
      <c r="AR21" s="1007" t="s">
        <v>7615</v>
      </c>
      <c r="AS21" s="1007"/>
      <c r="AT21" s="1039"/>
      <c r="AU21" s="1007" t="s">
        <v>7616</v>
      </c>
      <c r="AV21" s="1076" t="s">
        <v>7617</v>
      </c>
      <c r="AW21" s="1007" t="s">
        <v>768</v>
      </c>
      <c r="AX21" s="1076" t="s">
        <v>7618</v>
      </c>
      <c r="AY21" s="1007" t="s">
        <v>7619</v>
      </c>
      <c r="AZ21" s="995"/>
      <c r="BA21" s="1065" t="s">
        <v>7620</v>
      </c>
      <c r="BB21" s="1065" t="s">
        <v>7621</v>
      </c>
      <c r="BC21" s="1099"/>
      <c r="BD21" s="1099"/>
      <c r="BE21" s="1065" t="s">
        <v>7622</v>
      </c>
      <c r="BF21" s="995"/>
      <c r="BG21" s="1018" t="s">
        <v>6003</v>
      </c>
      <c r="BH21" s="1020"/>
      <c r="BI21" s="1018" t="s">
        <v>473</v>
      </c>
      <c r="BJ21" s="1018" t="s">
        <v>7623</v>
      </c>
      <c r="BK21" s="1018" t="s">
        <v>7624</v>
      </c>
      <c r="BL21" s="1018" t="s">
        <v>7625</v>
      </c>
      <c r="BM21" s="1079" t="s">
        <v>7626</v>
      </c>
      <c r="BN21" s="1034"/>
      <c r="BO21" s="1023" t="s">
        <v>7627</v>
      </c>
      <c r="BP21" s="1023" t="s">
        <v>4165</v>
      </c>
      <c r="BQ21" s="1022"/>
      <c r="BR21" s="1023" t="s">
        <v>7628</v>
      </c>
      <c r="BS21" s="1022"/>
      <c r="BT21" s="1023" t="s">
        <v>3017</v>
      </c>
      <c r="BU21" s="1023" t="s">
        <v>5100</v>
      </c>
      <c r="BV21" s="1023" t="s">
        <v>7629</v>
      </c>
      <c r="BW21" s="1023" t="s">
        <v>7630</v>
      </c>
      <c r="BX21" s="1034"/>
      <c r="BY21" s="1130" t="s">
        <v>3457</v>
      </c>
      <c r="BZ21" s="1027" t="s">
        <v>853</v>
      </c>
      <c r="CA21" s="1050"/>
      <c r="CB21" s="1050"/>
      <c r="CC21" s="1050"/>
      <c r="CD21" s="1028"/>
      <c r="CE21" s="1027" t="s">
        <v>7631</v>
      </c>
      <c r="CF21" s="1027" t="s">
        <v>7632</v>
      </c>
      <c r="CG21" s="1028"/>
      <c r="CH21" s="1028"/>
      <c r="CI21" s="1028"/>
      <c r="CJ21" s="1050"/>
      <c r="CK21" s="1050"/>
    </row>
    <row r="22">
      <c r="A22" s="1131" t="s">
        <v>3469</v>
      </c>
      <c r="B22" s="986" t="s">
        <v>7633</v>
      </c>
      <c r="C22" s="987" t="s">
        <v>1262</v>
      </c>
      <c r="D22" s="988" t="s">
        <v>544</v>
      </c>
      <c r="E22" s="989" t="s">
        <v>1262</v>
      </c>
      <c r="F22" s="990" t="s">
        <v>329</v>
      </c>
      <c r="G22" s="986" t="s">
        <v>2866</v>
      </c>
      <c r="H22" s="991"/>
      <c r="I22" s="991"/>
      <c r="J22" s="991"/>
      <c r="K22" s="991"/>
      <c r="L22" s="991"/>
      <c r="M22" s="991"/>
      <c r="N22" s="992" t="s">
        <v>7634</v>
      </c>
      <c r="O22" s="991"/>
      <c r="P22" s="1034"/>
      <c r="Q22" s="997"/>
      <c r="R22" s="997"/>
      <c r="S22" s="997"/>
      <c r="T22" s="997"/>
      <c r="U22" s="996" t="s">
        <v>3074</v>
      </c>
      <c r="V22" s="996" t="s">
        <v>7635</v>
      </c>
      <c r="W22" s="1034"/>
      <c r="X22" s="1001" t="s">
        <v>195</v>
      </c>
      <c r="Y22" s="1001" t="s">
        <v>7636</v>
      </c>
      <c r="Z22" s="1001" t="s">
        <v>7637</v>
      </c>
      <c r="AA22" s="1132" t="s">
        <v>2748</v>
      </c>
      <c r="AB22" s="1001" t="s">
        <v>655</v>
      </c>
      <c r="AC22" s="1001" t="s">
        <v>1810</v>
      </c>
      <c r="AD22" s="1001" t="s">
        <v>7161</v>
      </c>
      <c r="AE22" s="1001" t="s">
        <v>145</v>
      </c>
      <c r="AF22" s="1001"/>
      <c r="AG22" s="1001" t="s">
        <v>6390</v>
      </c>
      <c r="AH22" s="1133" t="s">
        <v>7638</v>
      </c>
      <c r="AI22" s="1034"/>
      <c r="AJ22" s="1007"/>
      <c r="AK22" s="1007" t="s">
        <v>5611</v>
      </c>
      <c r="AL22" s="1008"/>
      <c r="AM22" s="1007" t="s">
        <v>5098</v>
      </c>
      <c r="AN22" s="1008"/>
      <c r="AO22" s="1008"/>
      <c r="AP22" s="1007" t="s">
        <v>1989</v>
      </c>
      <c r="AQ22" s="1008"/>
      <c r="AR22" s="1007" t="s">
        <v>7639</v>
      </c>
      <c r="AS22" s="1007" t="s">
        <v>3599</v>
      </c>
      <c r="AT22" s="1039"/>
      <c r="AU22" s="1008"/>
      <c r="AV22" s="1076" t="s">
        <v>7640</v>
      </c>
      <c r="AW22" s="1007" t="s">
        <v>803</v>
      </c>
      <c r="AX22" s="1007" t="s">
        <v>7641</v>
      </c>
      <c r="AY22" s="1007" t="s">
        <v>7642</v>
      </c>
      <c r="AZ22" s="995"/>
      <c r="BA22" s="1099"/>
      <c r="BB22" s="1015" t="s">
        <v>7643</v>
      </c>
      <c r="BC22" s="1065" t="s">
        <v>6247</v>
      </c>
      <c r="BD22" s="1065"/>
      <c r="BE22" s="1040" t="s">
        <v>7644</v>
      </c>
      <c r="BF22" s="995"/>
      <c r="BG22" s="1020"/>
      <c r="BH22" s="1020"/>
      <c r="BI22" s="1020"/>
      <c r="BJ22" s="1078"/>
      <c r="BK22" s="1020"/>
      <c r="BL22" s="1067" t="s">
        <v>7645</v>
      </c>
      <c r="BM22" s="1018" t="s">
        <v>7646</v>
      </c>
      <c r="BN22" s="1034"/>
      <c r="BO22" s="1022"/>
      <c r="BP22" s="1045"/>
      <c r="BQ22" s="1022"/>
      <c r="BR22" s="1022"/>
      <c r="BS22" s="1070" t="s">
        <v>7089</v>
      </c>
      <c r="BT22" s="1022"/>
      <c r="BU22" s="1022"/>
      <c r="BV22" s="1022"/>
      <c r="BW22" s="1023" t="s">
        <v>7647</v>
      </c>
      <c r="BX22" s="1034"/>
      <c r="BY22" s="1028"/>
      <c r="BZ22" s="1028"/>
      <c r="CA22" s="1050"/>
      <c r="CB22" s="1050"/>
      <c r="CC22" s="1050"/>
      <c r="CD22" s="1028"/>
      <c r="CE22" s="1028"/>
      <c r="CF22" s="1028"/>
      <c r="CG22" s="1028"/>
      <c r="CH22" s="1028"/>
      <c r="CI22" s="1028"/>
      <c r="CJ22" s="1050"/>
      <c r="CK22" s="1050"/>
    </row>
    <row r="23">
      <c r="A23" s="985" t="s">
        <v>7648</v>
      </c>
      <c r="B23" s="986" t="s">
        <v>7649</v>
      </c>
      <c r="C23" s="987" t="s">
        <v>1262</v>
      </c>
      <c r="D23" s="988" t="s">
        <v>1262</v>
      </c>
      <c r="E23" s="989" t="s">
        <v>1262</v>
      </c>
      <c r="F23" s="990" t="s">
        <v>436</v>
      </c>
      <c r="G23" s="986" t="s">
        <v>219</v>
      </c>
      <c r="H23" s="991"/>
      <c r="I23" s="991"/>
      <c r="J23" s="991"/>
      <c r="K23" s="991"/>
      <c r="L23" s="1107" t="s">
        <v>7650</v>
      </c>
      <c r="M23" s="991"/>
      <c r="N23" s="1032" t="s">
        <v>7651</v>
      </c>
      <c r="O23" s="991"/>
      <c r="P23" s="1034"/>
      <c r="Q23" s="997"/>
      <c r="R23" s="997"/>
      <c r="S23" s="997"/>
      <c r="T23" s="997"/>
      <c r="U23" s="996"/>
      <c r="V23" s="1072" t="s">
        <v>7652</v>
      </c>
      <c r="W23" s="1034"/>
      <c r="X23" s="1074"/>
      <c r="Y23" s="1074"/>
      <c r="Z23" s="1094" t="s">
        <v>7653</v>
      </c>
      <c r="AA23" s="1074"/>
      <c r="AB23" s="1074"/>
      <c r="AC23" s="1074"/>
      <c r="AD23" s="1074"/>
      <c r="AE23" s="1134" t="str">
        <f>HYPERLINK("https://youtu.be/0lXotWIeH0g","49.54")</f>
        <v>49.54</v>
      </c>
      <c r="AF23" s="1126"/>
      <c r="AG23" s="1060" t="s">
        <v>7654</v>
      </c>
      <c r="AH23" s="1087" t="s">
        <v>7655</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7656</v>
      </c>
      <c r="AZ23" s="995"/>
      <c r="BA23" s="1099"/>
      <c r="BB23" s="1099"/>
      <c r="BC23" s="1100" t="s">
        <v>4121</v>
      </c>
      <c r="BD23" s="1099"/>
      <c r="BE23" s="1124" t="s">
        <v>7657</v>
      </c>
      <c r="BF23" s="995"/>
      <c r="BG23" s="1020"/>
      <c r="BH23" s="1020"/>
      <c r="BI23" s="1020"/>
      <c r="BJ23" s="1078"/>
      <c r="BK23" s="1020"/>
      <c r="BL23" s="1136" t="str">
        <f>HYPERLINK("https://youtu.be/ZWHJWoriERw","3:48.70")</f>
        <v>3:48.70</v>
      </c>
      <c r="BM23" s="1017" t="s">
        <v>7658</v>
      </c>
      <c r="BN23" s="1034"/>
      <c r="BO23" s="1045" t="s">
        <v>228</v>
      </c>
      <c r="BP23" s="1045"/>
      <c r="BQ23" s="1022"/>
      <c r="BR23" s="1022"/>
      <c r="BS23" s="1022"/>
      <c r="BT23" s="1024" t="str">
        <f>HYPERLINK("https://youtu.be/-5bLlrzaDDc","27.91")</f>
        <v>27.91</v>
      </c>
      <c r="BU23" s="1045" t="s">
        <v>7659</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7660</v>
      </c>
      <c r="C24" s="987" t="s">
        <v>1262</v>
      </c>
      <c r="D24" s="988" t="s">
        <v>1262</v>
      </c>
      <c r="E24" s="989" t="s">
        <v>1262</v>
      </c>
      <c r="F24" s="990" t="s">
        <v>1064</v>
      </c>
      <c r="G24" s="986" t="s">
        <v>3834</v>
      </c>
      <c r="H24" s="1055" t="s">
        <v>2570</v>
      </c>
      <c r="I24" s="1055" t="s">
        <v>7661</v>
      </c>
      <c r="J24" s="1139"/>
      <c r="K24" s="1055" t="s">
        <v>3332</v>
      </c>
      <c r="L24" s="992"/>
      <c r="M24" s="991"/>
      <c r="N24" s="991"/>
      <c r="O24" s="1032" t="s">
        <v>7662</v>
      </c>
      <c r="P24" s="1034"/>
      <c r="Q24" s="1072" t="s">
        <v>7663</v>
      </c>
      <c r="R24" s="997"/>
      <c r="S24" s="997"/>
      <c r="T24" s="1072" t="s">
        <v>5114</v>
      </c>
      <c r="U24" s="996"/>
      <c r="V24" s="1072" t="s">
        <v>7664</v>
      </c>
      <c r="W24" s="1034"/>
      <c r="X24" s="1060" t="s">
        <v>2138</v>
      </c>
      <c r="Y24" s="1074"/>
      <c r="Z24" s="1060" t="s">
        <v>1836</v>
      </c>
      <c r="AA24" s="1126"/>
      <c r="AB24" s="1060" t="s">
        <v>5225</v>
      </c>
      <c r="AC24" s="1074"/>
      <c r="AD24" s="1074"/>
      <c r="AE24" s="1060" t="s">
        <v>4406</v>
      </c>
      <c r="AF24" s="1001"/>
      <c r="AG24" s="1060" t="s">
        <v>7665</v>
      </c>
      <c r="AH24" s="1006"/>
      <c r="AI24" s="1034"/>
      <c r="AJ24" s="1008"/>
      <c r="AK24" s="1008"/>
      <c r="AL24" s="1008"/>
      <c r="AM24" s="1008"/>
      <c r="AN24" s="1008"/>
      <c r="AO24" s="1076" t="s">
        <v>5027</v>
      </c>
      <c r="AP24" s="1008"/>
      <c r="AQ24" s="1012" t="s">
        <v>3228</v>
      </c>
      <c r="AR24" s="1008"/>
      <c r="AS24" s="1008"/>
      <c r="AT24" s="1039"/>
      <c r="AU24" s="1008"/>
      <c r="AV24" s="1008"/>
      <c r="AW24" s="1012" t="s">
        <v>720</v>
      </c>
      <c r="AX24" s="1008"/>
      <c r="AY24" s="1008"/>
      <c r="AZ24" s="995"/>
      <c r="BA24" s="1099"/>
      <c r="BB24" s="1099"/>
      <c r="BC24" s="1099"/>
      <c r="BD24" s="1099"/>
      <c r="BE24" s="1124" t="s">
        <v>7666</v>
      </c>
      <c r="BF24" s="995"/>
      <c r="BG24" s="1114" t="s">
        <v>2585</v>
      </c>
      <c r="BH24" s="1020"/>
      <c r="BI24" s="1020"/>
      <c r="BJ24" s="1078"/>
      <c r="BK24" s="1020"/>
      <c r="BL24" s="1020"/>
      <c r="BM24" s="1114" t="s">
        <v>7667</v>
      </c>
      <c r="BN24" s="1034"/>
      <c r="BO24" s="1080" t="s">
        <v>610</v>
      </c>
      <c r="BP24" s="1045"/>
      <c r="BQ24" s="1022"/>
      <c r="BR24" s="1022"/>
      <c r="BS24" s="1022"/>
      <c r="BT24" s="1022"/>
      <c r="BU24" s="1022"/>
      <c r="BV24" s="1080" t="s">
        <v>7668</v>
      </c>
      <c r="BW24" s="1022"/>
      <c r="BX24" s="1034"/>
      <c r="BY24" s="1053" t="s">
        <v>7669</v>
      </c>
      <c r="BZ24" s="1028"/>
      <c r="CA24" s="1050"/>
      <c r="CB24" s="1050"/>
      <c r="CC24" s="1050"/>
      <c r="CD24" s="1028"/>
      <c r="CE24" s="1053" t="s">
        <v>7670</v>
      </c>
      <c r="CF24" s="1027" t="s">
        <v>7671</v>
      </c>
      <c r="CG24" s="1028"/>
      <c r="CH24" s="1028"/>
      <c r="CI24" s="1028"/>
      <c r="CJ24" s="1050"/>
      <c r="CK24" s="1050"/>
    </row>
    <row r="25">
      <c r="A25" s="985" t="s">
        <v>6492</v>
      </c>
      <c r="B25" s="986" t="s">
        <v>7672</v>
      </c>
      <c r="C25" s="987" t="s">
        <v>1262</v>
      </c>
      <c r="D25" s="988" t="s">
        <v>1262</v>
      </c>
      <c r="E25" s="989" t="s">
        <v>544</v>
      </c>
      <c r="F25" s="990" t="s">
        <v>435</v>
      </c>
      <c r="G25" s="986" t="s">
        <v>3834</v>
      </c>
      <c r="H25" s="991"/>
      <c r="I25" s="991"/>
      <c r="J25" s="991"/>
      <c r="K25" s="991"/>
      <c r="L25" s="992" t="s">
        <v>743</v>
      </c>
      <c r="M25" s="991"/>
      <c r="N25" s="992" t="s">
        <v>7673</v>
      </c>
      <c r="O25" s="992"/>
      <c r="P25" s="1034"/>
      <c r="Q25" s="997"/>
      <c r="R25" s="997"/>
      <c r="S25" s="997"/>
      <c r="T25" s="997"/>
      <c r="U25" s="997"/>
      <c r="V25" s="1072" t="s">
        <v>7674</v>
      </c>
      <c r="W25" s="1034"/>
      <c r="X25" s="1001" t="s">
        <v>7675</v>
      </c>
      <c r="Y25" s="1060" t="s">
        <v>7676</v>
      </c>
      <c r="Z25" s="1074"/>
      <c r="AA25" s="1140" t="s">
        <v>7677</v>
      </c>
      <c r="AB25" s="1074"/>
      <c r="AC25" s="1003" t="s">
        <v>4729</v>
      </c>
      <c r="AD25" s="1001" t="s">
        <v>1339</v>
      </c>
      <c r="AE25" s="1001" t="s">
        <v>7678</v>
      </c>
      <c r="AF25" s="1001"/>
      <c r="AG25" s="1060" t="s">
        <v>7679</v>
      </c>
      <c r="AH25" s="1006"/>
      <c r="AI25" s="1034"/>
      <c r="AJ25" s="1008"/>
      <c r="AK25" s="1008"/>
      <c r="AL25" s="1008"/>
      <c r="AM25" s="1007" t="s">
        <v>4889</v>
      </c>
      <c r="AN25" s="1008"/>
      <c r="AO25" s="1008"/>
      <c r="AP25" s="1008"/>
      <c r="AQ25" s="1008"/>
      <c r="AR25" s="1008"/>
      <c r="AS25" s="1008"/>
      <c r="AT25" s="1039"/>
      <c r="AU25" s="1008"/>
      <c r="AV25" s="1008"/>
      <c r="AW25" s="1008"/>
      <c r="AX25" s="1008"/>
      <c r="AY25" s="1076" t="s">
        <v>7680</v>
      </c>
      <c r="AZ25" s="995"/>
      <c r="BA25" s="1099"/>
      <c r="BB25" s="1099"/>
      <c r="BC25" s="1099"/>
      <c r="BD25" s="1099"/>
      <c r="BE25" s="1065" t="s">
        <v>7681</v>
      </c>
      <c r="BF25" s="995"/>
      <c r="BG25" s="1020"/>
      <c r="BH25" s="1020"/>
      <c r="BI25" s="1020"/>
      <c r="BJ25" s="1078"/>
      <c r="BK25" s="1020"/>
      <c r="BL25" s="1018" t="s">
        <v>7682</v>
      </c>
      <c r="BM25" s="1020"/>
      <c r="BN25" s="1034"/>
      <c r="BO25" s="1023" t="s">
        <v>4853</v>
      </c>
      <c r="BP25" s="1045"/>
      <c r="BQ25" s="1022"/>
      <c r="BR25" s="1023" t="s">
        <v>7683</v>
      </c>
      <c r="BS25" s="1024" t="s">
        <v>7455</v>
      </c>
      <c r="BT25" s="1023" t="s">
        <v>1323</v>
      </c>
      <c r="BU25" s="1022"/>
      <c r="BV25" s="1080" t="s">
        <v>7684</v>
      </c>
      <c r="BW25" s="1023" t="s">
        <v>7685</v>
      </c>
      <c r="BX25" s="1034"/>
      <c r="BY25" s="1028"/>
      <c r="BZ25" s="1028"/>
      <c r="CA25" s="1050"/>
      <c r="CB25" s="1050"/>
      <c r="CC25" s="1050"/>
      <c r="CD25" s="1028"/>
      <c r="CE25" s="1027" t="s">
        <v>7686</v>
      </c>
      <c r="CF25" s="1081" t="s">
        <v>7687</v>
      </c>
      <c r="CG25" s="1028"/>
      <c r="CH25" s="1028"/>
      <c r="CI25" s="1028"/>
      <c r="CJ25" s="1050"/>
      <c r="CK25" s="1050"/>
    </row>
    <row r="26">
      <c r="A26" s="1138" t="s">
        <v>6504</v>
      </c>
      <c r="B26" s="986" t="s">
        <v>7688</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7689</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7690</v>
      </c>
      <c r="BF26" s="995"/>
      <c r="BG26" s="1020"/>
      <c r="BH26" s="1020"/>
      <c r="BI26" s="1020"/>
      <c r="BJ26" s="1078"/>
      <c r="BK26" s="1020"/>
      <c r="BL26" s="1020"/>
      <c r="BM26" s="1043" t="s">
        <v>7691</v>
      </c>
      <c r="BN26" s="1037"/>
      <c r="BO26" s="1137" t="str">
        <f>HYPERLINK("https://youtu.be/oOY4TocVyJU","1:05.01")</f>
        <v>1:05.01</v>
      </c>
      <c r="BP26" s="1045"/>
      <c r="BQ26" s="1022"/>
      <c r="BR26" s="1023"/>
      <c r="BS26" s="1023"/>
      <c r="BT26" s="1022"/>
      <c r="BU26" s="1022"/>
      <c r="BV26" s="1022"/>
      <c r="BW26" s="1025" t="s">
        <v>7692</v>
      </c>
      <c r="BX26" s="1037"/>
      <c r="BY26" s="1028"/>
      <c r="BZ26" s="1028"/>
      <c r="CA26" s="1144"/>
      <c r="CB26" s="1144"/>
      <c r="CC26" s="1144"/>
      <c r="CD26" s="1028"/>
      <c r="CE26" s="1028"/>
      <c r="CF26" s="1028"/>
      <c r="CG26" s="1028"/>
      <c r="CH26" s="1028"/>
      <c r="CI26" s="1028"/>
      <c r="CJ26" s="1050"/>
      <c r="CK26" s="1050"/>
    </row>
    <row r="27">
      <c r="A27" s="985" t="s">
        <v>7693</v>
      </c>
      <c r="B27" s="986" t="s">
        <v>7694</v>
      </c>
      <c r="C27" s="987" t="s">
        <v>544</v>
      </c>
      <c r="D27" s="988" t="s">
        <v>1262</v>
      </c>
      <c r="E27" s="989" t="s">
        <v>544</v>
      </c>
      <c r="F27" s="990" t="s">
        <v>437</v>
      </c>
      <c r="G27" s="986" t="s">
        <v>2808</v>
      </c>
      <c r="H27" s="992" t="s">
        <v>3902</v>
      </c>
      <c r="I27" s="992"/>
      <c r="J27" s="992"/>
      <c r="K27" s="991"/>
      <c r="L27" s="992" t="s">
        <v>7695</v>
      </c>
      <c r="M27" s="991"/>
      <c r="N27" s="992" t="s">
        <v>7696</v>
      </c>
      <c r="O27" s="991"/>
      <c r="P27" s="1034"/>
      <c r="Q27" s="996" t="s">
        <v>7697</v>
      </c>
      <c r="R27" s="997"/>
      <c r="S27" s="997"/>
      <c r="T27" s="997"/>
      <c r="U27" s="1072" t="s">
        <v>7698</v>
      </c>
      <c r="V27" s="996" t="s">
        <v>7699</v>
      </c>
      <c r="W27" s="1034"/>
      <c r="X27" s="1001"/>
      <c r="Y27" s="1001"/>
      <c r="Z27" s="1001" t="s">
        <v>6525</v>
      </c>
      <c r="AA27" s="1132" t="s">
        <v>4605</v>
      </c>
      <c r="AB27" s="1001" t="s">
        <v>1190</v>
      </c>
      <c r="AC27" s="1074"/>
      <c r="AD27" s="1074"/>
      <c r="AE27" s="1001" t="s">
        <v>7700</v>
      </c>
      <c r="AF27" s="1001"/>
      <c r="AG27" s="1061" t="s">
        <v>7701</v>
      </c>
      <c r="AH27" s="1123" t="s">
        <v>7702</v>
      </c>
      <c r="AI27" s="1034"/>
      <c r="AJ27" s="1088"/>
      <c r="AK27" s="1009" t="s">
        <v>7703</v>
      </c>
      <c r="AL27" s="1008"/>
      <c r="AM27" s="1008"/>
      <c r="AN27" s="1008"/>
      <c r="AO27" s="1008"/>
      <c r="AP27" s="1008"/>
      <c r="AQ27" s="1008"/>
      <c r="AR27" s="1076" t="s">
        <v>7704</v>
      </c>
      <c r="AS27" s="1007" t="s">
        <v>7705</v>
      </c>
      <c r="AT27" s="1039"/>
      <c r="AU27" s="1008"/>
      <c r="AV27" s="1076" t="s">
        <v>7706</v>
      </c>
      <c r="AW27" s="1007" t="s">
        <v>2618</v>
      </c>
      <c r="AX27" s="1008"/>
      <c r="AY27" s="1007" t="s">
        <v>7707</v>
      </c>
      <c r="AZ27" s="995"/>
      <c r="BA27" s="1099"/>
      <c r="BB27" s="1099"/>
      <c r="BC27" s="1099"/>
      <c r="BD27" s="1099"/>
      <c r="BE27" s="1065" t="s">
        <v>7708</v>
      </c>
      <c r="BF27" s="995"/>
      <c r="BG27" s="1020"/>
      <c r="BH27" s="1020"/>
      <c r="BI27" s="1020"/>
      <c r="BJ27" s="1018"/>
      <c r="BK27" s="1020"/>
      <c r="BL27" s="1066" t="s">
        <v>7709</v>
      </c>
      <c r="BM27" s="1017" t="s">
        <v>7710</v>
      </c>
      <c r="BN27" s="1034"/>
      <c r="BO27" s="1023" t="s">
        <v>3987</v>
      </c>
      <c r="BP27" s="1045"/>
      <c r="BQ27" s="1022"/>
      <c r="BR27" s="1023" t="s">
        <v>7711</v>
      </c>
      <c r="BS27" s="1022"/>
      <c r="BT27" s="1080" t="s">
        <v>977</v>
      </c>
      <c r="BU27" s="1022"/>
      <c r="BV27" s="1023" t="s">
        <v>7712</v>
      </c>
      <c r="BW27" s="1023" t="s">
        <v>7713</v>
      </c>
      <c r="BX27" s="1034"/>
      <c r="BY27" s="1028"/>
      <c r="BZ27" s="1028"/>
      <c r="CA27" s="1050"/>
      <c r="CB27" s="1050"/>
      <c r="CC27" s="1050"/>
      <c r="CD27" s="1028"/>
      <c r="CE27" s="1053" t="s">
        <v>7714</v>
      </c>
      <c r="CF27" s="1028"/>
      <c r="CG27" s="1028"/>
      <c r="CH27" s="1028"/>
      <c r="CI27" s="1028"/>
      <c r="CJ27" s="1050"/>
      <c r="CK27" s="1050"/>
    </row>
    <row r="28">
      <c r="A28" s="985" t="s">
        <v>4059</v>
      </c>
      <c r="B28" s="986" t="s">
        <v>7715</v>
      </c>
      <c r="C28" s="987" t="s">
        <v>1262</v>
      </c>
      <c r="D28" s="988" t="s">
        <v>1262</v>
      </c>
      <c r="E28" s="989" t="s">
        <v>329</v>
      </c>
      <c r="F28" s="990" t="s">
        <v>645</v>
      </c>
      <c r="G28" s="986" t="s">
        <v>1808</v>
      </c>
      <c r="H28" s="1106" t="s">
        <v>1289</v>
      </c>
      <c r="I28" s="991"/>
      <c r="J28" s="991"/>
      <c r="K28" s="991"/>
      <c r="L28" s="992" t="s">
        <v>1490</v>
      </c>
      <c r="M28" s="991"/>
      <c r="N28" s="1055" t="s">
        <v>7716</v>
      </c>
      <c r="O28" s="991"/>
      <c r="P28" s="1034"/>
      <c r="Q28" s="1145" t="s">
        <v>7717</v>
      </c>
      <c r="R28" s="997"/>
      <c r="S28" s="996" t="s">
        <v>5846</v>
      </c>
      <c r="T28" s="1000" t="s">
        <v>619</v>
      </c>
      <c r="U28" s="1146" t="s">
        <v>7718</v>
      </c>
      <c r="V28" s="996" t="s">
        <v>7719</v>
      </c>
      <c r="W28" s="1034"/>
      <c r="X28" s="1074"/>
      <c r="Y28" s="1001" t="s">
        <v>4071</v>
      </c>
      <c r="Z28" s="1001" t="s">
        <v>5222</v>
      </c>
      <c r="AA28" s="1147" t="s">
        <v>156</v>
      </c>
      <c r="AB28" s="1001" t="s">
        <v>6231</v>
      </c>
      <c r="AC28" s="1001" t="s">
        <v>3506</v>
      </c>
      <c r="AD28" s="1001" t="s">
        <v>3101</v>
      </c>
      <c r="AE28" s="1036" t="s">
        <v>241</v>
      </c>
      <c r="AF28" s="1061"/>
      <c r="AG28" s="1074"/>
      <c r="AH28" s="1148" t="s">
        <v>4073</v>
      </c>
      <c r="AI28" s="1034"/>
      <c r="AJ28" s="1007"/>
      <c r="AK28" s="1007" t="s">
        <v>7720</v>
      </c>
      <c r="AL28" s="1007" t="s">
        <v>7721</v>
      </c>
      <c r="AM28" s="1007" t="s">
        <v>1645</v>
      </c>
      <c r="AN28" s="1007"/>
      <c r="AO28" s="1008"/>
      <c r="AP28" s="1012" t="s">
        <v>6946</v>
      </c>
      <c r="AQ28" s="1008"/>
      <c r="AR28" s="1007" t="s">
        <v>7722</v>
      </c>
      <c r="AS28" s="1007" t="s">
        <v>7723</v>
      </c>
      <c r="AT28" s="1039"/>
      <c r="AU28" s="1007" t="s">
        <v>7724</v>
      </c>
      <c r="AV28" s="1008"/>
      <c r="AW28" s="1012" t="s">
        <v>2705</v>
      </c>
      <c r="AX28" s="1007" t="s">
        <v>7725</v>
      </c>
      <c r="AY28" s="1007" t="s">
        <v>7726</v>
      </c>
      <c r="AZ28" s="995"/>
      <c r="BA28" s="1099"/>
      <c r="BB28" s="1099"/>
      <c r="BC28" s="1065" t="s">
        <v>2208</v>
      </c>
      <c r="BD28" s="1065"/>
      <c r="BE28" s="1065" t="s">
        <v>7727</v>
      </c>
      <c r="BF28" s="995"/>
      <c r="BG28" s="1020"/>
      <c r="BH28" s="1018" t="s">
        <v>7728</v>
      </c>
      <c r="BI28" s="1020"/>
      <c r="BJ28" s="1078"/>
      <c r="BK28" s="1020"/>
      <c r="BL28" s="1018" t="s">
        <v>7729</v>
      </c>
      <c r="BM28" s="1020"/>
      <c r="BN28" s="1034"/>
      <c r="BO28" s="1080" t="s">
        <v>7730</v>
      </c>
      <c r="BP28" s="1045"/>
      <c r="BQ28" s="1022"/>
      <c r="BR28" s="1022"/>
      <c r="BS28" s="1069" t="s">
        <v>7670</v>
      </c>
      <c r="BT28" s="1080" t="s">
        <v>316</v>
      </c>
      <c r="BU28" s="1069" t="s">
        <v>7731</v>
      </c>
      <c r="BV28" s="1022"/>
      <c r="BW28" s="1023" t="s">
        <v>3795</v>
      </c>
      <c r="BX28" s="1034"/>
      <c r="BY28" s="1028"/>
      <c r="BZ28" s="1028"/>
      <c r="CA28" s="1050"/>
      <c r="CB28" s="1050"/>
      <c r="CC28" s="1050"/>
      <c r="CD28" s="1028"/>
      <c r="CE28" s="1027" t="s">
        <v>7671</v>
      </c>
      <c r="CF28" s="1027" t="s">
        <v>7732</v>
      </c>
      <c r="CG28" s="1028"/>
      <c r="CH28" s="1028"/>
      <c r="CI28" s="1028"/>
      <c r="CJ28" s="1050"/>
      <c r="CK28" s="1050"/>
    </row>
    <row r="29">
      <c r="A29" s="1149" t="s">
        <v>6486</v>
      </c>
      <c r="B29" s="986" t="s">
        <v>7733</v>
      </c>
      <c r="C29" s="987" t="s">
        <v>1262</v>
      </c>
      <c r="D29" s="988" t="s">
        <v>1262</v>
      </c>
      <c r="E29" s="989" t="s">
        <v>1262</v>
      </c>
      <c r="F29" s="990" t="s">
        <v>436</v>
      </c>
      <c r="G29" s="986" t="s">
        <v>2866</v>
      </c>
      <c r="H29" s="1106" t="s">
        <v>4212</v>
      </c>
      <c r="I29" s="992" t="s">
        <v>7734</v>
      </c>
      <c r="J29" s="992"/>
      <c r="K29" s="992"/>
      <c r="L29" s="1032" t="s">
        <v>7735</v>
      </c>
      <c r="M29" s="991"/>
      <c r="N29" s="1055" t="s">
        <v>7736</v>
      </c>
      <c r="O29" s="991"/>
      <c r="P29" s="1034"/>
      <c r="Q29" s="997"/>
      <c r="R29" s="997"/>
      <c r="S29" s="997"/>
      <c r="T29" s="997"/>
      <c r="U29" s="996" t="s">
        <v>413</v>
      </c>
      <c r="V29" s="1000" t="s">
        <v>7737</v>
      </c>
      <c r="W29" s="1034"/>
      <c r="X29" s="1060" t="s">
        <v>4850</v>
      </c>
      <c r="Y29" s="1001" t="s">
        <v>7738</v>
      </c>
      <c r="Z29" s="1060" t="s">
        <v>5913</v>
      </c>
      <c r="AA29" s="1122" t="s">
        <v>4605</v>
      </c>
      <c r="AB29" s="1060" t="s">
        <v>2500</v>
      </c>
      <c r="AC29" s="1036" t="s">
        <v>7739</v>
      </c>
      <c r="AD29" s="1074"/>
      <c r="AE29" s="1036" t="str">
        <f>HYPERLINK("https://twitter.com/Qbe_Root/status/1242884733232648192","56.04")</f>
        <v>56.04</v>
      </c>
      <c r="AF29" s="1061"/>
      <c r="AG29" s="1036" t="s">
        <v>7740</v>
      </c>
      <c r="AH29" s="1006"/>
      <c r="AI29" s="1034"/>
      <c r="AJ29" s="1007"/>
      <c r="AK29" s="1007" t="s">
        <v>7741</v>
      </c>
      <c r="AL29" s="1007" t="s">
        <v>7742</v>
      </c>
      <c r="AM29" s="1007" t="s">
        <v>7743</v>
      </c>
      <c r="AN29" s="1007"/>
      <c r="AO29" s="1008"/>
      <c r="AP29" s="112" t="s">
        <v>7744</v>
      </c>
      <c r="AQ29" s="1008"/>
      <c r="AR29" s="1008"/>
      <c r="AS29" s="1008"/>
      <c r="AT29" s="1039"/>
      <c r="AU29" s="1008"/>
      <c r="AV29" s="1008"/>
      <c r="AW29" s="1007" t="s">
        <v>1620</v>
      </c>
      <c r="AX29" s="1007" t="s">
        <v>7745</v>
      </c>
      <c r="AY29" s="1008"/>
      <c r="AZ29" s="995"/>
      <c r="BA29" s="1099"/>
      <c r="BB29" s="1099"/>
      <c r="BC29" s="1099"/>
      <c r="BD29" s="1099"/>
      <c r="BE29" s="1124" t="s">
        <v>7746</v>
      </c>
      <c r="BF29" s="995"/>
      <c r="BG29" s="1018" t="s">
        <v>1470</v>
      </c>
      <c r="BH29" s="1020"/>
      <c r="BI29" s="1020"/>
      <c r="BJ29" s="1078"/>
      <c r="BK29" s="1018" t="s">
        <v>7747</v>
      </c>
      <c r="BL29" s="1020"/>
      <c r="BM29" s="1018" t="s">
        <v>7748</v>
      </c>
      <c r="BN29" s="1034"/>
      <c r="BO29" s="1023" t="s">
        <v>7749</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4917</v>
      </c>
      <c r="CE29" s="1028"/>
      <c r="CF29" s="1028"/>
      <c r="CG29" s="1028"/>
      <c r="CH29" s="1028"/>
      <c r="CI29" s="1028"/>
      <c r="CJ29" s="1050"/>
      <c r="CK29" s="1050"/>
    </row>
    <row r="30">
      <c r="A30" s="985" t="s">
        <v>3980</v>
      </c>
      <c r="B30" s="986" t="s">
        <v>7750</v>
      </c>
      <c r="C30" s="987" t="s">
        <v>1262</v>
      </c>
      <c r="D30" s="988" t="s">
        <v>1262</v>
      </c>
      <c r="E30" s="989" t="s">
        <v>1262</v>
      </c>
      <c r="F30" s="990" t="s">
        <v>435</v>
      </c>
      <c r="G30" s="986" t="s">
        <v>2979</v>
      </c>
      <c r="H30" s="992" t="s">
        <v>2304</v>
      </c>
      <c r="I30" s="991"/>
      <c r="J30" s="991"/>
      <c r="K30" s="991"/>
      <c r="L30" s="992" t="s">
        <v>6347</v>
      </c>
      <c r="M30" s="991"/>
      <c r="N30" s="992" t="s">
        <v>7751</v>
      </c>
      <c r="O30" s="991"/>
      <c r="P30" s="1034"/>
      <c r="Q30" s="996" t="s">
        <v>7752</v>
      </c>
      <c r="R30" s="997"/>
      <c r="S30" s="997"/>
      <c r="T30" s="997"/>
      <c r="U30" s="1072" t="s">
        <v>7370</v>
      </c>
      <c r="V30" s="996" t="s">
        <v>7753</v>
      </c>
      <c r="W30" s="1034"/>
      <c r="X30" s="1074"/>
      <c r="Y30" s="1074"/>
      <c r="Z30" s="1001" t="s">
        <v>7754</v>
      </c>
      <c r="AA30" s="1126"/>
      <c r="AB30" s="1001" t="s">
        <v>4799</v>
      </c>
      <c r="AC30" s="1001" t="s">
        <v>307</v>
      </c>
      <c r="AD30" s="1074"/>
      <c r="AE30" s="1001" t="s">
        <v>2963</v>
      </c>
      <c r="AF30" s="1001"/>
      <c r="AG30" s="1036" t="s">
        <v>7755</v>
      </c>
      <c r="AH30" s="1129" t="s">
        <v>7756</v>
      </c>
      <c r="AI30" s="1034"/>
      <c r="AJ30" s="1007"/>
      <c r="AK30" s="1007" t="s">
        <v>7757</v>
      </c>
      <c r="AL30" s="1007" t="s">
        <v>7758</v>
      </c>
      <c r="AM30" s="1007" t="s">
        <v>4181</v>
      </c>
      <c r="AN30" s="1007"/>
      <c r="AO30" s="1008"/>
      <c r="AP30" s="1008"/>
      <c r="AQ30" s="1008"/>
      <c r="AR30" s="1007" t="s">
        <v>7759</v>
      </c>
      <c r="AS30" s="1007" t="s">
        <v>7760</v>
      </c>
      <c r="AT30" s="1076"/>
      <c r="AU30" s="1007" t="s">
        <v>7761</v>
      </c>
      <c r="AV30" s="1007"/>
      <c r="AW30" s="1007" t="s">
        <v>768</v>
      </c>
      <c r="AX30" s="1008"/>
      <c r="AY30" s="1007" t="s">
        <v>7762</v>
      </c>
      <c r="AZ30" s="995"/>
      <c r="BA30" s="1065"/>
      <c r="BB30" s="1065" t="s">
        <v>7763</v>
      </c>
      <c r="BC30" s="1124" t="s">
        <v>4422</v>
      </c>
      <c r="BD30" s="1065"/>
      <c r="BE30" s="1124" t="s">
        <v>7764</v>
      </c>
      <c r="BF30" s="995"/>
      <c r="BG30" s="1018" t="s">
        <v>7765</v>
      </c>
      <c r="BH30" s="1020"/>
      <c r="BI30" s="1020"/>
      <c r="BJ30" s="1078"/>
      <c r="BK30" s="1020"/>
      <c r="BL30" s="1018" t="s">
        <v>7766</v>
      </c>
      <c r="BM30" s="1018" t="s">
        <v>7767</v>
      </c>
      <c r="BN30" s="1034"/>
      <c r="BO30" s="1023" t="s">
        <v>3385</v>
      </c>
      <c r="BP30" s="1045"/>
      <c r="BQ30" s="1022"/>
      <c r="BR30" s="1023" t="s">
        <v>7768</v>
      </c>
      <c r="BS30" s="1080" t="s">
        <v>7769</v>
      </c>
      <c r="BT30" s="1022"/>
      <c r="BU30" s="1022"/>
      <c r="BV30" s="1023" t="s">
        <v>5237</v>
      </c>
      <c r="BW30" s="1023" t="s">
        <v>4493</v>
      </c>
      <c r="BX30" s="1034"/>
      <c r="BY30" s="1028"/>
      <c r="BZ30" s="1028"/>
      <c r="CA30" s="1050"/>
      <c r="CB30" s="1050"/>
      <c r="CC30" s="1050"/>
      <c r="CD30" s="1028"/>
      <c r="CE30" s="1028"/>
      <c r="CF30" s="1027" t="s">
        <v>7770</v>
      </c>
      <c r="CG30" s="1028"/>
      <c r="CH30" s="1028"/>
      <c r="CI30" s="1053" t="s">
        <v>7771</v>
      </c>
      <c r="CJ30" s="1050"/>
      <c r="CK30" s="1050"/>
    </row>
    <row r="31">
      <c r="A31" s="985" t="s">
        <v>2806</v>
      </c>
      <c r="B31" s="986" t="s">
        <v>7772</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7773</v>
      </c>
      <c r="V31" s="996" t="s">
        <v>7774</v>
      </c>
      <c r="W31" s="1034"/>
      <c r="X31" s="1074"/>
      <c r="Y31" s="1074"/>
      <c r="Z31" s="1074"/>
      <c r="AA31" s="1126"/>
      <c r="AB31" s="1001"/>
      <c r="AC31" s="1002" t="s">
        <v>7775</v>
      </c>
      <c r="AD31" s="1001" t="s">
        <v>7776</v>
      </c>
      <c r="AE31" s="1001" t="s">
        <v>4548</v>
      </c>
      <c r="AF31" s="1001"/>
      <c r="AG31" s="1074"/>
      <c r="AH31" s="1006"/>
      <c r="AI31" s="1034"/>
      <c r="AJ31" s="1008"/>
      <c r="AK31" s="1008"/>
      <c r="AL31" s="1008"/>
      <c r="AM31" s="1008"/>
      <c r="AN31" s="1008"/>
      <c r="AO31" s="1008"/>
      <c r="AP31" s="1038" t="s">
        <v>7777</v>
      </c>
      <c r="AQ31" s="1008"/>
      <c r="AR31" s="1008"/>
      <c r="AS31" s="1008"/>
      <c r="AT31" s="1039"/>
      <c r="AU31" s="1008"/>
      <c r="AV31" s="1008"/>
      <c r="AW31" s="1007" t="s">
        <v>1702</v>
      </c>
      <c r="AX31" s="1008"/>
      <c r="AY31" s="1008"/>
      <c r="AZ31" s="995"/>
      <c r="BA31" s="1099"/>
      <c r="BB31" s="1099"/>
      <c r="BC31" s="1015" t="s">
        <v>5540</v>
      </c>
      <c r="BD31" s="1013"/>
      <c r="BE31" s="1065" t="s">
        <v>7778</v>
      </c>
      <c r="BF31" s="995"/>
      <c r="BG31" s="1020"/>
      <c r="BH31" s="1020"/>
      <c r="BI31" s="1020"/>
      <c r="BJ31" s="1078"/>
      <c r="BK31" s="1020"/>
      <c r="BL31" s="1020"/>
      <c r="BM31" s="1020"/>
      <c r="BN31" s="1034"/>
      <c r="BO31" s="1023" t="s">
        <v>7779</v>
      </c>
      <c r="BP31" s="1045"/>
      <c r="BQ31" s="1022"/>
      <c r="BR31" s="1022"/>
      <c r="BS31" s="1022"/>
      <c r="BT31" s="1022"/>
      <c r="BU31" s="1022"/>
      <c r="BV31" s="1023" t="s">
        <v>7780</v>
      </c>
      <c r="BW31" s="1022"/>
      <c r="BX31" s="1034"/>
      <c r="BY31" s="1028"/>
      <c r="BZ31" s="1028"/>
      <c r="CA31" s="1050"/>
      <c r="CB31" s="1050"/>
      <c r="CC31" s="1050"/>
      <c r="CD31" s="1028"/>
      <c r="CE31" s="1028"/>
      <c r="CF31" s="1028"/>
      <c r="CG31" s="1028"/>
      <c r="CH31" s="1028"/>
      <c r="CI31" s="1028"/>
      <c r="CJ31" s="1050"/>
      <c r="CK31" s="1050"/>
    </row>
    <row r="32">
      <c r="A32" s="985" t="s">
        <v>7781</v>
      </c>
      <c r="B32" s="986" t="s">
        <v>2693</v>
      </c>
      <c r="C32" s="987" t="s">
        <v>1262</v>
      </c>
      <c r="D32" s="988" t="s">
        <v>1262</v>
      </c>
      <c r="E32" s="989" t="s">
        <v>1262</v>
      </c>
      <c r="F32" s="990" t="s">
        <v>1262</v>
      </c>
      <c r="G32" s="986" t="s">
        <v>330</v>
      </c>
      <c r="H32" s="991"/>
      <c r="I32" s="991"/>
      <c r="J32" s="992" t="s">
        <v>7782</v>
      </c>
      <c r="K32" s="991"/>
      <c r="L32" s="991"/>
      <c r="M32" s="991"/>
      <c r="N32" s="991"/>
      <c r="O32" s="992" t="s">
        <v>7783</v>
      </c>
      <c r="P32" s="1034"/>
      <c r="Q32" s="997"/>
      <c r="R32" s="997"/>
      <c r="S32" s="997"/>
      <c r="T32" s="997"/>
      <c r="U32" s="997"/>
      <c r="V32" s="996" t="s">
        <v>7784</v>
      </c>
      <c r="W32" s="1034"/>
      <c r="X32" s="1074"/>
      <c r="Y32" s="1074"/>
      <c r="Z32" s="1074"/>
      <c r="AA32" s="1126"/>
      <c r="AB32" s="1074"/>
      <c r="AC32" s="1074"/>
      <c r="AD32" s="1074"/>
      <c r="AE32" s="1001" t="s">
        <v>2295</v>
      </c>
      <c r="AF32" s="1001"/>
      <c r="AG32" s="1001" t="s">
        <v>7785</v>
      </c>
      <c r="AH32" s="1006"/>
      <c r="AI32" s="1034"/>
      <c r="AJ32" s="1008"/>
      <c r="AK32" s="1008"/>
      <c r="AL32" s="1008"/>
      <c r="AM32" s="1008"/>
      <c r="AN32" s="1008"/>
      <c r="AO32" s="1008"/>
      <c r="AP32" s="1007" t="s">
        <v>7786</v>
      </c>
      <c r="AQ32" s="1008"/>
      <c r="AR32" s="1008"/>
      <c r="AS32" s="1008"/>
      <c r="AT32" s="1039"/>
      <c r="AU32" s="1008"/>
      <c r="AV32" s="1008"/>
      <c r="AW32" s="1008"/>
      <c r="AX32" s="1008"/>
      <c r="AY32" s="1008"/>
      <c r="AZ32" s="995"/>
      <c r="BA32" s="1065" t="s">
        <v>7787</v>
      </c>
      <c r="BB32" s="1099"/>
      <c r="BC32" s="1065"/>
      <c r="BD32" s="1065"/>
      <c r="BE32" s="1065" t="s">
        <v>7788</v>
      </c>
      <c r="BF32" s="995"/>
      <c r="BG32" s="1020"/>
      <c r="BH32" s="1020"/>
      <c r="BI32" s="1020"/>
      <c r="BJ32" s="1078"/>
      <c r="BK32" s="1020"/>
      <c r="BL32" s="1020"/>
      <c r="BM32" s="1018" t="s">
        <v>7789</v>
      </c>
      <c r="BN32" s="1034"/>
      <c r="BO32" s="1022"/>
      <c r="BP32" s="1045"/>
      <c r="BQ32" s="1022"/>
      <c r="BR32" s="1023" t="s">
        <v>2466</v>
      </c>
      <c r="BS32" s="1022"/>
      <c r="BT32" s="1022"/>
      <c r="BU32" s="1022"/>
      <c r="BV32" s="1080" t="s">
        <v>7790</v>
      </c>
      <c r="BW32" s="1023" t="s">
        <v>7791</v>
      </c>
      <c r="BX32" s="1034"/>
      <c r="BY32" s="1027" t="s">
        <v>6157</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7792</v>
      </c>
      <c r="M33" s="991"/>
      <c r="N33" s="992" t="s">
        <v>7793</v>
      </c>
      <c r="O33" s="992"/>
      <c r="P33" s="1034"/>
      <c r="Q33" s="996" t="s">
        <v>7794</v>
      </c>
      <c r="R33" s="997"/>
      <c r="S33" s="997"/>
      <c r="T33" s="997"/>
      <c r="U33" s="997"/>
      <c r="V33" s="996" t="s">
        <v>7795</v>
      </c>
      <c r="W33" s="1034"/>
      <c r="X33" s="1074"/>
      <c r="Y33" s="1074"/>
      <c r="Z33" s="1001" t="s">
        <v>7796</v>
      </c>
      <c r="AA33" s="1001" t="s">
        <v>7797</v>
      </c>
      <c r="AB33" s="1001" t="s">
        <v>3974</v>
      </c>
      <c r="AC33" s="1001" t="s">
        <v>7798</v>
      </c>
      <c r="AD33" s="1074"/>
      <c r="AE33" s="1001" t="s">
        <v>2563</v>
      </c>
      <c r="AF33" s="1001"/>
      <c r="AG33" s="1074"/>
      <c r="AH33" s="1129" t="s">
        <v>7799</v>
      </c>
      <c r="AI33" s="1034"/>
      <c r="AJ33" s="1008"/>
      <c r="AK33" s="1008"/>
      <c r="AL33" s="1008"/>
      <c r="AM33" s="1008"/>
      <c r="AN33" s="1008"/>
      <c r="AO33" s="1008"/>
      <c r="AP33" s="1007" t="s">
        <v>7800</v>
      </c>
      <c r="AQ33" s="1008"/>
      <c r="AR33" s="1008"/>
      <c r="AS33" s="1008"/>
      <c r="AT33" s="1039"/>
      <c r="AU33" s="1008"/>
      <c r="AV33" s="1008"/>
      <c r="AW33" s="1007" t="s">
        <v>431</v>
      </c>
      <c r="AX33" s="1008"/>
      <c r="AY33" s="1007" t="s">
        <v>7801</v>
      </c>
      <c r="AZ33" s="995"/>
      <c r="BA33" s="1065" t="s">
        <v>7802</v>
      </c>
      <c r="BB33" s="1065" t="s">
        <v>7803</v>
      </c>
      <c r="BC33" s="1099"/>
      <c r="BD33" s="1099"/>
      <c r="BE33" s="1065" t="s">
        <v>7804</v>
      </c>
      <c r="BF33" s="995"/>
      <c r="BG33" s="1020"/>
      <c r="BH33" s="1020"/>
      <c r="BI33" s="1020"/>
      <c r="BJ33" s="1078"/>
      <c r="BK33" s="1020"/>
      <c r="BL33" s="1043" t="s">
        <v>7805</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4989</v>
      </c>
      <c r="B34" s="986" t="s">
        <v>1505</v>
      </c>
      <c r="C34" s="987" t="s">
        <v>1262</v>
      </c>
      <c r="D34" s="988" t="s">
        <v>1262</v>
      </c>
      <c r="E34" s="989" t="s">
        <v>1262</v>
      </c>
      <c r="F34" s="990" t="s">
        <v>437</v>
      </c>
      <c r="G34" s="986" t="s">
        <v>6138</v>
      </c>
      <c r="H34" s="992" t="s">
        <v>7806</v>
      </c>
      <c r="I34" s="991"/>
      <c r="J34" s="991"/>
      <c r="K34" s="991"/>
      <c r="L34" s="991"/>
      <c r="M34" s="991"/>
      <c r="N34" s="991"/>
      <c r="O34" s="991"/>
      <c r="P34" s="1034"/>
      <c r="Q34" s="997"/>
      <c r="R34" s="997"/>
      <c r="S34" s="996" t="s">
        <v>1027</v>
      </c>
      <c r="T34" s="996" t="s">
        <v>1972</v>
      </c>
      <c r="U34" s="996" t="s">
        <v>4545</v>
      </c>
      <c r="V34" s="996" t="s">
        <v>7807</v>
      </c>
      <c r="W34" s="1034"/>
      <c r="X34" s="1001" t="s">
        <v>1668</v>
      </c>
      <c r="Y34" s="1074"/>
      <c r="Z34" s="1074"/>
      <c r="AA34" s="1126"/>
      <c r="AB34" s="1074"/>
      <c r="AC34" s="1074"/>
      <c r="AD34" s="1074"/>
      <c r="AE34" s="1074"/>
      <c r="AF34" s="1001"/>
      <c r="AG34" s="1074"/>
      <c r="AH34" s="1006"/>
      <c r="AI34" s="1034"/>
      <c r="AJ34" s="1008"/>
      <c r="AK34" s="1008"/>
      <c r="AL34" s="1008"/>
      <c r="AM34" s="1007" t="s">
        <v>7808</v>
      </c>
      <c r="AN34" s="1008"/>
      <c r="AO34" s="1008"/>
      <c r="AP34" s="1007" t="s">
        <v>7809</v>
      </c>
      <c r="AQ34" s="1008"/>
      <c r="AR34" s="1012" t="s">
        <v>7810</v>
      </c>
      <c r="AS34" s="1008"/>
      <c r="AT34" s="1039"/>
      <c r="AU34" s="1008"/>
      <c r="AV34" s="1008"/>
      <c r="AW34" s="1007" t="s">
        <v>1440</v>
      </c>
      <c r="AX34" s="1008"/>
      <c r="AY34" s="1008"/>
      <c r="AZ34" s="995"/>
      <c r="BA34" s="1099"/>
      <c r="BB34" s="1065" t="s">
        <v>7811</v>
      </c>
      <c r="BC34" s="1065" t="s">
        <v>418</v>
      </c>
      <c r="BD34" s="1065"/>
      <c r="BE34" s="1065" t="s">
        <v>7812</v>
      </c>
      <c r="BF34" s="995"/>
      <c r="BG34" s="1020"/>
      <c r="BH34" s="1020"/>
      <c r="BI34" s="1020"/>
      <c r="BJ34" s="1078"/>
      <c r="BK34" s="1020"/>
      <c r="BL34" s="1020"/>
      <c r="BM34" s="1020"/>
      <c r="BN34" s="1034"/>
      <c r="BO34" s="1024" t="s">
        <v>7813</v>
      </c>
      <c r="BP34" s="1045"/>
      <c r="BQ34" s="1024" t="s">
        <v>1037</v>
      </c>
      <c r="BR34" s="1022"/>
      <c r="BS34" s="1022"/>
      <c r="BT34" s="1022"/>
      <c r="BU34" s="1022"/>
      <c r="BV34" s="1023" t="s">
        <v>7814</v>
      </c>
      <c r="BW34" s="1023" t="s">
        <v>7815</v>
      </c>
      <c r="BX34" s="1034"/>
      <c r="BY34" s="1028"/>
      <c r="BZ34" s="1053" t="s">
        <v>6539</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7816</v>
      </c>
      <c r="O35" s="991"/>
      <c r="P35" s="1034"/>
      <c r="Q35" s="997"/>
      <c r="R35" s="997"/>
      <c r="S35" s="1035" t="s">
        <v>2781</v>
      </c>
      <c r="T35" s="997"/>
      <c r="U35" s="997"/>
      <c r="V35" s="996" t="s">
        <v>7817</v>
      </c>
      <c r="W35" s="1034"/>
      <c r="X35" s="1074"/>
      <c r="Y35" s="1074"/>
      <c r="Z35" s="1001" t="s">
        <v>7586</v>
      </c>
      <c r="AA35" s="1073" t="s">
        <v>605</v>
      </c>
      <c r="AB35" s="1074"/>
      <c r="AC35" s="1074"/>
      <c r="AD35" s="1001" t="s">
        <v>4865</v>
      </c>
      <c r="AE35" s="1001" t="s">
        <v>748</v>
      </c>
      <c r="AF35" s="1074"/>
      <c r="AG35" s="1074"/>
      <c r="AH35" s="1133" t="s">
        <v>7818</v>
      </c>
      <c r="AI35" s="1034"/>
      <c r="AJ35" s="1008"/>
      <c r="AK35" s="1008"/>
      <c r="AL35" s="1008"/>
      <c r="AM35" s="1007" t="s">
        <v>7819</v>
      </c>
      <c r="AN35" s="1008"/>
      <c r="AO35" s="1008"/>
      <c r="AP35" s="1008"/>
      <c r="AQ35" s="1008"/>
      <c r="AR35" s="1008"/>
      <c r="AS35" s="1008"/>
      <c r="AT35" s="1039"/>
      <c r="AU35" s="1008"/>
      <c r="AV35" s="1008"/>
      <c r="AW35" s="1008"/>
      <c r="AX35" s="1008"/>
      <c r="AY35" s="1007" t="s">
        <v>7820</v>
      </c>
      <c r="AZ35" s="995"/>
      <c r="BA35" s="1099"/>
      <c r="BB35" s="1099"/>
      <c r="BC35" s="1099"/>
      <c r="BD35" s="1065" t="s">
        <v>7821</v>
      </c>
      <c r="BE35" s="1065" t="s">
        <v>7822</v>
      </c>
      <c r="BF35" s="995"/>
      <c r="BG35" s="1018" t="s">
        <v>1396</v>
      </c>
      <c r="BH35" s="1020"/>
      <c r="BI35" s="1020"/>
      <c r="BJ35" s="1078"/>
      <c r="BK35" s="1020"/>
      <c r="BL35" s="1018" t="s">
        <v>7823</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6201</v>
      </c>
      <c r="B36" s="986" t="s">
        <v>1066</v>
      </c>
      <c r="C36" s="987" t="s">
        <v>1262</v>
      </c>
      <c r="D36" s="988" t="s">
        <v>1262</v>
      </c>
      <c r="E36" s="989" t="s">
        <v>1262</v>
      </c>
      <c r="F36" s="990" t="s">
        <v>1262</v>
      </c>
      <c r="G36" s="986" t="s">
        <v>2692</v>
      </c>
      <c r="H36" s="991"/>
      <c r="I36" s="991"/>
      <c r="J36" s="991"/>
      <c r="K36" s="991"/>
      <c r="L36" s="992" t="s">
        <v>7824</v>
      </c>
      <c r="M36" s="991"/>
      <c r="N36" s="992" t="s">
        <v>7825</v>
      </c>
      <c r="O36" s="991"/>
      <c r="P36" s="1034"/>
      <c r="Q36" s="997"/>
      <c r="R36" s="997"/>
      <c r="S36" s="997"/>
      <c r="T36" s="997"/>
      <c r="U36" s="996" t="s">
        <v>4494</v>
      </c>
      <c r="V36" s="996" t="s">
        <v>7826</v>
      </c>
      <c r="W36" s="1034"/>
      <c r="X36" s="1074"/>
      <c r="Y36" s="1074"/>
      <c r="Z36" s="1001" t="s">
        <v>7827</v>
      </c>
      <c r="AA36" s="1126"/>
      <c r="AB36" s="1074"/>
      <c r="AC36" s="1074"/>
      <c r="AD36" s="1001" t="s">
        <v>1416</v>
      </c>
      <c r="AE36" s="1001" t="s">
        <v>2899</v>
      </c>
      <c r="AF36" s="1001"/>
      <c r="AG36" s="1074"/>
      <c r="AH36" s="1129" t="s">
        <v>7828</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7829</v>
      </c>
      <c r="BF36" s="995"/>
      <c r="BG36" s="1018" t="s">
        <v>7830</v>
      </c>
      <c r="BH36" s="1018" t="s">
        <v>2988</v>
      </c>
      <c r="BI36" s="1020"/>
      <c r="BJ36" s="1078"/>
      <c r="BK36" s="1020"/>
      <c r="BL36" s="1018" t="s">
        <v>7831</v>
      </c>
      <c r="BM36" s="1020"/>
      <c r="BN36" s="1034"/>
      <c r="BO36" s="1023" t="s">
        <v>1828</v>
      </c>
      <c r="BP36" s="1045"/>
      <c r="BQ36" s="1022"/>
      <c r="BR36" s="1022"/>
      <c r="BS36" s="1022"/>
      <c r="BT36" s="1023" t="s">
        <v>4313</v>
      </c>
      <c r="BU36" s="1022"/>
      <c r="BV36" s="1023" t="s">
        <v>7832</v>
      </c>
      <c r="BW36" s="1023" t="s">
        <v>7833</v>
      </c>
      <c r="BX36" s="1034"/>
      <c r="BY36" s="1028"/>
      <c r="BZ36" s="1028"/>
      <c r="CA36" s="1050"/>
      <c r="CB36" s="1050"/>
      <c r="CC36" s="1050"/>
      <c r="CD36" s="1028"/>
      <c r="CE36" s="1028"/>
      <c r="CF36" s="1028"/>
      <c r="CG36" s="1028"/>
      <c r="CH36" s="1081" t="s">
        <v>5919</v>
      </c>
      <c r="CI36" s="1028"/>
      <c r="CJ36" s="1050"/>
      <c r="CK36" s="1050"/>
    </row>
    <row r="37">
      <c r="A37" s="985" t="s">
        <v>5385</v>
      </c>
      <c r="B37" s="986" t="s">
        <v>2082</v>
      </c>
      <c r="C37" s="987" t="s">
        <v>1262</v>
      </c>
      <c r="D37" s="988" t="s">
        <v>1262</v>
      </c>
      <c r="E37" s="989" t="s">
        <v>1262</v>
      </c>
      <c r="F37" s="990" t="s">
        <v>544</v>
      </c>
      <c r="G37" s="986" t="s">
        <v>330</v>
      </c>
      <c r="H37" s="991"/>
      <c r="I37" s="991"/>
      <c r="J37" s="991"/>
      <c r="K37" s="991"/>
      <c r="L37" s="1106" t="s">
        <v>288</v>
      </c>
      <c r="M37" s="991"/>
      <c r="N37" s="992" t="s">
        <v>7834</v>
      </c>
      <c r="O37" s="991"/>
      <c r="P37" s="1034"/>
      <c r="Q37" s="997"/>
      <c r="R37" s="997"/>
      <c r="S37" s="996" t="s">
        <v>7835</v>
      </c>
      <c r="T37" s="997"/>
      <c r="U37" s="997"/>
      <c r="V37" s="997"/>
      <c r="W37" s="1034"/>
      <c r="X37" s="1074"/>
      <c r="Y37" s="1074"/>
      <c r="Z37" s="1074"/>
      <c r="AA37" s="1132" t="s">
        <v>6800</v>
      </c>
      <c r="AB37" s="1062" t="s">
        <v>7836</v>
      </c>
      <c r="AC37" s="1074"/>
      <c r="AD37" s="1074"/>
      <c r="AE37" s="1074"/>
      <c r="AF37" s="1074"/>
      <c r="AG37" s="1074"/>
      <c r="AH37" s="1129" t="s">
        <v>7837</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7838</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7839</v>
      </c>
      <c r="BX37" s="1034"/>
      <c r="BY37" s="1028"/>
      <c r="BZ37" s="1130" t="s">
        <v>2695</v>
      </c>
      <c r="CA37" s="1050"/>
      <c r="CB37" s="1050"/>
      <c r="CC37" s="1050"/>
      <c r="CD37" s="1028"/>
      <c r="CE37" s="1028"/>
      <c r="CF37" s="1027" t="s">
        <v>7840</v>
      </c>
      <c r="CG37" s="1028"/>
      <c r="CH37" s="1028"/>
      <c r="CI37" s="1053" t="s">
        <v>4930</v>
      </c>
      <c r="CJ37" s="1050"/>
      <c r="CK37" s="1050"/>
    </row>
    <row r="38">
      <c r="A38" s="985" t="s">
        <v>7841</v>
      </c>
      <c r="B38" s="986" t="s">
        <v>7842</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7843</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6447</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7844</v>
      </c>
      <c r="Z39" s="746"/>
      <c r="AA39" s="746"/>
      <c r="AB39" s="721" t="s">
        <v>5068</v>
      </c>
      <c r="AC39" s="746"/>
      <c r="AD39" s="1156"/>
      <c r="AE39" s="1156"/>
      <c r="AF39" s="1156"/>
      <c r="AG39" s="721" t="s">
        <v>7845</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6016</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7846</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5076</v>
      </c>
      <c r="C41" s="987" t="s">
        <v>1262</v>
      </c>
      <c r="D41" s="988" t="s">
        <v>1262</v>
      </c>
      <c r="E41" s="989" t="s">
        <v>1262</v>
      </c>
      <c r="F41" s="990" t="s">
        <v>1262</v>
      </c>
      <c r="G41" s="986" t="s">
        <v>828</v>
      </c>
      <c r="H41" s="991"/>
      <c r="I41" s="991"/>
      <c r="J41" s="992" t="s">
        <v>7847</v>
      </c>
      <c r="K41" s="992"/>
      <c r="L41" s="992"/>
      <c r="M41" s="992" t="s">
        <v>7848</v>
      </c>
      <c r="N41" s="991"/>
      <c r="O41" s="992" t="s">
        <v>7849</v>
      </c>
      <c r="P41" s="1034"/>
      <c r="Q41" s="997"/>
      <c r="R41" s="996" t="s">
        <v>7132</v>
      </c>
      <c r="S41" s="997"/>
      <c r="T41" s="997"/>
      <c r="U41" s="997"/>
      <c r="V41" s="996" t="s">
        <v>7850</v>
      </c>
      <c r="W41" s="1034"/>
      <c r="X41" s="1074"/>
      <c r="Y41" s="1074"/>
      <c r="Z41" s="1074"/>
      <c r="AA41" s="1132" t="s">
        <v>7851</v>
      </c>
      <c r="AB41" s="1001" t="s">
        <v>7852</v>
      </c>
      <c r="AC41" s="1074"/>
      <c r="AD41" s="1074"/>
      <c r="AE41" s="1074"/>
      <c r="AF41" s="1074"/>
      <c r="AG41" s="1001" t="s">
        <v>7853</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7854</v>
      </c>
      <c r="BF41" s="995"/>
      <c r="BG41" s="1020"/>
      <c r="BH41" s="1020"/>
      <c r="BI41" s="1020"/>
      <c r="BJ41" s="1078"/>
      <c r="BK41" s="1020"/>
      <c r="BL41" s="1020"/>
      <c r="BM41" s="1018" t="s">
        <v>7855</v>
      </c>
      <c r="BN41" s="1034"/>
      <c r="BO41" s="1022"/>
      <c r="BP41" s="1045"/>
      <c r="BQ41" s="1022"/>
      <c r="BR41" s="1022"/>
      <c r="BS41" s="1022"/>
      <c r="BT41" s="1022"/>
      <c r="BU41" s="1022"/>
      <c r="BV41" s="1023" t="s">
        <v>7336</v>
      </c>
      <c r="BW41" s="1023" t="s">
        <v>7856</v>
      </c>
      <c r="BX41" s="1034"/>
      <c r="BY41" s="1028"/>
      <c r="BZ41" s="1028"/>
      <c r="CA41" s="1050"/>
      <c r="CB41" s="1050"/>
      <c r="CC41" s="1050"/>
      <c r="CD41" s="1028"/>
      <c r="CE41" s="1028"/>
      <c r="CF41" s="1028"/>
      <c r="CG41" s="1028"/>
      <c r="CH41" s="1028"/>
      <c r="CI41" s="1028"/>
      <c r="CJ41" s="1050"/>
      <c r="CK41" s="1050"/>
    </row>
    <row r="42">
      <c r="A42" s="1159" t="s">
        <v>5355</v>
      </c>
      <c r="B42" s="986" t="s">
        <v>5094</v>
      </c>
      <c r="C42" s="987" t="s">
        <v>1262</v>
      </c>
      <c r="D42" s="988" t="s">
        <v>1262</v>
      </c>
      <c r="E42" s="989" t="s">
        <v>1262</v>
      </c>
      <c r="F42" s="990" t="s">
        <v>329</v>
      </c>
      <c r="G42" s="986" t="s">
        <v>330</v>
      </c>
      <c r="H42" s="992" t="s">
        <v>2053</v>
      </c>
      <c r="I42" s="992"/>
      <c r="J42" s="991"/>
      <c r="K42" s="991"/>
      <c r="L42" s="992" t="s">
        <v>7857</v>
      </c>
      <c r="M42" s="991"/>
      <c r="N42" s="1055" t="s">
        <v>7858</v>
      </c>
      <c r="O42" s="991"/>
      <c r="P42" s="1034"/>
      <c r="Q42" s="996" t="s">
        <v>7859</v>
      </c>
      <c r="R42" s="997"/>
      <c r="S42" s="997"/>
      <c r="T42" s="997"/>
      <c r="U42" s="997"/>
      <c r="V42" s="996" t="s">
        <v>7860</v>
      </c>
      <c r="W42" s="1034"/>
      <c r="X42" s="1074"/>
      <c r="Y42" s="1074"/>
      <c r="Z42" s="1074"/>
      <c r="AA42" s="1126"/>
      <c r="AB42" s="1074"/>
      <c r="AC42" s="1074"/>
      <c r="AD42" s="1074"/>
      <c r="AE42" s="1074"/>
      <c r="AF42" s="1074"/>
      <c r="AG42" s="1074"/>
      <c r="AH42" s="1129" t="s">
        <v>7861</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7862</v>
      </c>
      <c r="BD42" s="1065"/>
      <c r="BE42" s="1065" t="s">
        <v>7863</v>
      </c>
      <c r="BF42" s="995"/>
      <c r="BG42" s="1020"/>
      <c r="BH42" s="1020"/>
      <c r="BI42" s="1020"/>
      <c r="BJ42" s="1078"/>
      <c r="BK42" s="1020"/>
      <c r="BL42" s="1020"/>
      <c r="BM42" s="1020"/>
      <c r="BN42" s="1034"/>
      <c r="BO42" s="1022"/>
      <c r="BP42" s="1045"/>
      <c r="BQ42" s="1023" t="s">
        <v>3560</v>
      </c>
      <c r="BR42" s="1022"/>
      <c r="BS42" s="1022"/>
      <c r="BT42" s="1022"/>
      <c r="BU42" s="1024" t="s">
        <v>7864</v>
      </c>
      <c r="BV42" s="1022"/>
      <c r="BW42" s="1023" t="s">
        <v>7865</v>
      </c>
      <c r="BX42" s="1034"/>
      <c r="BY42" s="1028"/>
      <c r="BZ42" s="1028"/>
      <c r="CA42" s="1050"/>
      <c r="CB42" s="1050"/>
      <c r="CC42" s="1050"/>
      <c r="CD42" s="1028"/>
      <c r="CE42" s="1028"/>
      <c r="CF42" s="1028"/>
      <c r="CG42" s="1028"/>
      <c r="CH42" s="1028"/>
      <c r="CI42" s="1053" t="s">
        <v>7866</v>
      </c>
      <c r="CJ42" s="1050"/>
      <c r="CK42" s="1050"/>
    </row>
    <row r="43">
      <c r="A43" s="985" t="s">
        <v>5822</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7867</v>
      </c>
      <c r="BX43" s="1034"/>
      <c r="BY43" s="1028"/>
      <c r="BZ43" s="1028"/>
      <c r="CA43" s="1050"/>
      <c r="CB43" s="1050"/>
      <c r="CC43" s="1050"/>
      <c r="CD43" s="1028"/>
      <c r="CE43" s="1028"/>
      <c r="CF43" s="1028"/>
      <c r="CG43" s="1028"/>
      <c r="CH43" s="1028"/>
      <c r="CI43" s="1028"/>
      <c r="CJ43" s="1050"/>
      <c r="CK43" s="1050"/>
    </row>
    <row r="44">
      <c r="A44" s="985" t="s">
        <v>2638</v>
      </c>
      <c r="B44" s="986" t="s">
        <v>1876</v>
      </c>
      <c r="C44" s="987" t="s">
        <v>1262</v>
      </c>
      <c r="D44" s="988" t="s">
        <v>1262</v>
      </c>
      <c r="E44" s="989" t="s">
        <v>1262</v>
      </c>
      <c r="F44" s="990" t="s">
        <v>1262</v>
      </c>
      <c r="G44" s="986" t="s">
        <v>329</v>
      </c>
      <c r="H44" s="991"/>
      <c r="I44" s="991"/>
      <c r="J44" s="991"/>
      <c r="K44" s="991"/>
      <c r="L44" s="1160" t="s">
        <v>7868</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7869</v>
      </c>
      <c r="BF44" s="995"/>
      <c r="BG44" s="1114" t="s">
        <v>7870</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6505</v>
      </c>
      <c r="B45" s="986" t="s">
        <v>6084</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6084</v>
      </c>
      <c r="C46" s="987" t="s">
        <v>1262</v>
      </c>
      <c r="D46" s="988" t="s">
        <v>1262</v>
      </c>
      <c r="E46" s="989" t="s">
        <v>1262</v>
      </c>
      <c r="F46" s="990" t="s">
        <v>1262</v>
      </c>
      <c r="G46" s="986" t="s">
        <v>988</v>
      </c>
      <c r="H46" s="991"/>
      <c r="I46" s="991"/>
      <c r="J46" s="991"/>
      <c r="K46" s="991"/>
      <c r="L46" s="992" t="s">
        <v>4776</v>
      </c>
      <c r="M46" s="991"/>
      <c r="N46" s="992" t="s">
        <v>7871</v>
      </c>
      <c r="O46" s="991"/>
      <c r="P46" s="1034"/>
      <c r="Q46" s="997"/>
      <c r="R46" s="997"/>
      <c r="S46" s="997"/>
      <c r="T46" s="997"/>
      <c r="U46" s="996"/>
      <c r="V46" s="996" t="s">
        <v>7872</v>
      </c>
      <c r="W46" s="1034"/>
      <c r="X46" s="1074"/>
      <c r="Y46" s="1074"/>
      <c r="Z46" s="1060" t="s">
        <v>7873</v>
      </c>
      <c r="AA46" s="1126"/>
      <c r="AB46" s="1001" t="s">
        <v>815</v>
      </c>
      <c r="AC46" s="1074"/>
      <c r="AD46" s="1074"/>
      <c r="AE46" s="1074"/>
      <c r="AF46" s="1074"/>
      <c r="AG46" s="1001" t="s">
        <v>7874</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7875</v>
      </c>
      <c r="BF46" s="995"/>
      <c r="BG46" s="1020"/>
      <c r="BH46" s="1020"/>
      <c r="BI46" s="1020"/>
      <c r="BJ46" s="1078"/>
      <c r="BK46" s="1020"/>
      <c r="BL46" s="1020"/>
      <c r="BM46" s="1020"/>
      <c r="BN46" s="1034"/>
      <c r="BO46" s="1023" t="s">
        <v>7876</v>
      </c>
      <c r="BP46" s="1045"/>
      <c r="BQ46" s="1022"/>
      <c r="BR46" s="1022"/>
      <c r="BS46" s="1022"/>
      <c r="BT46" s="1022"/>
      <c r="BU46" s="1022"/>
      <c r="BV46" s="1022"/>
      <c r="BW46" s="1080" t="s">
        <v>7877</v>
      </c>
      <c r="BX46" s="1034"/>
      <c r="BY46" s="1028"/>
      <c r="BZ46" s="1028"/>
      <c r="CA46" s="1050"/>
      <c r="CB46" s="1050"/>
      <c r="CC46" s="1050"/>
      <c r="CD46" s="1028"/>
      <c r="CE46" s="1028"/>
      <c r="CF46" s="1028"/>
      <c r="CG46" s="1028"/>
      <c r="CH46" s="1028"/>
      <c r="CI46" s="1028"/>
      <c r="CJ46" s="1050"/>
      <c r="CK46" s="1050"/>
    </row>
    <row r="47">
      <c r="A47" s="985" t="s">
        <v>6506</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7878</v>
      </c>
      <c r="W47" s="1034"/>
      <c r="X47" s="1074"/>
      <c r="Y47" s="1074"/>
      <c r="Z47" s="1074"/>
      <c r="AA47" s="1126"/>
      <c r="AB47" s="1074"/>
      <c r="AC47" s="1074"/>
      <c r="AD47" s="1074"/>
      <c r="AE47" s="1074"/>
      <c r="AF47" s="1074"/>
      <c r="AG47" s="1074"/>
      <c r="AH47" s="1129" t="s">
        <v>7879</v>
      </c>
      <c r="AI47" s="1034"/>
      <c r="AJ47" s="1008"/>
      <c r="AK47" s="1008"/>
      <c r="AL47" s="1008"/>
      <c r="AM47" s="1008"/>
      <c r="AN47" s="1008"/>
      <c r="AO47" s="1008"/>
      <c r="AP47" s="1008"/>
      <c r="AQ47" s="1008"/>
      <c r="AR47" s="1008"/>
      <c r="AS47" s="1008"/>
      <c r="AT47" s="1039"/>
      <c r="AU47" s="1008"/>
      <c r="AV47" s="1008"/>
      <c r="AW47" s="1008"/>
      <c r="AX47" s="1008"/>
      <c r="AY47" s="1129" t="s">
        <v>7880</v>
      </c>
      <c r="AZ47" s="995"/>
      <c r="BA47" s="1099"/>
      <c r="BB47" s="1099"/>
      <c r="BC47" s="1099"/>
      <c r="BD47" s="1099"/>
      <c r="BE47" s="1129" t="s">
        <v>7881</v>
      </c>
      <c r="BF47" s="995"/>
      <c r="BG47" s="1020"/>
      <c r="BH47" s="1020"/>
      <c r="BI47" s="1020"/>
      <c r="BJ47" s="1078"/>
      <c r="BK47" s="1020"/>
      <c r="BL47" s="1129" t="s">
        <v>7882</v>
      </c>
      <c r="BM47" s="1018"/>
      <c r="BN47" s="1034"/>
      <c r="BO47" s="1022"/>
      <c r="BP47" s="1045"/>
      <c r="BQ47" s="1022"/>
      <c r="BR47" s="1022"/>
      <c r="BS47" s="1022"/>
      <c r="BT47" s="1022"/>
      <c r="BU47" s="1022"/>
      <c r="BV47" s="1022"/>
      <c r="BW47" s="1129" t="s">
        <v>7883</v>
      </c>
      <c r="BX47" s="1034"/>
      <c r="BY47" s="1028"/>
      <c r="BZ47" s="1028"/>
      <c r="CA47" s="1050"/>
      <c r="CB47" s="1050"/>
      <c r="CC47" s="1050"/>
      <c r="CD47" s="1028"/>
      <c r="CE47" s="1028"/>
      <c r="CF47" s="1028"/>
      <c r="CG47" s="1028"/>
      <c r="CH47" s="1028"/>
      <c r="CI47" s="1028"/>
      <c r="CJ47" s="1050"/>
      <c r="CK47" s="1050"/>
    </row>
    <row r="48">
      <c r="A48" s="1138" t="s">
        <v>7884</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7885</v>
      </c>
      <c r="AA48" s="1074"/>
      <c r="AB48" s="1094" t="s">
        <v>7886</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7887</v>
      </c>
      <c r="B49" s="986" t="s">
        <v>3311</v>
      </c>
      <c r="C49" s="987" t="s">
        <v>1262</v>
      </c>
      <c r="D49" s="988" t="s">
        <v>1262</v>
      </c>
      <c r="E49" s="989" t="s">
        <v>1262</v>
      </c>
      <c r="F49" s="990" t="s">
        <v>1262</v>
      </c>
      <c r="G49" s="986" t="s">
        <v>329</v>
      </c>
      <c r="H49" s="991"/>
      <c r="I49" s="991"/>
      <c r="J49" s="991"/>
      <c r="K49" s="991"/>
      <c r="L49" s="991"/>
      <c r="M49" s="991"/>
      <c r="N49" s="992" t="s">
        <v>7888</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7889</v>
      </c>
      <c r="BF49" s="995"/>
      <c r="BG49" s="1020"/>
      <c r="BH49" s="1020"/>
      <c r="BI49" s="1020"/>
      <c r="BJ49" s="1078"/>
      <c r="BK49" s="1020"/>
      <c r="BL49" s="1020"/>
      <c r="BM49" s="1020"/>
      <c r="BN49" s="1034"/>
      <c r="BO49" s="1022"/>
      <c r="BP49" s="1045"/>
      <c r="BQ49" s="1022"/>
      <c r="BR49" s="1022"/>
      <c r="BS49" s="1022"/>
      <c r="BT49" s="1022"/>
      <c r="BU49" s="1022"/>
      <c r="BV49" s="1022"/>
      <c r="BW49" s="1023" t="s">
        <v>7890</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5995</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7891</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7892</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6286</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7893</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5691</v>
      </c>
      <c r="AL53" s="1007" t="s">
        <v>7894</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7895</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7896</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6061</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7897</v>
      </c>
      <c r="W56" s="1034"/>
      <c r="X56" s="1074"/>
      <c r="Y56" s="1074"/>
      <c r="Z56" s="1074"/>
      <c r="AA56" s="1126"/>
      <c r="AB56" s="1074"/>
      <c r="AC56" s="1074"/>
      <c r="AD56" s="1074"/>
      <c r="AE56" s="1074"/>
      <c r="AF56" s="1074"/>
      <c r="AG56" s="1074"/>
      <c r="AH56" s="1129" t="s">
        <v>7898</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7899</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6103</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7900</v>
      </c>
      <c r="B58" s="986" t="s">
        <v>329</v>
      </c>
      <c r="C58" s="987" t="s">
        <v>1262</v>
      </c>
      <c r="D58" s="988" t="s">
        <v>1262</v>
      </c>
      <c r="E58" s="989" t="s">
        <v>1262</v>
      </c>
      <c r="F58" s="990" t="s">
        <v>435</v>
      </c>
      <c r="G58" s="986" t="s">
        <v>435</v>
      </c>
      <c r="H58" s="991"/>
      <c r="I58" s="991"/>
      <c r="J58" s="991"/>
      <c r="K58" s="991"/>
      <c r="L58" s="1055" t="s">
        <v>7901</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7275</v>
      </c>
      <c r="BV58" s="1022"/>
      <c r="BW58" s="1022"/>
      <c r="BX58" s="1034"/>
      <c r="BY58" s="1028"/>
      <c r="BZ58" s="1028"/>
      <c r="CA58" s="1050"/>
      <c r="CB58" s="1050"/>
      <c r="CC58" s="1050"/>
      <c r="CD58" s="1028"/>
      <c r="CE58" s="1028"/>
      <c r="CF58" s="1028"/>
      <c r="CG58" s="1028"/>
      <c r="CH58" s="1028"/>
      <c r="CI58" s="1028"/>
      <c r="CJ58" s="1050"/>
      <c r="CK58" s="1050"/>
    </row>
    <row r="59">
      <c r="A59" s="985" t="s">
        <v>7902</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6717</v>
      </c>
      <c r="Q1" s="29" t="s">
        <v>38</v>
      </c>
      <c r="T1" s="30" t="s">
        <v>39</v>
      </c>
      <c r="W1" s="32" t="s">
        <v>6955</v>
      </c>
      <c r="Z1" s="33" t="s">
        <v>7017</v>
      </c>
      <c r="AC1" s="34" t="s">
        <v>42</v>
      </c>
      <c r="AF1" s="1172"/>
      <c r="AG1" s="1172"/>
    </row>
    <row r="2" ht="38.25" customHeight="1">
      <c r="A2" s="35" t="s">
        <v>43</v>
      </c>
      <c r="B2" s="36" t="s">
        <v>44</v>
      </c>
      <c r="C2" s="36" t="s">
        <v>45</v>
      </c>
      <c r="F2" s="36" t="s">
        <v>7904</v>
      </c>
      <c r="H2" s="1173" t="s">
        <v>7905</v>
      </c>
      <c r="I2" s="1174"/>
      <c r="J2" s="1174"/>
      <c r="K2" s="1175" t="s">
        <v>7906</v>
      </c>
      <c r="L2" s="1175" t="s">
        <v>7907</v>
      </c>
      <c r="M2" s="1175" t="s">
        <v>7908</v>
      </c>
      <c r="N2" s="1176" t="s">
        <v>54</v>
      </c>
      <c r="O2" s="1176"/>
      <c r="P2" s="1176"/>
      <c r="Q2" s="42" t="s">
        <v>48</v>
      </c>
      <c r="R2" s="42" t="s">
        <v>7909</v>
      </c>
      <c r="S2" s="42"/>
      <c r="T2" s="44" t="s">
        <v>50</v>
      </c>
      <c r="U2" s="44" t="s">
        <v>54</v>
      </c>
      <c r="V2" s="44" t="s">
        <v>62</v>
      </c>
      <c r="W2" s="45" t="s">
        <v>52</v>
      </c>
      <c r="X2" s="45"/>
      <c r="Y2" s="45"/>
      <c r="Z2" s="47" t="s">
        <v>51</v>
      </c>
      <c r="AA2" s="1177" t="s">
        <v>7910</v>
      </c>
      <c r="AB2" s="47"/>
      <c r="AC2" s="1178" t="s">
        <v>7911</v>
      </c>
      <c r="AD2" s="1178"/>
      <c r="AE2" s="1178"/>
      <c r="AF2" s="1179"/>
      <c r="AG2" s="1179"/>
    </row>
    <row r="3">
      <c r="A3" s="1180" t="s">
        <v>4228</v>
      </c>
      <c r="B3" s="1181" t="s">
        <v>6138</v>
      </c>
      <c r="C3" s="1182" t="s">
        <v>544</v>
      </c>
      <c r="D3" s="1183" t="s">
        <v>544</v>
      </c>
      <c r="E3" s="1184" t="s">
        <v>435</v>
      </c>
      <c r="F3" s="1185" t="s">
        <v>437</v>
      </c>
      <c r="G3" s="1181" t="s">
        <v>437</v>
      </c>
      <c r="H3" s="1186"/>
      <c r="I3" s="1187"/>
      <c r="J3" s="1188"/>
      <c r="K3" s="1189"/>
      <c r="L3" s="1156"/>
      <c r="M3" s="1156"/>
      <c r="N3" s="1156"/>
      <c r="O3" s="1190"/>
      <c r="P3" s="1190"/>
      <c r="Q3" s="1191" t="s">
        <v>6121</v>
      </c>
      <c r="R3" s="1186"/>
      <c r="S3" s="1186"/>
      <c r="T3" s="1192" t="s">
        <v>6950</v>
      </c>
      <c r="U3" s="1190"/>
      <c r="V3" s="1190"/>
      <c r="W3" s="1192" t="s">
        <v>7912</v>
      </c>
      <c r="X3" s="1190"/>
      <c r="Y3" s="1190"/>
      <c r="Z3" s="1193" t="s">
        <v>7913</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2110</v>
      </c>
      <c r="U4" s="1190"/>
      <c r="V4" s="1190"/>
      <c r="W4" s="1191" t="s">
        <v>7914</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7915</v>
      </c>
      <c r="X5" s="1190"/>
      <c r="Y5" s="1190"/>
      <c r="Z5" s="1199" t="s">
        <v>7916</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7765</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7917</v>
      </c>
      <c r="S7" s="1156"/>
      <c r="T7" s="1190"/>
      <c r="U7" s="1190"/>
      <c r="V7" s="1190"/>
      <c r="W7" s="1156"/>
      <c r="X7" s="1190"/>
      <c r="Y7" s="1190"/>
      <c r="Z7" s="1191" t="s">
        <v>7918</v>
      </c>
      <c r="AA7" s="1191" t="s">
        <v>6275</v>
      </c>
      <c r="AB7" s="1156"/>
      <c r="AC7" s="1190"/>
      <c r="AD7" s="1190"/>
      <c r="AE7" s="1190"/>
      <c r="AF7" s="1194"/>
      <c r="AG7" s="1194"/>
    </row>
    <row r="8">
      <c r="A8" s="1161" t="s">
        <v>7887</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6836</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7919</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6869</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7920</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7921</v>
      </c>
      <c r="L12" s="1156"/>
      <c r="M12" s="1156"/>
      <c r="N12" s="1156"/>
      <c r="O12" s="1190"/>
      <c r="P12" s="1190"/>
      <c r="Q12" s="1190"/>
      <c r="R12" s="1156"/>
      <c r="S12" s="1156"/>
      <c r="T12" s="1190"/>
      <c r="U12" s="1190"/>
      <c r="V12" s="1190"/>
      <c r="W12" s="1191" t="s">
        <v>7914</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7922</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5562</v>
      </c>
      <c r="W14" s="1156"/>
      <c r="X14" s="1190"/>
      <c r="Y14" s="1190"/>
      <c r="Z14" s="1156"/>
      <c r="AA14" s="1190"/>
      <c r="AB14" s="1156"/>
      <c r="AC14" s="1190"/>
      <c r="AD14" s="1190"/>
      <c r="AE14" s="1190"/>
      <c r="AF14" s="1194"/>
      <c r="AG14" s="1194"/>
    </row>
    <row r="15">
      <c r="A15" s="1180" t="s">
        <v>7923</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5385</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6618</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7924</v>
      </c>
      <c r="AD18" s="1190"/>
      <c r="AE18" s="1190"/>
      <c r="AF18" s="1194"/>
      <c r="AG18" s="1194"/>
    </row>
    <row r="19">
      <c r="A19" s="1054" t="s">
        <v>6442</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7925</v>
      </c>
      <c r="W19" s="1156"/>
      <c r="X19" s="1190"/>
      <c r="Y19" s="1190"/>
      <c r="Z19" s="1156"/>
      <c r="AA19" s="1190"/>
      <c r="AB19" s="1156"/>
      <c r="AC19" s="1190"/>
      <c r="AD19" s="1190"/>
      <c r="AE19" s="1190"/>
      <c r="AF19" s="1194"/>
      <c r="AG19" s="1194"/>
    </row>
    <row r="20">
      <c r="A20" s="1180" t="s">
        <v>7926</v>
      </c>
      <c r="B20" s="1181" t="s">
        <v>329</v>
      </c>
      <c r="C20" s="1182" t="s">
        <v>435</v>
      </c>
      <c r="D20" s="1183" t="s">
        <v>1262</v>
      </c>
      <c r="E20" s="1184" t="s">
        <v>1262</v>
      </c>
      <c r="F20" s="1185" t="s">
        <v>435</v>
      </c>
      <c r="G20" s="1181" t="s">
        <v>435</v>
      </c>
      <c r="H20" s="1156"/>
      <c r="I20" s="96"/>
      <c r="J20" s="92"/>
      <c r="K20" s="1191" t="s">
        <v>7927</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7928</v>
      </c>
      <c r="AD21" s="1190"/>
      <c r="AE21" s="1190"/>
      <c r="AF21" s="1194"/>
      <c r="AG21" s="1194"/>
    </row>
    <row r="22">
      <c r="A22" s="1180" t="s">
        <v>6480</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7929</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7930</v>
      </c>
      <c r="V24" s="1190"/>
      <c r="W24" s="1156"/>
      <c r="X24" s="1190"/>
      <c r="Y24" s="1190"/>
      <c r="Z24" s="1156"/>
      <c r="AA24" s="1190"/>
      <c r="AB24" s="1156"/>
      <c r="AC24" s="1190"/>
      <c r="AD24" s="1190"/>
      <c r="AE24" s="1190"/>
      <c r="AF24" s="1194"/>
      <c r="AG24" s="1194"/>
    </row>
    <row r="25">
      <c r="A25" s="1161" t="s">
        <v>6277</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15" t="s">
        <v>7932</v>
      </c>
      <c r="W1" s="1216" t="s">
        <v>7933</v>
      </c>
      <c r="AM1" s="1217" t="s">
        <v>7934</v>
      </c>
      <c r="BG1" s="1218" t="s">
        <v>7935</v>
      </c>
      <c r="BQ1" s="1219" t="s">
        <v>7936</v>
      </c>
      <c r="BV1" s="1220" t="s">
        <v>7937</v>
      </c>
      <c r="CE1" s="1215" t="s">
        <v>7938</v>
      </c>
      <c r="CM1" s="1221" t="s">
        <v>7939</v>
      </c>
      <c r="CP1" s="1222" t="s">
        <v>7940</v>
      </c>
      <c r="CT1" s="1223" t="s">
        <v>7941</v>
      </c>
    </row>
    <row r="2">
      <c r="A2" s="1224" t="s">
        <v>43</v>
      </c>
      <c r="B2" s="36" t="s">
        <v>44</v>
      </c>
      <c r="C2" s="36" t="s">
        <v>45</v>
      </c>
      <c r="F2" s="36" t="s">
        <v>7942</v>
      </c>
      <c r="H2" s="1225" t="s">
        <v>7943</v>
      </c>
      <c r="I2" s="1225" t="s">
        <v>7944</v>
      </c>
      <c r="J2" s="1225" t="s">
        <v>7945</v>
      </c>
      <c r="K2" s="1225" t="s">
        <v>7946</v>
      </c>
      <c r="L2" s="1225" t="s">
        <v>7947</v>
      </c>
      <c r="M2" s="1225" t="s">
        <v>7948</v>
      </c>
      <c r="N2" s="1225" t="s">
        <v>7949</v>
      </c>
      <c r="O2" s="1225" t="s">
        <v>7950</v>
      </c>
      <c r="P2" s="1225" t="s">
        <v>7951</v>
      </c>
      <c r="Q2" s="1225" t="s">
        <v>7952</v>
      </c>
      <c r="R2" s="1225" t="s">
        <v>7953</v>
      </c>
      <c r="S2" s="1225" t="s">
        <v>7954</v>
      </c>
      <c r="T2" s="1225" t="s">
        <v>7955</v>
      </c>
      <c r="U2" s="1225" t="s">
        <v>7956</v>
      </c>
      <c r="V2" s="1225" t="s">
        <v>7957</v>
      </c>
      <c r="W2" s="1226" t="s">
        <v>7958</v>
      </c>
      <c r="X2" s="1226" t="s">
        <v>7959</v>
      </c>
      <c r="Y2" s="1226" t="s">
        <v>7960</v>
      </c>
      <c r="Z2" s="1226" t="s">
        <v>7961</v>
      </c>
      <c r="AA2" s="1226" t="s">
        <v>7962</v>
      </c>
      <c r="AB2" s="1226" t="s">
        <v>7963</v>
      </c>
      <c r="AC2" s="1226" t="s">
        <v>7964</v>
      </c>
      <c r="AD2" s="1226" t="s">
        <v>7965</v>
      </c>
      <c r="AE2" s="1226" t="s">
        <v>7966</v>
      </c>
      <c r="AF2" s="1226" t="s">
        <v>7967</v>
      </c>
      <c r="AG2" s="1226" t="s">
        <v>7968</v>
      </c>
      <c r="AH2" s="1226" t="s">
        <v>7969</v>
      </c>
      <c r="AI2" s="1226" t="s">
        <v>7970</v>
      </c>
      <c r="AJ2" s="1226" t="s">
        <v>7971</v>
      </c>
      <c r="AK2" s="1226" t="s">
        <v>7972</v>
      </c>
      <c r="AL2" s="1226" t="s">
        <v>7973</v>
      </c>
      <c r="AM2" s="1227" t="s">
        <v>7974</v>
      </c>
      <c r="AN2" s="1227" t="s">
        <v>7975</v>
      </c>
      <c r="AO2" s="1227" t="s">
        <v>7976</v>
      </c>
      <c r="AP2" s="1227" t="s">
        <v>7977</v>
      </c>
      <c r="AQ2" s="1227" t="s">
        <v>7978</v>
      </c>
      <c r="AR2" s="1227" t="s">
        <v>7979</v>
      </c>
      <c r="AS2" s="1227" t="s">
        <v>7980</v>
      </c>
      <c r="AT2" s="1227" t="s">
        <v>7981</v>
      </c>
      <c r="AU2" s="1227" t="s">
        <v>7982</v>
      </c>
      <c r="AV2" s="1227" t="s">
        <v>7983</v>
      </c>
      <c r="AW2" s="1227" t="s">
        <v>7984</v>
      </c>
      <c r="AX2" s="1227" t="s">
        <v>7985</v>
      </c>
      <c r="AY2" s="1227" t="s">
        <v>7986</v>
      </c>
      <c r="AZ2" s="1227" t="s">
        <v>7987</v>
      </c>
      <c r="BA2" s="1227" t="s">
        <v>7988</v>
      </c>
      <c r="BB2" s="1227" t="s">
        <v>7989</v>
      </c>
      <c r="BC2" s="1227" t="s">
        <v>7990</v>
      </c>
      <c r="BD2" s="1227" t="s">
        <v>7991</v>
      </c>
      <c r="BE2" s="1227" t="s">
        <v>7992</v>
      </c>
      <c r="BF2" s="1227" t="s">
        <v>7993</v>
      </c>
      <c r="BG2" s="1228" t="s">
        <v>7994</v>
      </c>
      <c r="BH2" s="1228" t="s">
        <v>7995</v>
      </c>
      <c r="BI2" s="1228" t="s">
        <v>7996</v>
      </c>
      <c r="BJ2" s="1228" t="s">
        <v>7997</v>
      </c>
      <c r="BK2" s="1228" t="s">
        <v>7998</v>
      </c>
      <c r="BL2" s="1228" t="s">
        <v>7999</v>
      </c>
      <c r="BM2" s="1228" t="s">
        <v>8000</v>
      </c>
      <c r="BN2" s="1228" t="s">
        <v>8001</v>
      </c>
      <c r="BO2" s="1228" t="s">
        <v>8002</v>
      </c>
      <c r="BP2" s="1228" t="s">
        <v>8003</v>
      </c>
      <c r="BQ2" s="1229" t="s">
        <v>8004</v>
      </c>
      <c r="BR2" s="1229" t="s">
        <v>8005</v>
      </c>
      <c r="BS2" s="1229" t="s">
        <v>8006</v>
      </c>
      <c r="BT2" s="1229" t="s">
        <v>8007</v>
      </c>
      <c r="BU2" s="1229" t="s">
        <v>8008</v>
      </c>
      <c r="BV2" s="1230" t="s">
        <v>8009</v>
      </c>
      <c r="BW2" s="1230" t="s">
        <v>8010</v>
      </c>
      <c r="BX2" s="1230" t="s">
        <v>8011</v>
      </c>
      <c r="BY2" s="1230" t="s">
        <v>8012</v>
      </c>
      <c r="BZ2" s="1230" t="s">
        <v>8013</v>
      </c>
      <c r="CA2" s="1230" t="s">
        <v>8014</v>
      </c>
      <c r="CB2" s="1230" t="s">
        <v>8015</v>
      </c>
      <c r="CC2" s="1230" t="s">
        <v>8016</v>
      </c>
      <c r="CD2" s="1230" t="s">
        <v>8017</v>
      </c>
      <c r="CE2" s="1231" t="s">
        <v>7943</v>
      </c>
      <c r="CF2" s="1231" t="s">
        <v>7946</v>
      </c>
      <c r="CG2" s="1231" t="s">
        <v>7950</v>
      </c>
      <c r="CH2" s="1231" t="s">
        <v>7952</v>
      </c>
      <c r="CI2" s="1231" t="s">
        <v>7953</v>
      </c>
      <c r="CJ2" s="1231" t="s">
        <v>7956</v>
      </c>
      <c r="CK2" s="1231" t="s">
        <v>8018</v>
      </c>
      <c r="CL2" s="1231" t="s">
        <v>8019</v>
      </c>
      <c r="CM2" s="1232" t="s">
        <v>8020</v>
      </c>
      <c r="CN2" s="1232" t="s">
        <v>8021</v>
      </c>
      <c r="CO2" s="1232" t="s">
        <v>8022</v>
      </c>
      <c r="CP2" s="1175" t="s">
        <v>8023</v>
      </c>
      <c r="CQ2" s="1175" t="s">
        <v>8024</v>
      </c>
      <c r="CR2" s="1175" t="s">
        <v>8025</v>
      </c>
      <c r="CS2" s="1175" t="s">
        <v>8026</v>
      </c>
      <c r="CT2" s="1233" t="s">
        <v>8027</v>
      </c>
    </row>
    <row r="3">
      <c r="A3" s="1234" t="s">
        <v>6502</v>
      </c>
      <c r="B3" s="986" t="s">
        <v>8028</v>
      </c>
      <c r="C3" s="987" t="s">
        <v>828</v>
      </c>
      <c r="D3" s="988" t="s">
        <v>435</v>
      </c>
      <c r="E3" s="989" t="s">
        <v>329</v>
      </c>
      <c r="F3" s="990" t="s">
        <v>2692</v>
      </c>
      <c r="G3" s="986" t="s">
        <v>3578</v>
      </c>
      <c r="H3" s="746" t="s">
        <v>8029</v>
      </c>
      <c r="I3" s="1196" t="s">
        <v>8030</v>
      </c>
      <c r="J3" s="746" t="s">
        <v>7706</v>
      </c>
      <c r="K3" s="704" t="s">
        <v>8031</v>
      </c>
      <c r="L3" s="1196" t="s">
        <v>2907</v>
      </c>
      <c r="M3" s="1235" t="s">
        <v>8032</v>
      </c>
      <c r="N3" s="746" t="s">
        <v>8033</v>
      </c>
      <c r="O3" s="1196" t="s">
        <v>8034</v>
      </c>
      <c r="P3" s="1197" t="s">
        <v>8035</v>
      </c>
      <c r="Q3" s="1197" t="s">
        <v>8036</v>
      </c>
      <c r="R3" s="746" t="s">
        <v>8037</v>
      </c>
      <c r="S3" s="1199" t="s">
        <v>8038</v>
      </c>
      <c r="T3" s="721" t="s">
        <v>8039</v>
      </c>
      <c r="U3" s="1191" t="s">
        <v>8040</v>
      </c>
      <c r="V3" s="746" t="s">
        <v>8041</v>
      </c>
      <c r="W3" s="746" t="s">
        <v>2352</v>
      </c>
      <c r="X3" s="1199" t="s">
        <v>1777</v>
      </c>
      <c r="Y3" s="746" t="s">
        <v>1944</v>
      </c>
      <c r="Z3" s="1199" t="s">
        <v>8042</v>
      </c>
      <c r="AA3" s="746" t="s">
        <v>4446</v>
      </c>
      <c r="AB3" s="1199"/>
      <c r="AC3" s="746" t="s">
        <v>3483</v>
      </c>
      <c r="AD3" s="746" t="s">
        <v>3810</v>
      </c>
      <c r="AE3" s="746" t="s">
        <v>8043</v>
      </c>
      <c r="AF3" s="1199" t="s">
        <v>8044</v>
      </c>
      <c r="AG3" s="1199"/>
      <c r="AH3" s="1199" t="s">
        <v>8045</v>
      </c>
      <c r="AI3" s="1199" t="s">
        <v>8046</v>
      </c>
      <c r="AJ3" s="1190"/>
      <c r="AK3" s="1199"/>
      <c r="AL3" s="746"/>
      <c r="AM3" s="1199" t="s">
        <v>8047</v>
      </c>
      <c r="AN3" s="1191" t="s">
        <v>8048</v>
      </c>
      <c r="AO3" s="1191" t="s">
        <v>8049</v>
      </c>
      <c r="AP3" s="1191" t="s">
        <v>8050</v>
      </c>
      <c r="AQ3" s="1191" t="s">
        <v>8051</v>
      </c>
      <c r="AR3" s="1191" t="s">
        <v>8052</v>
      </c>
      <c r="AS3" s="1191" t="s">
        <v>8053</v>
      </c>
      <c r="AT3" s="1235" t="s">
        <v>8054</v>
      </c>
      <c r="AU3" s="1191" t="s">
        <v>8055</v>
      </c>
      <c r="AV3" s="1191" t="s">
        <v>8056</v>
      </c>
      <c r="AW3" s="721" t="s">
        <v>8057</v>
      </c>
      <c r="AX3" s="1191" t="s">
        <v>8058</v>
      </c>
      <c r="AY3" s="1199" t="s">
        <v>8059</v>
      </c>
      <c r="AZ3" s="1199" t="s">
        <v>5076</v>
      </c>
      <c r="BA3" s="1191" t="s">
        <v>7244</v>
      </c>
      <c r="BB3" s="1199" t="s">
        <v>8060</v>
      </c>
      <c r="BC3" s="1199" t="s">
        <v>8061</v>
      </c>
      <c r="BD3" s="746" t="s">
        <v>8062</v>
      </c>
      <c r="BE3" s="1199"/>
      <c r="BF3" s="1191" t="s">
        <v>8063</v>
      </c>
      <c r="BG3" s="1199"/>
      <c r="BH3" s="1199"/>
      <c r="BI3" s="1199" t="s">
        <v>8064</v>
      </c>
      <c r="BJ3" s="1199"/>
      <c r="BK3" s="1199"/>
      <c r="BL3" s="746"/>
      <c r="BM3" s="1199" t="s">
        <v>8065</v>
      </c>
      <c r="BN3" s="1199"/>
      <c r="BO3" s="1199"/>
      <c r="BP3" s="1199"/>
      <c r="BQ3" s="746" t="s">
        <v>8066</v>
      </c>
      <c r="BR3" s="1190"/>
      <c r="BS3" s="746" t="s">
        <v>8067</v>
      </c>
      <c r="BT3" s="1190"/>
      <c r="BU3" s="746" t="s">
        <v>8068</v>
      </c>
      <c r="BV3" s="1156"/>
      <c r="BW3" s="1190"/>
      <c r="BX3" s="1199" t="s">
        <v>3976</v>
      </c>
      <c r="BY3" s="1190"/>
      <c r="BZ3" s="1156"/>
      <c r="CA3" s="1199" t="s">
        <v>3516</v>
      </c>
      <c r="CB3" s="1199" t="s">
        <v>369</v>
      </c>
      <c r="CC3" s="1199" t="s">
        <v>2409</v>
      </c>
      <c r="CD3" s="1199"/>
      <c r="CE3" s="746" t="s">
        <v>8069</v>
      </c>
      <c r="CF3" s="746" t="s">
        <v>8070</v>
      </c>
      <c r="CG3" s="1199"/>
      <c r="CH3" s="1199"/>
      <c r="CI3" s="1199"/>
      <c r="CJ3" s="1199"/>
      <c r="CK3" s="1199"/>
      <c r="CL3" s="1199"/>
      <c r="CM3" s="1199"/>
      <c r="CN3" s="746"/>
      <c r="CO3" s="1199"/>
      <c r="CP3" s="746" t="s">
        <v>8071</v>
      </c>
      <c r="CQ3" s="746" t="s">
        <v>8072</v>
      </c>
      <c r="CR3" s="1199"/>
      <c r="CS3" s="1199"/>
      <c r="CT3" s="1199" t="s">
        <v>8073</v>
      </c>
    </row>
    <row r="4">
      <c r="A4" s="1236" t="s">
        <v>6480</v>
      </c>
      <c r="B4" s="986" t="s">
        <v>8074</v>
      </c>
      <c r="C4" s="987" t="s">
        <v>331</v>
      </c>
      <c r="D4" s="988" t="s">
        <v>437</v>
      </c>
      <c r="E4" s="989" t="s">
        <v>3311</v>
      </c>
      <c r="F4" s="990" t="s">
        <v>8075</v>
      </c>
      <c r="G4" s="986" t="s">
        <v>1808</v>
      </c>
      <c r="H4" s="1237" t="s">
        <v>8076</v>
      </c>
      <c r="I4" s="1238" t="s">
        <v>8077</v>
      </c>
      <c r="J4" s="1156"/>
      <c r="K4" s="746" t="s">
        <v>8078</v>
      </c>
      <c r="L4" s="1190"/>
      <c r="M4" s="1191" t="s">
        <v>8079</v>
      </c>
      <c r="N4" s="1156"/>
      <c r="O4" s="721" t="s">
        <v>8080</v>
      </c>
      <c r="P4" s="1196" t="s">
        <v>8081</v>
      </c>
      <c r="Q4" s="1190"/>
      <c r="R4" s="721" t="s">
        <v>8082</v>
      </c>
      <c r="S4" s="1156"/>
      <c r="T4" s="746" t="s">
        <v>8083</v>
      </c>
      <c r="U4" s="721" t="s">
        <v>7557</v>
      </c>
      <c r="V4" s="1191" t="s">
        <v>8084</v>
      </c>
      <c r="W4" s="721" t="s">
        <v>1297</v>
      </c>
      <c r="X4" s="721" t="s">
        <v>1726</v>
      </c>
      <c r="Y4" s="721" t="s">
        <v>1588</v>
      </c>
      <c r="Z4" s="1191" t="s">
        <v>2934</v>
      </c>
      <c r="AA4" s="1186"/>
      <c r="AB4" s="1239" t="s">
        <v>8085</v>
      </c>
      <c r="AC4" s="721" t="s">
        <v>3396</v>
      </c>
      <c r="AD4" s="721" t="s">
        <v>6313</v>
      </c>
      <c r="AE4" s="1186"/>
      <c r="AF4" s="1196" t="s">
        <v>7808</v>
      </c>
      <c r="AG4" s="1190"/>
      <c r="AH4" s="1197" t="s">
        <v>8086</v>
      </c>
      <c r="AI4" s="1197" t="s">
        <v>4983</v>
      </c>
      <c r="AJ4" s="1190"/>
      <c r="AK4" s="721" t="s">
        <v>8087</v>
      </c>
      <c r="AL4" s="1156"/>
      <c r="AM4" s="1196" t="s">
        <v>8088</v>
      </c>
      <c r="AN4" s="746" t="s">
        <v>8089</v>
      </c>
      <c r="AO4" s="746" t="s">
        <v>8090</v>
      </c>
      <c r="AP4" s="1196" t="s">
        <v>8047</v>
      </c>
      <c r="AQ4" s="1156"/>
      <c r="AR4" s="746" t="s">
        <v>8091</v>
      </c>
      <c r="AS4" s="1156"/>
      <c r="AT4" s="1196" t="s">
        <v>8054</v>
      </c>
      <c r="AU4" s="1196" t="s">
        <v>8092</v>
      </c>
      <c r="AV4" s="1156"/>
      <c r="AW4" s="1196" t="s">
        <v>8093</v>
      </c>
      <c r="AX4" s="1156"/>
      <c r="AY4" s="1156"/>
      <c r="AZ4" s="1196" t="s">
        <v>1581</v>
      </c>
      <c r="BA4" s="1197" t="s">
        <v>5205</v>
      </c>
      <c r="BB4" s="1196" t="s">
        <v>8094</v>
      </c>
      <c r="BC4" s="721" t="s">
        <v>8095</v>
      </c>
      <c r="BD4" s="1191" t="s">
        <v>8096</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6489</v>
      </c>
      <c r="B5" s="986" t="s">
        <v>8097</v>
      </c>
      <c r="C5" s="987" t="s">
        <v>437</v>
      </c>
      <c r="D5" s="988" t="s">
        <v>331</v>
      </c>
      <c r="E5" s="989" t="s">
        <v>1262</v>
      </c>
      <c r="F5" s="990" t="s">
        <v>1204</v>
      </c>
      <c r="G5" s="986" t="s">
        <v>5537</v>
      </c>
      <c r="H5" s="746" t="s">
        <v>8098</v>
      </c>
      <c r="I5" s="746" t="s">
        <v>7761</v>
      </c>
      <c r="J5" s="746"/>
      <c r="K5" s="1197" t="s">
        <v>8099</v>
      </c>
      <c r="L5" s="1191" t="s">
        <v>8100</v>
      </c>
      <c r="M5" s="746"/>
      <c r="N5" s="746"/>
      <c r="O5" s="721" t="s">
        <v>8101</v>
      </c>
      <c r="P5" s="746" t="s">
        <v>8102</v>
      </c>
      <c r="Q5" s="746" t="s">
        <v>8103</v>
      </c>
      <c r="R5" s="1191" t="s">
        <v>8104</v>
      </c>
      <c r="S5" s="746"/>
      <c r="T5" s="1197" t="s">
        <v>8105</v>
      </c>
      <c r="U5" s="1197" t="s">
        <v>8106</v>
      </c>
      <c r="V5" s="746"/>
      <c r="W5" s="746" t="s">
        <v>6528</v>
      </c>
      <c r="X5" s="746"/>
      <c r="Y5" s="746" t="s">
        <v>8107</v>
      </c>
      <c r="Z5" s="1197" t="s">
        <v>1140</v>
      </c>
      <c r="AA5" s="1186"/>
      <c r="AB5" s="1186"/>
      <c r="AC5" s="746" t="s">
        <v>8108</v>
      </c>
      <c r="AD5" s="1156"/>
      <c r="AE5" s="746"/>
      <c r="AF5" s="746" t="s">
        <v>8109</v>
      </c>
      <c r="AG5" s="746"/>
      <c r="AH5" s="746" t="s">
        <v>8110</v>
      </c>
      <c r="AI5" s="746" t="s">
        <v>2028</v>
      </c>
      <c r="AJ5" s="1156"/>
      <c r="AK5" s="746"/>
      <c r="AL5" s="746"/>
      <c r="AM5" s="746" t="s">
        <v>8111</v>
      </c>
      <c r="AN5" s="1156"/>
      <c r="AO5" s="1156"/>
      <c r="AP5" s="746" t="s">
        <v>8112</v>
      </c>
      <c r="AQ5" s="1197" t="s">
        <v>8113</v>
      </c>
      <c r="AR5" s="746" t="s">
        <v>8114</v>
      </c>
      <c r="AS5" s="746"/>
      <c r="AT5" s="746" t="s">
        <v>8115</v>
      </c>
      <c r="AU5" s="721" t="s">
        <v>8116</v>
      </c>
      <c r="AV5" s="746"/>
      <c r="AW5" s="1200" t="s">
        <v>8117</v>
      </c>
      <c r="AX5" s="112"/>
      <c r="AY5" s="112" t="s">
        <v>8118</v>
      </c>
      <c r="AZ5" s="746" t="s">
        <v>3047</v>
      </c>
      <c r="BA5" s="746"/>
      <c r="BB5" s="746" t="s">
        <v>8096</v>
      </c>
      <c r="BC5" s="1191" t="s">
        <v>8119</v>
      </c>
      <c r="BD5" s="746" t="s">
        <v>8120</v>
      </c>
      <c r="BE5" s="746"/>
      <c r="BF5" s="746"/>
      <c r="BG5" s="746" t="s">
        <v>8121</v>
      </c>
      <c r="BH5" s="746"/>
      <c r="BI5" s="746"/>
      <c r="BJ5" s="746"/>
      <c r="BK5" s="746" t="s">
        <v>8122</v>
      </c>
      <c r="BL5" s="746"/>
      <c r="BM5" s="746"/>
      <c r="BN5" s="746"/>
      <c r="BO5" s="746"/>
      <c r="BP5" s="746" t="s">
        <v>8123</v>
      </c>
      <c r="BQ5" s="1156"/>
      <c r="BR5" s="1156"/>
      <c r="BS5" s="1156"/>
      <c r="BT5" s="1156"/>
      <c r="BU5" s="1156"/>
      <c r="BV5" s="746"/>
      <c r="BW5" s="746" t="s">
        <v>6781</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6501</v>
      </c>
      <c r="B6" s="986" t="s">
        <v>8124</v>
      </c>
      <c r="C6" s="987" t="s">
        <v>3311</v>
      </c>
      <c r="D6" s="988" t="s">
        <v>828</v>
      </c>
      <c r="E6" s="989" t="s">
        <v>437</v>
      </c>
      <c r="F6" s="990" t="s">
        <v>8075</v>
      </c>
      <c r="G6" s="986" t="s">
        <v>5799</v>
      </c>
      <c r="H6" s="1197" t="s">
        <v>8125</v>
      </c>
      <c r="I6" s="721" t="s">
        <v>8126</v>
      </c>
      <c r="J6" s="746"/>
      <c r="K6" s="1196" t="s">
        <v>8127</v>
      </c>
      <c r="L6" s="721" t="s">
        <v>8128</v>
      </c>
      <c r="M6" s="1156"/>
      <c r="N6" s="1156"/>
      <c r="O6" s="721" t="s">
        <v>8129</v>
      </c>
      <c r="P6" s="1156"/>
      <c r="Q6" s="746" t="s">
        <v>8130</v>
      </c>
      <c r="R6" s="1197" t="s">
        <v>8131</v>
      </c>
      <c r="S6" s="1156"/>
      <c r="T6" s="1196" t="s">
        <v>8132</v>
      </c>
      <c r="U6" s="1196" t="s">
        <v>670</v>
      </c>
      <c r="V6" s="746" t="s">
        <v>8133</v>
      </c>
      <c r="W6" s="1156"/>
      <c r="X6" s="1196" t="s">
        <v>6105</v>
      </c>
      <c r="Y6" s="1197" t="s">
        <v>2532</v>
      </c>
      <c r="Z6" s="1156"/>
      <c r="AA6" s="1156"/>
      <c r="AB6" s="1156"/>
      <c r="AC6" s="1156"/>
      <c r="AD6" s="746" t="s">
        <v>8134</v>
      </c>
      <c r="AE6" s="1186"/>
      <c r="AF6" s="721" t="s">
        <v>463</v>
      </c>
      <c r="AG6" s="1186"/>
      <c r="AH6" s="1156"/>
      <c r="AI6" s="1156"/>
      <c r="AJ6" s="1191" t="s">
        <v>2213</v>
      </c>
      <c r="AK6" s="1197" t="s">
        <v>6060</v>
      </c>
      <c r="AL6" s="1242" t="s">
        <v>8135</v>
      </c>
      <c r="AM6" s="1197" t="s">
        <v>8136</v>
      </c>
      <c r="AN6" s="1156"/>
      <c r="AO6" s="1156"/>
      <c r="AP6" s="746" t="s">
        <v>8047</v>
      </c>
      <c r="AQ6" s="746"/>
      <c r="AR6" s="1197" t="s">
        <v>8137</v>
      </c>
      <c r="AS6" s="1186"/>
      <c r="AT6" s="1191" t="s">
        <v>8138</v>
      </c>
      <c r="AU6" s="721" t="s">
        <v>8139</v>
      </c>
      <c r="AV6" s="1197" t="s">
        <v>8140</v>
      </c>
      <c r="AW6" s="1197" t="s">
        <v>8141</v>
      </c>
      <c r="AX6" s="1156"/>
      <c r="AY6" s="1156"/>
      <c r="AZ6" s="1191" t="s">
        <v>4574</v>
      </c>
      <c r="BA6" s="1186"/>
      <c r="BB6" s="1197" t="s">
        <v>8142</v>
      </c>
      <c r="BC6" s="1197" t="s">
        <v>8143</v>
      </c>
      <c r="BD6" s="1156"/>
      <c r="BE6" s="1156"/>
      <c r="BF6" s="1156"/>
      <c r="BG6" s="1243" t="s">
        <v>8144</v>
      </c>
      <c r="BH6" s="1099"/>
      <c r="BI6" s="1099"/>
      <c r="BJ6" s="1099"/>
      <c r="BK6" s="1243" t="s">
        <v>8145</v>
      </c>
      <c r="BL6" s="1099"/>
      <c r="BM6" s="1014" t="s">
        <v>8146</v>
      </c>
      <c r="BN6" s="1041" t="s">
        <v>8147</v>
      </c>
      <c r="BO6" s="1099"/>
      <c r="BP6" s="1099"/>
      <c r="BQ6" s="1244"/>
      <c r="BR6" s="1156"/>
      <c r="BS6" s="1191" t="s">
        <v>8148</v>
      </c>
      <c r="BT6" s="1156"/>
      <c r="BU6" s="1156"/>
      <c r="BV6" s="1156"/>
      <c r="BW6" s="1156"/>
      <c r="BX6" s="1156"/>
      <c r="BY6" s="1156"/>
      <c r="BZ6" s="1156"/>
      <c r="CA6" s="1156"/>
      <c r="CB6" s="1156"/>
      <c r="CC6" s="1197" t="s">
        <v>449</v>
      </c>
      <c r="CD6" s="1186"/>
      <c r="CE6" s="1245"/>
      <c r="CF6" s="1245"/>
      <c r="CG6" s="1246"/>
      <c r="CH6" s="1246"/>
      <c r="CI6" s="1245" t="s">
        <v>8149</v>
      </c>
      <c r="CJ6" s="1246"/>
      <c r="CK6" s="1246"/>
      <c r="CL6" s="1245" t="s">
        <v>5537</v>
      </c>
      <c r="CM6" s="1247" t="s">
        <v>2225</v>
      </c>
      <c r="CN6" s="1247" t="s">
        <v>3364</v>
      </c>
      <c r="CO6" s="1245"/>
      <c r="CP6" s="1245"/>
      <c r="CQ6" s="1245"/>
      <c r="CR6" s="1245"/>
      <c r="CS6" s="1247" t="s">
        <v>8150</v>
      </c>
      <c r="CT6" s="92"/>
    </row>
    <row r="7">
      <c r="A7" s="1248" t="s">
        <v>7314</v>
      </c>
      <c r="B7" s="986" t="s">
        <v>8151</v>
      </c>
      <c r="C7" s="987" t="s">
        <v>437</v>
      </c>
      <c r="D7" s="988" t="s">
        <v>436</v>
      </c>
      <c r="E7" s="989" t="s">
        <v>436</v>
      </c>
      <c r="F7" s="990" t="s">
        <v>1062</v>
      </c>
      <c r="G7" s="986" t="s">
        <v>3047</v>
      </c>
      <c r="H7" s="721" t="s">
        <v>8152</v>
      </c>
      <c r="I7" s="704" t="s">
        <v>8153</v>
      </c>
      <c r="J7" s="1249"/>
      <c r="K7" s="721" t="s">
        <v>8154</v>
      </c>
      <c r="L7" s="1208"/>
      <c r="M7" s="1196" t="s">
        <v>8155</v>
      </c>
      <c r="N7" s="1156"/>
      <c r="O7" s="1156"/>
      <c r="P7" s="1199" t="s">
        <v>8156</v>
      </c>
      <c r="Q7" s="1190"/>
      <c r="R7" s="746"/>
      <c r="S7" s="1156"/>
      <c r="T7" s="1156"/>
      <c r="U7" s="1199" t="s">
        <v>8157</v>
      </c>
      <c r="V7" s="1199"/>
      <c r="W7" s="1196" t="s">
        <v>2125</v>
      </c>
      <c r="X7" s="721" t="s">
        <v>1818</v>
      </c>
      <c r="Y7" s="721" t="s">
        <v>2055</v>
      </c>
      <c r="Z7" s="1196" t="s">
        <v>8158</v>
      </c>
      <c r="AA7" s="1186"/>
      <c r="AB7" s="1186"/>
      <c r="AC7" s="1199" t="s">
        <v>8159</v>
      </c>
      <c r="AD7" s="721" t="s">
        <v>4468</v>
      </c>
      <c r="AE7" s="1186"/>
      <c r="AF7" s="721" t="s">
        <v>8160</v>
      </c>
      <c r="AG7" s="1208"/>
      <c r="AH7" s="1199" t="s">
        <v>8161</v>
      </c>
      <c r="AI7" s="1199" t="s">
        <v>119</v>
      </c>
      <c r="AJ7" s="1199"/>
      <c r="AK7" s="746" t="s">
        <v>5759</v>
      </c>
      <c r="AL7" s="1199" t="s">
        <v>6253</v>
      </c>
      <c r="AM7" s="1250" t="s">
        <v>8162</v>
      </c>
      <c r="AN7" s="1196" t="s">
        <v>8163</v>
      </c>
      <c r="AO7" s="1197" t="s">
        <v>8164</v>
      </c>
      <c r="AP7" s="721" t="s">
        <v>8165</v>
      </c>
      <c r="AQ7" s="1186"/>
      <c r="AR7" s="721" t="s">
        <v>8166</v>
      </c>
      <c r="AS7" s="1186"/>
      <c r="AT7" s="1197" t="s">
        <v>8122</v>
      </c>
      <c r="AU7" s="721" t="s">
        <v>8167</v>
      </c>
      <c r="AV7" s="1186"/>
      <c r="AW7" s="1198" t="s">
        <v>8168</v>
      </c>
      <c r="AX7" s="1186"/>
      <c r="AY7" s="1197" t="s">
        <v>8169</v>
      </c>
      <c r="AZ7" s="721" t="s">
        <v>4630</v>
      </c>
      <c r="BA7" s="1186"/>
      <c r="BB7" s="721" t="s">
        <v>8170</v>
      </c>
      <c r="BC7" s="1198" t="s">
        <v>8171</v>
      </c>
      <c r="BD7" s="1196" t="s">
        <v>8172</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8173</v>
      </c>
      <c r="BZ7" s="1197" t="s">
        <v>8174</v>
      </c>
      <c r="CA7" s="1191" t="s">
        <v>1282</v>
      </c>
      <c r="CB7" s="1191" t="s">
        <v>8175</v>
      </c>
      <c r="CC7" s="1191" t="s">
        <v>475</v>
      </c>
      <c r="CD7" s="1252" t="s">
        <v>2509</v>
      </c>
      <c r="CE7" s="1190"/>
      <c r="CF7" s="1156"/>
      <c r="CG7" s="1190"/>
      <c r="CH7" s="1190"/>
      <c r="CI7" s="1190"/>
      <c r="CJ7" s="1190"/>
      <c r="CK7" s="1190"/>
      <c r="CL7" s="1190"/>
      <c r="CM7" s="1190"/>
      <c r="CN7" s="1156"/>
      <c r="CO7" s="1190"/>
      <c r="CP7" s="1190"/>
      <c r="CQ7" s="1190"/>
      <c r="CR7" s="1190"/>
      <c r="CS7" s="1190"/>
      <c r="CT7" s="746" t="s">
        <v>8176</v>
      </c>
    </row>
    <row r="8">
      <c r="A8" s="1253" t="s">
        <v>8177</v>
      </c>
      <c r="B8" s="986" t="s">
        <v>8178</v>
      </c>
      <c r="C8" s="987" t="s">
        <v>544</v>
      </c>
      <c r="D8" s="988" t="s">
        <v>437</v>
      </c>
      <c r="E8" s="989" t="s">
        <v>331</v>
      </c>
      <c r="F8" s="990" t="s">
        <v>219</v>
      </c>
      <c r="G8" s="986" t="s">
        <v>5784</v>
      </c>
      <c r="H8" s="721" t="s">
        <v>8179</v>
      </c>
      <c r="I8" s="721" t="s">
        <v>8180</v>
      </c>
      <c r="J8" s="1186"/>
      <c r="K8" s="1156"/>
      <c r="L8" s="1190"/>
      <c r="M8" s="1156"/>
      <c r="N8" s="1156"/>
      <c r="O8" s="1156"/>
      <c r="P8" s="746" t="s">
        <v>8181</v>
      </c>
      <c r="Q8" s="1190"/>
      <c r="R8" s="1196" t="s">
        <v>8182</v>
      </c>
      <c r="S8" s="1156"/>
      <c r="T8" s="1156"/>
      <c r="U8" s="1250" t="s">
        <v>8183</v>
      </c>
      <c r="V8" s="1208"/>
      <c r="W8" s="1235" t="s">
        <v>783</v>
      </c>
      <c r="X8" s="1208" t="s">
        <v>3734</v>
      </c>
      <c r="Y8" s="1254" t="s">
        <v>4980</v>
      </c>
      <c r="Z8" s="1186"/>
      <c r="AA8" s="1186" t="s">
        <v>8184</v>
      </c>
      <c r="AB8" s="1208"/>
      <c r="AC8" s="1196" t="s">
        <v>8185</v>
      </c>
      <c r="AD8" s="721" t="s">
        <v>818</v>
      </c>
      <c r="AE8" s="1186"/>
      <c r="AF8" s="1186"/>
      <c r="AG8" s="1208"/>
      <c r="AH8" s="1190"/>
      <c r="AI8" s="1190"/>
      <c r="AJ8" s="1190"/>
      <c r="AK8" s="1199" t="s">
        <v>323</v>
      </c>
      <c r="AL8" s="746"/>
      <c r="AM8" s="1191" t="s">
        <v>8186</v>
      </c>
      <c r="AN8" s="1199" t="s">
        <v>8187</v>
      </c>
      <c r="AO8" s="1156"/>
      <c r="AP8" s="721" t="s">
        <v>8163</v>
      </c>
      <c r="AQ8" s="1186"/>
      <c r="AR8" s="1156"/>
      <c r="AS8" s="1156"/>
      <c r="AT8" s="721" t="s">
        <v>8188</v>
      </c>
      <c r="AU8" s="746"/>
      <c r="AV8" s="746"/>
      <c r="AW8" s="721" t="s">
        <v>8189</v>
      </c>
      <c r="AX8" s="1156"/>
      <c r="AY8" s="1156"/>
      <c r="AZ8" s="1156"/>
      <c r="BA8" s="1156"/>
      <c r="BB8" s="721" t="s">
        <v>8190</v>
      </c>
      <c r="BC8" s="1199" t="s">
        <v>8191</v>
      </c>
      <c r="BD8" s="1156"/>
      <c r="BE8" s="1190"/>
      <c r="BF8" s="1156"/>
      <c r="BG8" s="1100"/>
      <c r="BH8" s="1065" t="s">
        <v>8192</v>
      </c>
      <c r="BI8" s="1100"/>
      <c r="BJ8" s="1100"/>
      <c r="BK8" s="1100"/>
      <c r="BL8" s="1099"/>
      <c r="BM8" s="1100"/>
      <c r="BN8" s="1100"/>
      <c r="BO8" s="1100"/>
      <c r="BP8" s="1100"/>
      <c r="BQ8" s="1190"/>
      <c r="BR8" s="1190"/>
      <c r="BS8" s="1197" t="s">
        <v>8193</v>
      </c>
      <c r="BT8" s="1190"/>
      <c r="BU8" s="1190"/>
      <c r="BV8" s="1255" t="s">
        <v>1139</v>
      </c>
      <c r="BW8" s="1196" t="s">
        <v>3534</v>
      </c>
      <c r="BX8" s="1197" t="s">
        <v>2311</v>
      </c>
      <c r="BY8" s="1250" t="s">
        <v>3199</v>
      </c>
      <c r="BZ8" s="1186"/>
      <c r="CA8" s="1197" t="s">
        <v>1969</v>
      </c>
      <c r="CB8" s="1250" t="s">
        <v>2793</v>
      </c>
      <c r="CC8" s="1256" t="s">
        <v>3443</v>
      </c>
      <c r="CD8" s="1201"/>
      <c r="CE8" s="1257"/>
      <c r="CF8" s="1246"/>
      <c r="CG8" s="1257"/>
      <c r="CH8" s="1257"/>
      <c r="CI8" s="1257"/>
      <c r="CJ8" s="1257"/>
      <c r="CK8" s="1257"/>
      <c r="CL8" s="1257"/>
      <c r="CM8" s="1258" t="s">
        <v>3679</v>
      </c>
      <c r="CN8" s="1246"/>
      <c r="CO8" s="1257"/>
      <c r="CP8" s="1257"/>
      <c r="CQ8" s="1259" t="s">
        <v>8168</v>
      </c>
      <c r="CR8" s="1257"/>
      <c r="CS8" s="1257"/>
      <c r="CT8" s="1260"/>
    </row>
    <row r="9">
      <c r="A9" s="1261" t="s">
        <v>2977</v>
      </c>
      <c r="B9" s="986" t="s">
        <v>8194</v>
      </c>
      <c r="C9" s="987" t="s">
        <v>435</v>
      </c>
      <c r="D9" s="988" t="s">
        <v>435</v>
      </c>
      <c r="E9" s="989" t="s">
        <v>1262</v>
      </c>
      <c r="F9" s="990" t="s">
        <v>1064</v>
      </c>
      <c r="G9" s="986" t="s">
        <v>1808</v>
      </c>
      <c r="H9" s="1262"/>
      <c r="I9" s="1262" t="s">
        <v>8195</v>
      </c>
      <c r="J9" s="1156"/>
      <c r="K9" s="746" t="s">
        <v>8196</v>
      </c>
      <c r="L9" s="721" t="s">
        <v>8197</v>
      </c>
      <c r="M9" s="746" t="s">
        <v>8198</v>
      </c>
      <c r="N9" s="1156"/>
      <c r="O9" s="746" t="s">
        <v>8199</v>
      </c>
      <c r="P9" s="746" t="s">
        <v>8200</v>
      </c>
      <c r="Q9" s="746" t="s">
        <v>8201</v>
      </c>
      <c r="R9" s="746" t="s">
        <v>8202</v>
      </c>
      <c r="S9" s="1197" t="s">
        <v>3015</v>
      </c>
      <c r="T9" s="1156"/>
      <c r="U9" s="746" t="s">
        <v>3865</v>
      </c>
      <c r="V9" s="1190"/>
      <c r="W9" s="746" t="s">
        <v>4937</v>
      </c>
      <c r="X9" s="721" t="s">
        <v>3563</v>
      </c>
      <c r="Y9" s="721" t="s">
        <v>8203</v>
      </c>
      <c r="Z9" s="1156"/>
      <c r="AA9" s="1191" t="s">
        <v>5604</v>
      </c>
      <c r="AB9" s="1190"/>
      <c r="AC9" s="746" t="s">
        <v>5705</v>
      </c>
      <c r="AD9" s="746" t="s">
        <v>1985</v>
      </c>
      <c r="AE9" s="746"/>
      <c r="AF9" s="746" t="s">
        <v>5562</v>
      </c>
      <c r="AG9" s="1190"/>
      <c r="AH9" s="1190"/>
      <c r="AI9" s="1190"/>
      <c r="AJ9" s="1190"/>
      <c r="AK9" s="1156"/>
      <c r="AL9" s="1156"/>
      <c r="AM9" s="1199" t="s">
        <v>8168</v>
      </c>
      <c r="AN9" s="1156"/>
      <c r="AO9" s="1156"/>
      <c r="AP9" s="746" t="s">
        <v>8204</v>
      </c>
      <c r="AQ9" s="746" t="s">
        <v>8204</v>
      </c>
      <c r="AR9" s="746" t="s">
        <v>8205</v>
      </c>
      <c r="AS9" s="746" t="s">
        <v>8206</v>
      </c>
      <c r="AT9" s="746" t="s">
        <v>8206</v>
      </c>
      <c r="AU9" s="1197" t="s">
        <v>8207</v>
      </c>
      <c r="AV9" s="746" t="s">
        <v>8188</v>
      </c>
      <c r="AW9" s="746" t="s">
        <v>8162</v>
      </c>
      <c r="AX9" s="1156"/>
      <c r="AY9" s="1191" t="s">
        <v>8208</v>
      </c>
      <c r="AZ9" s="746" t="s">
        <v>5076</v>
      </c>
      <c r="BA9" s="746"/>
      <c r="BB9" s="746" t="s">
        <v>8172</v>
      </c>
      <c r="BC9" s="1199" t="s">
        <v>8209</v>
      </c>
      <c r="BD9" s="1199" t="s">
        <v>8210</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8211</v>
      </c>
      <c r="CT9" s="1156"/>
    </row>
    <row r="10">
      <c r="A10" s="1264" t="s">
        <v>2145</v>
      </c>
      <c r="B10" s="986" t="s">
        <v>8212</v>
      </c>
      <c r="C10" s="987" t="s">
        <v>1262</v>
      </c>
      <c r="D10" s="988" t="s">
        <v>435</v>
      </c>
      <c r="E10" s="989" t="s">
        <v>435</v>
      </c>
      <c r="F10" s="990" t="s">
        <v>437</v>
      </c>
      <c r="G10" s="986" t="s">
        <v>4574</v>
      </c>
      <c r="H10" s="1262" t="s">
        <v>8213</v>
      </c>
      <c r="I10" s="1265" t="s">
        <v>2158</v>
      </c>
      <c r="J10" s="746" t="s">
        <v>8214</v>
      </c>
      <c r="K10" s="746" t="s">
        <v>8215</v>
      </c>
      <c r="L10" s="746" t="s">
        <v>8216</v>
      </c>
      <c r="M10" s="746" t="s">
        <v>8217</v>
      </c>
      <c r="N10" s="746" t="s">
        <v>8218</v>
      </c>
      <c r="O10" s="746" t="s">
        <v>8219</v>
      </c>
      <c r="P10" s="746" t="s">
        <v>8220</v>
      </c>
      <c r="Q10" s="746" t="s">
        <v>8221</v>
      </c>
      <c r="R10" s="746" t="s">
        <v>8222</v>
      </c>
      <c r="S10" s="1196" t="s">
        <v>8223</v>
      </c>
      <c r="T10" s="746" t="s">
        <v>8224</v>
      </c>
      <c r="U10" s="746" t="s">
        <v>8225</v>
      </c>
      <c r="V10" s="1196" t="s">
        <v>8226</v>
      </c>
      <c r="W10" s="746" t="s">
        <v>3864</v>
      </c>
      <c r="X10" s="746" t="s">
        <v>8227</v>
      </c>
      <c r="Y10" s="1199" t="s">
        <v>1985</v>
      </c>
      <c r="Z10" s="1156"/>
      <c r="AA10" s="1156"/>
      <c r="AB10" s="1190"/>
      <c r="AC10" s="1199" t="s">
        <v>8228</v>
      </c>
      <c r="AD10" s="1199" t="s">
        <v>5376</v>
      </c>
      <c r="AE10" s="1197" t="s">
        <v>2519</v>
      </c>
      <c r="AF10" s="1199" t="s">
        <v>8229</v>
      </c>
      <c r="AG10" s="746" t="s">
        <v>8230</v>
      </c>
      <c r="AH10" s="1190"/>
      <c r="AI10" s="1190"/>
      <c r="AJ10" s="1190"/>
      <c r="AK10" s="746" t="s">
        <v>8231</v>
      </c>
      <c r="AL10" s="746" t="s">
        <v>2748</v>
      </c>
      <c r="AM10" s="1156"/>
      <c r="AN10" s="1156"/>
      <c r="AO10" s="1156"/>
      <c r="AP10" s="1156"/>
      <c r="AQ10" s="1156"/>
      <c r="AR10" s="1156"/>
      <c r="AS10" s="1156"/>
      <c r="AT10" s="746" t="s">
        <v>8232</v>
      </c>
      <c r="AU10" s="746" t="s">
        <v>8172</v>
      </c>
      <c r="AV10" s="1156"/>
      <c r="AW10" s="746" t="s">
        <v>8170</v>
      </c>
      <c r="AX10" s="746" t="s">
        <v>8233</v>
      </c>
      <c r="AY10" s="1156"/>
      <c r="AZ10" s="746"/>
      <c r="BA10" s="746"/>
      <c r="BB10" s="1186"/>
      <c r="BC10" s="746" t="s">
        <v>8209</v>
      </c>
      <c r="BD10" s="746" t="s">
        <v>8234</v>
      </c>
      <c r="BE10" s="746"/>
      <c r="BF10" s="746" t="s">
        <v>8235</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5904</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8236</v>
      </c>
    </row>
    <row r="11">
      <c r="A11" s="1267" t="s">
        <v>8237</v>
      </c>
      <c r="B11" s="986" t="s">
        <v>8238</v>
      </c>
      <c r="C11" s="987" t="s">
        <v>544</v>
      </c>
      <c r="D11" s="988" t="s">
        <v>437</v>
      </c>
      <c r="E11" s="989" t="s">
        <v>329</v>
      </c>
      <c r="F11" s="990" t="s">
        <v>219</v>
      </c>
      <c r="G11" s="986" t="s">
        <v>5990</v>
      </c>
      <c r="H11" s="1262" t="s">
        <v>8239</v>
      </c>
      <c r="I11" s="1262" t="s">
        <v>8240</v>
      </c>
      <c r="J11" s="1156"/>
      <c r="K11" s="746" t="s">
        <v>8241</v>
      </c>
      <c r="L11" s="1190"/>
      <c r="M11" s="1156"/>
      <c r="N11" s="1156"/>
      <c r="O11" s="1156"/>
      <c r="P11" s="746" t="s">
        <v>8242</v>
      </c>
      <c r="Q11" s="1190"/>
      <c r="R11" s="1156"/>
      <c r="S11" s="1156"/>
      <c r="T11" s="746" t="s">
        <v>8243</v>
      </c>
      <c r="U11" s="746" t="s">
        <v>760</v>
      </c>
      <c r="V11" s="1190"/>
      <c r="W11" s="1156"/>
      <c r="X11" s="721" t="s">
        <v>2494</v>
      </c>
      <c r="Y11" s="721" t="s">
        <v>4193</v>
      </c>
      <c r="Z11" s="1156"/>
      <c r="AA11" s="1197" t="s">
        <v>6065</v>
      </c>
      <c r="AB11" s="1190"/>
      <c r="AC11" s="721" t="s">
        <v>2214</v>
      </c>
      <c r="AD11" s="721" t="s">
        <v>2294</v>
      </c>
      <c r="AE11" s="721" t="s">
        <v>6016</v>
      </c>
      <c r="AF11" s="1156"/>
      <c r="AG11" s="1190"/>
      <c r="AH11" s="1190"/>
      <c r="AI11" s="1190"/>
      <c r="AJ11" s="1190"/>
      <c r="AK11" s="1190"/>
      <c r="AL11" s="1156"/>
      <c r="AM11" s="746" t="s">
        <v>8071</v>
      </c>
      <c r="AN11" s="1197" t="s">
        <v>8141</v>
      </c>
      <c r="AO11" s="1156"/>
      <c r="AP11" s="843" t="s">
        <v>8071</v>
      </c>
      <c r="AQ11" s="1196" t="s">
        <v>8244</v>
      </c>
      <c r="AR11" s="1196" t="s">
        <v>8234</v>
      </c>
      <c r="AS11" s="1156"/>
      <c r="AT11" s="721" t="s">
        <v>8245</v>
      </c>
      <c r="AU11" s="721" t="s">
        <v>8246</v>
      </c>
      <c r="AV11" s="1196" t="s">
        <v>8247</v>
      </c>
      <c r="AW11" s="721" t="s">
        <v>8204</v>
      </c>
      <c r="AX11" s="1197" t="s">
        <v>8248</v>
      </c>
      <c r="AY11" s="1156"/>
      <c r="AZ11" s="1156"/>
      <c r="BA11" s="1156"/>
      <c r="BB11" s="721" t="s">
        <v>8246</v>
      </c>
      <c r="BC11" s="1156"/>
      <c r="BD11" s="1197" t="s">
        <v>8249</v>
      </c>
      <c r="BE11" s="1268" t="s">
        <v>8250</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6505</v>
      </c>
      <c r="B12" s="986" t="s">
        <v>8251</v>
      </c>
      <c r="C12" s="987" t="s">
        <v>437</v>
      </c>
      <c r="D12" s="988" t="s">
        <v>1064</v>
      </c>
      <c r="E12" s="989" t="s">
        <v>544</v>
      </c>
      <c r="F12" s="990" t="s">
        <v>219</v>
      </c>
      <c r="G12" s="986" t="s">
        <v>1062</v>
      </c>
      <c r="H12" s="1272" t="str">
        <f>HYPERLINK("https://www.twitch.tv/videos/990301696","3:46.19")</f>
        <v>3:46.19</v>
      </c>
      <c r="I12" s="1262" t="s">
        <v>8252</v>
      </c>
      <c r="J12" s="746"/>
      <c r="K12" s="746" t="s">
        <v>8253</v>
      </c>
      <c r="L12" s="1190"/>
      <c r="M12" s="1273" t="str">
        <f>HYPERLINK("https://youtu.be/muKa7MrNAp8","2:59.41")</f>
        <v>2:59.41</v>
      </c>
      <c r="N12" s="1235"/>
      <c r="O12" s="112" t="s">
        <v>8254</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8255</v>
      </c>
      <c r="X12" s="746"/>
      <c r="Y12" s="746" t="s">
        <v>8256</v>
      </c>
      <c r="Z12" s="1156"/>
      <c r="AA12" s="1156"/>
      <c r="AB12" s="1190"/>
      <c r="AC12" s="1156"/>
      <c r="AD12" s="746" t="s">
        <v>4245</v>
      </c>
      <c r="AE12" s="1156"/>
      <c r="AF12" s="1156"/>
      <c r="AG12" s="1190"/>
      <c r="AH12" s="746" t="s">
        <v>5788</v>
      </c>
      <c r="AI12" s="1199"/>
      <c r="AJ12" s="1199"/>
      <c r="AK12" s="1196" t="s">
        <v>8257</v>
      </c>
      <c r="AL12" s="1186"/>
      <c r="AM12" s="1199" t="s">
        <v>8204</v>
      </c>
      <c r="AN12" s="1156"/>
      <c r="AO12" s="1156"/>
      <c r="AP12" s="1156"/>
      <c r="AQ12" s="1156"/>
      <c r="AR12" s="1156"/>
      <c r="AS12" s="1156"/>
      <c r="AT12" s="746" t="s">
        <v>8258</v>
      </c>
      <c r="AU12" s="746" t="s">
        <v>8259</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8260</v>
      </c>
      <c r="C13" s="987" t="s">
        <v>1262</v>
      </c>
      <c r="D13" s="988" t="s">
        <v>544</v>
      </c>
      <c r="E13" s="989" t="s">
        <v>1262</v>
      </c>
      <c r="F13" s="990" t="s">
        <v>544</v>
      </c>
      <c r="G13" s="986" t="s">
        <v>3896</v>
      </c>
      <c r="H13" s="1262"/>
      <c r="I13" s="1262" t="s">
        <v>8261</v>
      </c>
      <c r="J13" s="746" t="s">
        <v>8262</v>
      </c>
      <c r="K13" s="746" t="s">
        <v>8263</v>
      </c>
      <c r="L13" s="1190"/>
      <c r="M13" s="746" t="s">
        <v>8264</v>
      </c>
      <c r="N13" s="746" t="s">
        <v>8265</v>
      </c>
      <c r="O13" s="1156"/>
      <c r="P13" s="746" t="s">
        <v>8266</v>
      </c>
      <c r="Q13" s="1190"/>
      <c r="R13" s="1199" t="s">
        <v>8267</v>
      </c>
      <c r="S13" s="746" t="s">
        <v>8268</v>
      </c>
      <c r="T13" s="746" t="s">
        <v>8145</v>
      </c>
      <c r="U13" s="746" t="s">
        <v>8269</v>
      </c>
      <c r="V13" s="746" t="s">
        <v>8270</v>
      </c>
      <c r="W13" s="746" t="s">
        <v>4946</v>
      </c>
      <c r="X13" s="746" t="s">
        <v>8271</v>
      </c>
      <c r="Y13" s="746" t="s">
        <v>374</v>
      </c>
      <c r="Z13" s="1199" t="s">
        <v>3243</v>
      </c>
      <c r="AA13" s="746" t="s">
        <v>8272</v>
      </c>
      <c r="AB13" s="1199"/>
      <c r="AC13" s="1199" t="s">
        <v>2210</v>
      </c>
      <c r="AD13" s="1199" t="s">
        <v>8273</v>
      </c>
      <c r="AE13" s="746" t="s">
        <v>5119</v>
      </c>
      <c r="AF13" s="746" t="s">
        <v>8274</v>
      </c>
      <c r="AG13" s="1190"/>
      <c r="AH13" s="1190"/>
      <c r="AI13" s="1190"/>
      <c r="AJ13" s="1190"/>
      <c r="AK13" s="1190"/>
      <c r="AL13" s="746" t="s">
        <v>5489</v>
      </c>
      <c r="AM13" s="1199" t="s">
        <v>8190</v>
      </c>
      <c r="AN13" s="1199" t="s">
        <v>8275</v>
      </c>
      <c r="AO13" s="1156"/>
      <c r="AP13" s="746" t="s">
        <v>8276</v>
      </c>
      <c r="AQ13" s="746" t="s">
        <v>8071</v>
      </c>
      <c r="AR13" s="1199" t="s">
        <v>8277</v>
      </c>
      <c r="AS13" s="746" t="s">
        <v>8278</v>
      </c>
      <c r="AT13" s="746" t="s">
        <v>8279</v>
      </c>
      <c r="AU13" s="746" t="s">
        <v>8280</v>
      </c>
      <c r="AV13" s="112" t="s">
        <v>8281</v>
      </c>
      <c r="AW13" s="746" t="s">
        <v>8282</v>
      </c>
      <c r="AX13" s="746" t="s">
        <v>8258</v>
      </c>
      <c r="AY13" s="1156"/>
      <c r="AZ13" s="1199" t="s">
        <v>1725</v>
      </c>
      <c r="BA13" s="746"/>
      <c r="BB13" s="1199" t="s">
        <v>8283</v>
      </c>
      <c r="BC13" s="1199" t="s">
        <v>8284</v>
      </c>
      <c r="BD13" s="746" t="s">
        <v>8285</v>
      </c>
      <c r="BE13" s="746"/>
      <c r="BF13" s="1156"/>
      <c r="BG13" s="1269"/>
      <c r="BH13" s="1269"/>
      <c r="BI13" s="1269"/>
      <c r="BJ13" s="1269"/>
      <c r="BK13" s="1269"/>
      <c r="BL13" s="1270"/>
      <c r="BM13" s="1269"/>
      <c r="BN13" s="1269"/>
      <c r="BO13" s="1269"/>
      <c r="BP13" s="1269"/>
      <c r="BQ13" s="1190"/>
      <c r="BR13" s="1190"/>
      <c r="BS13" s="1190"/>
      <c r="BT13" s="1190"/>
      <c r="BU13" s="1190"/>
      <c r="BV13" s="746" t="s">
        <v>8286</v>
      </c>
      <c r="BW13" s="1190"/>
      <c r="BX13" s="746" t="s">
        <v>4516</v>
      </c>
      <c r="BY13" s="746" t="s">
        <v>3061</v>
      </c>
      <c r="BZ13" s="1156"/>
      <c r="CA13" s="1190"/>
      <c r="CB13" s="746" t="s">
        <v>1668</v>
      </c>
      <c r="CC13" s="1190"/>
      <c r="CD13" s="1190"/>
      <c r="CE13" s="1257"/>
      <c r="CF13" s="1156"/>
      <c r="CG13" s="1190"/>
      <c r="CH13" s="1257"/>
      <c r="CI13" s="1257"/>
      <c r="CJ13" s="1245" t="s">
        <v>8287</v>
      </c>
      <c r="CK13" s="1245"/>
      <c r="CL13" s="1258" t="s">
        <v>8075</v>
      </c>
      <c r="CM13" s="1245" t="s">
        <v>8288</v>
      </c>
      <c r="CN13" s="1245" t="s">
        <v>6084</v>
      </c>
      <c r="CO13" s="1245" t="s">
        <v>5669</v>
      </c>
      <c r="CP13" s="1245" t="s">
        <v>8167</v>
      </c>
      <c r="CQ13" s="1245" t="s">
        <v>8164</v>
      </c>
      <c r="CR13" s="1257"/>
      <c r="CS13" s="1257"/>
      <c r="CT13" s="96"/>
    </row>
    <row r="14">
      <c r="A14" s="1283" t="s">
        <v>4846</v>
      </c>
      <c r="B14" s="986" t="s">
        <v>8289</v>
      </c>
      <c r="C14" s="987" t="s">
        <v>329</v>
      </c>
      <c r="D14" s="988" t="s">
        <v>329</v>
      </c>
      <c r="E14" s="989" t="s">
        <v>1262</v>
      </c>
      <c r="F14" s="990" t="s">
        <v>989</v>
      </c>
      <c r="G14" s="986" t="s">
        <v>3982</v>
      </c>
      <c r="H14" s="1262"/>
      <c r="I14" s="1262" t="s">
        <v>8166</v>
      </c>
      <c r="J14" s="1156"/>
      <c r="K14" s="721" t="s">
        <v>8290</v>
      </c>
      <c r="L14" s="1190"/>
      <c r="M14" s="721" t="s">
        <v>8291</v>
      </c>
      <c r="N14" s="1156"/>
      <c r="O14" s="721" t="s">
        <v>8292</v>
      </c>
      <c r="P14" s="721" t="s">
        <v>8293</v>
      </c>
      <c r="Q14" s="1190"/>
      <c r="R14" s="1199" t="s">
        <v>8294</v>
      </c>
      <c r="S14" s="721" t="s">
        <v>8295</v>
      </c>
      <c r="T14" s="1156"/>
      <c r="U14" s="721" t="s">
        <v>8296</v>
      </c>
      <c r="V14" s="1186"/>
      <c r="W14" s="746" t="s">
        <v>5064</v>
      </c>
      <c r="X14" s="721" t="s">
        <v>6956</v>
      </c>
      <c r="Y14" s="1199" t="s">
        <v>2677</v>
      </c>
      <c r="Z14" s="1156"/>
      <c r="AA14" s="1156"/>
      <c r="AB14" s="1190"/>
      <c r="AC14" s="746" t="s">
        <v>8297</v>
      </c>
      <c r="AD14" s="704" t="s">
        <v>4245</v>
      </c>
      <c r="AE14" s="1156"/>
      <c r="AF14" s="1156"/>
      <c r="AG14" s="1190"/>
      <c r="AH14" s="1199" t="s">
        <v>5314</v>
      </c>
      <c r="AI14" s="1190"/>
      <c r="AJ14" s="1190"/>
      <c r="AK14" s="1199" t="s">
        <v>4777</v>
      </c>
      <c r="AL14" s="746"/>
      <c r="AM14" s="721" t="s">
        <v>8187</v>
      </c>
      <c r="AN14" s="1156"/>
      <c r="AO14" s="1156"/>
      <c r="AP14" s="721" t="s">
        <v>8298</v>
      </c>
      <c r="AQ14" s="1156"/>
      <c r="AR14" s="1156"/>
      <c r="AS14" s="1156"/>
      <c r="AT14" s="746" t="s">
        <v>8299</v>
      </c>
      <c r="AU14" s="1156"/>
      <c r="AV14" s="1156"/>
      <c r="AW14" s="1156"/>
      <c r="AX14" s="1156"/>
      <c r="AY14" s="1156"/>
      <c r="AZ14" s="1197" t="s">
        <v>8300</v>
      </c>
      <c r="BA14" s="1186"/>
      <c r="BB14" s="721" t="s">
        <v>8301</v>
      </c>
      <c r="BC14" s="1250" t="s">
        <v>8284</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8302</v>
      </c>
      <c r="CF14" s="1247" t="s">
        <v>8303</v>
      </c>
      <c r="CG14" s="1284" t="s">
        <v>8304</v>
      </c>
      <c r="CH14" s="1257"/>
      <c r="CI14" s="1257"/>
      <c r="CJ14" s="1257"/>
      <c r="CK14" s="1257"/>
      <c r="CL14" s="1257"/>
      <c r="CM14" s="1257"/>
      <c r="CN14" s="1258" t="s">
        <v>6084</v>
      </c>
      <c r="CO14" s="1257"/>
      <c r="CP14" s="1257"/>
      <c r="CQ14" s="1257"/>
      <c r="CR14" s="1284" t="s">
        <v>5784</v>
      </c>
      <c r="CS14" s="1257"/>
      <c r="CT14" s="1190"/>
    </row>
    <row r="15">
      <c r="A15" s="1240" t="s">
        <v>1806</v>
      </c>
      <c r="B15" s="986" t="s">
        <v>6318</v>
      </c>
      <c r="C15" s="987" t="s">
        <v>329</v>
      </c>
      <c r="D15" s="988" t="s">
        <v>544</v>
      </c>
      <c r="E15" s="989" t="s">
        <v>544</v>
      </c>
      <c r="F15" s="990" t="s">
        <v>436</v>
      </c>
      <c r="G15" s="986" t="s">
        <v>330</v>
      </c>
      <c r="H15" s="1262"/>
      <c r="I15" s="1262"/>
      <c r="J15" s="1156"/>
      <c r="K15" s="1156"/>
      <c r="L15" s="1190"/>
      <c r="M15" s="1199" t="s">
        <v>8305</v>
      </c>
      <c r="N15" s="1156"/>
      <c r="O15" s="1156"/>
      <c r="P15" s="1156"/>
      <c r="Q15" s="1191" t="s">
        <v>8306</v>
      </c>
      <c r="R15" s="1156"/>
      <c r="S15" s="1156"/>
      <c r="T15" s="1156"/>
      <c r="U15" s="1156"/>
      <c r="V15" s="1190"/>
      <c r="W15" s="1199" t="s">
        <v>5796</v>
      </c>
      <c r="X15" s="746"/>
      <c r="Y15" s="721" t="s">
        <v>1156</v>
      </c>
      <c r="Z15" s="1156"/>
      <c r="AA15" s="1156"/>
      <c r="AB15" s="1190"/>
      <c r="AC15" s="1199" t="s">
        <v>5465</v>
      </c>
      <c r="AD15" s="1197" t="s">
        <v>608</v>
      </c>
      <c r="AE15" s="1156"/>
      <c r="AF15" s="1156"/>
      <c r="AG15" s="1190"/>
      <c r="AH15" s="1190"/>
      <c r="AI15" s="1190"/>
      <c r="AJ15" s="1190"/>
      <c r="AK15" s="1190"/>
      <c r="AL15" s="1156"/>
      <c r="AM15" s="1156"/>
      <c r="AN15" s="1156"/>
      <c r="AO15" s="1156"/>
      <c r="AP15" s="1199" t="s">
        <v>8163</v>
      </c>
      <c r="AQ15" s="746"/>
      <c r="AR15" s="1199" t="s">
        <v>8307</v>
      </c>
      <c r="AS15" s="746"/>
      <c r="AT15" s="1156"/>
      <c r="AU15" s="1199" t="s">
        <v>8246</v>
      </c>
      <c r="AV15" s="746"/>
      <c r="AW15" s="1199" t="s">
        <v>8308</v>
      </c>
      <c r="AX15" s="1156"/>
      <c r="AY15" s="1156"/>
      <c r="AZ15" s="1156"/>
      <c r="BA15" s="1156"/>
      <c r="BB15" s="1191" t="s">
        <v>8309</v>
      </c>
      <c r="BC15" s="1196" t="s">
        <v>8069</v>
      </c>
      <c r="BD15" s="1156"/>
      <c r="BE15" s="1190"/>
      <c r="BF15" s="1156"/>
      <c r="BG15" s="1190"/>
      <c r="BH15" s="1190"/>
      <c r="BI15" s="1190"/>
      <c r="BJ15" s="1190"/>
      <c r="BK15" s="1190"/>
      <c r="BL15" s="1156"/>
      <c r="BM15" s="1191" t="s">
        <v>8310</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8311</v>
      </c>
      <c r="C16" s="987" t="s">
        <v>1064</v>
      </c>
      <c r="D16" s="988" t="s">
        <v>544</v>
      </c>
      <c r="E16" s="989" t="s">
        <v>1262</v>
      </c>
      <c r="F16" s="990" t="s">
        <v>645</v>
      </c>
      <c r="G16" s="986" t="s">
        <v>330</v>
      </c>
      <c r="H16" s="1286" t="s">
        <v>8312</v>
      </c>
      <c r="I16" s="1286" t="s">
        <v>8296</v>
      </c>
      <c r="J16" s="1191" t="s">
        <v>8313</v>
      </c>
      <c r="K16" s="1191" t="s">
        <v>8314</v>
      </c>
      <c r="L16" s="746" t="s">
        <v>8315</v>
      </c>
      <c r="M16" s="1156"/>
      <c r="N16" s="1191" t="s">
        <v>3629</v>
      </c>
      <c r="O16" s="1197" t="s">
        <v>8316</v>
      </c>
      <c r="P16" s="1156"/>
      <c r="Q16" s="746" t="s">
        <v>8317</v>
      </c>
      <c r="R16" s="746" t="s">
        <v>8318</v>
      </c>
      <c r="S16" s="1191" t="s">
        <v>8319</v>
      </c>
      <c r="T16" s="1191" t="s">
        <v>8320</v>
      </c>
      <c r="U16" s="746" t="s">
        <v>8321</v>
      </c>
      <c r="V16" s="746" t="s">
        <v>8322</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7923</v>
      </c>
      <c r="B17" s="986" t="s">
        <v>8323</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8324</v>
      </c>
      <c r="X17" s="1197" t="s">
        <v>1741</v>
      </c>
      <c r="Y17" s="1156"/>
      <c r="Z17" s="1156"/>
      <c r="AA17" s="1156"/>
      <c r="AB17" s="1191" t="s">
        <v>8325</v>
      </c>
      <c r="AC17" s="1197" t="s">
        <v>2453</v>
      </c>
      <c r="AD17" s="721" t="s">
        <v>2926</v>
      </c>
      <c r="AE17" s="1186"/>
      <c r="AF17" s="1191" t="s">
        <v>8326</v>
      </c>
      <c r="AG17" s="1190"/>
      <c r="AH17" s="1191" t="s">
        <v>1700</v>
      </c>
      <c r="AI17" s="1191" t="s">
        <v>3134</v>
      </c>
      <c r="AJ17" s="1190"/>
      <c r="AK17" s="746" t="s">
        <v>4247</v>
      </c>
      <c r="AL17" s="1156"/>
      <c r="AM17" s="1156"/>
      <c r="AN17" s="1156"/>
      <c r="AO17" s="1156"/>
      <c r="AP17" s="721" t="s">
        <v>8327</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8328</v>
      </c>
      <c r="C18" s="987" t="s">
        <v>544</v>
      </c>
      <c r="D18" s="988" t="s">
        <v>1262</v>
      </c>
      <c r="E18" s="989" t="s">
        <v>544</v>
      </c>
      <c r="F18" s="990" t="s">
        <v>435</v>
      </c>
      <c r="G18" s="986" t="s">
        <v>3047</v>
      </c>
      <c r="H18" s="1262"/>
      <c r="I18" s="1262" t="s">
        <v>8329</v>
      </c>
      <c r="J18" s="746"/>
      <c r="K18" s="1199" t="s">
        <v>8330</v>
      </c>
      <c r="L18" s="1199"/>
      <c r="M18" s="1199" t="s">
        <v>8331</v>
      </c>
      <c r="N18" s="1156"/>
      <c r="O18" s="1199" t="s">
        <v>8332</v>
      </c>
      <c r="P18" s="1156"/>
      <c r="Q18" s="1190"/>
      <c r="R18" s="746" t="s">
        <v>8333</v>
      </c>
      <c r="S18" s="1235" t="s">
        <v>4016</v>
      </c>
      <c r="T18" s="1199" t="s">
        <v>8334</v>
      </c>
      <c r="U18" s="746" t="s">
        <v>3745</v>
      </c>
      <c r="V18" s="1199"/>
      <c r="W18" s="1199" t="s">
        <v>4437</v>
      </c>
      <c r="X18" s="746" t="s">
        <v>3684</v>
      </c>
      <c r="Y18" s="1199" t="s">
        <v>2769</v>
      </c>
      <c r="Z18" s="1156"/>
      <c r="AA18" s="1156"/>
      <c r="AB18" s="1190"/>
      <c r="AC18" s="1199" t="s">
        <v>8335</v>
      </c>
      <c r="AD18" s="746" t="s">
        <v>2019</v>
      </c>
      <c r="AE18" s="746"/>
      <c r="AF18" s="1199" t="s">
        <v>8336</v>
      </c>
      <c r="AG18" s="1191" t="s">
        <v>8337</v>
      </c>
      <c r="AH18" s="1196" t="s">
        <v>1271</v>
      </c>
      <c r="AI18" s="1190"/>
      <c r="AJ18" s="1190"/>
      <c r="AK18" s="1199" t="s">
        <v>706</v>
      </c>
      <c r="AL18" s="1156"/>
      <c r="AM18" s="1199" t="s">
        <v>8249</v>
      </c>
      <c r="AN18" s="1156"/>
      <c r="AO18" s="1156"/>
      <c r="AP18" s="746" t="s">
        <v>8089</v>
      </c>
      <c r="AQ18" s="746"/>
      <c r="AR18" s="746" t="s">
        <v>8115</v>
      </c>
      <c r="AS18" s="746" t="s">
        <v>8338</v>
      </c>
      <c r="AT18" s="746" t="s">
        <v>8339</v>
      </c>
      <c r="AU18" s="746" t="s">
        <v>8340</v>
      </c>
      <c r="AV18" s="746"/>
      <c r="AW18" s="1156"/>
      <c r="AX18" s="1156"/>
      <c r="AY18" s="1156"/>
      <c r="AZ18" s="1199" t="s">
        <v>4726</v>
      </c>
      <c r="BA18" s="746"/>
      <c r="BB18" s="1199" t="s">
        <v>8246</v>
      </c>
      <c r="BC18" s="1199" t="s">
        <v>8341</v>
      </c>
      <c r="BD18" s="1199" t="s">
        <v>8145</v>
      </c>
      <c r="BE18" s="1199"/>
      <c r="BF18" s="746"/>
      <c r="BG18" s="1190"/>
      <c r="BH18" s="1190"/>
      <c r="BI18" s="1190"/>
      <c r="BJ18" s="1190"/>
      <c r="BK18" s="1190"/>
      <c r="BL18" s="1156"/>
      <c r="BM18" s="1190"/>
      <c r="BN18" s="1199" t="s">
        <v>8342</v>
      </c>
      <c r="BO18" s="1199" t="s">
        <v>8343</v>
      </c>
      <c r="BP18" s="1199"/>
      <c r="BQ18" s="1190"/>
      <c r="BR18" s="1190"/>
      <c r="BS18" s="1190"/>
      <c r="BT18" s="1190"/>
      <c r="BU18" s="1190"/>
      <c r="BV18" s="1263" t="s">
        <v>4648</v>
      </c>
      <c r="BW18" s="1190"/>
      <c r="BX18" s="1156"/>
      <c r="BY18" s="746" t="s">
        <v>2186</v>
      </c>
      <c r="BZ18" s="1156"/>
      <c r="CA18" s="1190"/>
      <c r="CB18" s="746" t="s">
        <v>4511</v>
      </c>
      <c r="CC18" s="1199" t="s">
        <v>8344</v>
      </c>
      <c r="CD18" s="1199"/>
      <c r="CE18" s="1190"/>
      <c r="CF18" s="1156"/>
      <c r="CG18" s="1190"/>
      <c r="CH18" s="1190"/>
      <c r="CI18" s="1190"/>
      <c r="CJ18" s="1190"/>
      <c r="CK18" s="1190"/>
      <c r="CL18" s="1190"/>
      <c r="CM18" s="1199" t="s">
        <v>8345</v>
      </c>
      <c r="CN18" s="1199" t="s">
        <v>1876</v>
      </c>
      <c r="CO18" s="1199" t="s">
        <v>5094</v>
      </c>
      <c r="CP18" s="1199" t="s">
        <v>8346</v>
      </c>
      <c r="CQ18" s="746" t="s">
        <v>8347</v>
      </c>
      <c r="CR18" s="1199" t="s">
        <v>3277</v>
      </c>
      <c r="CS18" s="746" t="s">
        <v>8348</v>
      </c>
      <c r="CT18" s="96"/>
    </row>
    <row r="19">
      <c r="A19" s="1289" t="s">
        <v>4745</v>
      </c>
      <c r="B19" s="986" t="s">
        <v>8349</v>
      </c>
      <c r="C19" s="987" t="s">
        <v>1262</v>
      </c>
      <c r="D19" s="988" t="s">
        <v>1262</v>
      </c>
      <c r="E19" s="989" t="s">
        <v>1262</v>
      </c>
      <c r="F19" s="990" t="s">
        <v>544</v>
      </c>
      <c r="G19" s="986" t="s">
        <v>3364</v>
      </c>
      <c r="H19" s="1262"/>
      <c r="I19" s="1262" t="s">
        <v>8350</v>
      </c>
      <c r="J19" s="746"/>
      <c r="K19" s="746" t="s">
        <v>7286</v>
      </c>
      <c r="L19" s="1199"/>
      <c r="M19" s="1156"/>
      <c r="N19" s="1156"/>
      <c r="O19" s="1156"/>
      <c r="P19" s="1156"/>
      <c r="Q19" s="1190"/>
      <c r="R19" s="1199" t="s">
        <v>8351</v>
      </c>
      <c r="S19" s="1156"/>
      <c r="T19" s="1199" t="s">
        <v>8352</v>
      </c>
      <c r="U19" s="1199" t="s">
        <v>8353</v>
      </c>
      <c r="V19" s="1199" t="s">
        <v>8354</v>
      </c>
      <c r="W19" s="1199" t="s">
        <v>3586</v>
      </c>
      <c r="X19" s="746" t="s">
        <v>2578</v>
      </c>
      <c r="Y19" s="1199" t="s">
        <v>8355</v>
      </c>
      <c r="Z19" s="1156"/>
      <c r="AA19" s="1156"/>
      <c r="AB19" s="1190"/>
      <c r="AC19" s="721" t="s">
        <v>341</v>
      </c>
      <c r="AD19" s="1199" t="s">
        <v>3808</v>
      </c>
      <c r="AE19" s="746"/>
      <c r="AF19" s="1199" t="s">
        <v>8356</v>
      </c>
      <c r="AG19" s="1199"/>
      <c r="AH19" s="1199" t="s">
        <v>8357</v>
      </c>
      <c r="AI19" s="1190"/>
      <c r="AJ19" s="1190"/>
      <c r="AK19" s="1190"/>
      <c r="AL19" s="1156"/>
      <c r="AM19" s="1156"/>
      <c r="AN19" s="1156"/>
      <c r="AO19" s="1156"/>
      <c r="AP19" s="746" t="s">
        <v>8089</v>
      </c>
      <c r="AQ19" s="1156"/>
      <c r="AR19" s="746" t="s">
        <v>8358</v>
      </c>
      <c r="AS19" s="1156"/>
      <c r="AT19" s="1156"/>
      <c r="AU19" s="746" t="s">
        <v>8359</v>
      </c>
      <c r="AV19" s="746"/>
      <c r="AW19" s="746" t="s">
        <v>8120</v>
      </c>
      <c r="AX19" s="1156"/>
      <c r="AY19" s="1156"/>
      <c r="AZ19" s="1199" t="s">
        <v>2225</v>
      </c>
      <c r="BA19" s="746"/>
      <c r="BB19" s="1156"/>
      <c r="BC19" s="1199" t="s">
        <v>8360</v>
      </c>
      <c r="BD19" s="746" t="s">
        <v>8361</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8362</v>
      </c>
      <c r="C20" s="987" t="s">
        <v>1262</v>
      </c>
      <c r="D20" s="988" t="s">
        <v>1262</v>
      </c>
      <c r="E20" s="989" t="s">
        <v>1262</v>
      </c>
      <c r="F20" s="990" t="s">
        <v>1262</v>
      </c>
      <c r="G20" s="986" t="s">
        <v>3364</v>
      </c>
      <c r="H20" s="1262" t="s">
        <v>8363</v>
      </c>
      <c r="I20" s="1262" t="s">
        <v>8364</v>
      </c>
      <c r="J20" s="746" t="s">
        <v>8365</v>
      </c>
      <c r="K20" s="1262" t="s">
        <v>8366</v>
      </c>
      <c r="L20" s="746" t="s">
        <v>8367</v>
      </c>
      <c r="M20" s="746" t="s">
        <v>8152</v>
      </c>
      <c r="N20" s="746" t="s">
        <v>8368</v>
      </c>
      <c r="O20" s="746" t="s">
        <v>8369</v>
      </c>
      <c r="P20" s="746" t="s">
        <v>8370</v>
      </c>
      <c r="Q20" s="1190"/>
      <c r="R20" s="746" t="s">
        <v>8254</v>
      </c>
      <c r="S20" s="112" t="s">
        <v>8371</v>
      </c>
      <c r="T20" s="1156"/>
      <c r="U20" s="1290" t="s">
        <v>8372</v>
      </c>
      <c r="V20" s="746" t="s">
        <v>8373</v>
      </c>
      <c r="W20" s="1199" t="s">
        <v>8374</v>
      </c>
      <c r="X20" s="746" t="s">
        <v>8375</v>
      </c>
      <c r="Y20" s="746" t="s">
        <v>245</v>
      </c>
      <c r="Z20" s="1156"/>
      <c r="AA20" s="1156"/>
      <c r="AB20" s="1190"/>
      <c r="AC20" s="1199" t="s">
        <v>8376</v>
      </c>
      <c r="AD20" s="746" t="s">
        <v>4155</v>
      </c>
      <c r="AE20" s="1156"/>
      <c r="AF20" s="1156"/>
      <c r="AG20" s="1190"/>
      <c r="AH20" s="1190"/>
      <c r="AI20" s="1190"/>
      <c r="AJ20" s="1190"/>
      <c r="AK20" s="1190"/>
      <c r="AL20" s="1156"/>
      <c r="AM20" s="746"/>
      <c r="AN20" s="1156"/>
      <c r="AO20" s="1156"/>
      <c r="AP20" s="746" t="s">
        <v>8165</v>
      </c>
      <c r="AQ20" s="746" t="s">
        <v>8377</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6454</v>
      </c>
      <c r="B21" s="986" t="s">
        <v>8378</v>
      </c>
      <c r="C21" s="987" t="s">
        <v>1262</v>
      </c>
      <c r="D21" s="988" t="s">
        <v>1262</v>
      </c>
      <c r="E21" s="989" t="s">
        <v>1262</v>
      </c>
      <c r="F21" s="990" t="s">
        <v>1262</v>
      </c>
      <c r="G21" s="986" t="s">
        <v>219</v>
      </c>
      <c r="H21" s="1262"/>
      <c r="I21" s="1262" t="s">
        <v>8379</v>
      </c>
      <c r="J21" s="746"/>
      <c r="K21" s="1199" t="s">
        <v>8380</v>
      </c>
      <c r="L21" s="1199"/>
      <c r="M21" s="746"/>
      <c r="N21" s="746"/>
      <c r="O21" s="1199" t="s">
        <v>8381</v>
      </c>
      <c r="P21" s="746"/>
      <c r="Q21" s="1190"/>
      <c r="R21" s="1156"/>
      <c r="S21" s="1156"/>
      <c r="T21" s="746"/>
      <c r="U21" s="1199" t="s">
        <v>8382</v>
      </c>
      <c r="V21" s="1199"/>
      <c r="W21" s="1199" t="s">
        <v>2301</v>
      </c>
      <c r="X21" s="746"/>
      <c r="Y21" s="1199" t="s">
        <v>3257</v>
      </c>
      <c r="Z21" s="746"/>
      <c r="AA21" s="746"/>
      <c r="AB21" s="1199"/>
      <c r="AC21" s="1199" t="s">
        <v>8383</v>
      </c>
      <c r="AD21" s="1199" t="s">
        <v>4839</v>
      </c>
      <c r="AE21" s="746"/>
      <c r="AF21" s="746"/>
      <c r="AG21" s="1199"/>
      <c r="AH21" s="1190"/>
      <c r="AI21" s="1190"/>
      <c r="AJ21" s="1190"/>
      <c r="AK21" s="1190"/>
      <c r="AL21" s="1156"/>
      <c r="AM21" s="1199" t="s">
        <v>8298</v>
      </c>
      <c r="AN21" s="1156"/>
      <c r="AO21" s="1156"/>
      <c r="AP21" s="1199" t="s">
        <v>8384</v>
      </c>
      <c r="AQ21" s="746"/>
      <c r="AR21" s="1199" t="s">
        <v>8385</v>
      </c>
      <c r="AS21" s="746"/>
      <c r="AT21" s="1199" t="s">
        <v>8386</v>
      </c>
      <c r="AU21" s="1199" t="s">
        <v>8387</v>
      </c>
      <c r="AV21" s="746"/>
      <c r="AW21" s="746"/>
      <c r="AX21" s="1156"/>
      <c r="AY21" s="1156"/>
      <c r="AZ21" s="1199" t="s">
        <v>5076</v>
      </c>
      <c r="BA21" s="746"/>
      <c r="BB21" s="1199" t="s">
        <v>8121</v>
      </c>
      <c r="BC21" s="1199" t="s">
        <v>8244</v>
      </c>
      <c r="BD21" s="1199" t="s">
        <v>8285</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7893</v>
      </c>
      <c r="B22" s="986" t="s">
        <v>6378</v>
      </c>
      <c r="C22" s="987" t="s">
        <v>1262</v>
      </c>
      <c r="D22" s="988" t="s">
        <v>1262</v>
      </c>
      <c r="E22" s="989" t="s">
        <v>544</v>
      </c>
      <c r="F22" s="990" t="s">
        <v>435</v>
      </c>
      <c r="G22" s="986" t="s">
        <v>219</v>
      </c>
      <c r="H22" s="1262" t="s">
        <v>8388</v>
      </c>
      <c r="I22" s="1262"/>
      <c r="J22" s="1156"/>
      <c r="K22" s="1199" t="s">
        <v>8389</v>
      </c>
      <c r="L22" s="1199"/>
      <c r="M22" s="1156"/>
      <c r="N22" s="1156"/>
      <c r="O22" s="1156"/>
      <c r="P22" s="1156"/>
      <c r="Q22" s="1199" t="s">
        <v>8390</v>
      </c>
      <c r="R22" s="1199" t="s">
        <v>8391</v>
      </c>
      <c r="S22" s="1156"/>
      <c r="T22" s="1199" t="s">
        <v>8392</v>
      </c>
      <c r="U22" s="1292" t="s">
        <v>2894</v>
      </c>
      <c r="V22" s="1292"/>
      <c r="W22" s="1199" t="s">
        <v>366</v>
      </c>
      <c r="X22" s="746"/>
      <c r="Y22" s="1199" t="s">
        <v>5105</v>
      </c>
      <c r="Z22" s="1156"/>
      <c r="AA22" s="1156"/>
      <c r="AB22" s="1190"/>
      <c r="AC22" s="1199" t="s">
        <v>8393</v>
      </c>
      <c r="AD22" s="1199" t="s">
        <v>4043</v>
      </c>
      <c r="AE22" s="1186"/>
      <c r="AF22" s="721" t="s">
        <v>722</v>
      </c>
      <c r="AG22" s="1208"/>
      <c r="AH22" s="1199" t="s">
        <v>3270</v>
      </c>
      <c r="AI22" s="1199" t="s">
        <v>5493</v>
      </c>
      <c r="AJ22" s="1190"/>
      <c r="AK22" s="1190"/>
      <c r="AL22" s="1156"/>
      <c r="AM22" s="1156"/>
      <c r="AN22" s="1156"/>
      <c r="AO22" s="1156"/>
      <c r="AP22" s="1156"/>
      <c r="AQ22" s="1156"/>
      <c r="AR22" s="1156"/>
      <c r="AS22" s="1156"/>
      <c r="AT22" s="1156"/>
      <c r="AU22" s="1156"/>
      <c r="AV22" s="1156"/>
      <c r="AW22" s="1156"/>
      <c r="AX22" s="746"/>
      <c r="AY22" s="1199" t="s">
        <v>8284</v>
      </c>
      <c r="AZ22" s="1156"/>
      <c r="BA22" s="1156"/>
      <c r="BB22" s="1199" t="s">
        <v>8250</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8394</v>
      </c>
    </row>
    <row r="23">
      <c r="A23" s="1295" t="s">
        <v>7884</v>
      </c>
      <c r="B23" s="986" t="s">
        <v>8395</v>
      </c>
      <c r="C23" s="987" t="s">
        <v>1262</v>
      </c>
      <c r="D23" s="988" t="s">
        <v>1262</v>
      </c>
      <c r="E23" s="989" t="s">
        <v>1262</v>
      </c>
      <c r="F23" s="990" t="s">
        <v>1262</v>
      </c>
      <c r="G23" s="986" t="s">
        <v>2692</v>
      </c>
      <c r="H23" s="1262"/>
      <c r="I23" s="1262" t="s">
        <v>8396</v>
      </c>
      <c r="J23" s="746"/>
      <c r="K23" s="746" t="s">
        <v>8397</v>
      </c>
      <c r="L23" s="1199"/>
      <c r="M23" s="1156"/>
      <c r="N23" s="1190" t="s">
        <v>8398</v>
      </c>
      <c r="O23" s="1156"/>
      <c r="P23" s="1156"/>
      <c r="Q23" s="1190"/>
      <c r="R23" s="1199" t="s">
        <v>8399</v>
      </c>
      <c r="S23" s="1156"/>
      <c r="T23" s="1199" t="s">
        <v>8400</v>
      </c>
      <c r="U23" s="1199" t="s">
        <v>8401</v>
      </c>
      <c r="V23" s="1199"/>
      <c r="W23" s="1199" t="s">
        <v>2957</v>
      </c>
      <c r="X23" s="746"/>
      <c r="Y23" s="1199" t="s">
        <v>1018</v>
      </c>
      <c r="Z23" s="1190" t="s">
        <v>8402</v>
      </c>
      <c r="AA23" s="1156"/>
      <c r="AB23" s="1190"/>
      <c r="AC23" s="746"/>
      <c r="AD23" s="1199" t="s">
        <v>1905</v>
      </c>
      <c r="AE23" s="746"/>
      <c r="AF23" s="746"/>
      <c r="AG23" s="1199"/>
      <c r="AH23" s="1199"/>
      <c r="AI23" s="1190" t="s">
        <v>8403</v>
      </c>
      <c r="AJ23" s="1190"/>
      <c r="AK23" s="1190"/>
      <c r="AL23" s="1156"/>
      <c r="AM23" s="1190" t="s">
        <v>8404</v>
      </c>
      <c r="AN23" s="1156"/>
      <c r="AO23" s="1156"/>
      <c r="AP23" s="746" t="s">
        <v>8405</v>
      </c>
      <c r="AQ23" s="1156"/>
      <c r="AR23" s="1190" t="s">
        <v>8406</v>
      </c>
      <c r="AS23" s="1156"/>
      <c r="AT23" s="1190" t="s">
        <v>8407</v>
      </c>
      <c r="AU23" s="746" t="s">
        <v>8408</v>
      </c>
      <c r="AV23" s="746"/>
      <c r="AW23" s="746" t="s">
        <v>8298</v>
      </c>
      <c r="AX23" s="1156"/>
      <c r="AY23" s="1190" t="s">
        <v>8302</v>
      </c>
      <c r="AZ23" s="746"/>
      <c r="BA23" s="746"/>
      <c r="BB23" s="1190" t="s">
        <v>8409</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8410</v>
      </c>
      <c r="C24" s="987" t="s">
        <v>1262</v>
      </c>
      <c r="D24" s="988" t="s">
        <v>544</v>
      </c>
      <c r="E24" s="989" t="s">
        <v>435</v>
      </c>
      <c r="F24" s="990" t="s">
        <v>436</v>
      </c>
      <c r="G24" s="986" t="s">
        <v>5076</v>
      </c>
      <c r="H24" s="1272" t="s">
        <v>8411</v>
      </c>
      <c r="I24" s="1272" t="s">
        <v>5209</v>
      </c>
      <c r="J24" s="1186"/>
      <c r="K24" s="1199" t="s">
        <v>8412</v>
      </c>
      <c r="L24" s="1199"/>
      <c r="M24" s="746"/>
      <c r="N24" s="1199" t="s">
        <v>8413</v>
      </c>
      <c r="O24" s="1199" t="s">
        <v>8414</v>
      </c>
      <c r="P24" s="1199" t="s">
        <v>8415</v>
      </c>
      <c r="Q24" s="1199" t="s">
        <v>8416</v>
      </c>
      <c r="R24" s="1199" t="s">
        <v>8417</v>
      </c>
      <c r="S24" s="1199" t="s">
        <v>5229</v>
      </c>
      <c r="T24" s="1199" t="s">
        <v>8418</v>
      </c>
      <c r="U24" s="1199" t="s">
        <v>8419</v>
      </c>
      <c r="V24" s="1199"/>
      <c r="W24" s="1199" t="s">
        <v>5919</v>
      </c>
      <c r="X24" s="746"/>
      <c r="Y24" s="1156"/>
      <c r="Z24" s="1156"/>
      <c r="AA24" s="1156"/>
      <c r="AB24" s="1190"/>
      <c r="AC24" s="1199" t="s">
        <v>8420</v>
      </c>
      <c r="AD24" s="1199" t="s">
        <v>5713</v>
      </c>
      <c r="AE24" s="746"/>
      <c r="AF24" s="1199" t="s">
        <v>7510</v>
      </c>
      <c r="AG24" s="1199"/>
      <c r="AH24" s="1199" t="s">
        <v>3351</v>
      </c>
      <c r="AI24" s="1199"/>
      <c r="AJ24" s="1199"/>
      <c r="AK24" s="1190"/>
      <c r="AL24" s="1156"/>
      <c r="AM24" s="1199" t="s">
        <v>8421</v>
      </c>
      <c r="AN24" s="1199" t="s">
        <v>8259</v>
      </c>
      <c r="AO24" s="1199" t="s">
        <v>8188</v>
      </c>
      <c r="AP24" s="1199" t="s">
        <v>8422</v>
      </c>
      <c r="AQ24" s="746"/>
      <c r="AR24" s="1199" t="s">
        <v>8338</v>
      </c>
      <c r="AS24" s="746"/>
      <c r="AT24" s="1199" t="s">
        <v>8423</v>
      </c>
      <c r="AU24" s="1199" t="s">
        <v>8424</v>
      </c>
      <c r="AV24" s="746"/>
      <c r="AW24" s="1199" t="s">
        <v>8249</v>
      </c>
      <c r="AX24" s="746"/>
      <c r="AY24" s="1199" t="s">
        <v>8327</v>
      </c>
      <c r="AZ24" s="1156"/>
      <c r="BA24" s="1156"/>
      <c r="BB24" s="1199" t="s">
        <v>8275</v>
      </c>
      <c r="BC24" s="746" t="s">
        <v>8327</v>
      </c>
      <c r="BD24" s="1199" t="s">
        <v>8340</v>
      </c>
      <c r="BE24" s="1199"/>
      <c r="BF24" s="746"/>
      <c r="BG24" s="1297" t="s">
        <v>8425</v>
      </c>
      <c r="BH24" s="1298" t="s">
        <v>8426</v>
      </c>
      <c r="BI24" s="1100"/>
      <c r="BJ24" s="1100"/>
      <c r="BK24" s="1100"/>
      <c r="BL24" s="1100" t="s">
        <v>8427</v>
      </c>
      <c r="BM24" s="1100" t="s">
        <v>8428</v>
      </c>
      <c r="BN24" s="1100"/>
      <c r="BO24" s="1100"/>
      <c r="BP24" s="1100"/>
      <c r="BQ24" s="1190"/>
      <c r="BR24" s="1299" t="s">
        <v>8429</v>
      </c>
      <c r="BS24" s="1190"/>
      <c r="BT24" s="1190"/>
      <c r="BU24" s="1190"/>
      <c r="BV24" s="1300" t="s">
        <v>161</v>
      </c>
      <c r="BW24" s="1199" t="s">
        <v>1780</v>
      </c>
      <c r="BX24" s="1199" t="s">
        <v>1632</v>
      </c>
      <c r="BY24" s="1196" t="s">
        <v>4897</v>
      </c>
      <c r="BZ24" s="1199" t="s">
        <v>2210</v>
      </c>
      <c r="CA24" s="1199" t="s">
        <v>5422</v>
      </c>
      <c r="CB24" s="1199" t="s">
        <v>2126</v>
      </c>
      <c r="CC24" s="1199" t="s">
        <v>8430</v>
      </c>
      <c r="CD24" s="1199"/>
      <c r="CE24" s="1259" t="s">
        <v>8360</v>
      </c>
      <c r="CF24" s="1259" t="s">
        <v>8059</v>
      </c>
      <c r="CG24" s="1259" t="s">
        <v>8431</v>
      </c>
      <c r="CH24" s="1259"/>
      <c r="CI24" s="1257"/>
      <c r="CJ24" s="1257"/>
      <c r="CK24" s="1257"/>
      <c r="CL24" s="1257"/>
      <c r="CM24" s="1257"/>
      <c r="CN24" s="1246"/>
      <c r="CO24" s="1257"/>
      <c r="CP24" s="1257"/>
      <c r="CQ24" s="1257"/>
      <c r="CR24" s="1257"/>
      <c r="CS24" s="1257"/>
      <c r="CT24" s="1204" t="s">
        <v>4835</v>
      </c>
    </row>
    <row r="25">
      <c r="A25" s="1253" t="s">
        <v>6495</v>
      </c>
      <c r="B25" s="986" t="s">
        <v>439</v>
      </c>
      <c r="C25" s="987" t="s">
        <v>1262</v>
      </c>
      <c r="D25" s="988" t="s">
        <v>544</v>
      </c>
      <c r="E25" s="989" t="s">
        <v>1262</v>
      </c>
      <c r="F25" s="990" t="s">
        <v>437</v>
      </c>
      <c r="G25" s="986" t="s">
        <v>3364</v>
      </c>
      <c r="H25" s="1262"/>
      <c r="I25" s="1262" t="s">
        <v>8432</v>
      </c>
      <c r="J25" s="746"/>
      <c r="K25" s="746" t="s">
        <v>8433</v>
      </c>
      <c r="L25" s="1197" t="s">
        <v>3723</v>
      </c>
      <c r="M25" s="1156"/>
      <c r="N25" s="1156"/>
      <c r="O25" s="1156"/>
      <c r="P25" s="746" t="s">
        <v>8434</v>
      </c>
      <c r="Q25" s="1190"/>
      <c r="R25" s="721" t="s">
        <v>8435</v>
      </c>
      <c r="S25" s="1156"/>
      <c r="T25" s="1156"/>
      <c r="U25" s="746" t="s">
        <v>751</v>
      </c>
      <c r="V25" s="1199"/>
      <c r="W25" s="1199" t="s">
        <v>4362</v>
      </c>
      <c r="X25" s="746" t="s">
        <v>3591</v>
      </c>
      <c r="Y25" s="721" t="s">
        <v>8436</v>
      </c>
      <c r="Z25" s="1156"/>
      <c r="AA25" s="1156"/>
      <c r="AB25" s="1190"/>
      <c r="AC25" s="1199" t="s">
        <v>8437</v>
      </c>
      <c r="AD25" s="1199" t="s">
        <v>8438</v>
      </c>
      <c r="AE25" s="746"/>
      <c r="AF25" s="1199" t="s">
        <v>8439</v>
      </c>
      <c r="AG25" s="1199"/>
      <c r="AH25" s="1199" t="s">
        <v>8440</v>
      </c>
      <c r="AI25" s="1190"/>
      <c r="AJ25" s="1190"/>
      <c r="AK25" s="1204" t="s">
        <v>3769</v>
      </c>
      <c r="AL25" s="1249"/>
      <c r="AM25" s="1156"/>
      <c r="AN25" s="1156"/>
      <c r="AO25" s="1156"/>
      <c r="AP25" s="1156"/>
      <c r="AQ25" s="1156"/>
      <c r="AR25" s="1199" t="s">
        <v>8441</v>
      </c>
      <c r="AS25" s="746"/>
      <c r="AT25" s="1156"/>
      <c r="AU25" s="1156"/>
      <c r="AV25" s="1156"/>
      <c r="AW25" s="1199" t="s">
        <v>8096</v>
      </c>
      <c r="AX25" s="1156"/>
      <c r="AY25" s="1156"/>
      <c r="AZ25" s="1156"/>
      <c r="BA25" s="1156"/>
      <c r="BB25" s="1199" t="s">
        <v>8172</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8257</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8442</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7895</v>
      </c>
      <c r="B27" s="986" t="s">
        <v>438</v>
      </c>
      <c r="C27" s="987" t="s">
        <v>1262</v>
      </c>
      <c r="D27" s="988" t="s">
        <v>1262</v>
      </c>
      <c r="E27" s="989" t="s">
        <v>544</v>
      </c>
      <c r="F27" s="990" t="s">
        <v>435</v>
      </c>
      <c r="G27" s="986" t="s">
        <v>828</v>
      </c>
      <c r="H27" s="1262"/>
      <c r="I27" s="1262" t="s">
        <v>8443</v>
      </c>
      <c r="J27" s="1156"/>
      <c r="K27" s="746" t="s">
        <v>8444</v>
      </c>
      <c r="L27" s="1190"/>
      <c r="M27" s="1156"/>
      <c r="N27" s="1156"/>
      <c r="O27" s="1156"/>
      <c r="P27" s="746" t="s">
        <v>8445</v>
      </c>
      <c r="Q27" s="1190"/>
      <c r="R27" s="1156"/>
      <c r="S27" s="1156"/>
      <c r="T27" s="1156"/>
      <c r="U27" s="704" t="s">
        <v>8446</v>
      </c>
      <c r="V27" s="1190"/>
      <c r="W27" s="1156"/>
      <c r="X27" s="746" t="s">
        <v>6685</v>
      </c>
      <c r="Y27" s="721" t="s">
        <v>6777</v>
      </c>
      <c r="Z27" s="1156"/>
      <c r="AA27" s="746" t="s">
        <v>8447</v>
      </c>
      <c r="AB27" s="1190"/>
      <c r="AC27" s="746" t="s">
        <v>8448</v>
      </c>
      <c r="AD27" s="746" t="s">
        <v>1957</v>
      </c>
      <c r="AE27" s="1196" t="s">
        <v>5055</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2082</v>
      </c>
      <c r="C28" s="987" t="s">
        <v>544</v>
      </c>
      <c r="D28" s="988" t="s">
        <v>1262</v>
      </c>
      <c r="E28" s="989" t="s">
        <v>1262</v>
      </c>
      <c r="F28" s="990" t="s">
        <v>329</v>
      </c>
      <c r="G28" s="986" t="s">
        <v>2692</v>
      </c>
      <c r="H28" s="1262"/>
      <c r="I28" s="1238" t="s">
        <v>8449</v>
      </c>
      <c r="J28" s="1156"/>
      <c r="K28" s="746" t="s">
        <v>8450</v>
      </c>
      <c r="L28" s="1190"/>
      <c r="M28" s="721" t="s">
        <v>8451</v>
      </c>
      <c r="N28" s="1156"/>
      <c r="O28" s="1156"/>
      <c r="P28" s="1199" t="s">
        <v>5818</v>
      </c>
      <c r="Q28" s="1190"/>
      <c r="R28" s="1156"/>
      <c r="S28" s="746" t="s">
        <v>8452</v>
      </c>
      <c r="T28" s="746"/>
      <c r="U28" s="1199" t="s">
        <v>3711</v>
      </c>
      <c r="V28" s="1190"/>
      <c r="W28" s="1156"/>
      <c r="X28" s="746" t="s">
        <v>8453</v>
      </c>
      <c r="Y28" s="746" t="s">
        <v>5011</v>
      </c>
      <c r="Z28" s="1156"/>
      <c r="AA28" s="746" t="s">
        <v>8454</v>
      </c>
      <c r="AB28" s="1190"/>
      <c r="AC28" s="746" t="s">
        <v>8455</v>
      </c>
      <c r="AD28" s="746" t="s">
        <v>5377</v>
      </c>
      <c r="AE28" s="746" t="s">
        <v>8456</v>
      </c>
      <c r="AF28" s="746" t="s">
        <v>7775</v>
      </c>
      <c r="AG28" s="1190"/>
      <c r="AH28" s="1190"/>
      <c r="AI28" s="1190"/>
      <c r="AJ28" s="1190"/>
      <c r="AK28" s="1190"/>
      <c r="AL28" s="1156"/>
      <c r="AM28" s="1156"/>
      <c r="AN28" s="746" t="s">
        <v>8457</v>
      </c>
      <c r="AO28" s="1199" t="s">
        <v>8458</v>
      </c>
      <c r="AP28" s="1156"/>
      <c r="AQ28" s="746" t="s">
        <v>8187</v>
      </c>
      <c r="AR28" s="1156"/>
      <c r="AS28" s="1156"/>
      <c r="AT28" s="1156"/>
      <c r="AU28" s="746" t="s">
        <v>8408</v>
      </c>
      <c r="AV28" s="1156"/>
      <c r="AW28" s="1156"/>
      <c r="AX28" s="1156"/>
      <c r="AY28" s="1156"/>
      <c r="AZ28" s="1156"/>
      <c r="BA28" s="1156"/>
      <c r="BB28" s="1156"/>
      <c r="BC28" s="1156"/>
      <c r="BD28" s="1156"/>
      <c r="BE28" s="1190"/>
      <c r="BF28" s="1156"/>
      <c r="BG28" s="1269"/>
      <c r="BH28" s="1269"/>
      <c r="BI28" s="1269"/>
      <c r="BJ28" s="1269"/>
      <c r="BK28" s="1269"/>
      <c r="BL28" s="1303" t="s">
        <v>8459</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5401</v>
      </c>
      <c r="Z29" s="1156"/>
      <c r="AA29" s="1156"/>
      <c r="AB29" s="1190"/>
      <c r="AC29" s="1156"/>
      <c r="AD29" s="1156"/>
      <c r="AE29" s="1186"/>
      <c r="AF29" s="1197" t="s">
        <v>5619</v>
      </c>
      <c r="AG29" s="1190"/>
      <c r="AH29" s="1190"/>
      <c r="AI29" s="1190"/>
      <c r="AJ29" s="1190"/>
      <c r="AK29" s="1190"/>
      <c r="AL29" s="1156"/>
      <c r="AM29" s="1156"/>
      <c r="AN29" s="1156"/>
      <c r="AO29" s="1156"/>
      <c r="AP29" s="1156"/>
      <c r="AQ29" s="1156"/>
      <c r="AR29" s="1156"/>
      <c r="AS29" s="1156"/>
      <c r="AT29" s="1156"/>
      <c r="AU29" s="1156"/>
      <c r="AV29" s="1156"/>
      <c r="AW29" s="1156"/>
      <c r="AX29" s="746" t="s">
        <v>6564</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8460</v>
      </c>
      <c r="C30" s="987" t="s">
        <v>1262</v>
      </c>
      <c r="D30" s="988" t="s">
        <v>1262</v>
      </c>
      <c r="E30" s="989" t="s">
        <v>1262</v>
      </c>
      <c r="F30" s="990" t="s">
        <v>435</v>
      </c>
      <c r="G30" s="986" t="s">
        <v>329</v>
      </c>
      <c r="H30" s="1262"/>
      <c r="I30" s="1262"/>
      <c r="J30" s="92"/>
      <c r="K30" s="92"/>
      <c r="L30" s="96"/>
      <c r="M30" s="92"/>
      <c r="N30" s="92"/>
      <c r="O30" s="92"/>
      <c r="P30" s="92"/>
      <c r="Q30" s="96"/>
      <c r="R30" s="112" t="s">
        <v>8461</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8462</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6564</v>
      </c>
      <c r="J31" s="1156"/>
      <c r="K31" s="746" t="s">
        <v>8463</v>
      </c>
      <c r="L31" s="1190"/>
      <c r="M31" s="1156"/>
      <c r="N31" s="1156"/>
      <c r="O31" s="1156"/>
      <c r="P31" s="746" t="s">
        <v>8464</v>
      </c>
      <c r="Q31" s="1190"/>
      <c r="R31" s="1156"/>
      <c r="S31" s="1156"/>
      <c r="T31" s="746" t="s">
        <v>8465</v>
      </c>
      <c r="U31" s="746" t="s">
        <v>8466</v>
      </c>
      <c r="V31" s="1190"/>
      <c r="W31" s="746" t="s">
        <v>246</v>
      </c>
      <c r="X31" s="746" t="s">
        <v>8467</v>
      </c>
      <c r="Y31" s="746" t="s">
        <v>363</v>
      </c>
      <c r="Z31" s="1156"/>
      <c r="AA31" s="1156"/>
      <c r="AB31" s="1190"/>
      <c r="AC31" s="1156"/>
      <c r="AD31" s="1156"/>
      <c r="AE31" s="1156"/>
      <c r="AF31" s="1156"/>
      <c r="AG31" s="1190"/>
      <c r="AH31" s="1190"/>
      <c r="AI31" s="1190"/>
      <c r="AJ31" s="1190"/>
      <c r="AK31" s="1190"/>
      <c r="AL31" s="1156"/>
      <c r="AM31" s="1156"/>
      <c r="AN31" s="1156"/>
      <c r="AO31" s="1156"/>
      <c r="AP31" s="704" t="s">
        <v>8162</v>
      </c>
      <c r="AQ31" s="704"/>
      <c r="AR31" s="1156"/>
      <c r="AS31" s="746" t="s">
        <v>8339</v>
      </c>
      <c r="AT31" s="1156"/>
      <c r="AU31" s="746" t="s">
        <v>8441</v>
      </c>
      <c r="AV31" s="1156"/>
      <c r="AW31" s="1156"/>
      <c r="AX31" s="1156"/>
      <c r="AY31" s="1156"/>
      <c r="AZ31" s="746" t="s">
        <v>2017</v>
      </c>
      <c r="BA31" s="1156"/>
      <c r="BB31" s="704" t="s">
        <v>8468</v>
      </c>
      <c r="BC31" s="746" t="s">
        <v>8088</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8469</v>
      </c>
      <c r="AD32" s="746" t="s">
        <v>2120</v>
      </c>
      <c r="AE32" s="746"/>
      <c r="AF32" s="1199" t="s">
        <v>7703</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8259</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6012</v>
      </c>
      <c r="B33" s="986" t="s">
        <v>5799</v>
      </c>
      <c r="C33" s="987" t="s">
        <v>1262</v>
      </c>
      <c r="D33" s="988" t="s">
        <v>1262</v>
      </c>
      <c r="E33" s="989" t="s">
        <v>544</v>
      </c>
      <c r="F33" s="990" t="s">
        <v>329</v>
      </c>
      <c r="G33" s="986" t="s">
        <v>828</v>
      </c>
      <c r="H33" s="1262" t="s">
        <v>8470</v>
      </c>
      <c r="I33" s="1262"/>
      <c r="J33" s="1156"/>
      <c r="K33" s="1156"/>
      <c r="L33" s="1190"/>
      <c r="M33" s="1156"/>
      <c r="N33" s="1156"/>
      <c r="O33" s="1156"/>
      <c r="P33" s="1156"/>
      <c r="Q33" s="1190"/>
      <c r="R33" s="1156"/>
      <c r="S33" s="1156"/>
      <c r="T33" s="721" t="s">
        <v>8471</v>
      </c>
      <c r="U33" s="746" t="s">
        <v>8472</v>
      </c>
      <c r="V33" s="746" t="s">
        <v>8473</v>
      </c>
      <c r="W33" s="1156"/>
      <c r="X33" s="746" t="s">
        <v>8474</v>
      </c>
      <c r="Y33" s="746" t="s">
        <v>8475</v>
      </c>
      <c r="Z33" s="1156"/>
      <c r="AA33" s="1156"/>
      <c r="AB33" s="1190"/>
      <c r="AC33" s="721" t="s">
        <v>1654</v>
      </c>
      <c r="AD33" s="746" t="s">
        <v>5442</v>
      </c>
      <c r="AE33" s="1156"/>
      <c r="AF33" s="1156"/>
      <c r="AG33" s="1190"/>
      <c r="AH33" s="1190"/>
      <c r="AI33" s="1190"/>
      <c r="AJ33" s="1190"/>
      <c r="AK33" s="1190"/>
      <c r="AL33" s="1156"/>
      <c r="AM33" s="746" t="s">
        <v>8476</v>
      </c>
      <c r="AN33" s="1156"/>
      <c r="AO33" s="1156"/>
      <c r="AP33" s="746" t="s">
        <v>8144</v>
      </c>
      <c r="AQ33" s="1156"/>
      <c r="AR33" s="1156"/>
      <c r="AS33" s="1156"/>
      <c r="AT33" s="1156"/>
      <c r="AU33" s="746" t="s">
        <v>8206</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8477</v>
      </c>
      <c r="CF33" s="1156"/>
      <c r="CG33" s="1190"/>
      <c r="CH33" s="1190"/>
      <c r="CI33" s="1190"/>
      <c r="CJ33" s="1190"/>
      <c r="CK33" s="1190"/>
      <c r="CL33" s="1190"/>
      <c r="CM33" s="1190"/>
      <c r="CN33" s="1156"/>
      <c r="CO33" s="1190"/>
      <c r="CP33" s="1190"/>
      <c r="CQ33" s="1190"/>
      <c r="CR33" s="1190"/>
      <c r="CS33" s="1190"/>
      <c r="CT33" s="1190"/>
    </row>
    <row r="34">
      <c r="A34" s="1236" t="s">
        <v>8478</v>
      </c>
      <c r="B34" s="986" t="s">
        <v>5537</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3713</v>
      </c>
      <c r="BZ34" s="1250" t="s">
        <v>8479</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6499</v>
      </c>
      <c r="B35" s="986" t="s">
        <v>2979</v>
      </c>
      <c r="C35" s="987" t="s">
        <v>435</v>
      </c>
      <c r="D35" s="988" t="s">
        <v>1262</v>
      </c>
      <c r="E35" s="989" t="s">
        <v>1262</v>
      </c>
      <c r="F35" s="990" t="s">
        <v>435</v>
      </c>
      <c r="G35" s="986" t="s">
        <v>435</v>
      </c>
      <c r="H35" s="988"/>
      <c r="I35" s="1262"/>
      <c r="J35" s="1156"/>
      <c r="K35" s="1156"/>
      <c r="L35" s="1190"/>
      <c r="M35" s="1156"/>
      <c r="N35" s="1156"/>
      <c r="O35" s="1191" t="s">
        <v>8480</v>
      </c>
      <c r="P35" s="1191" t="s">
        <v>8481</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5990</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5494</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8482</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8112</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6492</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8483</v>
      </c>
      <c r="S41" s="1156"/>
      <c r="T41" s="1156"/>
      <c r="U41" s="746" t="s">
        <v>8484</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8485</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6103</v>
      </c>
      <c r="B43" s="986" t="s">
        <v>218</v>
      </c>
      <c r="C43" s="987" t="s">
        <v>1262</v>
      </c>
      <c r="D43" s="988" t="s">
        <v>1262</v>
      </c>
      <c r="E43" s="989" t="s">
        <v>1262</v>
      </c>
      <c r="F43" s="990" t="s">
        <v>1262</v>
      </c>
      <c r="G43" s="986" t="s">
        <v>331</v>
      </c>
      <c r="H43" s="1262"/>
      <c r="I43" s="1262"/>
      <c r="J43" s="1156"/>
      <c r="K43" s="746" t="s">
        <v>8486</v>
      </c>
      <c r="L43" s="1190"/>
      <c r="M43" s="1156"/>
      <c r="N43" s="1156"/>
      <c r="O43" s="1156"/>
      <c r="P43" s="1156"/>
      <c r="Q43" s="1190"/>
      <c r="R43" s="1156"/>
      <c r="S43" s="1156"/>
      <c r="T43" s="1156"/>
      <c r="U43" s="1156"/>
      <c r="V43" s="1190"/>
      <c r="W43" s="1199" t="s">
        <v>6358</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8115</v>
      </c>
      <c r="AV43" s="746"/>
      <c r="AW43" s="1156"/>
      <c r="AX43" s="1156"/>
      <c r="AY43" s="1156"/>
      <c r="AZ43" s="1156"/>
      <c r="BA43" s="1156"/>
      <c r="BB43" s="1156"/>
      <c r="BC43" s="746" t="s">
        <v>8204</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5074</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5010</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6490</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8487</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8488</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5719</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8489</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8490</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8491</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6448</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8492</v>
      </c>
      <c r="S51" s="1156"/>
      <c r="T51" s="1156"/>
      <c r="U51" s="721" t="s">
        <v>8493</v>
      </c>
      <c r="V51" s="1190"/>
      <c r="W51" s="746" t="s">
        <v>8494</v>
      </c>
      <c r="X51" s="746" t="s">
        <v>8494</v>
      </c>
      <c r="Y51" s="1156"/>
      <c r="Z51" s="1156"/>
      <c r="AA51" s="1156"/>
      <c r="AB51" s="1190"/>
      <c r="AC51" s="1156"/>
      <c r="AD51" s="1156"/>
      <c r="AE51" s="1156"/>
      <c r="AF51" s="1156"/>
      <c r="AG51" s="1190"/>
      <c r="AH51" s="1190"/>
      <c r="AI51" s="1190"/>
      <c r="AJ51" s="1190"/>
      <c r="AK51" s="1190"/>
      <c r="AL51" s="1156"/>
      <c r="AM51" s="1156"/>
      <c r="AN51" s="1156"/>
      <c r="AO51" s="1156"/>
      <c r="AP51" s="746" t="s">
        <v>8495</v>
      </c>
      <c r="AQ51" s="721" t="s">
        <v>8496</v>
      </c>
      <c r="AR51" s="721" t="s">
        <v>8497</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8498</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8047</v>
      </c>
      <c r="BD53" s="1199" t="s">
        <v>8441</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8499</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8500</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8501</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8198</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8502</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8503</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8504</v>
      </c>
      <c r="C1" s="1322" t="s">
        <v>8505</v>
      </c>
      <c r="D1" s="1323" t="s">
        <v>8506</v>
      </c>
      <c r="E1" s="1323" t="s">
        <v>7944</v>
      </c>
      <c r="F1" s="1323" t="s">
        <v>7945</v>
      </c>
      <c r="G1" s="1323" t="s">
        <v>8507</v>
      </c>
      <c r="H1" s="1324" t="s">
        <v>8508</v>
      </c>
      <c r="I1" s="1324" t="s">
        <v>8509</v>
      </c>
      <c r="J1" s="1325" t="s">
        <v>7956</v>
      </c>
      <c r="K1" s="1325" t="s">
        <v>8510</v>
      </c>
      <c r="L1" s="1325" t="s">
        <v>8511</v>
      </c>
      <c r="M1" s="1325" t="s">
        <v>8512</v>
      </c>
      <c r="N1" s="1325" t="s">
        <v>8019</v>
      </c>
      <c r="O1" s="1325" t="s">
        <v>8513</v>
      </c>
      <c r="P1" s="1325" t="s">
        <v>8514</v>
      </c>
      <c r="Q1" s="1326" t="s">
        <v>8515</v>
      </c>
      <c r="R1" s="1326" t="s">
        <v>7952</v>
      </c>
      <c r="S1" s="1326" t="s">
        <v>8516</v>
      </c>
      <c r="T1" s="1326" t="s">
        <v>8517</v>
      </c>
      <c r="U1" s="1326" t="s">
        <v>8518</v>
      </c>
      <c r="V1" s="1326" t="s">
        <v>8519</v>
      </c>
      <c r="W1" s="1327" t="s">
        <v>7946</v>
      </c>
      <c r="X1" s="1327" t="s">
        <v>7947</v>
      </c>
      <c r="Y1" s="1327" t="s">
        <v>8520</v>
      </c>
      <c r="Z1" s="1327" t="s">
        <v>8521</v>
      </c>
      <c r="AA1" s="1327" t="s">
        <v>7949</v>
      </c>
      <c r="AB1" s="1327" t="s">
        <v>8522</v>
      </c>
      <c r="AC1" s="1327" t="s">
        <v>8523</v>
      </c>
      <c r="AD1" s="1323" t="s">
        <v>8524</v>
      </c>
      <c r="AE1" s="1323" t="s">
        <v>8525</v>
      </c>
      <c r="AF1" s="1328" t="s">
        <v>7953</v>
      </c>
      <c r="AG1" s="1328" t="s">
        <v>8526</v>
      </c>
      <c r="AH1" s="1328" t="s">
        <v>8527</v>
      </c>
      <c r="AI1" s="1328" t="s">
        <v>7954</v>
      </c>
      <c r="AJ1" s="1328" t="s">
        <v>8528</v>
      </c>
      <c r="AK1" s="1328" t="s">
        <v>8529</v>
      </c>
      <c r="AL1" s="1328" t="s">
        <v>8530</v>
      </c>
      <c r="AM1" s="1329" t="s">
        <v>7955</v>
      </c>
      <c r="AN1" s="1329" t="s">
        <v>8531</v>
      </c>
      <c r="AO1" s="1329" t="s">
        <v>8532</v>
      </c>
      <c r="AP1" s="1329" t="s">
        <v>8533</v>
      </c>
      <c r="AQ1" s="1329" t="s">
        <v>8534</v>
      </c>
      <c r="AR1" s="1329" t="s">
        <v>8535</v>
      </c>
      <c r="AS1" s="1329" t="s">
        <v>8536</v>
      </c>
      <c r="AT1" s="1330" t="s">
        <v>8537</v>
      </c>
      <c r="AU1" s="1320" t="s">
        <v>8538</v>
      </c>
      <c r="AV1" s="1331" t="s">
        <v>8539</v>
      </c>
      <c r="AW1" s="1332" t="s">
        <v>8540</v>
      </c>
    </row>
    <row r="2" ht="15.75" customHeight="1">
      <c r="A2" s="1333" t="s">
        <v>8541</v>
      </c>
      <c r="B2" s="1334" t="s">
        <v>8542</v>
      </c>
      <c r="C2" s="1335" t="s">
        <v>8543</v>
      </c>
      <c r="D2" s="1336" t="s">
        <v>8544</v>
      </c>
      <c r="E2" s="1336" t="s">
        <v>8545</v>
      </c>
      <c r="F2" s="1337" t="s">
        <v>8546</v>
      </c>
      <c r="G2" s="1336" t="s">
        <v>8547</v>
      </c>
      <c r="H2" s="1338" t="s">
        <v>6144</v>
      </c>
      <c r="I2" s="1338" t="s">
        <v>8548</v>
      </c>
      <c r="J2" s="1339" t="s">
        <v>8549</v>
      </c>
      <c r="K2" s="1340" t="s">
        <v>4189</v>
      </c>
      <c r="L2" s="1340" t="s">
        <v>231</v>
      </c>
      <c r="M2" s="1340" t="s">
        <v>8550</v>
      </c>
      <c r="N2" s="1340" t="s">
        <v>3999</v>
      </c>
      <c r="O2" s="1340" t="s">
        <v>8551</v>
      </c>
      <c r="P2" s="1340" t="s">
        <v>1287</v>
      </c>
      <c r="Q2" s="1341" t="s">
        <v>8552</v>
      </c>
      <c r="R2" s="1342" t="s">
        <v>8553</v>
      </c>
      <c r="S2" s="1341" t="s">
        <v>815</v>
      </c>
      <c r="T2" s="1342" t="s">
        <v>8554</v>
      </c>
      <c r="U2" s="1341" t="s">
        <v>8555</v>
      </c>
      <c r="V2" s="1341">
        <v>58.55</v>
      </c>
      <c r="W2" s="1343" t="s">
        <v>8556</v>
      </c>
      <c r="X2" s="1344" t="s">
        <v>8557</v>
      </c>
      <c r="Y2" s="1344">
        <v>46.63</v>
      </c>
      <c r="Z2" s="1345" t="s">
        <v>8558</v>
      </c>
      <c r="AA2" s="1344" t="s">
        <v>5205</v>
      </c>
      <c r="AB2" s="1344" t="s">
        <v>8559</v>
      </c>
      <c r="AC2" s="1345" t="s">
        <v>4024</v>
      </c>
      <c r="AD2" s="1336" t="s">
        <v>8560</v>
      </c>
      <c r="AE2" s="1337" t="s">
        <v>4748</v>
      </c>
      <c r="AF2" s="1346" t="s">
        <v>8561</v>
      </c>
      <c r="AG2" s="1346" t="s">
        <v>8562</v>
      </c>
      <c r="AH2" s="1346" t="s">
        <v>3780</v>
      </c>
      <c r="AI2" s="1347" t="s">
        <v>8563</v>
      </c>
      <c r="AJ2" s="1347" t="s">
        <v>8564</v>
      </c>
      <c r="AK2" s="1347" t="s">
        <v>8565</v>
      </c>
      <c r="AL2" s="1347" t="s">
        <v>5529</v>
      </c>
      <c r="AM2" s="1348" t="s">
        <v>8566</v>
      </c>
      <c r="AN2" s="1349" t="s">
        <v>8567</v>
      </c>
      <c r="AO2" s="1349" t="s">
        <v>6388</v>
      </c>
      <c r="AP2" s="1350" t="s">
        <v>8568</v>
      </c>
      <c r="AQ2" s="1348" t="s">
        <v>8569</v>
      </c>
      <c r="AR2" s="1349" t="s">
        <v>413</v>
      </c>
      <c r="AS2" s="1348">
        <v>42.83</v>
      </c>
      <c r="AT2" s="1351" t="s">
        <v>8570</v>
      </c>
      <c r="AU2" s="1335" t="s">
        <v>8571</v>
      </c>
      <c r="AV2" s="1335" t="str">
        <f t="shared" ref="AV2:AV73" si="1">TEXT(AU2-C2,"m:ss")</f>
        <v>2:24</v>
      </c>
      <c r="AW2" s="1352"/>
    </row>
    <row r="3" ht="15.75" customHeight="1">
      <c r="A3" s="1353" t="s">
        <v>8572</v>
      </c>
      <c r="B3" s="1354" t="s">
        <v>8573</v>
      </c>
      <c r="C3" s="1355">
        <v>0.04940949074074073</v>
      </c>
      <c r="D3" s="1356" t="s">
        <v>8574</v>
      </c>
      <c r="E3" s="1356" t="s">
        <v>7250</v>
      </c>
      <c r="F3" s="1356" t="s">
        <v>8575</v>
      </c>
      <c r="G3" s="1356" t="s">
        <v>8576</v>
      </c>
      <c r="H3" s="1357" t="s">
        <v>8577</v>
      </c>
      <c r="I3" s="1357" t="s">
        <v>8578</v>
      </c>
      <c r="J3" s="1358" t="s">
        <v>8579</v>
      </c>
      <c r="K3" s="1358" t="s">
        <v>8580</v>
      </c>
      <c r="L3" s="1358" t="s">
        <v>2819</v>
      </c>
      <c r="M3" s="1358" t="s">
        <v>8581</v>
      </c>
      <c r="N3" s="1358" t="s">
        <v>2490</v>
      </c>
      <c r="O3" s="1358" t="s">
        <v>8582</v>
      </c>
      <c r="P3" s="1358" t="s">
        <v>5467</v>
      </c>
      <c r="Q3" s="1359" t="s">
        <v>8583</v>
      </c>
      <c r="R3" s="1359" t="s">
        <v>8584</v>
      </c>
      <c r="S3" s="1360" t="s">
        <v>2425</v>
      </c>
      <c r="T3" s="1359" t="s">
        <v>8585</v>
      </c>
      <c r="U3" s="1361" t="s">
        <v>7864</v>
      </c>
      <c r="V3" s="1359" t="s">
        <v>4101</v>
      </c>
      <c r="W3" s="1362" t="s">
        <v>4130</v>
      </c>
      <c r="X3" s="1362" t="s">
        <v>7497</v>
      </c>
      <c r="Y3" s="1363" t="s">
        <v>8586</v>
      </c>
      <c r="Z3" s="1363" t="s">
        <v>441</v>
      </c>
      <c r="AA3" s="1363" t="s">
        <v>8587</v>
      </c>
      <c r="AB3" s="1362" t="s">
        <v>2858</v>
      </c>
      <c r="AC3" s="1363" t="s">
        <v>4992</v>
      </c>
      <c r="AD3" s="1356" t="s">
        <v>8588</v>
      </c>
      <c r="AE3" s="1356" t="s">
        <v>6698</v>
      </c>
      <c r="AF3" s="1364" t="s">
        <v>8589</v>
      </c>
      <c r="AG3" s="1365" t="s">
        <v>3859</v>
      </c>
      <c r="AH3" s="1365" t="s">
        <v>8590</v>
      </c>
      <c r="AI3" s="1365" t="s">
        <v>7586</v>
      </c>
      <c r="AJ3" s="1364" t="s">
        <v>8591</v>
      </c>
      <c r="AK3" s="1365" t="s">
        <v>8592</v>
      </c>
      <c r="AL3" s="1365" t="s">
        <v>6100</v>
      </c>
      <c r="AM3" s="1366" t="s">
        <v>8593</v>
      </c>
      <c r="AN3" s="1366" t="s">
        <v>3236</v>
      </c>
      <c r="AO3" s="1367" t="s">
        <v>7754</v>
      </c>
      <c r="AP3" s="1367" t="s">
        <v>8594</v>
      </c>
      <c r="AQ3" s="1367" t="s">
        <v>8595</v>
      </c>
      <c r="AR3" s="1368" t="s">
        <v>4006</v>
      </c>
      <c r="AS3" s="1366" t="s">
        <v>5194</v>
      </c>
      <c r="AT3" s="1369" t="s">
        <v>8596</v>
      </c>
      <c r="AU3" s="1370" t="s">
        <v>8597</v>
      </c>
      <c r="AV3" s="1370" t="str">
        <f t="shared" si="1"/>
        <v>3:58</v>
      </c>
    </row>
    <row r="4" ht="15.75" customHeight="1">
      <c r="A4" s="1371" t="s">
        <v>8598</v>
      </c>
      <c r="B4" s="1372" t="s">
        <v>8599</v>
      </c>
      <c r="C4" s="1373">
        <v>0.050637731481481485</v>
      </c>
      <c r="D4" s="1374" t="s">
        <v>8600</v>
      </c>
      <c r="E4" s="1374" t="s">
        <v>8601</v>
      </c>
      <c r="F4" s="1374" t="s">
        <v>8602</v>
      </c>
      <c r="G4" s="1374" t="s">
        <v>8603</v>
      </c>
      <c r="H4" s="1375" t="s">
        <v>8604</v>
      </c>
      <c r="I4" s="1375" t="s">
        <v>347</v>
      </c>
      <c r="J4" s="1376" t="s">
        <v>8605</v>
      </c>
      <c r="K4" s="1376" t="s">
        <v>6163</v>
      </c>
      <c r="L4" s="1376" t="s">
        <v>3768</v>
      </c>
      <c r="M4" s="1376" t="s">
        <v>8606</v>
      </c>
      <c r="N4" s="1376" t="s">
        <v>8566</v>
      </c>
      <c r="O4" s="1376" t="s">
        <v>8607</v>
      </c>
      <c r="P4" s="1376" t="s">
        <v>8608</v>
      </c>
      <c r="Q4" s="1377" t="s">
        <v>8609</v>
      </c>
      <c r="R4" s="1377" t="s">
        <v>8610</v>
      </c>
      <c r="S4" s="1377" t="s">
        <v>2263</v>
      </c>
      <c r="T4" s="1377" t="s">
        <v>8611</v>
      </c>
      <c r="U4" s="1377" t="s">
        <v>8612</v>
      </c>
      <c r="V4" s="1377" t="s">
        <v>8613</v>
      </c>
      <c r="W4" s="1378" t="s">
        <v>8614</v>
      </c>
      <c r="X4" s="1378" t="s">
        <v>8615</v>
      </c>
      <c r="Y4" s="1378">
        <v>47.93</v>
      </c>
      <c r="Z4" s="1378" t="s">
        <v>8616</v>
      </c>
      <c r="AA4" s="1378" t="s">
        <v>8617</v>
      </c>
      <c r="AB4" s="1378" t="s">
        <v>8618</v>
      </c>
      <c r="AC4" s="1378">
        <v>49.24</v>
      </c>
      <c r="AD4" s="1379" t="s">
        <v>8619</v>
      </c>
      <c r="AE4" s="1374" t="s">
        <v>8620</v>
      </c>
      <c r="AF4" s="1380" t="s">
        <v>2670</v>
      </c>
      <c r="AG4" s="1380" t="s">
        <v>4600</v>
      </c>
      <c r="AH4" s="1380" t="s">
        <v>5196</v>
      </c>
      <c r="AI4" s="1380" t="s">
        <v>8621</v>
      </c>
      <c r="AJ4" s="1380" t="s">
        <v>8622</v>
      </c>
      <c r="AK4" s="1380" t="s">
        <v>887</v>
      </c>
      <c r="AL4" s="1380" t="s">
        <v>8623</v>
      </c>
      <c r="AM4" s="1381" t="s">
        <v>8624</v>
      </c>
      <c r="AN4" s="1382" t="s">
        <v>8625</v>
      </c>
      <c r="AO4" s="1381" t="s">
        <v>8626</v>
      </c>
      <c r="AP4" s="1382" t="s">
        <v>8627</v>
      </c>
      <c r="AQ4" s="1381" t="s">
        <v>8628</v>
      </c>
      <c r="AR4" s="1381" t="s">
        <v>6516</v>
      </c>
      <c r="AS4" s="1381" t="s">
        <v>754</v>
      </c>
      <c r="AT4" s="1383" t="s">
        <v>8629</v>
      </c>
      <c r="AU4" s="1384" t="s">
        <v>8630</v>
      </c>
      <c r="AV4" s="1385" t="str">
        <f t="shared" si="1"/>
        <v>2:38</v>
      </c>
    </row>
    <row r="5" ht="15.75" customHeight="1">
      <c r="A5" s="1386" t="s">
        <v>1060</v>
      </c>
      <c r="B5" s="1387" t="s">
        <v>8542</v>
      </c>
      <c r="C5" s="1388">
        <v>0.04912037037037037</v>
      </c>
      <c r="D5" s="1389" t="s">
        <v>8544</v>
      </c>
      <c r="E5" s="1389" t="s">
        <v>8545</v>
      </c>
      <c r="F5" s="1390" t="s">
        <v>8631</v>
      </c>
      <c r="G5" s="1391" t="s">
        <v>8547</v>
      </c>
      <c r="H5" s="1389" t="s">
        <v>6144</v>
      </c>
      <c r="I5" s="1389" t="s">
        <v>8548</v>
      </c>
      <c r="J5" s="1392" t="s">
        <v>8632</v>
      </c>
      <c r="K5" s="1393" t="s">
        <v>2066</v>
      </c>
      <c r="L5" s="1390" t="s">
        <v>8633</v>
      </c>
      <c r="M5" s="1394" t="s">
        <v>6228</v>
      </c>
      <c r="N5" s="1395" t="s">
        <v>3999</v>
      </c>
      <c r="O5" s="1390" t="s">
        <v>8634</v>
      </c>
      <c r="P5" s="1393" t="s">
        <v>4171</v>
      </c>
      <c r="Q5" s="1395" t="s">
        <v>8552</v>
      </c>
      <c r="R5" s="1391" t="s">
        <v>8553</v>
      </c>
      <c r="S5" s="1395" t="s">
        <v>815</v>
      </c>
      <c r="T5" s="1390" t="s">
        <v>8635</v>
      </c>
      <c r="U5" s="1395" t="s">
        <v>8555</v>
      </c>
      <c r="V5" s="1396" t="s">
        <v>5211</v>
      </c>
      <c r="W5" s="1389" t="s">
        <v>8556</v>
      </c>
      <c r="X5" s="1397" t="s">
        <v>8636</v>
      </c>
      <c r="Y5" s="1390" t="s">
        <v>7534</v>
      </c>
      <c r="Z5" s="1390" t="s">
        <v>4994</v>
      </c>
      <c r="AA5" s="1391" t="s">
        <v>5205</v>
      </c>
      <c r="AB5" s="1397" t="s">
        <v>7796</v>
      </c>
      <c r="AC5" s="1395" t="s">
        <v>4024</v>
      </c>
      <c r="AD5" s="1391" t="s">
        <v>8560</v>
      </c>
      <c r="AE5" s="1398" t="s">
        <v>8637</v>
      </c>
      <c r="AF5" s="1398" t="s">
        <v>8638</v>
      </c>
      <c r="AG5" s="1399" t="s">
        <v>8639</v>
      </c>
      <c r="AH5" s="1397" t="s">
        <v>5519</v>
      </c>
      <c r="AI5" s="1395" t="s">
        <v>8563</v>
      </c>
      <c r="AJ5" s="1399" t="s">
        <v>8640</v>
      </c>
      <c r="AK5" s="1395" t="s">
        <v>8565</v>
      </c>
      <c r="AL5" s="1391" t="s">
        <v>5529</v>
      </c>
      <c r="AM5" s="1391" t="s">
        <v>8566</v>
      </c>
      <c r="AN5" s="1390" t="s">
        <v>5247</v>
      </c>
      <c r="AO5" s="1400" t="s">
        <v>8641</v>
      </c>
      <c r="AP5" s="1397" t="s">
        <v>8642</v>
      </c>
      <c r="AQ5" s="1391" t="s">
        <v>8569</v>
      </c>
      <c r="AR5" s="1399" t="s">
        <v>8643</v>
      </c>
      <c r="AS5" s="1390" t="s">
        <v>4418</v>
      </c>
      <c r="AT5" s="1397" t="s">
        <v>8644</v>
      </c>
      <c r="AU5" s="1392" t="s">
        <v>8571</v>
      </c>
      <c r="AV5" s="1398" t="str">
        <f t="shared" si="1"/>
        <v>2:06</v>
      </c>
      <c r="AW5" s="1401" t="s">
        <v>8645</v>
      </c>
    </row>
    <row r="6" ht="15.75" customHeight="1">
      <c r="A6" s="1402" t="s">
        <v>433</v>
      </c>
      <c r="B6" s="1387" t="s">
        <v>8542</v>
      </c>
      <c r="C6" s="1388">
        <v>0.0493287037037037</v>
      </c>
      <c r="D6" s="1403" t="s">
        <v>8646</v>
      </c>
      <c r="E6" s="1404" t="s">
        <v>8647</v>
      </c>
      <c r="F6" s="1404" t="s">
        <v>8648</v>
      </c>
      <c r="G6" s="1404" t="s">
        <v>8649</v>
      </c>
      <c r="H6" s="1404" t="s">
        <v>8650</v>
      </c>
      <c r="I6" s="1400" t="s">
        <v>8651</v>
      </c>
      <c r="J6" s="1405" t="s">
        <v>8549</v>
      </c>
      <c r="K6" s="1404" t="s">
        <v>781</v>
      </c>
      <c r="L6" s="1404" t="s">
        <v>8652</v>
      </c>
      <c r="M6" s="1404" t="s">
        <v>8653</v>
      </c>
      <c r="N6" s="1404" t="s">
        <v>8654</v>
      </c>
      <c r="O6" s="1404" t="s">
        <v>8655</v>
      </c>
      <c r="P6" s="1405" t="s">
        <v>1287</v>
      </c>
      <c r="Q6" s="1393" t="s">
        <v>1572</v>
      </c>
      <c r="R6" s="1404" t="s">
        <v>4445</v>
      </c>
      <c r="S6" s="1404" t="s">
        <v>8549</v>
      </c>
      <c r="T6" s="1405" t="s">
        <v>8554</v>
      </c>
      <c r="U6" s="1393" t="s">
        <v>8568</v>
      </c>
      <c r="V6" s="1406" t="s">
        <v>8393</v>
      </c>
      <c r="W6" s="1404" t="s">
        <v>8656</v>
      </c>
      <c r="X6" s="1405" t="s">
        <v>8557</v>
      </c>
      <c r="Y6" s="1407">
        <v>46.72</v>
      </c>
      <c r="Z6" s="1407" t="s">
        <v>3631</v>
      </c>
      <c r="AA6" s="1404" t="s">
        <v>3643</v>
      </c>
      <c r="AB6" s="1405" t="s">
        <v>8559</v>
      </c>
      <c r="AC6" s="1404" t="s">
        <v>5446</v>
      </c>
      <c r="AD6" s="1404" t="s">
        <v>7460</v>
      </c>
      <c r="AE6" s="1408" t="s">
        <v>4748</v>
      </c>
      <c r="AF6" s="1407" t="s">
        <v>8657</v>
      </c>
      <c r="AG6" s="1406" t="s">
        <v>8658</v>
      </c>
      <c r="AH6" s="1405" t="s">
        <v>3780</v>
      </c>
      <c r="AI6" s="1404" t="s">
        <v>5882</v>
      </c>
      <c r="AJ6" s="1407" t="s">
        <v>8659</v>
      </c>
      <c r="AK6" s="1407" t="s">
        <v>5801</v>
      </c>
      <c r="AL6" s="1406" t="s">
        <v>6132</v>
      </c>
      <c r="AM6" s="1404" t="s">
        <v>8660</v>
      </c>
      <c r="AN6" s="1406" t="s">
        <v>3225</v>
      </c>
      <c r="AO6" s="1406" t="s">
        <v>2783</v>
      </c>
      <c r="AP6" s="1406" t="s">
        <v>8661</v>
      </c>
      <c r="AQ6" s="1398" t="s">
        <v>8662</v>
      </c>
      <c r="AR6" s="1406" t="s">
        <v>8663</v>
      </c>
      <c r="AS6" s="1406" t="s">
        <v>8664</v>
      </c>
      <c r="AT6" s="1406" t="s">
        <v>8665</v>
      </c>
      <c r="AU6" s="1409" t="s">
        <v>8666</v>
      </c>
      <c r="AV6" s="1398" t="str">
        <f t="shared" si="1"/>
        <v>2:15</v>
      </c>
      <c r="AW6" s="1401"/>
    </row>
    <row r="7" ht="15.75" customHeight="1">
      <c r="A7" s="1386" t="s">
        <v>6491</v>
      </c>
      <c r="B7" s="1387" t="s">
        <v>8542</v>
      </c>
      <c r="C7" s="1388">
        <v>0.049444444444444444</v>
      </c>
      <c r="D7" s="1390" t="s">
        <v>8667</v>
      </c>
      <c r="E7" s="1390" t="s">
        <v>8668</v>
      </c>
      <c r="F7" s="1400" t="s">
        <v>8669</v>
      </c>
      <c r="G7" s="1394" t="s">
        <v>8670</v>
      </c>
      <c r="H7" s="1400" t="s">
        <v>8671</v>
      </c>
      <c r="I7" s="1400" t="s">
        <v>2825</v>
      </c>
      <c r="J7" s="1390" t="s">
        <v>8672</v>
      </c>
      <c r="K7" s="1400" t="s">
        <v>3464</v>
      </c>
      <c r="L7" s="1400" t="s">
        <v>4173</v>
      </c>
      <c r="M7" s="1400" t="s">
        <v>6437</v>
      </c>
      <c r="N7" s="1390" t="s">
        <v>8673</v>
      </c>
      <c r="O7" s="1400" t="s">
        <v>8674</v>
      </c>
      <c r="P7" s="1398" t="s">
        <v>7049</v>
      </c>
      <c r="Q7" s="1390" t="s">
        <v>8675</v>
      </c>
      <c r="R7" s="1400" t="s">
        <v>7350</v>
      </c>
      <c r="S7" s="1400" t="s">
        <v>3421</v>
      </c>
      <c r="T7" s="1398" t="s">
        <v>8676</v>
      </c>
      <c r="U7" s="1400" t="s">
        <v>8677</v>
      </c>
      <c r="V7" s="1400" t="s">
        <v>5172</v>
      </c>
      <c r="W7" s="1410" t="s">
        <v>8678</v>
      </c>
      <c r="X7" s="1398" t="s">
        <v>8679</v>
      </c>
      <c r="Y7" s="1411" t="s">
        <v>8680</v>
      </c>
      <c r="Z7" s="1400" t="s">
        <v>7703</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8681</v>
      </c>
      <c r="AF7" s="1398" t="s">
        <v>8682</v>
      </c>
      <c r="AG7" s="1412" t="str">
        <f>HYPERLINK("https://www.twitch.tv/videos/566334947","1:28.73")</f>
        <v>1:28.73</v>
      </c>
      <c r="AH7" s="1400" t="s">
        <v>8683</v>
      </c>
      <c r="AI7" s="1414" t="str">
        <f>HYPERLINK("https://www.twitch.tv/videos/584107631","1:27.68")</f>
        <v>1:27.68</v>
      </c>
      <c r="AJ7" s="1398" t="s">
        <v>8684</v>
      </c>
      <c r="AK7" s="1400" t="s">
        <v>7281</v>
      </c>
      <c r="AL7" s="1400" t="s">
        <v>8685</v>
      </c>
      <c r="AM7" s="1390" t="s">
        <v>4520</v>
      </c>
      <c r="AN7" s="1390" t="s">
        <v>2650</v>
      </c>
      <c r="AO7" s="1390" t="s">
        <v>5791</v>
      </c>
      <c r="AP7" s="1400" t="s">
        <v>8686</v>
      </c>
      <c r="AQ7" s="1398" t="s">
        <v>8687</v>
      </c>
      <c r="AR7" s="1390" t="s">
        <v>8688</v>
      </c>
      <c r="AS7" s="1413" t="str">
        <f>HYPERLINK("https://www.twitch.tv/videos/571767101","42.91")</f>
        <v>42.91</v>
      </c>
      <c r="AT7" s="1397" t="s">
        <v>8689</v>
      </c>
      <c r="AU7" s="1409" t="s">
        <v>8690</v>
      </c>
      <c r="AV7" s="1398" t="str">
        <f t="shared" si="1"/>
        <v>2:32</v>
      </c>
      <c r="AW7" s="1415" t="s">
        <v>8691</v>
      </c>
    </row>
    <row r="8" ht="15.75" customHeight="1">
      <c r="A8" s="1386" t="s">
        <v>1806</v>
      </c>
      <c r="B8" s="1387" t="s">
        <v>8542</v>
      </c>
      <c r="C8" s="1388">
        <v>0.04949074074074074</v>
      </c>
      <c r="D8" s="1416" t="s">
        <v>8692</v>
      </c>
      <c r="E8" s="1411" t="s">
        <v>8693</v>
      </c>
      <c r="F8" s="1411" t="s">
        <v>2128</v>
      </c>
      <c r="G8" s="1411" t="s">
        <v>8694</v>
      </c>
      <c r="H8" s="1390" t="s">
        <v>8695</v>
      </c>
      <c r="I8" s="1404">
        <v>47.34</v>
      </c>
      <c r="J8" s="1411" t="s">
        <v>1727</v>
      </c>
      <c r="K8" s="1411" t="s">
        <v>8696</v>
      </c>
      <c r="L8" s="1411">
        <v>55.97</v>
      </c>
      <c r="M8" s="1411" t="s">
        <v>1976</v>
      </c>
      <c r="N8" s="1411" t="s">
        <v>8697</v>
      </c>
      <c r="O8" s="1417" t="s">
        <v>8551</v>
      </c>
      <c r="P8" s="1411">
        <v>47.49</v>
      </c>
      <c r="Q8" s="1411" t="s">
        <v>8698</v>
      </c>
      <c r="R8" s="1411" t="s">
        <v>1229</v>
      </c>
      <c r="S8" s="1418" t="s">
        <v>1828</v>
      </c>
      <c r="T8" s="1411" t="s">
        <v>8699</v>
      </c>
      <c r="U8" s="1390" t="s">
        <v>8700</v>
      </c>
      <c r="V8" s="1411">
        <v>59.32</v>
      </c>
      <c r="W8" s="1416" t="s">
        <v>8701</v>
      </c>
      <c r="X8" s="1419" t="s">
        <v>8702</v>
      </c>
      <c r="Y8" s="1411">
        <v>46.65</v>
      </c>
      <c r="Z8" s="1411" t="s">
        <v>8703</v>
      </c>
      <c r="AA8" s="1411" t="s">
        <v>2487</v>
      </c>
      <c r="AB8" s="1411" t="s">
        <v>8704</v>
      </c>
      <c r="AC8" s="1411">
        <v>47.89</v>
      </c>
      <c r="AD8" s="1411" t="s">
        <v>1827</v>
      </c>
      <c r="AE8" s="1411">
        <v>47.98</v>
      </c>
      <c r="AF8" s="1419" t="s">
        <v>8705</v>
      </c>
      <c r="AG8" s="1411" t="s">
        <v>8706</v>
      </c>
      <c r="AH8" s="1411">
        <v>57.45</v>
      </c>
      <c r="AI8" s="1407" t="s">
        <v>7224</v>
      </c>
      <c r="AJ8" s="1420" t="s">
        <v>8640</v>
      </c>
      <c r="AK8" s="1411" t="s">
        <v>5414</v>
      </c>
      <c r="AL8" s="1411">
        <v>56.23</v>
      </c>
      <c r="AM8" s="1416" t="s">
        <v>3885</v>
      </c>
      <c r="AN8" s="1416" t="s">
        <v>8707</v>
      </c>
      <c r="AO8" s="1411" t="s">
        <v>8708</v>
      </c>
      <c r="AP8" s="1411" t="s">
        <v>8709</v>
      </c>
      <c r="AQ8" s="1411" t="s">
        <v>8710</v>
      </c>
      <c r="AR8" s="1411" t="s">
        <v>4429</v>
      </c>
      <c r="AS8" s="1411">
        <v>46.19</v>
      </c>
      <c r="AT8" s="1421" t="s">
        <v>8570</v>
      </c>
      <c r="AU8" s="1411" t="s">
        <v>8711</v>
      </c>
      <c r="AV8" s="1398" t="str">
        <f t="shared" si="1"/>
        <v>1:52</v>
      </c>
      <c r="AW8" s="1415" t="s">
        <v>8712</v>
      </c>
    </row>
    <row r="9" ht="15.75" customHeight="1">
      <c r="A9" s="1402" t="s">
        <v>327</v>
      </c>
      <c r="B9" s="1387" t="s">
        <v>8542</v>
      </c>
      <c r="C9" s="1388">
        <v>0.04957175925925926</v>
      </c>
      <c r="D9" s="1422" t="s">
        <v>8713</v>
      </c>
      <c r="E9" s="1404" t="s">
        <v>8714</v>
      </c>
      <c r="F9" s="1423" t="s">
        <v>8546</v>
      </c>
      <c r="G9" s="1406" t="s">
        <v>8715</v>
      </c>
      <c r="H9" s="1424" t="s">
        <v>5325</v>
      </c>
      <c r="I9" s="1406" t="s">
        <v>1391</v>
      </c>
      <c r="J9" s="1425" t="s">
        <v>8716</v>
      </c>
      <c r="K9" s="1406" t="s">
        <v>6803</v>
      </c>
      <c r="L9" s="1405" t="s">
        <v>231</v>
      </c>
      <c r="M9" s="1425" t="s">
        <v>8717</v>
      </c>
      <c r="N9" s="1404" t="s">
        <v>8718</v>
      </c>
      <c r="O9" s="1425" t="s">
        <v>8719</v>
      </c>
      <c r="P9" s="1406" t="s">
        <v>6428</v>
      </c>
      <c r="Q9" s="1406" t="s">
        <v>8698</v>
      </c>
      <c r="R9" s="1406" t="s">
        <v>5557</v>
      </c>
      <c r="S9" s="1406" t="s">
        <v>8720</v>
      </c>
      <c r="T9" s="1406" t="s">
        <v>4008</v>
      </c>
      <c r="U9" s="1406" t="s">
        <v>6331</v>
      </c>
      <c r="V9" s="1202" t="s">
        <v>8721</v>
      </c>
      <c r="W9" s="1426" t="s">
        <v>8722</v>
      </c>
      <c r="X9" s="1406" t="s">
        <v>8723</v>
      </c>
      <c r="Y9" s="1405">
        <v>46.63</v>
      </c>
      <c r="Z9" s="1427" t="s">
        <v>304</v>
      </c>
      <c r="AA9" s="1404" t="s">
        <v>8724</v>
      </c>
      <c r="AB9" s="1405" t="s">
        <v>8559</v>
      </c>
      <c r="AC9" s="1406" t="s">
        <v>5444</v>
      </c>
      <c r="AD9" s="1406" t="s">
        <v>8725</v>
      </c>
      <c r="AE9" s="1407" t="s">
        <v>8726</v>
      </c>
      <c r="AF9" s="1404" t="s">
        <v>8727</v>
      </c>
      <c r="AG9" s="1411" t="s">
        <v>8728</v>
      </c>
      <c r="AH9" s="1406" t="s">
        <v>8729</v>
      </c>
      <c r="AI9" s="1202" t="s">
        <v>8730</v>
      </c>
      <c r="AJ9" s="1407" t="s">
        <v>8731</v>
      </c>
      <c r="AK9" s="1406" t="s">
        <v>1300</v>
      </c>
      <c r="AL9" s="1406" t="s">
        <v>5119</v>
      </c>
      <c r="AM9" s="1406" t="s">
        <v>4008</v>
      </c>
      <c r="AN9" s="1425" t="s">
        <v>8732</v>
      </c>
      <c r="AO9" s="1406" t="s">
        <v>8663</v>
      </c>
      <c r="AP9" s="1406" t="s">
        <v>8733</v>
      </c>
      <c r="AQ9" s="1406" t="s">
        <v>8734</v>
      </c>
      <c r="AR9" s="1406" t="s">
        <v>4575</v>
      </c>
      <c r="AS9" s="1406" t="s">
        <v>8735</v>
      </c>
      <c r="AT9" s="1392" t="s">
        <v>8736</v>
      </c>
      <c r="AU9" s="1428" t="s">
        <v>8737</v>
      </c>
      <c r="AV9" s="1398" t="str">
        <f t="shared" si="1"/>
        <v>2:59</v>
      </c>
      <c r="AW9" s="1429"/>
    </row>
    <row r="10">
      <c r="A10" s="1402" t="s">
        <v>6433</v>
      </c>
      <c r="B10" s="1430" t="s">
        <v>8542</v>
      </c>
      <c r="C10" s="1388">
        <v>0.04958333333333333</v>
      </c>
      <c r="D10" s="1202" t="s">
        <v>8738</v>
      </c>
      <c r="E10" s="1411" t="s">
        <v>6385</v>
      </c>
      <c r="F10" s="1411" t="s">
        <v>8739</v>
      </c>
      <c r="G10" s="1411" t="s">
        <v>8740</v>
      </c>
      <c r="H10" s="1416" t="s">
        <v>8741</v>
      </c>
      <c r="I10" s="1416" t="s">
        <v>5612</v>
      </c>
      <c r="J10" s="1416" t="s">
        <v>149</v>
      </c>
      <c r="K10" s="1416" t="s">
        <v>7450</v>
      </c>
      <c r="L10" s="1411">
        <v>56.42</v>
      </c>
      <c r="M10" s="1411" t="s">
        <v>5179</v>
      </c>
      <c r="N10" s="1411" t="s">
        <v>8742</v>
      </c>
      <c r="O10" s="1416" t="s">
        <v>8743</v>
      </c>
      <c r="P10" s="1416" t="s">
        <v>277</v>
      </c>
      <c r="Q10" s="1416" t="s">
        <v>8744</v>
      </c>
      <c r="R10" s="1411" t="s">
        <v>8745</v>
      </c>
      <c r="S10" s="1416" t="s">
        <v>8746</v>
      </c>
      <c r="T10" s="1416" t="s">
        <v>4962</v>
      </c>
      <c r="U10" s="1416" t="s">
        <v>8747</v>
      </c>
      <c r="V10" s="1411">
        <v>59.45</v>
      </c>
      <c r="W10" s="1416" t="s">
        <v>8748</v>
      </c>
      <c r="X10" s="1416" t="s">
        <v>8749</v>
      </c>
      <c r="Y10" s="1416" t="s">
        <v>5069</v>
      </c>
      <c r="Z10" s="1411" t="s">
        <v>4167</v>
      </c>
      <c r="AA10" s="1411" t="s">
        <v>8750</v>
      </c>
      <c r="AB10" s="1411" t="s">
        <v>4592</v>
      </c>
      <c r="AC10" s="1416" t="s">
        <v>4838</v>
      </c>
      <c r="AD10" s="1416" t="s">
        <v>8751</v>
      </c>
      <c r="AE10" s="1411">
        <v>47.89</v>
      </c>
      <c r="AF10" s="1411" t="s">
        <v>8752</v>
      </c>
      <c r="AG10" s="1408" t="s">
        <v>8562</v>
      </c>
      <c r="AH10" s="1411">
        <v>57.71</v>
      </c>
      <c r="AI10" s="1416" t="s">
        <v>2185</v>
      </c>
      <c r="AJ10" s="1411" t="s">
        <v>8753</v>
      </c>
      <c r="AK10" s="1416" t="s">
        <v>7290</v>
      </c>
      <c r="AL10" s="1411">
        <v>56.69</v>
      </c>
      <c r="AM10" s="1416" t="s">
        <v>8754</v>
      </c>
      <c r="AN10" s="1416" t="s">
        <v>4125</v>
      </c>
      <c r="AO10" s="1416" t="s">
        <v>2809</v>
      </c>
      <c r="AP10" s="1411" t="s">
        <v>8755</v>
      </c>
      <c r="AQ10" s="1416" t="s">
        <v>8756</v>
      </c>
      <c r="AR10" s="1416" t="s">
        <v>8757</v>
      </c>
      <c r="AS10" s="1411">
        <v>43.65</v>
      </c>
      <c r="AT10" s="1416" t="s">
        <v>8758</v>
      </c>
      <c r="AU10" s="1409" t="s">
        <v>8759</v>
      </c>
      <c r="AV10" s="1398" t="str">
        <f t="shared" si="1"/>
        <v>1:34</v>
      </c>
      <c r="AW10" s="1431" t="s">
        <v>8760</v>
      </c>
    </row>
    <row r="11">
      <c r="A11" s="1432" t="s">
        <v>826</v>
      </c>
      <c r="B11" s="1433" t="s">
        <v>8542</v>
      </c>
      <c r="C11" s="1388">
        <v>0.049652777777777775</v>
      </c>
      <c r="D11" s="1406" t="s">
        <v>8761</v>
      </c>
      <c r="E11" s="1406" t="s">
        <v>8762</v>
      </c>
      <c r="F11" s="1406" t="s">
        <v>8763</v>
      </c>
      <c r="G11" s="1407" t="s">
        <v>8764</v>
      </c>
      <c r="H11" s="1406" t="s">
        <v>7643</v>
      </c>
      <c r="I11" s="1406" t="s">
        <v>8500</v>
      </c>
      <c r="J11" s="1404" t="s">
        <v>8765</v>
      </c>
      <c r="K11" s="1406" t="s">
        <v>8766</v>
      </c>
      <c r="L11" s="1406" t="s">
        <v>3371</v>
      </c>
      <c r="M11" s="1408" t="s">
        <v>8550</v>
      </c>
      <c r="N11" s="1406" t="s">
        <v>8767</v>
      </c>
      <c r="O11" s="1406" t="s">
        <v>8768</v>
      </c>
      <c r="P11" s="1406" t="s">
        <v>6016</v>
      </c>
      <c r="Q11" s="1406" t="s">
        <v>4742</v>
      </c>
      <c r="R11" s="1406" t="s">
        <v>8769</v>
      </c>
      <c r="S11" s="1390" t="s">
        <v>2725</v>
      </c>
      <c r="T11" s="1406" t="s">
        <v>8770</v>
      </c>
      <c r="U11" s="1406" t="s">
        <v>8771</v>
      </c>
      <c r="V11" s="1406" t="s">
        <v>5323</v>
      </c>
      <c r="W11" s="1406" t="s">
        <v>7297</v>
      </c>
      <c r="X11" s="1390" t="s">
        <v>8772</v>
      </c>
      <c r="Y11" s="1406" t="s">
        <v>8773</v>
      </c>
      <c r="Z11" s="1417" t="s">
        <v>8558</v>
      </c>
      <c r="AA11" s="1390" t="s">
        <v>8774</v>
      </c>
      <c r="AB11" s="1406" t="s">
        <v>8775</v>
      </c>
      <c r="AC11" s="1406" t="s">
        <v>4740</v>
      </c>
      <c r="AD11" s="1406" t="s">
        <v>5616</v>
      </c>
      <c r="AE11" s="1407">
        <v>47.81</v>
      </c>
      <c r="AF11" s="1406" t="s">
        <v>8776</v>
      </c>
      <c r="AG11" s="1406" t="s">
        <v>8777</v>
      </c>
      <c r="AH11" s="1406" t="s">
        <v>748</v>
      </c>
      <c r="AI11" s="1406" t="s">
        <v>940</v>
      </c>
      <c r="AJ11" s="1406" t="s">
        <v>8778</v>
      </c>
      <c r="AK11" s="1406" t="s">
        <v>8585</v>
      </c>
      <c r="AL11" s="1406" t="s">
        <v>8779</v>
      </c>
      <c r="AM11" s="1406" t="s">
        <v>4520</v>
      </c>
      <c r="AN11" s="1417" t="s">
        <v>8567</v>
      </c>
      <c r="AO11" s="1417" t="s">
        <v>6388</v>
      </c>
      <c r="AP11" s="1406" t="s">
        <v>8780</v>
      </c>
      <c r="AQ11" s="1406" t="s">
        <v>8781</v>
      </c>
      <c r="AR11" s="1417" t="s">
        <v>413</v>
      </c>
      <c r="AS11" s="1406" t="s">
        <v>3340</v>
      </c>
      <c r="AT11" s="1406" t="s">
        <v>3569</v>
      </c>
      <c r="AU11" s="1428" t="s">
        <v>8782</v>
      </c>
      <c r="AV11" s="1398" t="str">
        <f t="shared" si="1"/>
        <v>2:27</v>
      </c>
      <c r="AW11" s="1434" t="s">
        <v>8783</v>
      </c>
    </row>
    <row r="12" ht="15.75" customHeight="1">
      <c r="A12" s="1435" t="s">
        <v>6489</v>
      </c>
      <c r="B12" s="1387" t="s">
        <v>8542</v>
      </c>
      <c r="C12" s="1388">
        <v>0.04967592592592593</v>
      </c>
      <c r="D12" s="1202" t="s">
        <v>8784</v>
      </c>
      <c r="E12" s="1400" t="s">
        <v>961</v>
      </c>
      <c r="F12" s="1400" t="s">
        <v>8785</v>
      </c>
      <c r="G12" s="1400" t="s">
        <v>8786</v>
      </c>
      <c r="H12" s="1202" t="s">
        <v>8787</v>
      </c>
      <c r="I12" s="1400" t="s">
        <v>8788</v>
      </c>
      <c r="J12" s="1400" t="s">
        <v>8789</v>
      </c>
      <c r="K12" s="1400" t="s">
        <v>6365</v>
      </c>
      <c r="L12" s="1400" t="s">
        <v>4424</v>
      </c>
      <c r="M12" s="1400" t="s">
        <v>8356</v>
      </c>
      <c r="N12" s="1400" t="s">
        <v>2181</v>
      </c>
      <c r="O12" s="1400" t="s">
        <v>3354</v>
      </c>
      <c r="P12" s="1400" t="s">
        <v>8788</v>
      </c>
      <c r="Q12" s="1400" t="s">
        <v>8790</v>
      </c>
      <c r="R12" s="1400" t="s">
        <v>1229</v>
      </c>
      <c r="S12" s="1436" t="s">
        <v>8791</v>
      </c>
      <c r="T12" s="1400" t="s">
        <v>4874</v>
      </c>
      <c r="U12" s="1400" t="s">
        <v>8792</v>
      </c>
      <c r="V12" s="1400" t="s">
        <v>8793</v>
      </c>
      <c r="W12" s="1400" t="s">
        <v>8794</v>
      </c>
      <c r="X12" s="1400" t="s">
        <v>875</v>
      </c>
      <c r="Y12" s="1400" t="s">
        <v>4311</v>
      </c>
      <c r="Z12" s="1400" t="s">
        <v>8795</v>
      </c>
      <c r="AA12" s="1400" t="s">
        <v>8796</v>
      </c>
      <c r="AB12" s="1400" t="s">
        <v>1836</v>
      </c>
      <c r="AC12" s="1400" t="s">
        <v>759</v>
      </c>
      <c r="AD12" s="1400" t="s">
        <v>8797</v>
      </c>
      <c r="AE12" s="1400" t="s">
        <v>5946</v>
      </c>
      <c r="AF12" s="1390" t="s">
        <v>8798</v>
      </c>
      <c r="AG12" s="1400" t="s">
        <v>8799</v>
      </c>
      <c r="AH12" s="1400" t="s">
        <v>4766</v>
      </c>
      <c r="AI12" s="1400" t="s">
        <v>3005</v>
      </c>
      <c r="AJ12" s="1400" t="s">
        <v>8800</v>
      </c>
      <c r="AK12" s="1400" t="s">
        <v>4175</v>
      </c>
      <c r="AL12" s="1400" t="s">
        <v>8801</v>
      </c>
      <c r="AM12" s="1400" t="s">
        <v>8802</v>
      </c>
      <c r="AN12" s="1202" t="s">
        <v>8652</v>
      </c>
      <c r="AO12" s="1400" t="s">
        <v>8803</v>
      </c>
      <c r="AP12" s="1400" t="s">
        <v>8804</v>
      </c>
      <c r="AQ12" s="1390" t="s">
        <v>8805</v>
      </c>
      <c r="AR12" s="1400" t="s">
        <v>1840</v>
      </c>
      <c r="AS12" s="1400" t="s">
        <v>1578</v>
      </c>
      <c r="AT12" s="1400" t="s">
        <v>8806</v>
      </c>
      <c r="AU12" s="1400" t="s">
        <v>8807</v>
      </c>
      <c r="AV12" s="1398" t="str">
        <f t="shared" si="1"/>
        <v>2:47</v>
      </c>
      <c r="AW12" s="1401" t="s">
        <v>8808</v>
      </c>
    </row>
    <row r="13" ht="15.75" customHeight="1">
      <c r="A13" s="1437" t="s">
        <v>2638</v>
      </c>
      <c r="B13" s="1387" t="s">
        <v>8542</v>
      </c>
      <c r="C13" s="1438">
        <v>0.04971064814814815</v>
      </c>
      <c r="D13" s="1439" t="s">
        <v>8809</v>
      </c>
      <c r="E13" s="1440" t="s">
        <v>510</v>
      </c>
      <c r="F13" s="1440" t="s">
        <v>8810</v>
      </c>
      <c r="G13" s="1440" t="s">
        <v>8811</v>
      </c>
      <c r="H13" s="1390" t="s">
        <v>8812</v>
      </c>
      <c r="I13" s="1441" t="s">
        <v>5643</v>
      </c>
      <c r="J13" s="1442" t="s">
        <v>8813</v>
      </c>
      <c r="K13" s="1442" t="s">
        <v>4262</v>
      </c>
      <c r="L13" s="1442" t="s">
        <v>4678</v>
      </c>
      <c r="M13" s="1443" t="s">
        <v>8550</v>
      </c>
      <c r="N13" s="1442" t="s">
        <v>2622</v>
      </c>
      <c r="O13" s="1442" t="s">
        <v>8814</v>
      </c>
      <c r="P13" s="1442" t="s">
        <v>8815</v>
      </c>
      <c r="Q13" s="1390" t="s">
        <v>8816</v>
      </c>
      <c r="R13" s="1444" t="s">
        <v>8817</v>
      </c>
      <c r="S13" s="1390" t="s">
        <v>1828</v>
      </c>
      <c r="T13" s="1444" t="s">
        <v>8818</v>
      </c>
      <c r="U13" s="1390" t="s">
        <v>8819</v>
      </c>
      <c r="V13" s="1444" t="s">
        <v>3483</v>
      </c>
      <c r="W13" s="1445" t="s">
        <v>8820</v>
      </c>
      <c r="X13" s="1445" t="s">
        <v>4035</v>
      </c>
      <c r="Y13" s="1445" t="s">
        <v>7060</v>
      </c>
      <c r="Z13" s="1445" t="s">
        <v>8821</v>
      </c>
      <c r="AA13" s="1445" t="s">
        <v>8658</v>
      </c>
      <c r="AB13" s="1445" t="s">
        <v>4410</v>
      </c>
      <c r="AC13" s="1445" t="s">
        <v>1150</v>
      </c>
      <c r="AD13" s="1440" t="s">
        <v>8822</v>
      </c>
      <c r="AE13" s="1440" t="s">
        <v>5283</v>
      </c>
      <c r="AF13" s="1446" t="s">
        <v>8823</v>
      </c>
      <c r="AG13" s="1446" t="s">
        <v>7835</v>
      </c>
      <c r="AH13" s="1446" t="s">
        <v>5293</v>
      </c>
      <c r="AI13" s="1446" t="s">
        <v>8824</v>
      </c>
      <c r="AJ13" s="1446" t="s">
        <v>8825</v>
      </c>
      <c r="AK13" s="1446" t="s">
        <v>8826</v>
      </c>
      <c r="AL13" s="1446" t="s">
        <v>4068</v>
      </c>
      <c r="AM13" s="1447" t="s">
        <v>8827</v>
      </c>
      <c r="AN13" s="1448" t="s">
        <v>4678</v>
      </c>
      <c r="AO13" s="1448" t="s">
        <v>8828</v>
      </c>
      <c r="AP13" s="1447" t="s">
        <v>8829</v>
      </c>
      <c r="AQ13" s="1447" t="s">
        <v>8830</v>
      </c>
      <c r="AR13" s="1448" t="s">
        <v>8831</v>
      </c>
      <c r="AS13" s="1447" t="s">
        <v>270</v>
      </c>
      <c r="AT13" s="1409" t="s">
        <v>8832</v>
      </c>
      <c r="AU13" s="1428" t="s">
        <v>8833</v>
      </c>
      <c r="AV13" s="1398" t="str">
        <f t="shared" si="1"/>
        <v>2:35</v>
      </c>
      <c r="AW13" s="1449" t="s">
        <v>8834</v>
      </c>
    </row>
    <row r="14" ht="15.75" customHeight="1">
      <c r="A14" s="1435" t="s">
        <v>2222</v>
      </c>
      <c r="B14" s="1450" t="s">
        <v>8573</v>
      </c>
      <c r="C14" s="1388">
        <v>0.049791666666666665</v>
      </c>
      <c r="D14" s="1451" t="s">
        <v>8835</v>
      </c>
      <c r="E14" s="1202" t="s">
        <v>8550</v>
      </c>
      <c r="F14" s="1202" t="s">
        <v>8836</v>
      </c>
      <c r="G14" s="1452" t="s">
        <v>8837</v>
      </c>
      <c r="H14" s="1453" t="s">
        <v>8577</v>
      </c>
      <c r="I14" s="1202" t="s">
        <v>6069</v>
      </c>
      <c r="J14" s="1202" t="s">
        <v>5712</v>
      </c>
      <c r="K14" s="1454" t="s">
        <v>8580</v>
      </c>
      <c r="L14" s="1454" t="s">
        <v>2819</v>
      </c>
      <c r="M14" s="1202" t="s">
        <v>6407</v>
      </c>
      <c r="N14" s="1442" t="s">
        <v>3907</v>
      </c>
      <c r="O14" s="1202" t="s">
        <v>8838</v>
      </c>
      <c r="P14" s="1442" t="s">
        <v>5444</v>
      </c>
      <c r="Q14" s="1202" t="s">
        <v>8839</v>
      </c>
      <c r="R14" s="1454" t="s">
        <v>8584</v>
      </c>
      <c r="S14" s="1455" t="s">
        <v>2425</v>
      </c>
      <c r="T14" s="1456" t="s">
        <v>8585</v>
      </c>
      <c r="U14" s="1444" t="s">
        <v>8840</v>
      </c>
      <c r="V14" s="1202" t="s">
        <v>8841</v>
      </c>
      <c r="W14" s="1457" t="s">
        <v>4130</v>
      </c>
      <c r="X14" s="1457" t="s">
        <v>7497</v>
      </c>
      <c r="Y14" s="1454" t="s">
        <v>8586</v>
      </c>
      <c r="Z14" s="1454" t="s">
        <v>441</v>
      </c>
      <c r="AA14" s="1458" t="s">
        <v>5831</v>
      </c>
      <c r="AB14" s="1202" t="s">
        <v>8842</v>
      </c>
      <c r="AC14" s="1202" t="s">
        <v>409</v>
      </c>
      <c r="AD14" s="1202" t="s">
        <v>5983</v>
      </c>
      <c r="AE14" s="1459" t="s">
        <v>6698</v>
      </c>
      <c r="AF14" s="1399" t="s">
        <v>8843</v>
      </c>
      <c r="AG14" s="1455" t="s">
        <v>4605</v>
      </c>
      <c r="AH14" s="1460" t="s">
        <v>8590</v>
      </c>
      <c r="AI14" s="1461" t="s">
        <v>8774</v>
      </c>
      <c r="AJ14" s="1202" t="s">
        <v>8844</v>
      </c>
      <c r="AK14" s="1202" t="s">
        <v>8795</v>
      </c>
      <c r="AL14" s="1457" t="s">
        <v>6100</v>
      </c>
      <c r="AM14" s="1454" t="s">
        <v>8593</v>
      </c>
      <c r="AN14" s="1448" t="s">
        <v>8845</v>
      </c>
      <c r="AO14" s="1454" t="s">
        <v>7754</v>
      </c>
      <c r="AP14" s="1462" t="s">
        <v>8846</v>
      </c>
      <c r="AQ14" s="1463" t="s">
        <v>8595</v>
      </c>
      <c r="AR14" s="1463" t="s">
        <v>4006</v>
      </c>
      <c r="AS14" s="1464" t="s">
        <v>5194</v>
      </c>
      <c r="AT14" s="1454" t="s">
        <v>8847</v>
      </c>
      <c r="AU14" s="1428" t="s">
        <v>8848</v>
      </c>
      <c r="AV14" s="1398" t="str">
        <f t="shared" si="1"/>
        <v>4:21</v>
      </c>
      <c r="AW14" s="1434" t="s">
        <v>8849</v>
      </c>
    </row>
    <row r="15" ht="15.75" customHeight="1">
      <c r="A15" s="1386" t="s">
        <v>6277</v>
      </c>
      <c r="B15" s="1465" t="s">
        <v>8542</v>
      </c>
      <c r="C15" s="1388">
        <v>0.04982638888888889</v>
      </c>
      <c r="D15" s="1439" t="s">
        <v>8850</v>
      </c>
      <c r="E15" s="1439" t="s">
        <v>4789</v>
      </c>
      <c r="F15" s="1439" t="s">
        <v>8851</v>
      </c>
      <c r="G15" s="1439" t="s">
        <v>8852</v>
      </c>
      <c r="H15" s="1439" t="s">
        <v>8853</v>
      </c>
      <c r="I15" s="1439" t="s">
        <v>5624</v>
      </c>
      <c r="J15" s="1439" t="s">
        <v>8854</v>
      </c>
      <c r="K15" s="1202" t="s">
        <v>8855</v>
      </c>
      <c r="L15" s="1439" t="s">
        <v>8856</v>
      </c>
      <c r="M15" s="1439" t="s">
        <v>8857</v>
      </c>
      <c r="N15" s="1439" t="s">
        <v>2091</v>
      </c>
      <c r="O15" s="1439" t="s">
        <v>8858</v>
      </c>
      <c r="P15" s="1202" t="s">
        <v>4472</v>
      </c>
      <c r="Q15" s="1439" t="s">
        <v>8859</v>
      </c>
      <c r="R15" s="1439" t="s">
        <v>1866</v>
      </c>
      <c r="S15" s="1439" t="s">
        <v>3421</v>
      </c>
      <c r="T15" s="1439" t="s">
        <v>8860</v>
      </c>
      <c r="U15" s="1439" t="s">
        <v>8861</v>
      </c>
      <c r="V15" s="1439" t="s">
        <v>6684</v>
      </c>
      <c r="W15" s="1439" t="s">
        <v>5432</v>
      </c>
      <c r="X15" s="1439" t="s">
        <v>8562</v>
      </c>
      <c r="Y15" s="1439" t="s">
        <v>8651</v>
      </c>
      <c r="Z15" s="1439" t="s">
        <v>6811</v>
      </c>
      <c r="AA15" s="1466" t="s">
        <v>8862</v>
      </c>
      <c r="AB15" s="1439" t="s">
        <v>5725</v>
      </c>
      <c r="AC15" s="1439" t="s">
        <v>1032</v>
      </c>
      <c r="AD15" s="1439" t="s">
        <v>7489</v>
      </c>
      <c r="AE15" s="1439" t="s">
        <v>4252</v>
      </c>
      <c r="AF15" s="1439" t="s">
        <v>8863</v>
      </c>
      <c r="AG15" s="1439" t="s">
        <v>1536</v>
      </c>
      <c r="AH15" s="1202" t="s">
        <v>8864</v>
      </c>
      <c r="AI15" s="1439" t="s">
        <v>8236</v>
      </c>
      <c r="AJ15" s="1439" t="s">
        <v>8865</v>
      </c>
      <c r="AK15" s="1439" t="s">
        <v>8866</v>
      </c>
      <c r="AL15" s="1439" t="s">
        <v>4402</v>
      </c>
      <c r="AM15" s="1439" t="s">
        <v>3490</v>
      </c>
      <c r="AN15" s="1439" t="s">
        <v>8867</v>
      </c>
      <c r="AO15" s="1439" t="s">
        <v>8688</v>
      </c>
      <c r="AP15" s="1467" t="s">
        <v>8568</v>
      </c>
      <c r="AQ15" s="1439" t="s">
        <v>8868</v>
      </c>
      <c r="AR15" s="1439" t="s">
        <v>8869</v>
      </c>
      <c r="AS15" s="1439" t="s">
        <v>8870</v>
      </c>
      <c r="AT15" s="1439" t="s">
        <v>8871</v>
      </c>
      <c r="AU15" s="1468" t="s">
        <v>8872</v>
      </c>
      <c r="AV15" s="1398" t="str">
        <f t="shared" si="1"/>
        <v>2:18</v>
      </c>
      <c r="AW15" s="1469" t="s">
        <v>8873</v>
      </c>
    </row>
    <row r="16" ht="15.75" customHeight="1">
      <c r="A16" s="1386" t="s">
        <v>2079</v>
      </c>
      <c r="B16" s="1387" t="s">
        <v>8542</v>
      </c>
      <c r="C16" s="1388">
        <v>0.049895833333333334</v>
      </c>
      <c r="D16" s="1202" t="s">
        <v>8874</v>
      </c>
      <c r="E16" s="1470" t="s">
        <v>961</v>
      </c>
      <c r="F16" s="1440" t="s">
        <v>8875</v>
      </c>
      <c r="G16" s="1470" t="s">
        <v>8876</v>
      </c>
      <c r="H16" s="1471" t="s">
        <v>8877</v>
      </c>
      <c r="I16" s="1441" t="s">
        <v>5494</v>
      </c>
      <c r="J16" s="1442" t="s">
        <v>8878</v>
      </c>
      <c r="K16" s="1472" t="s">
        <v>8879</v>
      </c>
      <c r="L16" s="1442" t="s">
        <v>8845</v>
      </c>
      <c r="M16" s="1442" t="s">
        <v>4996</v>
      </c>
      <c r="N16" s="1442" t="s">
        <v>8880</v>
      </c>
      <c r="O16" s="1472" t="s">
        <v>8881</v>
      </c>
      <c r="P16" s="1202" t="s">
        <v>4945</v>
      </c>
      <c r="Q16" s="1444" t="s">
        <v>3447</v>
      </c>
      <c r="R16" s="1473" t="s">
        <v>8882</v>
      </c>
      <c r="S16" s="1473" t="s">
        <v>8883</v>
      </c>
      <c r="T16" s="1473" t="s">
        <v>8884</v>
      </c>
      <c r="U16" s="1473" t="s">
        <v>1825</v>
      </c>
      <c r="V16" s="1444" t="s">
        <v>4453</v>
      </c>
      <c r="W16" s="1445" t="s">
        <v>8885</v>
      </c>
      <c r="X16" s="1474" t="s">
        <v>8886</v>
      </c>
      <c r="Y16" s="1445" t="s">
        <v>8887</v>
      </c>
      <c r="Z16" s="1445" t="s">
        <v>8888</v>
      </c>
      <c r="AA16" s="1445" t="s">
        <v>3341</v>
      </c>
      <c r="AB16" s="1474" t="s">
        <v>7796</v>
      </c>
      <c r="AC16" s="1474" t="s">
        <v>1222</v>
      </c>
      <c r="AD16" s="1470" t="s">
        <v>8889</v>
      </c>
      <c r="AE16" s="1470" t="s">
        <v>8890</v>
      </c>
      <c r="AF16" s="1475" t="s">
        <v>8891</v>
      </c>
      <c r="AG16" s="1446" t="s">
        <v>8892</v>
      </c>
      <c r="AH16" s="1446" t="s">
        <v>8893</v>
      </c>
      <c r="AI16" s="1446" t="s">
        <v>8777</v>
      </c>
      <c r="AJ16" s="1475" t="s">
        <v>8894</v>
      </c>
      <c r="AK16" s="1475" t="s">
        <v>967</v>
      </c>
      <c r="AL16" s="1446" t="s">
        <v>8895</v>
      </c>
      <c r="AM16" s="1448" t="s">
        <v>8896</v>
      </c>
      <c r="AN16" s="1447" t="s">
        <v>3148</v>
      </c>
      <c r="AO16" s="1448" t="s">
        <v>8897</v>
      </c>
      <c r="AP16" s="1447" t="s">
        <v>5564</v>
      </c>
      <c r="AQ16" s="1448" t="s">
        <v>8898</v>
      </c>
      <c r="AR16" s="1447" t="s">
        <v>1165</v>
      </c>
      <c r="AS16" s="1447" t="s">
        <v>3962</v>
      </c>
      <c r="AT16" s="1472" t="s">
        <v>6405</v>
      </c>
      <c r="AU16" s="1476" t="s">
        <v>8899</v>
      </c>
      <c r="AV16" s="1398" t="str">
        <f t="shared" si="1"/>
        <v>2:22</v>
      </c>
      <c r="AW16" s="1429" t="s">
        <v>8900</v>
      </c>
    </row>
    <row r="17">
      <c r="A17" s="1435" t="s">
        <v>2015</v>
      </c>
      <c r="B17" s="1430" t="s">
        <v>8542</v>
      </c>
      <c r="C17" s="1477">
        <v>0.04978009259259259</v>
      </c>
      <c r="D17" s="1416" t="s">
        <v>8901</v>
      </c>
      <c r="E17" s="1416" t="s">
        <v>8902</v>
      </c>
      <c r="F17" s="1416" t="s">
        <v>8903</v>
      </c>
      <c r="G17" s="1419" t="s">
        <v>8904</v>
      </c>
      <c r="H17" s="1416" t="s">
        <v>8905</v>
      </c>
      <c r="I17" s="1416" t="s">
        <v>3714</v>
      </c>
      <c r="J17" s="1416" t="s">
        <v>8906</v>
      </c>
      <c r="K17" s="1478" t="s">
        <v>4189</v>
      </c>
      <c r="L17" s="1416" t="s">
        <v>6781</v>
      </c>
      <c r="M17" s="1416" t="s">
        <v>8907</v>
      </c>
      <c r="N17" s="1416" t="s">
        <v>687</v>
      </c>
      <c r="O17" s="1416" t="s">
        <v>8908</v>
      </c>
      <c r="P17" s="1416" t="s">
        <v>6428</v>
      </c>
      <c r="Q17" s="1416" t="s">
        <v>8909</v>
      </c>
      <c r="R17" s="1416" t="s">
        <v>7415</v>
      </c>
      <c r="S17" s="1416" t="s">
        <v>8910</v>
      </c>
      <c r="T17" s="1416" t="s">
        <v>5693</v>
      </c>
      <c r="U17" s="1416" t="s">
        <v>8911</v>
      </c>
      <c r="V17" s="1416" t="s">
        <v>8912</v>
      </c>
      <c r="W17" s="1416" t="s">
        <v>8913</v>
      </c>
      <c r="X17" s="1416" t="s">
        <v>8914</v>
      </c>
      <c r="Y17" s="1416" t="s">
        <v>8680</v>
      </c>
      <c r="Z17" s="1416" t="s">
        <v>8915</v>
      </c>
      <c r="AA17" s="1416" t="s">
        <v>8916</v>
      </c>
      <c r="AB17" s="1416" t="s">
        <v>8917</v>
      </c>
      <c r="AC17" s="1416" t="s">
        <v>594</v>
      </c>
      <c r="AD17" s="1416" t="s">
        <v>8918</v>
      </c>
      <c r="AE17" s="1416" t="s">
        <v>5492</v>
      </c>
      <c r="AF17" s="1416" t="s">
        <v>8919</v>
      </c>
      <c r="AG17" s="1416" t="s">
        <v>307</v>
      </c>
      <c r="AH17" s="1416" t="s">
        <v>8920</v>
      </c>
      <c r="AI17" s="1416" t="s">
        <v>8750</v>
      </c>
      <c r="AJ17" s="1416" t="s">
        <v>8921</v>
      </c>
      <c r="AK17" s="1416" t="s">
        <v>8922</v>
      </c>
      <c r="AL17" s="1416" t="s">
        <v>341</v>
      </c>
      <c r="AM17" s="1416" t="s">
        <v>2183</v>
      </c>
      <c r="AN17" s="1416" t="s">
        <v>231</v>
      </c>
      <c r="AO17" s="1416" t="s">
        <v>8923</v>
      </c>
      <c r="AP17" s="1416" t="s">
        <v>8924</v>
      </c>
      <c r="AQ17" s="1479" t="s">
        <v>8925</v>
      </c>
      <c r="AR17" s="1416" t="s">
        <v>8926</v>
      </c>
      <c r="AS17" s="1416" t="s">
        <v>839</v>
      </c>
      <c r="AT17" s="1416" t="s">
        <v>2432</v>
      </c>
      <c r="AU17" s="1400" t="s">
        <v>8927</v>
      </c>
      <c r="AV17" s="1398" t="str">
        <f t="shared" si="1"/>
        <v>2:13</v>
      </c>
      <c r="AW17" s="1480"/>
    </row>
    <row r="18">
      <c r="A18" s="1435" t="s">
        <v>1557</v>
      </c>
      <c r="B18" s="1433" t="s">
        <v>8542</v>
      </c>
      <c r="C18" s="1388">
        <v>0.04991898148148148</v>
      </c>
      <c r="D18" s="1481" t="s">
        <v>8928</v>
      </c>
      <c r="E18" s="1482" t="s">
        <v>8929</v>
      </c>
      <c r="F18" s="1482" t="s">
        <v>8930</v>
      </c>
      <c r="G18" s="1482" t="s">
        <v>8931</v>
      </c>
      <c r="H18" s="1482" t="s">
        <v>8932</v>
      </c>
      <c r="I18" s="1482">
        <v>48.07</v>
      </c>
      <c r="J18" s="1482" t="s">
        <v>8933</v>
      </c>
      <c r="K18" s="1482" t="s">
        <v>1703</v>
      </c>
      <c r="L18" s="1482">
        <v>56.32</v>
      </c>
      <c r="M18" s="1482" t="s">
        <v>938</v>
      </c>
      <c r="N18" s="1482" t="s">
        <v>8934</v>
      </c>
      <c r="O18" s="1482" t="s">
        <v>8935</v>
      </c>
      <c r="P18" s="1482">
        <v>47.77</v>
      </c>
      <c r="Q18" s="1482" t="s">
        <v>8936</v>
      </c>
      <c r="R18" s="1482" t="s">
        <v>7375</v>
      </c>
      <c r="S18" s="1482" t="s">
        <v>8937</v>
      </c>
      <c r="T18" s="1482" t="s">
        <v>4565</v>
      </c>
      <c r="U18" s="1482" t="s">
        <v>8938</v>
      </c>
      <c r="V18" s="1482">
        <v>59.79</v>
      </c>
      <c r="W18" s="1482" t="s">
        <v>8939</v>
      </c>
      <c r="X18" s="1482" t="s">
        <v>2057</v>
      </c>
      <c r="Y18" s="1482">
        <v>47.0</v>
      </c>
      <c r="Z18" s="1482" t="s">
        <v>8940</v>
      </c>
      <c r="AA18" s="1482" t="s">
        <v>8941</v>
      </c>
      <c r="AB18" s="1482" t="s">
        <v>7343</v>
      </c>
      <c r="AC18" s="1482">
        <v>47.56</v>
      </c>
      <c r="AD18" s="1482" t="s">
        <v>8588</v>
      </c>
      <c r="AE18" s="1482">
        <v>47.95</v>
      </c>
      <c r="AF18" s="1482" t="s">
        <v>8942</v>
      </c>
      <c r="AG18" s="1482" t="s">
        <v>8943</v>
      </c>
      <c r="AH18" s="1482">
        <v>57.67</v>
      </c>
      <c r="AI18" s="1482" t="s">
        <v>875</v>
      </c>
      <c r="AJ18" s="1482" t="s">
        <v>8944</v>
      </c>
      <c r="AK18" s="1482" t="s">
        <v>7830</v>
      </c>
      <c r="AL18" s="1482">
        <v>56.37</v>
      </c>
      <c r="AM18" s="1482" t="s">
        <v>8945</v>
      </c>
      <c r="AN18" s="1482">
        <v>55.92</v>
      </c>
      <c r="AO18" s="1482" t="s">
        <v>4429</v>
      </c>
      <c r="AP18" s="1482" t="s">
        <v>8462</v>
      </c>
      <c r="AQ18" s="1482" t="s">
        <v>8946</v>
      </c>
      <c r="AR18" s="1482" t="s">
        <v>6515</v>
      </c>
      <c r="AS18" s="1482">
        <v>46.83</v>
      </c>
      <c r="AT18" s="1483" t="s">
        <v>8947</v>
      </c>
      <c r="AU18" s="1416" t="s">
        <v>8948</v>
      </c>
      <c r="AV18" s="1398" t="str">
        <f t="shared" si="1"/>
        <v>1:53</v>
      </c>
      <c r="AW18" s="1434" t="s">
        <v>8949</v>
      </c>
    </row>
    <row r="19">
      <c r="A19" s="1435" t="s">
        <v>2098</v>
      </c>
      <c r="B19" s="1433" t="s">
        <v>8542</v>
      </c>
      <c r="C19" s="1484">
        <v>0.049930555555555554</v>
      </c>
      <c r="D19" s="1485" t="s">
        <v>8950</v>
      </c>
      <c r="E19" s="1416" t="s">
        <v>8951</v>
      </c>
      <c r="F19" s="1416" t="s">
        <v>4255</v>
      </c>
      <c r="G19" s="1416" t="s">
        <v>8952</v>
      </c>
      <c r="H19" s="1416" t="s">
        <v>8953</v>
      </c>
      <c r="I19" s="1416" t="s">
        <v>5612</v>
      </c>
      <c r="J19" s="1416" t="s">
        <v>6264</v>
      </c>
      <c r="K19" s="1416" t="s">
        <v>8954</v>
      </c>
      <c r="L19" s="1416" t="s">
        <v>4068</v>
      </c>
      <c r="M19" s="1416" t="s">
        <v>1093</v>
      </c>
      <c r="N19" s="1416" t="s">
        <v>8955</v>
      </c>
      <c r="O19" s="1416" t="s">
        <v>798</v>
      </c>
      <c r="P19" s="1411">
        <v>47.54</v>
      </c>
      <c r="Q19" s="1486" t="s">
        <v>5620</v>
      </c>
      <c r="R19" s="1411" t="s">
        <v>8956</v>
      </c>
      <c r="S19" s="1486" t="s">
        <v>8791</v>
      </c>
      <c r="T19" s="1411" t="s">
        <v>8957</v>
      </c>
      <c r="U19" s="1486" t="s">
        <v>8958</v>
      </c>
      <c r="V19" s="1487">
        <v>58.55</v>
      </c>
      <c r="W19" s="1486" t="s">
        <v>8959</v>
      </c>
      <c r="X19" s="1486" t="s">
        <v>8960</v>
      </c>
      <c r="Y19" s="1390" t="s">
        <v>8680</v>
      </c>
      <c r="Z19" s="1486" t="s">
        <v>8961</v>
      </c>
      <c r="AA19" s="1416" t="s">
        <v>8962</v>
      </c>
      <c r="AB19" s="1486" t="s">
        <v>8917</v>
      </c>
      <c r="AC19" s="1398">
        <v>47.2</v>
      </c>
      <c r="AD19" s="1486" t="s">
        <v>8963</v>
      </c>
      <c r="AE19" s="1411">
        <v>47.88</v>
      </c>
      <c r="AF19" s="1486" t="s">
        <v>8964</v>
      </c>
      <c r="AG19" s="1486" t="s">
        <v>8965</v>
      </c>
      <c r="AH19" s="1486">
        <v>57.68</v>
      </c>
      <c r="AI19" s="1486" t="s">
        <v>2748</v>
      </c>
      <c r="AJ19" s="1411" t="s">
        <v>8966</v>
      </c>
      <c r="AK19" s="1390" t="s">
        <v>8967</v>
      </c>
      <c r="AL19" s="1486">
        <v>55.92</v>
      </c>
      <c r="AM19" s="1486" t="s">
        <v>2837</v>
      </c>
      <c r="AN19" s="1390" t="s">
        <v>5647</v>
      </c>
      <c r="AO19" s="1486" t="s">
        <v>6796</v>
      </c>
      <c r="AP19" s="1486" t="s">
        <v>8968</v>
      </c>
      <c r="AQ19" s="1486" t="s">
        <v>7459</v>
      </c>
      <c r="AR19" s="1486" t="s">
        <v>6368</v>
      </c>
      <c r="AS19" s="1488">
        <v>42.83</v>
      </c>
      <c r="AT19" s="1411" t="s">
        <v>8039</v>
      </c>
      <c r="AU19" s="1428" t="s">
        <v>8969</v>
      </c>
      <c r="AV19" s="1398" t="str">
        <f t="shared" si="1"/>
        <v>4:29</v>
      </c>
      <c r="AW19" s="1434" t="s">
        <v>8970</v>
      </c>
    </row>
    <row r="20" ht="15.75" customHeight="1">
      <c r="A20" s="1435" t="s">
        <v>2260</v>
      </c>
      <c r="B20" s="1387" t="s">
        <v>8542</v>
      </c>
      <c r="C20" s="1388">
        <v>0.0499537037037037</v>
      </c>
      <c r="D20" s="1400" t="s">
        <v>8971</v>
      </c>
      <c r="E20" s="1400" t="s">
        <v>2699</v>
      </c>
      <c r="F20" s="1400" t="s">
        <v>8972</v>
      </c>
      <c r="G20" s="1390" t="s">
        <v>8973</v>
      </c>
      <c r="H20" s="1400" t="s">
        <v>8974</v>
      </c>
      <c r="I20" s="1489" t="s">
        <v>8890</v>
      </c>
      <c r="J20" s="1400" t="s">
        <v>1423</v>
      </c>
      <c r="K20" s="1400" t="s">
        <v>5163</v>
      </c>
      <c r="L20" s="1400" t="s">
        <v>8975</v>
      </c>
      <c r="M20" s="1400" t="s">
        <v>8976</v>
      </c>
      <c r="N20" s="1400" t="s">
        <v>8977</v>
      </c>
      <c r="O20" s="1400" t="s">
        <v>8978</v>
      </c>
      <c r="P20" s="1400" t="s">
        <v>8979</v>
      </c>
      <c r="Q20" s="1400" t="s">
        <v>4619</v>
      </c>
      <c r="R20" s="1444" t="s">
        <v>8980</v>
      </c>
      <c r="S20" s="1400" t="s">
        <v>3999</v>
      </c>
      <c r="T20" s="1400" t="s">
        <v>8772</v>
      </c>
      <c r="U20" s="1400" t="s">
        <v>8981</v>
      </c>
      <c r="V20" s="1400" t="s">
        <v>8982</v>
      </c>
      <c r="W20" s="1400" t="s">
        <v>8983</v>
      </c>
      <c r="X20" s="1400" t="s">
        <v>7797</v>
      </c>
      <c r="Y20" s="1400" t="s">
        <v>4268</v>
      </c>
      <c r="Z20" s="1400" t="s">
        <v>8984</v>
      </c>
      <c r="AA20" s="1400" t="s">
        <v>7797</v>
      </c>
      <c r="AB20" s="1400" t="s">
        <v>8767</v>
      </c>
      <c r="AC20" s="1400" t="s">
        <v>5576</v>
      </c>
      <c r="AD20" s="1400" t="s">
        <v>7847</v>
      </c>
      <c r="AE20" s="1400" t="s">
        <v>5765</v>
      </c>
      <c r="AF20" s="1400" t="s">
        <v>8985</v>
      </c>
      <c r="AG20" s="1400" t="s">
        <v>5001</v>
      </c>
      <c r="AH20" s="1400" t="s">
        <v>5181</v>
      </c>
      <c r="AI20" s="1400" t="s">
        <v>8986</v>
      </c>
      <c r="AJ20" s="1395" t="s">
        <v>8564</v>
      </c>
      <c r="AK20" s="1400" t="s">
        <v>2520</v>
      </c>
      <c r="AL20" s="1400" t="s">
        <v>8987</v>
      </c>
      <c r="AM20" s="1400" t="s">
        <v>8702</v>
      </c>
      <c r="AN20" s="1400" t="s">
        <v>555</v>
      </c>
      <c r="AO20" s="1400" t="s">
        <v>8988</v>
      </c>
      <c r="AP20" s="1400" t="s">
        <v>8989</v>
      </c>
      <c r="AQ20" s="1400" t="s">
        <v>4775</v>
      </c>
      <c r="AR20" s="1400" t="s">
        <v>6516</v>
      </c>
      <c r="AS20" s="1400" t="s">
        <v>8990</v>
      </c>
      <c r="AT20" s="1400" t="s">
        <v>3070</v>
      </c>
      <c r="AU20" s="1400" t="s">
        <v>8991</v>
      </c>
      <c r="AV20" s="1398" t="str">
        <f t="shared" si="1"/>
        <v>3:21</v>
      </c>
      <c r="AW20" s="1469" t="s">
        <v>8992</v>
      </c>
    </row>
    <row r="21" ht="15.75" customHeight="1">
      <c r="A21" s="1386" t="s">
        <v>8993</v>
      </c>
      <c r="B21" s="1387" t="s">
        <v>8542</v>
      </c>
      <c r="C21" s="1388">
        <v>0.049965277777777775</v>
      </c>
      <c r="D21" s="1202" t="s">
        <v>8994</v>
      </c>
      <c r="E21" s="1400" t="s">
        <v>4293</v>
      </c>
      <c r="F21" s="1400" t="s">
        <v>8995</v>
      </c>
      <c r="G21" s="1400" t="s">
        <v>8996</v>
      </c>
      <c r="H21" s="1398" t="s">
        <v>2284</v>
      </c>
      <c r="I21" s="1400" t="s">
        <v>1391</v>
      </c>
      <c r="J21" s="1400" t="s">
        <v>379</v>
      </c>
      <c r="K21" s="1400" t="s">
        <v>8997</v>
      </c>
      <c r="L21" s="1400" t="s">
        <v>5331</v>
      </c>
      <c r="M21" s="1400" t="s">
        <v>6437</v>
      </c>
      <c r="N21" s="1400" t="s">
        <v>8998</v>
      </c>
      <c r="O21" s="1400" t="s">
        <v>2569</v>
      </c>
      <c r="P21" s="1398" t="s">
        <v>5390</v>
      </c>
      <c r="Q21" s="1400" t="s">
        <v>8999</v>
      </c>
      <c r="R21" s="1400" t="s">
        <v>3319</v>
      </c>
      <c r="S21" s="1400" t="s">
        <v>7714</v>
      </c>
      <c r="T21" s="1400" t="s">
        <v>8325</v>
      </c>
      <c r="U21" s="1400" t="s">
        <v>9000</v>
      </c>
      <c r="V21" s="1400" t="s">
        <v>4974</v>
      </c>
      <c r="W21" s="1400" t="s">
        <v>9001</v>
      </c>
      <c r="X21" s="1398" t="s">
        <v>6802</v>
      </c>
      <c r="Y21" s="1398" t="s">
        <v>5479</v>
      </c>
      <c r="Z21" s="1400" t="s">
        <v>9002</v>
      </c>
      <c r="AA21" s="1400" t="s">
        <v>2326</v>
      </c>
      <c r="AB21" s="1400" t="s">
        <v>9003</v>
      </c>
      <c r="AC21" s="1400" t="s">
        <v>785</v>
      </c>
      <c r="AD21" s="1400" t="s">
        <v>5400</v>
      </c>
      <c r="AE21" s="1400" t="s">
        <v>9004</v>
      </c>
      <c r="AF21" s="1400" t="s">
        <v>948</v>
      </c>
      <c r="AG21" s="1400" t="s">
        <v>9005</v>
      </c>
      <c r="AH21" s="1400" t="s">
        <v>9006</v>
      </c>
      <c r="AI21" s="1400" t="s">
        <v>689</v>
      </c>
      <c r="AJ21" s="1398" t="s">
        <v>9007</v>
      </c>
      <c r="AK21" s="1446" t="s">
        <v>7624</v>
      </c>
      <c r="AL21" s="1400" t="s">
        <v>4611</v>
      </c>
      <c r="AM21" s="1400" t="s">
        <v>3643</v>
      </c>
      <c r="AN21" s="1398" t="s">
        <v>6132</v>
      </c>
      <c r="AO21" s="1398" t="s">
        <v>6516</v>
      </c>
      <c r="AP21" s="1398" t="s">
        <v>9008</v>
      </c>
      <c r="AQ21" s="1398" t="s">
        <v>8662</v>
      </c>
      <c r="AR21" s="1398" t="s">
        <v>489</v>
      </c>
      <c r="AS21" s="1398" t="s">
        <v>5662</v>
      </c>
      <c r="AT21" s="1398" t="s">
        <v>8863</v>
      </c>
      <c r="AU21" s="1400" t="s">
        <v>9009</v>
      </c>
      <c r="AV21" s="1398" t="str">
        <f t="shared" si="1"/>
        <v>3:46</v>
      </c>
      <c r="AW21" s="1480" t="s">
        <v>8118</v>
      </c>
    </row>
    <row r="22" ht="15.75" customHeight="1">
      <c r="A22" s="1490" t="s">
        <v>6173</v>
      </c>
      <c r="B22" s="1387" t="s">
        <v>8542</v>
      </c>
      <c r="C22" s="1388">
        <v>0.05</v>
      </c>
      <c r="D22" s="1202" t="s">
        <v>9010</v>
      </c>
      <c r="E22" s="1400" t="s">
        <v>8356</v>
      </c>
      <c r="F22" s="1400" t="s">
        <v>8972</v>
      </c>
      <c r="G22" s="1398" t="s">
        <v>9011</v>
      </c>
      <c r="H22" s="1400" t="s">
        <v>9012</v>
      </c>
      <c r="I22" s="1398" t="s">
        <v>1844</v>
      </c>
      <c r="J22" s="1400" t="s">
        <v>2804</v>
      </c>
      <c r="K22" s="1400" t="s">
        <v>9013</v>
      </c>
      <c r="L22" s="1400" t="s">
        <v>3339</v>
      </c>
      <c r="M22" s="1400" t="s">
        <v>9014</v>
      </c>
      <c r="N22" s="1400" t="s">
        <v>9015</v>
      </c>
      <c r="O22" s="1400" t="s">
        <v>8959</v>
      </c>
      <c r="P22" s="1398" t="s">
        <v>3879</v>
      </c>
      <c r="Q22" s="1400" t="s">
        <v>9016</v>
      </c>
      <c r="R22" s="1400" t="s">
        <v>6726</v>
      </c>
      <c r="S22" s="1400" t="s">
        <v>6975</v>
      </c>
      <c r="T22" s="1400" t="s">
        <v>7377</v>
      </c>
      <c r="U22" s="1400" t="s">
        <v>9017</v>
      </c>
      <c r="V22" s="1400" t="s">
        <v>9018</v>
      </c>
      <c r="W22" s="1400" t="s">
        <v>9019</v>
      </c>
      <c r="X22" s="1400" t="s">
        <v>8916</v>
      </c>
      <c r="Y22" s="1400" t="s">
        <v>9020</v>
      </c>
      <c r="Z22" s="1400" t="s">
        <v>9021</v>
      </c>
      <c r="AA22" s="1400" t="s">
        <v>8914</v>
      </c>
      <c r="AB22" s="1400" t="s">
        <v>9022</v>
      </c>
      <c r="AC22" s="1398" t="s">
        <v>4917</v>
      </c>
      <c r="AD22" s="1400" t="s">
        <v>9023</v>
      </c>
      <c r="AE22" s="1398" t="s">
        <v>5467</v>
      </c>
      <c r="AF22" s="1491" t="s">
        <v>8561</v>
      </c>
      <c r="AG22" s="1400" t="s">
        <v>605</v>
      </c>
      <c r="AH22" s="1400" t="s">
        <v>6960</v>
      </c>
      <c r="AI22" s="1400" t="s">
        <v>307</v>
      </c>
      <c r="AJ22" s="1398" t="s">
        <v>9024</v>
      </c>
      <c r="AK22" s="1400" t="s">
        <v>9025</v>
      </c>
      <c r="AL22" s="1398" t="s">
        <v>3191</v>
      </c>
      <c r="AM22" s="1400" t="s">
        <v>1984</v>
      </c>
      <c r="AN22" s="1398" t="s">
        <v>2587</v>
      </c>
      <c r="AO22" s="1400" t="s">
        <v>3517</v>
      </c>
      <c r="AP22" s="1400" t="s">
        <v>9026</v>
      </c>
      <c r="AQ22" s="1398" t="s">
        <v>9027</v>
      </c>
      <c r="AR22" s="1400" t="s">
        <v>1672</v>
      </c>
      <c r="AS22" s="1398" t="s">
        <v>8870</v>
      </c>
      <c r="AT22" s="1400" t="s">
        <v>9028</v>
      </c>
      <c r="AU22" s="1400" t="s">
        <v>9029</v>
      </c>
      <c r="AV22" s="1398" t="str">
        <f t="shared" si="1"/>
        <v>1:53</v>
      </c>
      <c r="AW22" s="1480"/>
    </row>
    <row r="23" ht="15.75" customHeight="1">
      <c r="A23" s="1435" t="s">
        <v>2603</v>
      </c>
      <c r="B23" s="1433" t="s">
        <v>8573</v>
      </c>
      <c r="C23" s="1388">
        <v>0.05008101851851852</v>
      </c>
      <c r="D23" s="1202" t="s">
        <v>9030</v>
      </c>
      <c r="E23" s="1202" t="s">
        <v>9031</v>
      </c>
      <c r="F23" s="1202" t="s">
        <v>8938</v>
      </c>
      <c r="G23" s="1202" t="s">
        <v>9032</v>
      </c>
      <c r="H23" s="1202" t="s">
        <v>9033</v>
      </c>
      <c r="I23" s="1202" t="s">
        <v>9034</v>
      </c>
      <c r="J23" s="1454" t="s">
        <v>1356</v>
      </c>
      <c r="K23" s="1202" t="s">
        <v>1096</v>
      </c>
      <c r="L23" s="1202" t="s">
        <v>9035</v>
      </c>
      <c r="M23" s="1442" t="s">
        <v>8857</v>
      </c>
      <c r="N23" s="1454" t="s">
        <v>2490</v>
      </c>
      <c r="O23" s="1202" t="s">
        <v>9036</v>
      </c>
      <c r="P23" s="1454" t="s">
        <v>5467</v>
      </c>
      <c r="Q23" s="1454" t="s">
        <v>8583</v>
      </c>
      <c r="R23" s="1202" t="s">
        <v>7318</v>
      </c>
      <c r="S23" s="1202" t="s">
        <v>333</v>
      </c>
      <c r="T23" s="1202" t="s">
        <v>9037</v>
      </c>
      <c r="U23" s="1202" t="s">
        <v>9038</v>
      </c>
      <c r="V23" s="1454" t="s">
        <v>4101</v>
      </c>
      <c r="W23" s="1202" t="s">
        <v>7229</v>
      </c>
      <c r="X23" s="1202" t="s">
        <v>5693</v>
      </c>
      <c r="Y23" s="1202" t="s">
        <v>5069</v>
      </c>
      <c r="Z23" s="1202" t="s">
        <v>1134</v>
      </c>
      <c r="AA23" s="1202" t="s">
        <v>9039</v>
      </c>
      <c r="AB23" s="1202" t="s">
        <v>2508</v>
      </c>
      <c r="AC23" s="1202" t="s">
        <v>1829</v>
      </c>
      <c r="AD23" s="1202" t="s">
        <v>6144</v>
      </c>
      <c r="AE23" s="1202" t="s">
        <v>3333</v>
      </c>
      <c r="AF23" s="1202" t="s">
        <v>8591</v>
      </c>
      <c r="AG23" s="1202" t="s">
        <v>9040</v>
      </c>
      <c r="AH23" s="1202" t="s">
        <v>4940</v>
      </c>
      <c r="AI23" s="1202" t="s">
        <v>3406</v>
      </c>
      <c r="AJ23" s="1202" t="s">
        <v>9041</v>
      </c>
      <c r="AK23" s="1202" t="s">
        <v>9042</v>
      </c>
      <c r="AL23" s="1202" t="s">
        <v>9043</v>
      </c>
      <c r="AM23" s="1202" t="s">
        <v>9044</v>
      </c>
      <c r="AN23" s="1202" t="s">
        <v>4394</v>
      </c>
      <c r="AO23" s="1202" t="s">
        <v>7402</v>
      </c>
      <c r="AP23" s="1202" t="s">
        <v>9045</v>
      </c>
      <c r="AQ23" s="1202" t="s">
        <v>9046</v>
      </c>
      <c r="AR23" s="1202" t="s">
        <v>9047</v>
      </c>
      <c r="AS23" s="1202" t="s">
        <v>4671</v>
      </c>
      <c r="AT23" s="1202" t="s">
        <v>2935</v>
      </c>
      <c r="AU23" s="1446" t="s">
        <v>9048</v>
      </c>
      <c r="AV23" s="1398" t="str">
        <f t="shared" si="1"/>
        <v>2:51</v>
      </c>
      <c r="AW23" s="1492"/>
    </row>
    <row r="24">
      <c r="A24" s="1493" t="s">
        <v>2891</v>
      </c>
      <c r="B24" s="1494" t="s">
        <v>8542</v>
      </c>
      <c r="C24" s="1495">
        <v>0.05011574074074074</v>
      </c>
      <c r="D24" s="1496" t="s">
        <v>9049</v>
      </c>
      <c r="E24" s="1497" t="s">
        <v>7627</v>
      </c>
      <c r="F24" s="1496" t="s">
        <v>7364</v>
      </c>
      <c r="G24" s="1496" t="s">
        <v>9050</v>
      </c>
      <c r="H24" s="1498" t="s">
        <v>9051</v>
      </c>
      <c r="I24" s="1498" t="s">
        <v>1844</v>
      </c>
      <c r="J24" s="1499" t="s">
        <v>9052</v>
      </c>
      <c r="K24" s="1500" t="s">
        <v>9053</v>
      </c>
      <c r="L24" s="1499" t="s">
        <v>9054</v>
      </c>
      <c r="M24" s="1500" t="s">
        <v>9055</v>
      </c>
      <c r="N24" s="1500" t="s">
        <v>9056</v>
      </c>
      <c r="O24" s="1499" t="s">
        <v>9057</v>
      </c>
      <c r="P24" s="1501" t="s">
        <v>5946</v>
      </c>
      <c r="Q24" s="1502" t="s">
        <v>9058</v>
      </c>
      <c r="R24" s="1502" t="s">
        <v>5487</v>
      </c>
      <c r="S24" s="1503" t="s">
        <v>1052</v>
      </c>
      <c r="T24" s="1502" t="s">
        <v>6386</v>
      </c>
      <c r="U24" s="1504" t="s">
        <v>9059</v>
      </c>
      <c r="V24" s="1502" t="s">
        <v>3932</v>
      </c>
      <c r="W24" s="1505" t="s">
        <v>7541</v>
      </c>
      <c r="X24" s="1506" t="s">
        <v>9060</v>
      </c>
      <c r="Y24" s="1507" t="s">
        <v>7060</v>
      </c>
      <c r="Z24" s="1505" t="s">
        <v>223</v>
      </c>
      <c r="AA24" s="1506" t="s">
        <v>7497</v>
      </c>
      <c r="AB24" s="1505" t="s">
        <v>2044</v>
      </c>
      <c r="AC24" s="1508" t="s">
        <v>4838</v>
      </c>
      <c r="AD24" s="1497" t="s">
        <v>9061</v>
      </c>
      <c r="AE24" s="1509" t="s">
        <v>5492</v>
      </c>
      <c r="AF24" s="1510" t="s">
        <v>9062</v>
      </c>
      <c r="AG24" s="1510" t="s">
        <v>194</v>
      </c>
      <c r="AH24" s="1511" t="s">
        <v>9063</v>
      </c>
      <c r="AI24" s="1510" t="s">
        <v>9064</v>
      </c>
      <c r="AJ24" s="1511" t="s">
        <v>9065</v>
      </c>
      <c r="AK24" s="1510" t="s">
        <v>9066</v>
      </c>
      <c r="AL24" s="1510" t="s">
        <v>9006</v>
      </c>
      <c r="AM24" s="1512" t="s">
        <v>8593</v>
      </c>
      <c r="AN24" s="1513" t="s">
        <v>4587</v>
      </c>
      <c r="AO24" s="1514" t="s">
        <v>1478</v>
      </c>
      <c r="AP24" s="1515" t="s">
        <v>9067</v>
      </c>
      <c r="AQ24" s="1516" t="s">
        <v>8925</v>
      </c>
      <c r="AR24" s="1516" t="s">
        <v>8742</v>
      </c>
      <c r="AS24" s="1512" t="s">
        <v>9068</v>
      </c>
      <c r="AT24" s="1499" t="s">
        <v>1991</v>
      </c>
      <c r="AU24" s="1517" t="s">
        <v>9069</v>
      </c>
      <c r="AV24" s="1518" t="str">
        <f t="shared" si="1"/>
        <v>3:01</v>
      </c>
      <c r="AW24" s="1519"/>
    </row>
    <row r="25">
      <c r="A25" s="1435" t="s">
        <v>6493</v>
      </c>
      <c r="B25" s="1430" t="s">
        <v>8573</v>
      </c>
      <c r="C25" s="1388">
        <v>0.05016203703703704</v>
      </c>
      <c r="D25" s="1411" t="s">
        <v>9070</v>
      </c>
      <c r="E25" s="1520" t="s">
        <v>7250</v>
      </c>
      <c r="F25" s="1411" t="s">
        <v>9071</v>
      </c>
      <c r="G25" s="1411" t="s">
        <v>9072</v>
      </c>
      <c r="H25" s="1411" t="s">
        <v>9073</v>
      </c>
      <c r="I25" s="1411" t="s">
        <v>5250</v>
      </c>
      <c r="J25" s="1411" t="s">
        <v>4081</v>
      </c>
      <c r="K25" s="1411" t="s">
        <v>9074</v>
      </c>
      <c r="L25" s="1202" t="s">
        <v>5064</v>
      </c>
      <c r="M25" s="1454" t="s">
        <v>8581</v>
      </c>
      <c r="N25" s="1411" t="s">
        <v>9075</v>
      </c>
      <c r="O25" s="1411" t="s">
        <v>9076</v>
      </c>
      <c r="P25" s="1411" t="s">
        <v>5740</v>
      </c>
      <c r="Q25" s="1411" t="s">
        <v>2672</v>
      </c>
      <c r="R25" s="1411" t="s">
        <v>974</v>
      </c>
      <c r="S25" s="1411" t="s">
        <v>9077</v>
      </c>
      <c r="T25" s="1411" t="s">
        <v>1396</v>
      </c>
      <c r="U25" s="1411" t="s">
        <v>9078</v>
      </c>
      <c r="V25" s="1411" t="s">
        <v>9079</v>
      </c>
      <c r="W25" s="1411" t="s">
        <v>9080</v>
      </c>
      <c r="X25" s="1411" t="s">
        <v>1303</v>
      </c>
      <c r="Y25" s="1411" t="s">
        <v>1097</v>
      </c>
      <c r="Z25" s="1411" t="s">
        <v>8961</v>
      </c>
      <c r="AA25" s="1411" t="s">
        <v>8587</v>
      </c>
      <c r="AB25" s="1411" t="s">
        <v>9081</v>
      </c>
      <c r="AC25" s="1411" t="s">
        <v>4748</v>
      </c>
      <c r="AD25" s="1411" t="s">
        <v>9082</v>
      </c>
      <c r="AE25" s="1411" t="s">
        <v>6700</v>
      </c>
      <c r="AF25" s="1411" t="s">
        <v>5625</v>
      </c>
      <c r="AG25" s="1411" t="s">
        <v>9083</v>
      </c>
      <c r="AH25" s="1411" t="s">
        <v>4331</v>
      </c>
      <c r="AI25" s="1400" t="s">
        <v>4145</v>
      </c>
      <c r="AJ25" s="1411" t="s">
        <v>9084</v>
      </c>
      <c r="AK25" s="1411" t="s">
        <v>9085</v>
      </c>
      <c r="AL25" s="1411" t="s">
        <v>2503</v>
      </c>
      <c r="AM25" s="1411" t="s">
        <v>4004</v>
      </c>
      <c r="AN25" s="1411" t="s">
        <v>5887</v>
      </c>
      <c r="AO25" s="1411" t="s">
        <v>9086</v>
      </c>
      <c r="AP25" s="1411" t="s">
        <v>9087</v>
      </c>
      <c r="AQ25" s="1411" t="s">
        <v>3989</v>
      </c>
      <c r="AR25" s="1411" t="s">
        <v>2947</v>
      </c>
      <c r="AS25" s="1411" t="s">
        <v>754</v>
      </c>
      <c r="AT25" s="1411" t="s">
        <v>9088</v>
      </c>
      <c r="AU25" s="1400" t="s">
        <v>9089</v>
      </c>
      <c r="AV25" s="1398" t="str">
        <f t="shared" si="1"/>
        <v>3:20</v>
      </c>
      <c r="AW25" s="1521"/>
    </row>
    <row r="26" ht="15.75" customHeight="1">
      <c r="A26" s="1402" t="s">
        <v>1419</v>
      </c>
      <c r="B26" s="1387" t="s">
        <v>8542</v>
      </c>
      <c r="C26" s="1388">
        <v>0.05025462962962963</v>
      </c>
      <c r="D26" s="1202" t="s">
        <v>9090</v>
      </c>
      <c r="E26" s="1440" t="s">
        <v>9091</v>
      </c>
      <c r="F26" s="1470" t="s">
        <v>9092</v>
      </c>
      <c r="G26" s="1390" t="s">
        <v>9093</v>
      </c>
      <c r="H26" s="1441" t="s">
        <v>9094</v>
      </c>
      <c r="I26" s="1441" t="s">
        <v>1048</v>
      </c>
      <c r="J26" s="1442" t="s">
        <v>8696</v>
      </c>
      <c r="K26" s="1472" t="s">
        <v>7087</v>
      </c>
      <c r="L26" s="1472" t="s">
        <v>5115</v>
      </c>
      <c r="M26" s="1522" t="str">
        <f>HYPERLINK("https://youtu.be/teAIifUZjFw","1:14.18")</f>
        <v>1:14.18</v>
      </c>
      <c r="N26" s="1472" t="s">
        <v>3736</v>
      </c>
      <c r="O26" s="1472" t="s">
        <v>9095</v>
      </c>
      <c r="P26" s="1472" t="s">
        <v>2089</v>
      </c>
      <c r="Q26" s="1473" t="s">
        <v>9096</v>
      </c>
      <c r="R26" s="1444" t="s">
        <v>9097</v>
      </c>
      <c r="S26" s="1444" t="s">
        <v>5423</v>
      </c>
      <c r="T26" s="1523" t="str">
        <f>HYPERLINK("https://youtu.be/AiXricVH5ss","1:24.99")</f>
        <v>1:24.99</v>
      </c>
      <c r="U26" s="1524" t="str">
        <f>HYPERLINK("https://www.twitch.tv/videos/450151935","2:00.31")</f>
        <v>2:00.31</v>
      </c>
      <c r="V26" s="1444" t="s">
        <v>9098</v>
      </c>
      <c r="W26" s="1525" t="str">
        <f>HYPERLINK("https://youtu.be/eafNhBoXVWA","1:46.09")</f>
        <v>1:46.09</v>
      </c>
      <c r="X26" s="1474" t="s">
        <v>4470</v>
      </c>
      <c r="Y26" s="1474" t="s">
        <v>8788</v>
      </c>
      <c r="Z26" s="1474" t="s">
        <v>9099</v>
      </c>
      <c r="AA26" s="1445" t="s">
        <v>8728</v>
      </c>
      <c r="AB26" s="1474" t="s">
        <v>7089</v>
      </c>
      <c r="AC26" s="1474" t="s">
        <v>7678</v>
      </c>
      <c r="AD26" s="1526" t="str">
        <f>HYPERLINK("https://youtu.be/8FEcTKESSh0","1:49.80")</f>
        <v>1:49.80</v>
      </c>
      <c r="AE26" s="1440" t="s">
        <v>5946</v>
      </c>
      <c r="AF26" s="1475" t="s">
        <v>9100</v>
      </c>
      <c r="AG26" s="1475" t="s">
        <v>9101</v>
      </c>
      <c r="AH26" s="1475" t="s">
        <v>9102</v>
      </c>
      <c r="AI26" s="1475" t="s">
        <v>4005</v>
      </c>
      <c r="AJ26" s="1475" t="s">
        <v>9103</v>
      </c>
      <c r="AK26" s="1446" t="s">
        <v>8957</v>
      </c>
      <c r="AL26" s="1475" t="s">
        <v>9104</v>
      </c>
      <c r="AM26" s="1448" t="s">
        <v>8896</v>
      </c>
      <c r="AN26" s="1448" t="s">
        <v>8326</v>
      </c>
      <c r="AO26" s="1448" t="s">
        <v>9047</v>
      </c>
      <c r="AP26" s="1447" t="s">
        <v>9105</v>
      </c>
      <c r="AQ26" s="1447" t="s">
        <v>9106</v>
      </c>
      <c r="AR26" s="1448" t="s">
        <v>9107</v>
      </c>
      <c r="AS26" s="1447" t="s">
        <v>5523</v>
      </c>
      <c r="AT26" s="1522" t="str">
        <f>HYPERLINK("https://youtu.be/xDirVtS1AZ4?t=4416","2:27.45")</f>
        <v>2:27.45</v>
      </c>
      <c r="AU26" s="1476" t="s">
        <v>9108</v>
      </c>
      <c r="AV26" s="1398" t="str">
        <f t="shared" si="1"/>
        <v>2:34</v>
      </c>
      <c r="AW26" s="1429" t="s">
        <v>9109</v>
      </c>
    </row>
    <row r="27">
      <c r="A27" s="1435" t="s">
        <v>6480</v>
      </c>
      <c r="B27" s="1430" t="s">
        <v>8542</v>
      </c>
      <c r="C27" s="1388">
        <v>0.0502662037037037</v>
      </c>
      <c r="D27" s="1202" t="s">
        <v>9110</v>
      </c>
      <c r="E27" s="1400" t="s">
        <v>8717</v>
      </c>
      <c r="F27" s="1400" t="s">
        <v>9111</v>
      </c>
      <c r="G27" s="1400" t="s">
        <v>9112</v>
      </c>
      <c r="H27" s="1400" t="s">
        <v>9113</v>
      </c>
      <c r="I27" s="1202" t="s">
        <v>260</v>
      </c>
      <c r="J27" s="1202" t="s">
        <v>9114</v>
      </c>
      <c r="K27" s="1400" t="s">
        <v>9013</v>
      </c>
      <c r="L27" s="1400" t="s">
        <v>4068</v>
      </c>
      <c r="M27" s="1202" t="s">
        <v>2655</v>
      </c>
      <c r="N27" s="1400" t="s">
        <v>9115</v>
      </c>
      <c r="O27" s="1400" t="s">
        <v>9116</v>
      </c>
      <c r="P27" s="1202" t="s">
        <v>9117</v>
      </c>
      <c r="Q27" s="1400" t="s">
        <v>9118</v>
      </c>
      <c r="R27" s="1202" t="s">
        <v>9119</v>
      </c>
      <c r="S27" s="1400" t="s">
        <v>9120</v>
      </c>
      <c r="T27" s="1202" t="s">
        <v>9121</v>
      </c>
      <c r="U27" s="1400" t="s">
        <v>1034</v>
      </c>
      <c r="V27" s="1202" t="s">
        <v>4974</v>
      </c>
      <c r="W27" s="1202" t="s">
        <v>7231</v>
      </c>
      <c r="X27" s="1202" t="s">
        <v>6802</v>
      </c>
      <c r="Y27" s="1202" t="s">
        <v>884</v>
      </c>
      <c r="Z27" s="1202" t="s">
        <v>9122</v>
      </c>
      <c r="AA27" s="1400" t="s">
        <v>9123</v>
      </c>
      <c r="AB27" s="1202" t="s">
        <v>7677</v>
      </c>
      <c r="AC27" s="1400" t="s">
        <v>9034</v>
      </c>
      <c r="AD27" s="1202" t="s">
        <v>6169</v>
      </c>
      <c r="AE27" s="1400" t="s">
        <v>9124</v>
      </c>
      <c r="AF27" s="1400" t="s">
        <v>9125</v>
      </c>
      <c r="AG27" s="1202" t="s">
        <v>2045</v>
      </c>
      <c r="AH27" s="1202" t="s">
        <v>2594</v>
      </c>
      <c r="AI27" s="1400" t="s">
        <v>9126</v>
      </c>
      <c r="AJ27" s="1202" t="s">
        <v>9127</v>
      </c>
      <c r="AK27" s="1202" t="s">
        <v>8557</v>
      </c>
      <c r="AL27" s="1202" t="s">
        <v>4611</v>
      </c>
      <c r="AM27" s="1202" t="s">
        <v>9128</v>
      </c>
      <c r="AN27" s="1202" t="s">
        <v>4611</v>
      </c>
      <c r="AO27" s="1202" t="s">
        <v>1841</v>
      </c>
      <c r="AP27" s="1400" t="s">
        <v>9129</v>
      </c>
      <c r="AQ27" s="1202" t="s">
        <v>2184</v>
      </c>
      <c r="AR27" s="1400" t="s">
        <v>8442</v>
      </c>
      <c r="AS27" s="1202" t="s">
        <v>1898</v>
      </c>
      <c r="AT27" s="1400" t="s">
        <v>9130</v>
      </c>
      <c r="AU27" s="1400" t="s">
        <v>9131</v>
      </c>
      <c r="AV27" s="1398" t="str">
        <f t="shared" si="1"/>
        <v>2:28</v>
      </c>
      <c r="AW27" s="1431" t="s">
        <v>9132</v>
      </c>
    </row>
    <row r="28">
      <c r="A28" s="1435" t="s">
        <v>9133</v>
      </c>
      <c r="B28" s="1527" t="s">
        <v>8542</v>
      </c>
      <c r="C28" s="1388">
        <v>0.0503125</v>
      </c>
      <c r="D28" s="1202" t="s">
        <v>9134</v>
      </c>
      <c r="E28" s="1440" t="s">
        <v>9135</v>
      </c>
      <c r="F28" s="1440" t="s">
        <v>9136</v>
      </c>
      <c r="G28" s="1440" t="s">
        <v>8153</v>
      </c>
      <c r="H28" s="1528" t="s">
        <v>9137</v>
      </c>
      <c r="I28" s="1528" t="s">
        <v>7059</v>
      </c>
      <c r="J28" s="1442" t="s">
        <v>1837</v>
      </c>
      <c r="K28" s="1442" t="s">
        <v>5913</v>
      </c>
      <c r="L28" s="1442" t="s">
        <v>3451</v>
      </c>
      <c r="M28" s="1442" t="s">
        <v>9138</v>
      </c>
      <c r="N28" s="1442" t="s">
        <v>9139</v>
      </c>
      <c r="O28" s="1442" t="s">
        <v>4130</v>
      </c>
      <c r="P28" s="1442" t="s">
        <v>5141</v>
      </c>
      <c r="Q28" s="1444" t="s">
        <v>9140</v>
      </c>
      <c r="R28" s="1444" t="s">
        <v>9141</v>
      </c>
      <c r="S28" s="1444" t="s">
        <v>547</v>
      </c>
      <c r="T28" s="1444" t="s">
        <v>9142</v>
      </c>
      <c r="U28" s="1444" t="s">
        <v>9143</v>
      </c>
      <c r="V28" s="1444" t="s">
        <v>9144</v>
      </c>
      <c r="W28" s="1445" t="s">
        <v>9145</v>
      </c>
      <c r="X28" s="1445" t="s">
        <v>4470</v>
      </c>
      <c r="Y28" s="1445" t="s">
        <v>1553</v>
      </c>
      <c r="Z28" s="1445" t="s">
        <v>2425</v>
      </c>
      <c r="AA28" s="1445" t="s">
        <v>9146</v>
      </c>
      <c r="AB28" s="1445" t="s">
        <v>3766</v>
      </c>
      <c r="AC28" s="1445" t="s">
        <v>9147</v>
      </c>
      <c r="AD28" s="1440" t="s">
        <v>9148</v>
      </c>
      <c r="AE28" s="1440" t="s">
        <v>5765</v>
      </c>
      <c r="AF28" s="1446" t="s">
        <v>9149</v>
      </c>
      <c r="AG28" s="1446" t="s">
        <v>7873</v>
      </c>
      <c r="AH28" s="1446" t="s">
        <v>9150</v>
      </c>
      <c r="AI28" s="1446" t="s">
        <v>5084</v>
      </c>
      <c r="AJ28" s="1446" t="s">
        <v>9151</v>
      </c>
      <c r="AK28" s="1446" t="s">
        <v>9152</v>
      </c>
      <c r="AL28" s="1446" t="s">
        <v>8779</v>
      </c>
      <c r="AM28" s="1448" t="s">
        <v>8824</v>
      </c>
      <c r="AN28" s="1448" t="s">
        <v>9153</v>
      </c>
      <c r="AO28" s="1448" t="s">
        <v>3234</v>
      </c>
      <c r="AP28" s="1448" t="s">
        <v>9154</v>
      </c>
      <c r="AQ28" s="1448" t="s">
        <v>9155</v>
      </c>
      <c r="AR28" s="1448" t="s">
        <v>3003</v>
      </c>
      <c r="AS28" s="1448" t="s">
        <v>299</v>
      </c>
      <c r="AT28" s="1442" t="s">
        <v>9156</v>
      </c>
      <c r="AU28" s="1428" t="s">
        <v>9157</v>
      </c>
      <c r="AV28" s="1398" t="str">
        <f t="shared" si="1"/>
        <v>2:59</v>
      </c>
      <c r="AW28" s="1434" t="s">
        <v>9158</v>
      </c>
    </row>
    <row r="29" ht="15.75" customHeight="1">
      <c r="A29" s="1386" t="s">
        <v>9159</v>
      </c>
      <c r="B29" s="1465" t="s">
        <v>8573</v>
      </c>
      <c r="C29" s="1388">
        <v>0.05042824074074074</v>
      </c>
      <c r="D29" s="1202" t="s">
        <v>8850</v>
      </c>
      <c r="E29" s="1440" t="s">
        <v>6228</v>
      </c>
      <c r="F29" s="1440" t="s">
        <v>9160</v>
      </c>
      <c r="G29" s="1470" t="s">
        <v>9161</v>
      </c>
      <c r="H29" s="1441" t="s">
        <v>9162</v>
      </c>
      <c r="I29" s="1528" t="s">
        <v>3297</v>
      </c>
      <c r="J29" s="1442" t="s">
        <v>4808</v>
      </c>
      <c r="K29" s="1442" t="s">
        <v>9074</v>
      </c>
      <c r="L29" s="1442" t="s">
        <v>2465</v>
      </c>
      <c r="M29" s="1442" t="s">
        <v>2034</v>
      </c>
      <c r="N29" s="1442" t="s">
        <v>4176</v>
      </c>
      <c r="O29" s="1442" t="s">
        <v>9163</v>
      </c>
      <c r="P29" s="1472" t="s">
        <v>759</v>
      </c>
      <c r="Q29" s="1444" t="s">
        <v>9164</v>
      </c>
      <c r="R29" s="1444" t="s">
        <v>3421</v>
      </c>
      <c r="S29" s="1444" t="s">
        <v>7650</v>
      </c>
      <c r="T29" s="1473" t="s">
        <v>8750</v>
      </c>
      <c r="U29" s="1444" t="s">
        <v>8700</v>
      </c>
      <c r="V29" s="1473" t="s">
        <v>4955</v>
      </c>
      <c r="W29" s="1474" t="s">
        <v>7437</v>
      </c>
      <c r="X29" s="1445" t="s">
        <v>2566</v>
      </c>
      <c r="Y29" s="1474" t="s">
        <v>9165</v>
      </c>
      <c r="Z29" s="1445" t="s">
        <v>9166</v>
      </c>
      <c r="AA29" s="1474" t="s">
        <v>9167</v>
      </c>
      <c r="AB29" s="1202" t="s">
        <v>7502</v>
      </c>
      <c r="AC29" s="1474" t="s">
        <v>3620</v>
      </c>
      <c r="AD29" s="1459" t="s">
        <v>8588</v>
      </c>
      <c r="AE29" s="1440" t="s">
        <v>3333</v>
      </c>
      <c r="AF29" s="1446" t="s">
        <v>9168</v>
      </c>
      <c r="AG29" s="1475" t="s">
        <v>3858</v>
      </c>
      <c r="AH29" s="1475" t="s">
        <v>9169</v>
      </c>
      <c r="AI29" s="1398" t="s">
        <v>9123</v>
      </c>
      <c r="AJ29" s="1475" t="s">
        <v>9170</v>
      </c>
      <c r="AK29" s="1529" t="s">
        <v>8592</v>
      </c>
      <c r="AL29" s="1475" t="s">
        <v>3625</v>
      </c>
      <c r="AM29" s="1448" t="s">
        <v>9171</v>
      </c>
      <c r="AN29" s="1448" t="s">
        <v>5052</v>
      </c>
      <c r="AO29" s="1448" t="s">
        <v>2070</v>
      </c>
      <c r="AP29" s="1448" t="s">
        <v>9172</v>
      </c>
      <c r="AQ29" s="1447" t="s">
        <v>9173</v>
      </c>
      <c r="AR29" s="1447" t="s">
        <v>3670</v>
      </c>
      <c r="AS29" s="1447" t="s">
        <v>5178</v>
      </c>
      <c r="AT29" s="1442" t="s">
        <v>9174</v>
      </c>
      <c r="AU29" s="1428" t="s">
        <v>9175</v>
      </c>
      <c r="AV29" s="1398" t="str">
        <f t="shared" si="1"/>
        <v>2:55</v>
      </c>
      <c r="AW29" s="1530"/>
    </row>
    <row r="30" ht="15.75" customHeight="1">
      <c r="A30" s="1386" t="s">
        <v>4260</v>
      </c>
      <c r="B30" s="1387" t="s">
        <v>8542</v>
      </c>
      <c r="C30" s="1531">
        <v>0.05043981481481481</v>
      </c>
      <c r="D30" s="1202" t="s">
        <v>9176</v>
      </c>
      <c r="E30" s="1398" t="s">
        <v>7407</v>
      </c>
      <c r="F30" s="1398" t="s">
        <v>1580</v>
      </c>
      <c r="G30" s="1398" t="s">
        <v>9177</v>
      </c>
      <c r="H30" s="1398" t="s">
        <v>8741</v>
      </c>
      <c r="I30" s="1398" t="s">
        <v>4698</v>
      </c>
      <c r="J30" s="1398" t="s">
        <v>4480</v>
      </c>
      <c r="K30" s="1398" t="s">
        <v>8997</v>
      </c>
      <c r="L30" s="1398" t="s">
        <v>3806</v>
      </c>
      <c r="M30" s="1398" t="s">
        <v>9178</v>
      </c>
      <c r="N30" s="1398" t="s">
        <v>9037</v>
      </c>
      <c r="O30" s="1398" t="s">
        <v>9179</v>
      </c>
      <c r="P30" s="1398" t="s">
        <v>5283</v>
      </c>
      <c r="Q30" s="1398" t="s">
        <v>9180</v>
      </c>
      <c r="R30" s="1398" t="s">
        <v>9181</v>
      </c>
      <c r="S30" s="1398" t="s">
        <v>9182</v>
      </c>
      <c r="T30" s="1398" t="s">
        <v>9183</v>
      </c>
      <c r="U30" s="1398" t="s">
        <v>9184</v>
      </c>
      <c r="V30" s="1398" t="s">
        <v>2280</v>
      </c>
      <c r="W30" s="1398" t="s">
        <v>9185</v>
      </c>
      <c r="X30" s="1398" t="s">
        <v>9186</v>
      </c>
      <c r="Y30" s="1398" t="s">
        <v>9020</v>
      </c>
      <c r="Z30" s="1398" t="s">
        <v>1134</v>
      </c>
      <c r="AA30" s="1398" t="s">
        <v>3406</v>
      </c>
      <c r="AB30" s="1398" t="s">
        <v>4808</v>
      </c>
      <c r="AC30" s="1398" t="s">
        <v>7678</v>
      </c>
      <c r="AD30" s="1398" t="s">
        <v>6144</v>
      </c>
      <c r="AE30" s="1398" t="s">
        <v>5492</v>
      </c>
      <c r="AF30" s="1398" t="s">
        <v>9187</v>
      </c>
      <c r="AG30" s="1398" t="s">
        <v>5755</v>
      </c>
      <c r="AH30" s="1398" t="s">
        <v>4031</v>
      </c>
      <c r="AI30" s="1398" t="s">
        <v>5084</v>
      </c>
      <c r="AJ30" s="1398" t="s">
        <v>9188</v>
      </c>
      <c r="AK30" s="1398" t="s">
        <v>9189</v>
      </c>
      <c r="AL30" s="1398" t="s">
        <v>5844</v>
      </c>
      <c r="AM30" s="1398" t="s">
        <v>1234</v>
      </c>
      <c r="AN30" s="1398" t="s">
        <v>4179</v>
      </c>
      <c r="AO30" s="1398" t="s">
        <v>9190</v>
      </c>
      <c r="AP30" s="1414" t="str">
        <f>HYPERLINK("https://www.twitch.tv/videos/511415405","2:00.79")</f>
        <v>2:00.79</v>
      </c>
      <c r="AQ30" s="1398" t="s">
        <v>9191</v>
      </c>
      <c r="AR30" s="1398" t="s">
        <v>7402</v>
      </c>
      <c r="AS30" s="1398" t="s">
        <v>9192</v>
      </c>
      <c r="AT30" s="1398" t="s">
        <v>9193</v>
      </c>
      <c r="AU30" s="1398" t="s">
        <v>9194</v>
      </c>
      <c r="AV30" s="1398" t="str">
        <f t="shared" si="1"/>
        <v>2:36</v>
      </c>
      <c r="AW30" s="1415" t="s">
        <v>6564</v>
      </c>
    </row>
    <row r="31">
      <c r="A31" s="1435" t="s">
        <v>1202</v>
      </c>
      <c r="B31" s="1433" t="s">
        <v>8542</v>
      </c>
      <c r="C31" s="1388">
        <v>0.050486111111111114</v>
      </c>
      <c r="D31" s="1440" t="s">
        <v>9195</v>
      </c>
      <c r="E31" s="1440" t="s">
        <v>4238</v>
      </c>
      <c r="F31" s="1440" t="s">
        <v>9196</v>
      </c>
      <c r="G31" s="1440" t="s">
        <v>9197</v>
      </c>
      <c r="H31" s="1202" t="s">
        <v>9198</v>
      </c>
      <c r="I31" s="1528" t="s">
        <v>930</v>
      </c>
      <c r="J31" s="1442" t="s">
        <v>5657</v>
      </c>
      <c r="K31" s="1442" t="s">
        <v>7885</v>
      </c>
      <c r="L31" s="1442" t="s">
        <v>6391</v>
      </c>
      <c r="M31" s="1442" t="s">
        <v>4965</v>
      </c>
      <c r="N31" s="1442" t="s">
        <v>9199</v>
      </c>
      <c r="O31" s="1442" t="s">
        <v>9200</v>
      </c>
      <c r="P31" s="1442" t="s">
        <v>8890</v>
      </c>
      <c r="Q31" s="1444" t="s">
        <v>954</v>
      </c>
      <c r="R31" s="1444" t="s">
        <v>4757</v>
      </c>
      <c r="S31" s="1444" t="s">
        <v>9085</v>
      </c>
      <c r="T31" s="1444" t="s">
        <v>9201</v>
      </c>
      <c r="U31" s="1444" t="s">
        <v>9202</v>
      </c>
      <c r="V31" s="1444" t="s">
        <v>9203</v>
      </c>
      <c r="W31" s="1445" t="s">
        <v>9204</v>
      </c>
      <c r="X31" s="1445" t="s">
        <v>9205</v>
      </c>
      <c r="Y31" s="1445" t="s">
        <v>7021</v>
      </c>
      <c r="Z31" s="1445" t="s">
        <v>9206</v>
      </c>
      <c r="AA31" s="1400" t="s">
        <v>9207</v>
      </c>
      <c r="AB31" s="1445" t="s">
        <v>3388</v>
      </c>
      <c r="AC31" s="1445" t="s">
        <v>1048</v>
      </c>
      <c r="AD31" s="1440" t="s">
        <v>9208</v>
      </c>
      <c r="AE31" s="1440" t="s">
        <v>2180</v>
      </c>
      <c r="AF31" s="1446" t="s">
        <v>9209</v>
      </c>
      <c r="AG31" s="1446" t="s">
        <v>526</v>
      </c>
      <c r="AH31" s="1446" t="s">
        <v>9210</v>
      </c>
      <c r="AI31" s="1446" t="s">
        <v>2632</v>
      </c>
      <c r="AJ31" s="1446" t="s">
        <v>9211</v>
      </c>
      <c r="AK31" s="1446" t="s">
        <v>7477</v>
      </c>
      <c r="AL31" s="1446" t="s">
        <v>2708</v>
      </c>
      <c r="AM31" s="1448" t="s">
        <v>9212</v>
      </c>
      <c r="AN31" s="1448" t="s">
        <v>9035</v>
      </c>
      <c r="AO31" s="1448" t="s">
        <v>9213</v>
      </c>
      <c r="AP31" s="1448" t="s">
        <v>9214</v>
      </c>
      <c r="AQ31" s="1448" t="s">
        <v>9215</v>
      </c>
      <c r="AR31" s="1448" t="s">
        <v>1162</v>
      </c>
      <c r="AS31" s="1448" t="s">
        <v>1553</v>
      </c>
      <c r="AT31" s="1442" t="s">
        <v>9216</v>
      </c>
      <c r="AU31" s="1428" t="s">
        <v>9217</v>
      </c>
      <c r="AV31" s="1398" t="str">
        <f t="shared" si="1"/>
        <v>3:47</v>
      </c>
      <c r="AW31" s="1434"/>
    </row>
    <row r="32" ht="15.75" customHeight="1">
      <c r="A32" s="1435" t="s">
        <v>1635</v>
      </c>
      <c r="B32" s="1387" t="s">
        <v>8542</v>
      </c>
      <c r="C32" s="1388">
        <v>0.05049768518518519</v>
      </c>
      <c r="D32" s="1202" t="s">
        <v>9218</v>
      </c>
      <c r="E32" s="1470" t="s">
        <v>9219</v>
      </c>
      <c r="F32" s="1526" t="str">
        <f>HYPERLINK("https://www.youtube.com/watch?v=rtR6KkKhM6I","1:59.91")</f>
        <v>1:59.91</v>
      </c>
      <c r="G32" s="1470" t="s">
        <v>9220</v>
      </c>
      <c r="H32" s="1532" t="str">
        <f>HYPERLINK("https://www.youtube.com/watch?v=cg-eipYsN1s","1:54.47")</f>
        <v>1:54.47</v>
      </c>
      <c r="I32" s="1441" t="s">
        <v>9165</v>
      </c>
      <c r="J32" s="1472" t="s">
        <v>6368</v>
      </c>
      <c r="K32" s="1442" t="s">
        <v>6514</v>
      </c>
      <c r="L32" s="1522" t="str">
        <f>HYPERLINK("https://www.youtube.com/watch?v=tJdjPKdAbw4","57.01")</f>
        <v>57.01</v>
      </c>
      <c r="M32" s="1472" t="s">
        <v>7350</v>
      </c>
      <c r="N32" s="1442" t="s">
        <v>2298</v>
      </c>
      <c r="O32" s="1472" t="s">
        <v>9221</v>
      </c>
      <c r="P32" s="1472" t="s">
        <v>277</v>
      </c>
      <c r="Q32" s="1473" t="s">
        <v>235</v>
      </c>
      <c r="R32" s="1473" t="s">
        <v>9222</v>
      </c>
      <c r="S32" s="1524" t="str">
        <f>HYPERLINK("https://www.youtube.com/watch?v=_3ms_ZhYFzo","1:18.01")</f>
        <v>1:18.01</v>
      </c>
      <c r="T32" s="1473" t="s">
        <v>6030</v>
      </c>
      <c r="U32" s="1524" t="str">
        <f>HYPERLINK("https://www.youtube.com/watch?v=ZOy_TI3Zw14","2:02.38")</f>
        <v>2:02.38</v>
      </c>
      <c r="V32" s="1473" t="s">
        <v>9203</v>
      </c>
      <c r="W32" s="1474" t="s">
        <v>3331</v>
      </c>
      <c r="X32" s="1474" t="s">
        <v>7477</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7678</v>
      </c>
      <c r="AD32" s="1526" t="str">
        <f>HYPERLINK("https://www.youtube.com/watch?v=ikF77QyREZg","1:50.30")</f>
        <v>1:50.30</v>
      </c>
      <c r="AE32" s="1470" t="s">
        <v>8890</v>
      </c>
      <c r="AF32" s="1475" t="s">
        <v>9223</v>
      </c>
      <c r="AG32" s="1533" t="str">
        <f>HYPERLINK("https://www.youtube.com/watch?v=KXwTRrVVluY","1:30.62")</f>
        <v>1:30.62</v>
      </c>
      <c r="AH32" s="1475" t="s">
        <v>3040</v>
      </c>
      <c r="AI32" s="1475" t="s">
        <v>9101</v>
      </c>
      <c r="AJ32" s="1475" t="s">
        <v>9224</v>
      </c>
      <c r="AK32" s="1446" t="s">
        <v>9225</v>
      </c>
      <c r="AL32" s="1475" t="s">
        <v>9226</v>
      </c>
      <c r="AM32" s="1534" t="str">
        <f>HYPERLINK("https://www.youtube.com/watch?v=BAoEwuQ0LoI","1:25.68")</f>
        <v>1:25.68</v>
      </c>
      <c r="AN32" s="1534" t="str">
        <f>HYPERLINK("https://www.youtube.com/watch?v=F-LtZeEZXek","56.36")</f>
        <v>56.36</v>
      </c>
      <c r="AO32" s="1447" t="s">
        <v>9227</v>
      </c>
      <c r="AP32" s="1447" t="s">
        <v>9228</v>
      </c>
      <c r="AQ32" s="1447" t="s">
        <v>9229</v>
      </c>
      <c r="AR32" s="1534" t="str">
        <f>HYPERLINK("https://www.youtube.com/watch?v=WSIIkWWbKgE","1:21.74")</f>
        <v>1:21.74</v>
      </c>
      <c r="AS32" s="1447" t="s">
        <v>5514</v>
      </c>
      <c r="AT32" s="1522" t="str">
        <f>HYPERLINK("https://www.youtube.com/watch?v=H67SXBLcISI","2:29.09")</f>
        <v>2:29.09</v>
      </c>
      <c r="AU32" s="1476" t="s">
        <v>9230</v>
      </c>
      <c r="AV32" s="1398" t="str">
        <f t="shared" si="1"/>
        <v>2:03</v>
      </c>
      <c r="AW32" s="1535" t="s">
        <v>9231</v>
      </c>
    </row>
    <row r="33">
      <c r="A33" s="1435" t="s">
        <v>3045</v>
      </c>
      <c r="B33" s="1433" t="s">
        <v>8573</v>
      </c>
      <c r="C33" s="1388">
        <v>0.050520833333333334</v>
      </c>
      <c r="D33" s="1440" t="s">
        <v>9232</v>
      </c>
      <c r="E33" s="1485" t="s">
        <v>4596</v>
      </c>
      <c r="F33" s="1485" t="s">
        <v>8846</v>
      </c>
      <c r="G33" s="1440" t="s">
        <v>9233</v>
      </c>
      <c r="H33" s="1485" t="s">
        <v>9234</v>
      </c>
      <c r="I33" s="1485" t="s">
        <v>3069</v>
      </c>
      <c r="J33" s="1442" t="s">
        <v>9235</v>
      </c>
      <c r="K33" s="1536" t="s">
        <v>9236</v>
      </c>
      <c r="L33" s="1442" t="s">
        <v>9237</v>
      </c>
      <c r="M33" s="1390" t="s">
        <v>5671</v>
      </c>
      <c r="N33" s="1442" t="s">
        <v>888</v>
      </c>
      <c r="O33" s="1442" t="s">
        <v>9095</v>
      </c>
      <c r="P33" s="1442" t="s">
        <v>409</v>
      </c>
      <c r="Q33" s="1413" t="str">
        <f>HYPERLINK("https://www.twitch.tv/planktonsecretformula/v/1588460220?sr=a", "2:12.43")</f>
        <v>2:12.43</v>
      </c>
      <c r="R33" s="1444" t="s">
        <v>9181</v>
      </c>
      <c r="S33" s="1444" t="s">
        <v>9238</v>
      </c>
      <c r="T33" s="1537" t="s">
        <v>9239</v>
      </c>
      <c r="U33" s="1485" t="s">
        <v>9240</v>
      </c>
      <c r="V33" s="1485" t="s">
        <v>9241</v>
      </c>
      <c r="W33" s="1466" t="s">
        <v>9242</v>
      </c>
      <c r="X33" s="1445" t="s">
        <v>858</v>
      </c>
      <c r="Y33" s="1445" t="s">
        <v>8979</v>
      </c>
      <c r="Z33" s="1445" t="s">
        <v>8697</v>
      </c>
      <c r="AA33" s="1400" t="s">
        <v>9243</v>
      </c>
      <c r="AB33" s="1445" t="s">
        <v>4126</v>
      </c>
      <c r="AC33" s="1445" t="s">
        <v>945</v>
      </c>
      <c r="AD33" s="1440" t="s">
        <v>3968</v>
      </c>
      <c r="AE33" s="1440" t="s">
        <v>5740</v>
      </c>
      <c r="AF33" s="1446" t="s">
        <v>9244</v>
      </c>
      <c r="AG33" s="1485" t="s">
        <v>4583</v>
      </c>
      <c r="AH33" s="1446" t="s">
        <v>9245</v>
      </c>
      <c r="AI33" s="1446" t="s">
        <v>6797</v>
      </c>
      <c r="AJ33" s="1446" t="s">
        <v>9246</v>
      </c>
      <c r="AK33" s="1446" t="s">
        <v>9247</v>
      </c>
      <c r="AL33" s="1446" t="s">
        <v>9248</v>
      </c>
      <c r="AM33" s="1448" t="s">
        <v>8750</v>
      </c>
      <c r="AN33" s="1448" t="s">
        <v>8893</v>
      </c>
      <c r="AO33" s="1448" t="s">
        <v>3003</v>
      </c>
      <c r="AP33" s="1448" t="s">
        <v>8594</v>
      </c>
      <c r="AQ33" s="1413" t="str">
        <f>HYPERLINK("https://www.twitch.tv/planktonsecretformula/v/1678454360?sr=a&amp;t=0s", "1:37.46")</f>
        <v>1:37.46</v>
      </c>
      <c r="AR33" s="1448" t="s">
        <v>9249</v>
      </c>
      <c r="AS33" s="1448" t="s">
        <v>717</v>
      </c>
      <c r="AT33" s="1442" t="s">
        <v>9250</v>
      </c>
      <c r="AU33" s="1428" t="s">
        <v>9251</v>
      </c>
      <c r="AV33" s="1398" t="str">
        <f t="shared" si="1"/>
        <v>4:40</v>
      </c>
      <c r="AW33" s="1434" t="s">
        <v>9252</v>
      </c>
    </row>
    <row r="34" ht="15.75" customHeight="1">
      <c r="A34" s="1490" t="s">
        <v>9253</v>
      </c>
      <c r="B34" s="1387" t="s">
        <v>8542</v>
      </c>
      <c r="C34" s="1388">
        <v>0.050555555555555555</v>
      </c>
      <c r="D34" s="1202" t="s">
        <v>9254</v>
      </c>
      <c r="E34" s="1440" t="s">
        <v>9255</v>
      </c>
      <c r="F34" s="1440" t="s">
        <v>9256</v>
      </c>
      <c r="G34" s="1440" t="s">
        <v>9257</v>
      </c>
      <c r="H34" s="1528" t="s">
        <v>9258</v>
      </c>
      <c r="I34" s="1528" t="s">
        <v>6934</v>
      </c>
      <c r="J34" s="1442" t="s">
        <v>9259</v>
      </c>
      <c r="K34" s="1442" t="s">
        <v>9260</v>
      </c>
      <c r="L34" s="1442" t="s">
        <v>9261</v>
      </c>
      <c r="M34" s="1442" t="s">
        <v>3227</v>
      </c>
      <c r="N34" s="1442" t="s">
        <v>9262</v>
      </c>
      <c r="O34" s="1442" t="s">
        <v>9163</v>
      </c>
      <c r="P34" s="1442" t="s">
        <v>4838</v>
      </c>
      <c r="Q34" s="1444" t="s">
        <v>9263</v>
      </c>
      <c r="R34" s="1444" t="s">
        <v>2637</v>
      </c>
      <c r="S34" s="1444" t="s">
        <v>9264</v>
      </c>
      <c r="T34" s="1444" t="s">
        <v>9265</v>
      </c>
      <c r="U34" s="1444" t="s">
        <v>9266</v>
      </c>
      <c r="V34" s="1444" t="s">
        <v>9098</v>
      </c>
      <c r="W34" s="1445" t="s">
        <v>9267</v>
      </c>
      <c r="X34" s="1445" t="s">
        <v>9268</v>
      </c>
      <c r="Y34" s="1445" t="s">
        <v>9269</v>
      </c>
      <c r="Z34" s="1445" t="s">
        <v>1387</v>
      </c>
      <c r="AA34" s="1445" t="s">
        <v>9270</v>
      </c>
      <c r="AB34" s="1445" t="s">
        <v>6513</v>
      </c>
      <c r="AC34" s="1474" t="s">
        <v>2243</v>
      </c>
      <c r="AD34" s="1440" t="s">
        <v>9271</v>
      </c>
      <c r="AE34" s="1440" t="s">
        <v>8890</v>
      </c>
      <c r="AF34" s="1446" t="s">
        <v>9272</v>
      </c>
      <c r="AG34" s="1446" t="s">
        <v>9273</v>
      </c>
      <c r="AH34" s="1446" t="s">
        <v>5577</v>
      </c>
      <c r="AI34" s="1446" t="s">
        <v>9274</v>
      </c>
      <c r="AJ34" s="1446" t="s">
        <v>9275</v>
      </c>
      <c r="AK34" s="1446" t="s">
        <v>4470</v>
      </c>
      <c r="AL34" s="1446" t="s">
        <v>5603</v>
      </c>
      <c r="AM34" s="1448" t="s">
        <v>2057</v>
      </c>
      <c r="AN34" s="1448" t="s">
        <v>4618</v>
      </c>
      <c r="AO34" s="1448" t="s">
        <v>9276</v>
      </c>
      <c r="AP34" s="1448" t="s">
        <v>9277</v>
      </c>
      <c r="AQ34" s="1448" t="s">
        <v>9278</v>
      </c>
      <c r="AR34" s="1448" t="s">
        <v>8934</v>
      </c>
      <c r="AS34" s="1448" t="s">
        <v>884</v>
      </c>
      <c r="AT34" s="1442" t="s">
        <v>9279</v>
      </c>
      <c r="AU34" s="1428" t="s">
        <v>9280</v>
      </c>
      <c r="AV34" s="1398" t="str">
        <f t="shared" si="1"/>
        <v>2:07</v>
      </c>
      <c r="AW34" s="1530"/>
    </row>
    <row r="35">
      <c r="A35" s="1435" t="s">
        <v>643</v>
      </c>
      <c r="B35" s="1433" t="s">
        <v>8542</v>
      </c>
      <c r="C35" s="1388">
        <v>0.050555555555555555</v>
      </c>
      <c r="D35" s="1202" t="s">
        <v>9281</v>
      </c>
      <c r="E35" s="1202" t="s">
        <v>9282</v>
      </c>
      <c r="F35" s="1202" t="s">
        <v>9283</v>
      </c>
      <c r="G35" s="1202" t="s">
        <v>9284</v>
      </c>
      <c r="H35" s="1202" t="s">
        <v>9285</v>
      </c>
      <c r="I35" s="1202" t="s">
        <v>9286</v>
      </c>
      <c r="J35" s="1202" t="s">
        <v>1304</v>
      </c>
      <c r="K35" s="1202" t="s">
        <v>9287</v>
      </c>
      <c r="L35" s="1202" t="s">
        <v>4232</v>
      </c>
      <c r="M35" s="1202" t="s">
        <v>4156</v>
      </c>
      <c r="N35" s="1202" t="s">
        <v>9288</v>
      </c>
      <c r="O35" s="1202" t="s">
        <v>9289</v>
      </c>
      <c r="P35" s="1202" t="s">
        <v>9290</v>
      </c>
      <c r="Q35" s="1202" t="s">
        <v>9291</v>
      </c>
      <c r="R35" s="1202" t="s">
        <v>8632</v>
      </c>
      <c r="S35" s="1202" t="s">
        <v>9292</v>
      </c>
      <c r="T35" s="1202" t="s">
        <v>9152</v>
      </c>
      <c r="U35" s="1202" t="s">
        <v>9293</v>
      </c>
      <c r="V35" s="1202" t="s">
        <v>9294</v>
      </c>
      <c r="W35" s="1202" t="s">
        <v>4707</v>
      </c>
      <c r="X35" s="1202" t="s">
        <v>9295</v>
      </c>
      <c r="Y35" s="1202" t="s">
        <v>5069</v>
      </c>
      <c r="Z35" s="1202" t="s">
        <v>9296</v>
      </c>
      <c r="AA35" s="1202" t="s">
        <v>9297</v>
      </c>
      <c r="AB35" s="1202" t="s">
        <v>9298</v>
      </c>
      <c r="AC35" s="1202" t="s">
        <v>7678</v>
      </c>
      <c r="AD35" s="1202" t="s">
        <v>9299</v>
      </c>
      <c r="AE35" s="1202" t="s">
        <v>8726</v>
      </c>
      <c r="AF35" s="1202" t="s">
        <v>9300</v>
      </c>
      <c r="AG35" s="1202" t="s">
        <v>5065</v>
      </c>
      <c r="AH35" s="1202" t="s">
        <v>4441</v>
      </c>
      <c r="AI35" s="1202" t="s">
        <v>9301</v>
      </c>
      <c r="AJ35" s="1202" t="s">
        <v>9302</v>
      </c>
      <c r="AK35" s="1202" t="s">
        <v>1760</v>
      </c>
      <c r="AL35" s="1202" t="s">
        <v>9303</v>
      </c>
      <c r="AM35" s="1202" t="s">
        <v>3907</v>
      </c>
      <c r="AN35" s="1202" t="s">
        <v>4011</v>
      </c>
      <c r="AO35" s="1202" t="s">
        <v>6232</v>
      </c>
      <c r="AP35" s="1202" t="s">
        <v>9304</v>
      </c>
      <c r="AQ35" s="1202" t="s">
        <v>9305</v>
      </c>
      <c r="AR35" s="1202" t="s">
        <v>8828</v>
      </c>
      <c r="AS35" s="1202" t="s">
        <v>839</v>
      </c>
      <c r="AT35" s="1202" t="s">
        <v>9306</v>
      </c>
      <c r="AU35" s="1428" t="s">
        <v>9194</v>
      </c>
      <c r="AV35" s="1398" t="str">
        <f t="shared" si="1"/>
        <v>2:26</v>
      </c>
      <c r="AW35" s="1434" t="s">
        <v>9307</v>
      </c>
    </row>
    <row r="36" ht="15.75" customHeight="1">
      <c r="A36" s="1386" t="s">
        <v>738</v>
      </c>
      <c r="B36" s="1465" t="s">
        <v>8573</v>
      </c>
      <c r="C36" s="1388">
        <v>0.05056712962962963</v>
      </c>
      <c r="D36" s="1454" t="s">
        <v>8574</v>
      </c>
      <c r="E36" s="1470" t="s">
        <v>9091</v>
      </c>
      <c r="F36" s="1520" t="s">
        <v>8575</v>
      </c>
      <c r="G36" s="1400" t="s">
        <v>9308</v>
      </c>
      <c r="H36" s="1400" t="s">
        <v>9309</v>
      </c>
      <c r="I36" s="1520" t="s">
        <v>8578</v>
      </c>
      <c r="J36" s="1400" t="s">
        <v>1108</v>
      </c>
      <c r="K36" s="1400" t="s">
        <v>4874</v>
      </c>
      <c r="L36" s="1400" t="s">
        <v>2286</v>
      </c>
      <c r="M36" s="1400" t="s">
        <v>2200</v>
      </c>
      <c r="N36" s="1400" t="s">
        <v>9025</v>
      </c>
      <c r="O36" s="1400" t="s">
        <v>9310</v>
      </c>
      <c r="P36" s="1400" t="s">
        <v>3879</v>
      </c>
      <c r="Q36" s="1400" t="s">
        <v>9311</v>
      </c>
      <c r="R36" s="1400" t="s">
        <v>3066</v>
      </c>
      <c r="S36" s="1400" t="s">
        <v>9312</v>
      </c>
      <c r="T36" s="1400" t="s">
        <v>2354</v>
      </c>
      <c r="U36" s="1400" t="s">
        <v>8785</v>
      </c>
      <c r="V36" s="1400" t="s">
        <v>2702</v>
      </c>
      <c r="W36" s="1400" t="s">
        <v>9313</v>
      </c>
      <c r="X36" s="1400" t="s">
        <v>9314</v>
      </c>
      <c r="Y36" s="1400" t="s">
        <v>863</v>
      </c>
      <c r="Z36" s="1400" t="s">
        <v>8940</v>
      </c>
      <c r="AA36" s="1400" t="s">
        <v>7477</v>
      </c>
      <c r="AB36" s="1400" t="s">
        <v>9315</v>
      </c>
      <c r="AC36" s="1398" t="s">
        <v>534</v>
      </c>
      <c r="AD36" s="1400" t="s">
        <v>9316</v>
      </c>
      <c r="AE36" s="1400" t="s">
        <v>6700</v>
      </c>
      <c r="AF36" s="1400" t="s">
        <v>9317</v>
      </c>
      <c r="AG36" s="1400" t="s">
        <v>9152</v>
      </c>
      <c r="AH36" s="1400" t="s">
        <v>2833</v>
      </c>
      <c r="AI36" s="1400" t="s">
        <v>9318</v>
      </c>
      <c r="AJ36" s="1400" t="s">
        <v>3245</v>
      </c>
      <c r="AK36" s="1400" t="s">
        <v>5364</v>
      </c>
      <c r="AL36" s="1400" t="s">
        <v>4179</v>
      </c>
      <c r="AM36" s="1400" t="s">
        <v>3341</v>
      </c>
      <c r="AN36" s="1400" t="s">
        <v>341</v>
      </c>
      <c r="AO36" s="1400" t="s">
        <v>9319</v>
      </c>
      <c r="AP36" s="1400" t="s">
        <v>9320</v>
      </c>
      <c r="AQ36" s="1400" t="s">
        <v>7419</v>
      </c>
      <c r="AR36" s="1400" t="s">
        <v>2622</v>
      </c>
      <c r="AS36" s="1400" t="s">
        <v>4024</v>
      </c>
      <c r="AT36" s="1400" t="s">
        <v>9321</v>
      </c>
      <c r="AU36" s="1400" t="s">
        <v>8969</v>
      </c>
      <c r="AV36" s="1398" t="str">
        <f t="shared" si="1"/>
        <v>3:34</v>
      </c>
      <c r="AW36" s="1431" t="s">
        <v>9322</v>
      </c>
    </row>
    <row r="37" ht="15.75" customHeight="1">
      <c r="A37" s="1435" t="s">
        <v>643</v>
      </c>
      <c r="B37" s="1465" t="s">
        <v>8573</v>
      </c>
      <c r="C37" s="1531">
        <v>0.05056712962962963</v>
      </c>
      <c r="D37" s="1202" t="s">
        <v>9323</v>
      </c>
      <c r="E37" s="1398" t="s">
        <v>9324</v>
      </c>
      <c r="F37" s="1398" t="s">
        <v>9000</v>
      </c>
      <c r="G37" s="1398" t="s">
        <v>9325</v>
      </c>
      <c r="H37" s="1398" t="s">
        <v>4444</v>
      </c>
      <c r="I37" s="1398" t="s">
        <v>1186</v>
      </c>
      <c r="J37" s="1400" t="s">
        <v>3504</v>
      </c>
      <c r="K37" s="1400" t="s">
        <v>3504</v>
      </c>
      <c r="L37" s="1398" t="s">
        <v>9326</v>
      </c>
      <c r="M37" s="1398" t="s">
        <v>9327</v>
      </c>
      <c r="N37" s="1398" t="s">
        <v>8945</v>
      </c>
      <c r="O37" s="1520" t="s">
        <v>8582</v>
      </c>
      <c r="P37" s="1398" t="s">
        <v>7056</v>
      </c>
      <c r="Q37" s="1398" t="s">
        <v>786</v>
      </c>
      <c r="R37" s="1400" t="s">
        <v>3504</v>
      </c>
      <c r="S37" s="1398" t="s">
        <v>9328</v>
      </c>
      <c r="T37" s="1398" t="s">
        <v>154</v>
      </c>
      <c r="U37" s="1398" t="s">
        <v>9329</v>
      </c>
      <c r="V37" s="1398" t="s">
        <v>9330</v>
      </c>
      <c r="W37" s="1398" t="s">
        <v>9331</v>
      </c>
      <c r="X37" s="1398" t="s">
        <v>9146</v>
      </c>
      <c r="Y37" s="1398" t="s">
        <v>9147</v>
      </c>
      <c r="Z37" s="1398" t="s">
        <v>149</v>
      </c>
      <c r="AA37" s="1398" t="s">
        <v>9332</v>
      </c>
      <c r="AB37" s="1398" t="s">
        <v>8803</v>
      </c>
      <c r="AC37" s="1398" t="s">
        <v>4472</v>
      </c>
      <c r="AD37" s="1398" t="s">
        <v>2318</v>
      </c>
      <c r="AE37" s="1398" t="s">
        <v>9269</v>
      </c>
      <c r="AF37" s="1398" t="s">
        <v>9333</v>
      </c>
      <c r="AG37" s="1398" t="s">
        <v>9334</v>
      </c>
      <c r="AH37" s="1398" t="s">
        <v>4461</v>
      </c>
      <c r="AI37" s="1398" t="s">
        <v>3763</v>
      </c>
      <c r="AJ37" s="1398" t="s">
        <v>9335</v>
      </c>
      <c r="AK37" s="1398" t="s">
        <v>1165</v>
      </c>
      <c r="AL37" s="1398" t="s">
        <v>9150</v>
      </c>
      <c r="AM37" s="1398" t="s">
        <v>9336</v>
      </c>
      <c r="AN37" s="1400" t="s">
        <v>9337</v>
      </c>
      <c r="AO37" s="1400" t="s">
        <v>3504</v>
      </c>
      <c r="AP37" s="1398" t="s">
        <v>5304</v>
      </c>
      <c r="AQ37" s="1398" t="s">
        <v>249</v>
      </c>
      <c r="AR37" s="1398" t="s">
        <v>4743</v>
      </c>
      <c r="AS37" s="1398" t="s">
        <v>9338</v>
      </c>
      <c r="AT37" s="1398" t="s">
        <v>9339</v>
      </c>
      <c r="AU37" s="1400" t="s">
        <v>9340</v>
      </c>
      <c r="AV37" s="1398" t="str">
        <f t="shared" si="1"/>
        <v>3:07</v>
      </c>
      <c r="AW37" s="1480" t="s">
        <v>9341</v>
      </c>
    </row>
    <row r="38" ht="15.75" customHeight="1">
      <c r="A38" s="1386" t="s">
        <v>4228</v>
      </c>
      <c r="B38" s="1387" t="s">
        <v>8542</v>
      </c>
      <c r="C38" s="1531">
        <v>0.05060185185185185</v>
      </c>
      <c r="D38" s="1202" t="s">
        <v>9342</v>
      </c>
      <c r="E38" s="1470" t="s">
        <v>3317</v>
      </c>
      <c r="F38" s="1470" t="s">
        <v>5931</v>
      </c>
      <c r="G38" s="1470" t="s">
        <v>9343</v>
      </c>
      <c r="H38" s="1441" t="s">
        <v>9344</v>
      </c>
      <c r="I38" s="1441" t="s">
        <v>1073</v>
      </c>
      <c r="J38" s="1472" t="s">
        <v>8742</v>
      </c>
      <c r="K38" s="1472" t="s">
        <v>7885</v>
      </c>
      <c r="L38" s="1472" t="s">
        <v>5493</v>
      </c>
      <c r="M38" s="1472" t="s">
        <v>9345</v>
      </c>
      <c r="N38" s="1472" t="s">
        <v>5222</v>
      </c>
      <c r="O38" s="1472" t="s">
        <v>9346</v>
      </c>
      <c r="P38" s="1472" t="s">
        <v>5765</v>
      </c>
      <c r="Q38" s="1473" t="s">
        <v>9347</v>
      </c>
      <c r="R38" s="1473" t="s">
        <v>5441</v>
      </c>
      <c r="S38" s="1473" t="s">
        <v>6513</v>
      </c>
      <c r="T38" s="1473" t="s">
        <v>9348</v>
      </c>
      <c r="U38" s="1473" t="s">
        <v>6092</v>
      </c>
      <c r="V38" s="1473" t="s">
        <v>3932</v>
      </c>
      <c r="W38" s="1474" t="s">
        <v>9349</v>
      </c>
      <c r="X38" s="1474" t="s">
        <v>7876</v>
      </c>
      <c r="Y38" s="1474" t="s">
        <v>5027</v>
      </c>
      <c r="Z38" s="1474" t="s">
        <v>1837</v>
      </c>
      <c r="AA38" s="1474" t="s">
        <v>9350</v>
      </c>
      <c r="AB38" s="1474" t="s">
        <v>8803</v>
      </c>
      <c r="AC38" s="1474" t="s">
        <v>5494</v>
      </c>
      <c r="AD38" s="1470" t="s">
        <v>6423</v>
      </c>
      <c r="AE38" s="1470" t="s">
        <v>8979</v>
      </c>
      <c r="AF38" s="1475" t="s">
        <v>9351</v>
      </c>
      <c r="AG38" s="1475" t="s">
        <v>9273</v>
      </c>
      <c r="AH38" s="1475" t="s">
        <v>9352</v>
      </c>
      <c r="AI38" s="1475" t="s">
        <v>5489</v>
      </c>
      <c r="AJ38" s="1475" t="s">
        <v>9353</v>
      </c>
      <c r="AK38" s="1475" t="s">
        <v>9354</v>
      </c>
      <c r="AL38" s="1475" t="s">
        <v>9355</v>
      </c>
      <c r="AM38" s="1447" t="s">
        <v>9356</v>
      </c>
      <c r="AN38" s="1447" t="s">
        <v>9357</v>
      </c>
      <c r="AO38" s="1447" t="s">
        <v>9358</v>
      </c>
      <c r="AP38" s="1447" t="s">
        <v>9359</v>
      </c>
      <c r="AQ38" s="1447" t="s">
        <v>9215</v>
      </c>
      <c r="AR38" s="1447" t="s">
        <v>9360</v>
      </c>
      <c r="AS38" s="1447" t="s">
        <v>4311</v>
      </c>
      <c r="AT38" s="1472" t="s">
        <v>9361</v>
      </c>
      <c r="AU38" s="1476" t="s">
        <v>9362</v>
      </c>
      <c r="AV38" s="1398" t="str">
        <f t="shared" si="1"/>
        <v>1:56</v>
      </c>
      <c r="AW38" s="1530"/>
    </row>
    <row r="39" ht="15.75" customHeight="1">
      <c r="A39" s="1402" t="s">
        <v>901</v>
      </c>
      <c r="B39" s="1387" t="s">
        <v>8542</v>
      </c>
      <c r="C39" s="1388">
        <v>0.05061342592592592</v>
      </c>
      <c r="D39" s="1202" t="s">
        <v>9363</v>
      </c>
      <c r="E39" s="1400" t="s">
        <v>8717</v>
      </c>
      <c r="F39" s="1400" t="s">
        <v>5344</v>
      </c>
      <c r="G39" s="1398" t="s">
        <v>9364</v>
      </c>
      <c r="H39" s="1400" t="s">
        <v>9365</v>
      </c>
      <c r="I39" s="1400" t="s">
        <v>385</v>
      </c>
      <c r="J39" s="1400" t="s">
        <v>6799</v>
      </c>
      <c r="K39" s="1398" t="s">
        <v>8997</v>
      </c>
      <c r="L39" s="1400" t="s">
        <v>6197</v>
      </c>
      <c r="M39" s="1400" t="s">
        <v>9366</v>
      </c>
      <c r="N39" s="1400" t="s">
        <v>4318</v>
      </c>
      <c r="O39" s="1400" t="s">
        <v>9367</v>
      </c>
      <c r="P39" s="1400" t="s">
        <v>1591</v>
      </c>
      <c r="Q39" s="1394" t="s">
        <v>9368</v>
      </c>
      <c r="R39" s="1400" t="s">
        <v>9369</v>
      </c>
      <c r="S39" s="1398" t="s">
        <v>9370</v>
      </c>
      <c r="T39" s="1400" t="s">
        <v>9128</v>
      </c>
      <c r="U39" s="1400" t="s">
        <v>7252</v>
      </c>
      <c r="V39" s="1400" t="s">
        <v>2470</v>
      </c>
      <c r="W39" s="1412" t="str">
        <f>HYPERLINK("https://www.youtube.com/watch?v=nn1ub1z3NYM","1:45.96")</f>
        <v>1:45.96</v>
      </c>
      <c r="X39" s="1400" t="s">
        <v>5601</v>
      </c>
      <c r="Y39" s="1398" t="s">
        <v>5479</v>
      </c>
      <c r="Z39" s="1400" t="s">
        <v>1506</v>
      </c>
      <c r="AA39" s="1400" t="s">
        <v>9371</v>
      </c>
      <c r="AB39" s="1400" t="s">
        <v>9372</v>
      </c>
      <c r="AC39" s="1400" t="s">
        <v>1048</v>
      </c>
      <c r="AD39" s="1400" t="s">
        <v>9373</v>
      </c>
      <c r="AE39" s="1394" t="s">
        <v>4616</v>
      </c>
      <c r="AF39" s="1398" t="s">
        <v>9374</v>
      </c>
      <c r="AG39" s="1400" t="s">
        <v>2069</v>
      </c>
      <c r="AH39" s="1400" t="s">
        <v>3040</v>
      </c>
      <c r="AI39" s="1400" t="s">
        <v>9375</v>
      </c>
      <c r="AJ39" s="1398" t="s">
        <v>8127</v>
      </c>
      <c r="AK39" s="1400" t="s">
        <v>9376</v>
      </c>
      <c r="AL39" s="1398" t="s">
        <v>4269</v>
      </c>
      <c r="AM39" s="1398" t="s">
        <v>9377</v>
      </c>
      <c r="AN39" s="1398" t="s">
        <v>2503</v>
      </c>
      <c r="AO39" s="1400" t="s">
        <v>5192</v>
      </c>
      <c r="AP39" s="1400" t="s">
        <v>9378</v>
      </c>
      <c r="AQ39" s="1400" t="s">
        <v>9379</v>
      </c>
      <c r="AR39" s="1400" t="s">
        <v>1304</v>
      </c>
      <c r="AS39" s="1400" t="s">
        <v>9380</v>
      </c>
      <c r="AT39" s="1400" t="s">
        <v>9381</v>
      </c>
      <c r="AU39" s="1400" t="s">
        <v>9382</v>
      </c>
      <c r="AV39" s="1398" t="str">
        <f t="shared" si="1"/>
        <v>2:25</v>
      </c>
      <c r="AW39" s="1431"/>
    </row>
    <row r="40">
      <c r="A40" s="1402" t="s">
        <v>9383</v>
      </c>
      <c r="B40" s="1430" t="s">
        <v>8542</v>
      </c>
      <c r="C40" s="1388">
        <v>0.050625</v>
      </c>
      <c r="D40" s="1538" t="s">
        <v>9384</v>
      </c>
      <c r="E40" s="1400" t="s">
        <v>4684</v>
      </c>
      <c r="F40" s="1400" t="s">
        <v>9385</v>
      </c>
      <c r="G40" s="1400" t="s">
        <v>9386</v>
      </c>
      <c r="H40" s="1400" t="s">
        <v>1659</v>
      </c>
      <c r="I40" s="1400" t="s">
        <v>1829</v>
      </c>
      <c r="J40" s="1400" t="s">
        <v>9387</v>
      </c>
      <c r="K40" s="1400" t="s">
        <v>3523</v>
      </c>
      <c r="L40" s="1400" t="s">
        <v>9388</v>
      </c>
      <c r="M40" s="1400" t="s">
        <v>9389</v>
      </c>
      <c r="N40" s="1400" t="s">
        <v>9390</v>
      </c>
      <c r="O40" s="1400" t="s">
        <v>9391</v>
      </c>
      <c r="P40" s="1400" t="s">
        <v>9269</v>
      </c>
      <c r="Q40" s="1400" t="s">
        <v>4588</v>
      </c>
      <c r="R40" s="1400" t="s">
        <v>3875</v>
      </c>
      <c r="S40" s="1400" t="s">
        <v>2606</v>
      </c>
      <c r="T40" s="1400" t="s">
        <v>2354</v>
      </c>
      <c r="U40" s="1400" t="s">
        <v>9392</v>
      </c>
      <c r="V40" s="1400" t="s">
        <v>2171</v>
      </c>
      <c r="W40" s="1400" t="s">
        <v>7731</v>
      </c>
      <c r="X40" s="1400" t="s">
        <v>9393</v>
      </c>
      <c r="Y40" s="1400" t="s">
        <v>9394</v>
      </c>
      <c r="Z40" s="1400" t="s">
        <v>9395</v>
      </c>
      <c r="AA40" s="1400" t="s">
        <v>9396</v>
      </c>
      <c r="AB40" s="1400"/>
      <c r="AC40" s="1400" t="s">
        <v>9397</v>
      </c>
      <c r="AD40" s="1400" t="s">
        <v>9398</v>
      </c>
      <c r="AE40" s="1400" t="s">
        <v>4252</v>
      </c>
      <c r="AF40" s="1400" t="s">
        <v>9399</v>
      </c>
      <c r="AG40" s="1400" t="s">
        <v>9400</v>
      </c>
      <c r="AH40" s="1400" t="s">
        <v>9401</v>
      </c>
      <c r="AI40" s="1400" t="s">
        <v>726</v>
      </c>
      <c r="AJ40" s="1400" t="s">
        <v>9402</v>
      </c>
      <c r="AK40" s="1400" t="s">
        <v>9403</v>
      </c>
      <c r="AL40" s="1400" t="s">
        <v>9063</v>
      </c>
      <c r="AM40" s="1400" t="s">
        <v>9404</v>
      </c>
      <c r="AN40" s="1400" t="s">
        <v>8625</v>
      </c>
      <c r="AO40" s="1400" t="s">
        <v>9405</v>
      </c>
      <c r="AP40" s="1400" t="s">
        <v>9406</v>
      </c>
      <c r="AQ40" s="1400" t="s">
        <v>9407</v>
      </c>
      <c r="AR40" s="1400" t="s">
        <v>6518</v>
      </c>
      <c r="AS40" s="1400" t="s">
        <v>6046</v>
      </c>
      <c r="AT40" s="1400" t="s">
        <v>8226</v>
      </c>
      <c r="AU40" s="1400" t="s">
        <v>9408</v>
      </c>
      <c r="AV40" s="1398" t="str">
        <f t="shared" si="1"/>
        <v>2:05</v>
      </c>
      <c r="AW40" s="1480"/>
    </row>
    <row r="41">
      <c r="A41" s="1402" t="s">
        <v>9409</v>
      </c>
      <c r="B41" s="1433" t="s">
        <v>8542</v>
      </c>
      <c r="C41" s="1388">
        <v>0.0506712962962963</v>
      </c>
      <c r="D41" s="1538" t="s">
        <v>9410</v>
      </c>
      <c r="E41" s="1440" t="s">
        <v>3317</v>
      </c>
      <c r="F41" s="1440" t="s">
        <v>8861</v>
      </c>
      <c r="G41" s="1440" t="s">
        <v>9411</v>
      </c>
      <c r="H41" s="1528" t="s">
        <v>9412</v>
      </c>
      <c r="I41" s="1528" t="s">
        <v>9413</v>
      </c>
      <c r="J41" s="1442" t="s">
        <v>9414</v>
      </c>
      <c r="K41" s="1442" t="s">
        <v>7095</v>
      </c>
      <c r="L41" s="1442" t="s">
        <v>4361</v>
      </c>
      <c r="M41" s="1442" t="s">
        <v>7096</v>
      </c>
      <c r="N41" s="1442" t="s">
        <v>9415</v>
      </c>
      <c r="O41" s="1442" t="s">
        <v>2204</v>
      </c>
      <c r="P41" s="1442" t="s">
        <v>7059</v>
      </c>
      <c r="Q41" s="1444" t="s">
        <v>7810</v>
      </c>
      <c r="R41" s="1444" t="s">
        <v>9416</v>
      </c>
      <c r="S41" s="1444" t="s">
        <v>9417</v>
      </c>
      <c r="T41" s="1444" t="s">
        <v>9418</v>
      </c>
      <c r="U41" s="1444" t="s">
        <v>9419</v>
      </c>
      <c r="V41" s="1444" t="s">
        <v>9420</v>
      </c>
      <c r="W41" s="1445" t="s">
        <v>9421</v>
      </c>
      <c r="X41" s="1445" t="s">
        <v>9422</v>
      </c>
      <c r="Y41" s="1445" t="s">
        <v>6122</v>
      </c>
      <c r="Z41" s="1445" t="s">
        <v>9423</v>
      </c>
      <c r="AA41" s="1400" t="s">
        <v>156</v>
      </c>
      <c r="AB41" s="1445" t="s">
        <v>9424</v>
      </c>
      <c r="AC41" s="1445" t="s">
        <v>7678</v>
      </c>
      <c r="AD41" s="1440" t="s">
        <v>9425</v>
      </c>
      <c r="AE41" s="1440" t="s">
        <v>534</v>
      </c>
      <c r="AF41" s="1446" t="s">
        <v>9426</v>
      </c>
      <c r="AG41" s="1446" t="s">
        <v>3858</v>
      </c>
      <c r="AH41" s="1446" t="s">
        <v>5181</v>
      </c>
      <c r="AI41" s="1446" t="s">
        <v>9064</v>
      </c>
      <c r="AJ41" s="1446" t="s">
        <v>9427</v>
      </c>
      <c r="AK41" s="1446" t="s">
        <v>398</v>
      </c>
      <c r="AL41" s="1446" t="s">
        <v>2578</v>
      </c>
      <c r="AM41" s="1448" t="s">
        <v>8862</v>
      </c>
      <c r="AN41" s="1448" t="s">
        <v>8779</v>
      </c>
      <c r="AO41" s="1448" t="s">
        <v>9086</v>
      </c>
      <c r="AP41" s="1448" t="s">
        <v>9428</v>
      </c>
      <c r="AQ41" s="1448" t="s">
        <v>9429</v>
      </c>
      <c r="AR41" s="1448" t="s">
        <v>9430</v>
      </c>
      <c r="AS41" s="1448" t="s">
        <v>9431</v>
      </c>
      <c r="AT41" s="1442" t="s">
        <v>9432</v>
      </c>
      <c r="AU41" s="1428" t="s">
        <v>9217</v>
      </c>
      <c r="AV41" s="1398" t="str">
        <f t="shared" si="1"/>
        <v>3:31</v>
      </c>
      <c r="AW41" s="1530"/>
    </row>
    <row r="42" ht="15.75" customHeight="1">
      <c r="A42" s="1490" t="s">
        <v>9433</v>
      </c>
      <c r="B42" s="1387" t="s">
        <v>8542</v>
      </c>
      <c r="C42" s="1388">
        <v>0.05070601851851852</v>
      </c>
      <c r="D42" s="1202" t="s">
        <v>9434</v>
      </c>
      <c r="E42" s="1470" t="s">
        <v>3219</v>
      </c>
      <c r="F42" s="1470" t="s">
        <v>8780</v>
      </c>
      <c r="G42" s="1470" t="s">
        <v>9435</v>
      </c>
      <c r="H42" s="1441" t="s">
        <v>9436</v>
      </c>
      <c r="I42" s="1441" t="s">
        <v>385</v>
      </c>
      <c r="J42" s="1472" t="s">
        <v>2066</v>
      </c>
      <c r="K42" s="1472" t="s">
        <v>3592</v>
      </c>
      <c r="L42" s="1472" t="s">
        <v>5353</v>
      </c>
      <c r="M42" s="1472" t="s">
        <v>9437</v>
      </c>
      <c r="N42" s="1472" t="s">
        <v>9265</v>
      </c>
      <c r="O42" s="1472" t="s">
        <v>9438</v>
      </c>
      <c r="P42" s="1472" t="s">
        <v>2913</v>
      </c>
      <c r="Q42" s="1473" t="s">
        <v>9439</v>
      </c>
      <c r="R42" s="1473" t="s">
        <v>730</v>
      </c>
      <c r="S42" s="1473" t="s">
        <v>9405</v>
      </c>
      <c r="T42" s="1473" t="s">
        <v>9268</v>
      </c>
      <c r="U42" s="1473" t="s">
        <v>9440</v>
      </c>
      <c r="V42" s="1473" t="s">
        <v>2470</v>
      </c>
      <c r="W42" s="1474" t="s">
        <v>9441</v>
      </c>
      <c r="X42" s="1474" t="s">
        <v>8658</v>
      </c>
      <c r="Y42" s="1474" t="s">
        <v>9442</v>
      </c>
      <c r="Z42" s="1474" t="s">
        <v>8643</v>
      </c>
      <c r="AA42" s="1474" t="s">
        <v>9443</v>
      </c>
      <c r="AB42" s="1474" t="s">
        <v>2597</v>
      </c>
      <c r="AC42" s="1474" t="s">
        <v>3062</v>
      </c>
      <c r="AD42" s="1470" t="s">
        <v>9444</v>
      </c>
      <c r="AE42" s="1470" t="s">
        <v>6124</v>
      </c>
      <c r="AF42" s="1475" t="s">
        <v>8682</v>
      </c>
      <c r="AG42" s="1475" t="s">
        <v>9445</v>
      </c>
      <c r="AH42" s="1475" t="s">
        <v>2214</v>
      </c>
      <c r="AI42" s="1475" t="s">
        <v>6037</v>
      </c>
      <c r="AJ42" s="1475" t="s">
        <v>9446</v>
      </c>
      <c r="AK42" s="1475" t="s">
        <v>9447</v>
      </c>
      <c r="AL42" s="1475" t="s">
        <v>5321</v>
      </c>
      <c r="AM42" s="1447" t="s">
        <v>9295</v>
      </c>
      <c r="AN42" s="1447" t="s">
        <v>5321</v>
      </c>
      <c r="AO42" s="1447" t="s">
        <v>2298</v>
      </c>
      <c r="AP42" s="1447" t="s">
        <v>9448</v>
      </c>
      <c r="AQ42" s="1447" t="s">
        <v>9449</v>
      </c>
      <c r="AR42" s="1447" t="s">
        <v>4643</v>
      </c>
      <c r="AS42" s="1447" t="s">
        <v>4314</v>
      </c>
      <c r="AT42" s="1472" t="s">
        <v>9450</v>
      </c>
      <c r="AU42" s="1476" t="s">
        <v>9451</v>
      </c>
      <c r="AV42" s="1398" t="str">
        <f t="shared" si="1"/>
        <v>2:54</v>
      </c>
      <c r="AW42" s="1530"/>
    </row>
    <row r="43">
      <c r="A43" s="1435" t="s">
        <v>2758</v>
      </c>
      <c r="B43" s="1430" t="s">
        <v>8542</v>
      </c>
      <c r="C43" s="1388">
        <v>0.050826388888888886</v>
      </c>
      <c r="D43" s="1400" t="s">
        <v>9452</v>
      </c>
      <c r="E43" s="1400" t="s">
        <v>9453</v>
      </c>
      <c r="F43" s="1440" t="s">
        <v>9454</v>
      </c>
      <c r="G43" s="1400" t="s">
        <v>9455</v>
      </c>
      <c r="H43" s="1400" t="s">
        <v>6401</v>
      </c>
      <c r="I43" s="1400" t="s">
        <v>1294</v>
      </c>
      <c r="J43" s="1400" t="s">
        <v>9456</v>
      </c>
      <c r="K43" s="1400" t="s">
        <v>3835</v>
      </c>
      <c r="L43" s="1400" t="s">
        <v>5753</v>
      </c>
      <c r="M43" s="1400" t="s">
        <v>9457</v>
      </c>
      <c r="N43" s="1400" t="s">
        <v>7307</v>
      </c>
      <c r="O43" s="1400" t="s">
        <v>9458</v>
      </c>
      <c r="P43" s="1400" t="s">
        <v>9004</v>
      </c>
      <c r="Q43" s="1400" t="s">
        <v>9459</v>
      </c>
      <c r="R43" s="1400" t="s">
        <v>9460</v>
      </c>
      <c r="S43" s="1400" t="s">
        <v>9461</v>
      </c>
      <c r="T43" s="1400" t="s">
        <v>1791</v>
      </c>
      <c r="U43" s="1400" t="s">
        <v>9462</v>
      </c>
      <c r="V43" s="1400" t="s">
        <v>7141</v>
      </c>
      <c r="W43" s="1400" t="s">
        <v>5440</v>
      </c>
      <c r="X43" s="1400" t="s">
        <v>9463</v>
      </c>
      <c r="Y43" s="1400" t="s">
        <v>7050</v>
      </c>
      <c r="Z43" s="1400" t="s">
        <v>9464</v>
      </c>
      <c r="AA43" s="1445" t="s">
        <v>9465</v>
      </c>
      <c r="AB43" s="1400" t="s">
        <v>1837</v>
      </c>
      <c r="AC43" s="1400" t="s">
        <v>7678</v>
      </c>
      <c r="AD43" s="1400" t="s">
        <v>9466</v>
      </c>
      <c r="AE43" s="1400" t="s">
        <v>4252</v>
      </c>
      <c r="AF43" s="1400" t="s">
        <v>9467</v>
      </c>
      <c r="AG43" s="1400" t="s">
        <v>1180</v>
      </c>
      <c r="AH43" s="1400" t="s">
        <v>3826</v>
      </c>
      <c r="AI43" s="1400" t="s">
        <v>9468</v>
      </c>
      <c r="AJ43" s="1400" t="s">
        <v>9469</v>
      </c>
      <c r="AK43" s="1400" t="s">
        <v>9376</v>
      </c>
      <c r="AL43" s="1400" t="s">
        <v>4276</v>
      </c>
      <c r="AM43" s="1400" t="s">
        <v>9376</v>
      </c>
      <c r="AN43" s="1400" t="s">
        <v>8625</v>
      </c>
      <c r="AO43" s="1400" t="s">
        <v>7402</v>
      </c>
      <c r="AP43" s="1400" t="s">
        <v>9470</v>
      </c>
      <c r="AQ43" s="1400" t="s">
        <v>9471</v>
      </c>
      <c r="AR43" s="1400" t="s">
        <v>5091</v>
      </c>
      <c r="AS43" s="1400" t="s">
        <v>6068</v>
      </c>
      <c r="AT43" s="1400" t="s">
        <v>9472</v>
      </c>
      <c r="AU43" s="1400" t="s">
        <v>9473</v>
      </c>
      <c r="AV43" s="1398" t="str">
        <f t="shared" si="1"/>
        <v>2:25</v>
      </c>
      <c r="AW43" s="1480"/>
    </row>
    <row r="44" ht="15.75" customHeight="1">
      <c r="A44" s="1435" t="s">
        <v>4622</v>
      </c>
      <c r="B44" s="1387" t="s">
        <v>8542</v>
      </c>
      <c r="C44" s="1531">
        <v>0.050868055555555555</v>
      </c>
      <c r="D44" s="1202" t="s">
        <v>9474</v>
      </c>
      <c r="E44" s="1398" t="s">
        <v>7627</v>
      </c>
      <c r="F44" s="1398" t="s">
        <v>9475</v>
      </c>
      <c r="G44" s="1398" t="s">
        <v>9476</v>
      </c>
      <c r="H44" s="1398" t="s">
        <v>9309</v>
      </c>
      <c r="I44" s="1398" t="s">
        <v>1294</v>
      </c>
      <c r="J44" s="1398" t="s">
        <v>9430</v>
      </c>
      <c r="K44" s="1398" t="s">
        <v>9013</v>
      </c>
      <c r="L44" s="1398" t="s">
        <v>8864</v>
      </c>
      <c r="M44" s="1398" t="s">
        <v>5281</v>
      </c>
      <c r="N44" s="1398" t="s">
        <v>8085</v>
      </c>
      <c r="O44" s="1398" t="s">
        <v>9477</v>
      </c>
      <c r="P44" s="1398" t="s">
        <v>9478</v>
      </c>
      <c r="Q44" s="1398" t="s">
        <v>9479</v>
      </c>
      <c r="R44" s="1398" t="s">
        <v>7383</v>
      </c>
      <c r="S44" s="1398" t="s">
        <v>8831</v>
      </c>
      <c r="T44" s="1398" t="s">
        <v>4605</v>
      </c>
      <c r="U44" s="1398" t="s">
        <v>9480</v>
      </c>
      <c r="V44" s="1398" t="s">
        <v>9079</v>
      </c>
      <c r="W44" s="1398" t="s">
        <v>9481</v>
      </c>
      <c r="X44" s="1398" t="s">
        <v>9083</v>
      </c>
      <c r="Y44" s="1398" t="s">
        <v>3530</v>
      </c>
      <c r="Z44" s="1398" t="s">
        <v>9482</v>
      </c>
      <c r="AA44" s="1398" t="s">
        <v>9483</v>
      </c>
      <c r="AB44" s="1398" t="s">
        <v>191</v>
      </c>
      <c r="AC44" s="1398" t="s">
        <v>3002</v>
      </c>
      <c r="AD44" s="1398" t="s">
        <v>9484</v>
      </c>
      <c r="AE44" s="1398" t="s">
        <v>616</v>
      </c>
      <c r="AF44" s="1398" t="s">
        <v>9485</v>
      </c>
      <c r="AG44" s="1398" t="s">
        <v>5852</v>
      </c>
      <c r="AH44" s="1398" t="s">
        <v>9486</v>
      </c>
      <c r="AI44" s="1398" t="s">
        <v>7498</v>
      </c>
      <c r="AJ44" s="1398" t="s">
        <v>9487</v>
      </c>
      <c r="AK44" s="1398" t="s">
        <v>5309</v>
      </c>
      <c r="AL44" s="1398" t="s">
        <v>9488</v>
      </c>
      <c r="AM44" s="1398" t="s">
        <v>9489</v>
      </c>
      <c r="AN44" s="1398" t="s">
        <v>3360</v>
      </c>
      <c r="AO44" s="1398" t="s">
        <v>8997</v>
      </c>
      <c r="AP44" s="1398" t="s">
        <v>9490</v>
      </c>
      <c r="AQ44" s="1398" t="s">
        <v>9491</v>
      </c>
      <c r="AR44" s="1398" t="s">
        <v>8855</v>
      </c>
      <c r="AS44" s="1398" t="s">
        <v>5055</v>
      </c>
      <c r="AT44" s="1398" t="s">
        <v>9492</v>
      </c>
      <c r="AU44" s="1398" t="s">
        <v>9493</v>
      </c>
      <c r="AV44" s="1398" t="str">
        <f t="shared" si="1"/>
        <v>2:44</v>
      </c>
      <c r="AW44" s="1415"/>
    </row>
    <row r="45" ht="15.75" customHeight="1">
      <c r="A45" s="1435" t="s">
        <v>1806</v>
      </c>
      <c r="B45" s="1539" t="s">
        <v>8599</v>
      </c>
      <c r="C45" s="1388">
        <v>0.05092592592592592</v>
      </c>
      <c r="D45" s="1540" t="s">
        <v>8600</v>
      </c>
      <c r="E45" s="1541" t="s">
        <v>8601</v>
      </c>
      <c r="F45" s="1540" t="s">
        <v>8602</v>
      </c>
      <c r="G45" s="1400" t="s">
        <v>9494</v>
      </c>
      <c r="H45" s="1540" t="s">
        <v>8604</v>
      </c>
      <c r="I45" s="1398" t="s">
        <v>1414</v>
      </c>
      <c r="J45" s="1470" t="s">
        <v>9495</v>
      </c>
      <c r="K45" s="1398" t="s">
        <v>9265</v>
      </c>
      <c r="L45" s="1470" t="s">
        <v>2324</v>
      </c>
      <c r="M45" s="1398" t="s">
        <v>2637</v>
      </c>
      <c r="N45" s="1540" t="s">
        <v>8566</v>
      </c>
      <c r="O45" s="1398" t="s">
        <v>9496</v>
      </c>
      <c r="P45" s="1470" t="s">
        <v>635</v>
      </c>
      <c r="Q45" s="1541" t="s">
        <v>8609</v>
      </c>
      <c r="R45" s="1540" t="s">
        <v>8610</v>
      </c>
      <c r="S45" s="1398" t="s">
        <v>1165</v>
      </c>
      <c r="T45" s="1470" t="s">
        <v>7735</v>
      </c>
      <c r="U45" s="1541" t="s">
        <v>8612</v>
      </c>
      <c r="V45" s="1540" t="s">
        <v>8613</v>
      </c>
      <c r="W45" s="1398" t="s">
        <v>9497</v>
      </c>
      <c r="X45" s="1540" t="s">
        <v>8615</v>
      </c>
      <c r="Y45" s="1398" t="s">
        <v>5561</v>
      </c>
      <c r="Z45" s="1440" t="s">
        <v>9498</v>
      </c>
      <c r="AA45" s="1398" t="s">
        <v>2300</v>
      </c>
      <c r="AB45" s="1470" t="s">
        <v>9499</v>
      </c>
      <c r="AC45" s="1400" t="s">
        <v>9500</v>
      </c>
      <c r="AD45" s="1470" t="s">
        <v>9501</v>
      </c>
      <c r="AE45" s="1400" t="s">
        <v>9502</v>
      </c>
      <c r="AF45" s="1470" t="s">
        <v>9503</v>
      </c>
      <c r="AG45" s="1398" t="s">
        <v>6965</v>
      </c>
      <c r="AH45" s="1440" t="s">
        <v>9388</v>
      </c>
      <c r="AI45" s="1541" t="s">
        <v>8621</v>
      </c>
      <c r="AJ45" s="1470" t="s">
        <v>9504</v>
      </c>
      <c r="AK45" s="1398" t="s">
        <v>5725</v>
      </c>
      <c r="AL45" s="1540" t="s">
        <v>8623</v>
      </c>
      <c r="AM45" s="1398" t="s">
        <v>8962</v>
      </c>
      <c r="AN45" s="1470" t="s">
        <v>3927</v>
      </c>
      <c r="AO45" s="1400" t="s">
        <v>4813</v>
      </c>
      <c r="AP45" s="1440" t="s">
        <v>9505</v>
      </c>
      <c r="AQ45" s="1400" t="s">
        <v>9506</v>
      </c>
      <c r="AR45" s="1440" t="s">
        <v>9507</v>
      </c>
      <c r="AS45" s="1398" t="s">
        <v>978</v>
      </c>
      <c r="AT45" s="1540" t="s">
        <v>8629</v>
      </c>
      <c r="AU45" s="1400" t="s">
        <v>9508</v>
      </c>
      <c r="AV45" s="1398" t="str">
        <f t="shared" si="1"/>
        <v>2:24</v>
      </c>
      <c r="AW45" s="1431"/>
    </row>
    <row r="46">
      <c r="A46" s="1435" t="s">
        <v>2534</v>
      </c>
      <c r="B46" s="1450" t="s">
        <v>8573</v>
      </c>
      <c r="C46" s="1388">
        <v>0.05092592592592592</v>
      </c>
      <c r="D46" s="1202" t="s">
        <v>9509</v>
      </c>
      <c r="E46" s="1440" t="s">
        <v>9510</v>
      </c>
      <c r="F46" s="1440" t="s">
        <v>9511</v>
      </c>
      <c r="G46" s="1440" t="s">
        <v>9512</v>
      </c>
      <c r="H46" s="1528" t="s">
        <v>9513</v>
      </c>
      <c r="I46" s="1528" t="s">
        <v>2831</v>
      </c>
      <c r="J46" s="1442" t="s">
        <v>8699</v>
      </c>
      <c r="K46" s="1442" t="s">
        <v>3813</v>
      </c>
      <c r="L46" s="1442" t="s">
        <v>5635</v>
      </c>
      <c r="M46" s="1442" t="s">
        <v>3080</v>
      </c>
      <c r="N46" s="1442" t="s">
        <v>9336</v>
      </c>
      <c r="O46" s="1442" t="s">
        <v>9514</v>
      </c>
      <c r="P46" s="1442" t="s">
        <v>773</v>
      </c>
      <c r="Q46" s="1444" t="s">
        <v>7705</v>
      </c>
      <c r="R46" s="1444" t="s">
        <v>7430</v>
      </c>
      <c r="S46" s="1444" t="s">
        <v>6514</v>
      </c>
      <c r="T46" s="1444" t="s">
        <v>9515</v>
      </c>
      <c r="U46" s="1542" t="s">
        <v>7864</v>
      </c>
      <c r="V46" s="1444" t="s">
        <v>9516</v>
      </c>
      <c r="W46" s="1445" t="s">
        <v>6721</v>
      </c>
      <c r="X46" s="1445" t="s">
        <v>9517</v>
      </c>
      <c r="Y46" s="1445" t="s">
        <v>9518</v>
      </c>
      <c r="Z46" s="1445" t="s">
        <v>7650</v>
      </c>
      <c r="AA46" s="1445" t="s">
        <v>1863</v>
      </c>
      <c r="AB46" s="1445" t="s">
        <v>9519</v>
      </c>
      <c r="AC46" s="1445" t="s">
        <v>2385</v>
      </c>
      <c r="AD46" s="1440" t="s">
        <v>9520</v>
      </c>
      <c r="AE46" s="1440" t="s">
        <v>5187</v>
      </c>
      <c r="AF46" s="1446" t="s">
        <v>9521</v>
      </c>
      <c r="AG46" s="1446" t="s">
        <v>5362</v>
      </c>
      <c r="AH46" s="1446" t="s">
        <v>4461</v>
      </c>
      <c r="AI46" s="1446" t="s">
        <v>9522</v>
      </c>
      <c r="AJ46" s="1460" t="s">
        <v>8591</v>
      </c>
      <c r="AK46" s="1446" t="s">
        <v>191</v>
      </c>
      <c r="AL46" s="1446" t="s">
        <v>5726</v>
      </c>
      <c r="AM46" s="1448" t="s">
        <v>4005</v>
      </c>
      <c r="AN46" s="1448" t="s">
        <v>3661</v>
      </c>
      <c r="AO46" s="1448" t="s">
        <v>2423</v>
      </c>
      <c r="AP46" s="1448" t="s">
        <v>9523</v>
      </c>
      <c r="AQ46" s="1448" t="s">
        <v>4346</v>
      </c>
      <c r="AR46" s="1448" t="s">
        <v>7695</v>
      </c>
      <c r="AS46" s="1448" t="s">
        <v>6428</v>
      </c>
      <c r="AT46" s="1442" t="s">
        <v>9524</v>
      </c>
      <c r="AU46" s="1543" t="s">
        <v>9525</v>
      </c>
      <c r="AV46" s="1398" t="str">
        <f t="shared" si="1"/>
        <v>4:25</v>
      </c>
      <c r="AW46" s="1429"/>
    </row>
    <row r="47" ht="15.75" customHeight="1">
      <c r="A47" s="1386" t="s">
        <v>4414</v>
      </c>
      <c r="B47" s="1465" t="s">
        <v>8573</v>
      </c>
      <c r="C47" s="1388">
        <v>0.05100810185185185</v>
      </c>
      <c r="D47" s="1202" t="s">
        <v>9526</v>
      </c>
      <c r="E47" s="1440" t="s">
        <v>9527</v>
      </c>
      <c r="F47" s="1440" t="s">
        <v>9528</v>
      </c>
      <c r="G47" s="1470" t="s">
        <v>9529</v>
      </c>
      <c r="H47" s="1528" t="s">
        <v>9530</v>
      </c>
      <c r="I47" s="1528" t="s">
        <v>1414</v>
      </c>
      <c r="J47" s="1442" t="s">
        <v>5091</v>
      </c>
      <c r="K47" s="1442" t="s">
        <v>9262</v>
      </c>
      <c r="L47" s="1442" t="s">
        <v>4390</v>
      </c>
      <c r="M47" s="1442" t="s">
        <v>1455</v>
      </c>
      <c r="N47" s="1442" t="s">
        <v>9531</v>
      </c>
      <c r="O47" s="1442" t="s">
        <v>8722</v>
      </c>
      <c r="P47" s="1442" t="s">
        <v>9532</v>
      </c>
      <c r="Q47" s="1444" t="s">
        <v>9533</v>
      </c>
      <c r="R47" s="1444" t="s">
        <v>3421</v>
      </c>
      <c r="S47" s="1444" t="s">
        <v>7089</v>
      </c>
      <c r="T47" s="1444" t="s">
        <v>9534</v>
      </c>
      <c r="U47" s="1444" t="s">
        <v>9535</v>
      </c>
      <c r="V47" s="1473" t="s">
        <v>1368</v>
      </c>
      <c r="W47" s="1445" t="s">
        <v>9536</v>
      </c>
      <c r="X47" s="1445" t="s">
        <v>9318</v>
      </c>
      <c r="Y47" s="1445" t="s">
        <v>3879</v>
      </c>
      <c r="Z47" s="1445" t="s">
        <v>7670</v>
      </c>
      <c r="AA47" s="1445" t="s">
        <v>1027</v>
      </c>
      <c r="AB47" s="1445" t="s">
        <v>3957</v>
      </c>
      <c r="AC47" s="1474" t="s">
        <v>6666</v>
      </c>
      <c r="AD47" s="1440" t="s">
        <v>9537</v>
      </c>
      <c r="AE47" s="1470" t="s">
        <v>4887</v>
      </c>
      <c r="AF47" s="1446" t="s">
        <v>9538</v>
      </c>
      <c r="AG47" s="1446" t="s">
        <v>9539</v>
      </c>
      <c r="AH47" s="1446" t="s">
        <v>9540</v>
      </c>
      <c r="AI47" s="1446" t="s">
        <v>8943</v>
      </c>
      <c r="AJ47" s="1446" t="s">
        <v>9541</v>
      </c>
      <c r="AK47" s="1446" t="s">
        <v>9542</v>
      </c>
      <c r="AL47" s="1446" t="s">
        <v>4506</v>
      </c>
      <c r="AM47" s="1448" t="s">
        <v>9060</v>
      </c>
      <c r="AN47" s="1448" t="s">
        <v>3396</v>
      </c>
      <c r="AO47" s="1448" t="s">
        <v>9543</v>
      </c>
      <c r="AP47" s="1448" t="s">
        <v>9544</v>
      </c>
      <c r="AQ47" s="1448" t="s">
        <v>4346</v>
      </c>
      <c r="AR47" s="1448" t="s">
        <v>9545</v>
      </c>
      <c r="AS47" s="1448" t="s">
        <v>4528</v>
      </c>
      <c r="AT47" s="1442" t="s">
        <v>9546</v>
      </c>
      <c r="AU47" s="1428" t="s">
        <v>9547</v>
      </c>
      <c r="AV47" s="1398" t="str">
        <f t="shared" si="1"/>
        <v>3:17</v>
      </c>
      <c r="AW47" s="1434" t="s">
        <v>9548</v>
      </c>
    </row>
    <row r="48" ht="15.75" customHeight="1">
      <c r="A48" s="1435" t="s">
        <v>986</v>
      </c>
      <c r="B48" s="1433" t="s">
        <v>8573</v>
      </c>
      <c r="C48" s="1388">
        <v>0.05112268518518519</v>
      </c>
      <c r="D48" s="1440" t="s">
        <v>9549</v>
      </c>
      <c r="E48" s="1440" t="s">
        <v>4657</v>
      </c>
      <c r="F48" s="1440" t="s">
        <v>9550</v>
      </c>
      <c r="G48" s="1440" t="s">
        <v>9551</v>
      </c>
      <c r="H48" s="1202" t="s">
        <v>9552</v>
      </c>
      <c r="I48" s="1528" t="s">
        <v>5250</v>
      </c>
      <c r="J48" s="1442" t="s">
        <v>4008</v>
      </c>
      <c r="K48" s="1442" t="s">
        <v>9553</v>
      </c>
      <c r="L48" s="1390" t="s">
        <v>3545</v>
      </c>
      <c r="M48" s="1442" t="s">
        <v>4445</v>
      </c>
      <c r="N48" s="1442" t="s">
        <v>9295</v>
      </c>
      <c r="O48" s="1442" t="s">
        <v>9554</v>
      </c>
      <c r="P48" s="1442" t="s">
        <v>1530</v>
      </c>
      <c r="Q48" s="1444" t="s">
        <v>9555</v>
      </c>
      <c r="R48" s="1544" t="s">
        <v>6077</v>
      </c>
      <c r="S48" s="1444" t="s">
        <v>413</v>
      </c>
      <c r="T48" s="1444" t="s">
        <v>9556</v>
      </c>
      <c r="U48" s="1444" t="s">
        <v>9557</v>
      </c>
      <c r="V48" s="1444" t="s">
        <v>9558</v>
      </c>
      <c r="W48" s="1445" t="s">
        <v>9559</v>
      </c>
      <c r="X48" s="1445" t="s">
        <v>9560</v>
      </c>
      <c r="Y48" s="1545" t="s">
        <v>978</v>
      </c>
      <c r="Z48" s="1445" t="s">
        <v>9561</v>
      </c>
      <c r="AA48" s="1400" t="s">
        <v>9562</v>
      </c>
      <c r="AB48" s="1445" t="s">
        <v>2783</v>
      </c>
      <c r="AC48" s="1546" t="s">
        <v>4992</v>
      </c>
      <c r="AD48" s="1440" t="s">
        <v>9563</v>
      </c>
      <c r="AE48" s="1440" t="s">
        <v>8620</v>
      </c>
      <c r="AF48" s="1446" t="s">
        <v>8740</v>
      </c>
      <c r="AG48" s="1446" t="s">
        <v>271</v>
      </c>
      <c r="AH48" s="1446" t="s">
        <v>462</v>
      </c>
      <c r="AI48" s="1446" t="s">
        <v>9564</v>
      </c>
      <c r="AJ48" s="1446" t="s">
        <v>9565</v>
      </c>
      <c r="AK48" s="1446" t="s">
        <v>4129</v>
      </c>
      <c r="AL48" s="1446" t="s">
        <v>9566</v>
      </c>
      <c r="AM48" s="1448" t="s">
        <v>9567</v>
      </c>
      <c r="AN48" s="1463" t="s">
        <v>3236</v>
      </c>
      <c r="AO48" s="1448" t="s">
        <v>7095</v>
      </c>
      <c r="AP48" s="1448" t="s">
        <v>9568</v>
      </c>
      <c r="AQ48" s="1448" t="s">
        <v>9569</v>
      </c>
      <c r="AR48" s="1448" t="s">
        <v>9570</v>
      </c>
      <c r="AS48" s="1448" t="s">
        <v>8500</v>
      </c>
      <c r="AT48" s="1442" t="s">
        <v>9571</v>
      </c>
      <c r="AU48" s="1428" t="s">
        <v>9572</v>
      </c>
      <c r="AV48" s="1398" t="str">
        <f t="shared" si="1"/>
        <v>4:57</v>
      </c>
      <c r="AW48" s="1530"/>
    </row>
    <row r="49">
      <c r="A49" s="1435" t="s">
        <v>2398</v>
      </c>
      <c r="B49" s="1430" t="s">
        <v>8573</v>
      </c>
      <c r="C49" s="1388">
        <v>0.05112268518518519</v>
      </c>
      <c r="D49" s="1400" t="s">
        <v>9573</v>
      </c>
      <c r="E49" s="1400" t="s">
        <v>4494</v>
      </c>
      <c r="F49" s="1400" t="s">
        <v>6079</v>
      </c>
      <c r="G49" s="1520" t="s">
        <v>8576</v>
      </c>
      <c r="H49" s="1202" t="s">
        <v>9574</v>
      </c>
      <c r="I49" s="1400" t="s">
        <v>765</v>
      </c>
      <c r="J49" s="1400" t="s">
        <v>6517</v>
      </c>
      <c r="K49" s="1400" t="s">
        <v>2491</v>
      </c>
      <c r="L49" s="1400" t="s">
        <v>1368</v>
      </c>
      <c r="M49" s="1400" t="s">
        <v>9575</v>
      </c>
      <c r="N49" s="1400" t="s">
        <v>9044</v>
      </c>
      <c r="O49" s="1400" t="s">
        <v>9576</v>
      </c>
      <c r="P49" s="1400" t="s">
        <v>3530</v>
      </c>
      <c r="Q49" s="1400" t="s">
        <v>9577</v>
      </c>
      <c r="R49" s="1400" t="s">
        <v>9578</v>
      </c>
      <c r="S49" s="1400" t="s">
        <v>3739</v>
      </c>
      <c r="T49" s="1400" t="s">
        <v>7876</v>
      </c>
      <c r="U49" s="1444" t="s">
        <v>8968</v>
      </c>
      <c r="V49" s="1400" t="s">
        <v>9579</v>
      </c>
      <c r="W49" s="1400" t="s">
        <v>9580</v>
      </c>
      <c r="X49" s="1400" t="s">
        <v>1490</v>
      </c>
      <c r="Y49" s="1400" t="s">
        <v>7056</v>
      </c>
      <c r="Z49" s="1400" t="s">
        <v>8789</v>
      </c>
      <c r="AA49" s="1445" t="s">
        <v>611</v>
      </c>
      <c r="AB49" s="1400" t="s">
        <v>9581</v>
      </c>
      <c r="AC49" s="1400" t="s">
        <v>5187</v>
      </c>
      <c r="AD49" s="1400" t="s">
        <v>9582</v>
      </c>
      <c r="AE49" s="1400" t="s">
        <v>3530</v>
      </c>
      <c r="AF49" s="1400" t="s">
        <v>9583</v>
      </c>
      <c r="AG49" s="1400" t="s">
        <v>9584</v>
      </c>
      <c r="AH49" s="1400" t="s">
        <v>2515</v>
      </c>
      <c r="AI49" s="1400" t="s">
        <v>5975</v>
      </c>
      <c r="AJ49" s="1400" t="s">
        <v>9585</v>
      </c>
      <c r="AK49" s="1400" t="s">
        <v>9086</v>
      </c>
      <c r="AL49" s="1400" t="s">
        <v>9586</v>
      </c>
      <c r="AM49" s="1400" t="s">
        <v>2632</v>
      </c>
      <c r="AN49" s="1400" t="s">
        <v>9587</v>
      </c>
      <c r="AO49" s="1400" t="s">
        <v>8696</v>
      </c>
      <c r="AP49" s="1400" t="s">
        <v>9588</v>
      </c>
      <c r="AQ49" s="1400" t="s">
        <v>9589</v>
      </c>
      <c r="AR49" s="1400" t="s">
        <v>2213</v>
      </c>
      <c r="AS49" s="1400" t="s">
        <v>7050</v>
      </c>
      <c r="AT49" s="1400" t="s">
        <v>9590</v>
      </c>
      <c r="AU49" s="1400" t="s">
        <v>9591</v>
      </c>
      <c r="AV49" s="1398" t="str">
        <f t="shared" si="1"/>
        <v>3:15</v>
      </c>
      <c r="AW49" s="1547"/>
    </row>
    <row r="50" ht="15.75" customHeight="1">
      <c r="A50" s="1386" t="s">
        <v>9592</v>
      </c>
      <c r="B50" s="1548" t="s">
        <v>8542</v>
      </c>
      <c r="C50" s="1388">
        <v>0.051180555555555556</v>
      </c>
      <c r="D50" s="1202" t="s">
        <v>9593</v>
      </c>
      <c r="E50" s="1400" t="s">
        <v>9594</v>
      </c>
      <c r="F50" s="1400" t="s">
        <v>4131</v>
      </c>
      <c r="G50" s="1400" t="s">
        <v>8243</v>
      </c>
      <c r="H50" s="1400" t="s">
        <v>9595</v>
      </c>
      <c r="I50" s="1400" t="s">
        <v>160</v>
      </c>
      <c r="J50" s="1400" t="s">
        <v>888</v>
      </c>
      <c r="K50" s="1400" t="s">
        <v>9139</v>
      </c>
      <c r="L50" s="1400" t="s">
        <v>8729</v>
      </c>
      <c r="M50" s="1400" t="s">
        <v>5767</v>
      </c>
      <c r="N50" s="1400" t="s">
        <v>9596</v>
      </c>
      <c r="O50" s="1400" t="s">
        <v>9597</v>
      </c>
      <c r="P50" s="1400" t="s">
        <v>5478</v>
      </c>
      <c r="Q50" s="1400" t="s">
        <v>7295</v>
      </c>
      <c r="R50" s="1400" t="s">
        <v>9598</v>
      </c>
      <c r="S50" s="1400" t="s">
        <v>8442</v>
      </c>
      <c r="T50" s="1398" t="s">
        <v>4177</v>
      </c>
      <c r="U50" s="1398" t="s">
        <v>9599</v>
      </c>
      <c r="V50" s="1400" t="s">
        <v>1892</v>
      </c>
      <c r="W50" s="1400" t="s">
        <v>9600</v>
      </c>
      <c r="X50" s="1400" t="s">
        <v>9601</v>
      </c>
      <c r="Y50" s="1400" t="s">
        <v>9004</v>
      </c>
      <c r="Z50" s="1400" t="s">
        <v>9602</v>
      </c>
      <c r="AA50" s="1400" t="s">
        <v>9603</v>
      </c>
      <c r="AB50" s="1400" t="s">
        <v>9604</v>
      </c>
      <c r="AC50" s="1400" t="s">
        <v>849</v>
      </c>
      <c r="AD50" s="1400" t="s">
        <v>9537</v>
      </c>
      <c r="AE50" s="1400" t="s">
        <v>3233</v>
      </c>
      <c r="AF50" s="1398" t="s">
        <v>9605</v>
      </c>
      <c r="AG50" s="1400" t="s">
        <v>384</v>
      </c>
      <c r="AH50" s="1400" t="s">
        <v>9606</v>
      </c>
      <c r="AI50" s="1400" t="s">
        <v>9607</v>
      </c>
      <c r="AJ50" s="1400" t="s">
        <v>9608</v>
      </c>
      <c r="AK50" s="1400" t="s">
        <v>9609</v>
      </c>
      <c r="AL50" s="1400" t="s">
        <v>9610</v>
      </c>
      <c r="AM50" s="1400" t="s">
        <v>7399</v>
      </c>
      <c r="AN50" s="1400" t="s">
        <v>9226</v>
      </c>
      <c r="AO50" s="1412" t="str">
        <f>HYPERLINK("https://clips.twitch.tv/AltruisticEmpathicManateeDoritosChip","1:20.90")</f>
        <v>1:20.90</v>
      </c>
      <c r="AP50" s="1400" t="s">
        <v>9611</v>
      </c>
      <c r="AQ50" s="1400" t="s">
        <v>9612</v>
      </c>
      <c r="AR50" s="1400" t="s">
        <v>9613</v>
      </c>
      <c r="AS50" s="1400" t="s">
        <v>9192</v>
      </c>
      <c r="AT50" s="1400" t="s">
        <v>9614</v>
      </c>
      <c r="AU50" s="1400" t="s">
        <v>9615</v>
      </c>
      <c r="AV50" s="1398" t="str">
        <f t="shared" si="1"/>
        <v>2:40</v>
      </c>
      <c r="AW50" s="1480" t="s">
        <v>9616</v>
      </c>
    </row>
    <row r="51" ht="15.75" customHeight="1">
      <c r="A51" s="1435" t="s">
        <v>3707</v>
      </c>
      <c r="B51" s="1539" t="s">
        <v>8542</v>
      </c>
      <c r="C51" s="1549">
        <v>0.05123738425925926</v>
      </c>
      <c r="D51" s="1440" t="s">
        <v>9617</v>
      </c>
      <c r="E51" s="1440" t="s">
        <v>3918</v>
      </c>
      <c r="F51" s="1440" t="s">
        <v>9618</v>
      </c>
      <c r="G51" s="1440" t="s">
        <v>9024</v>
      </c>
      <c r="H51" s="1528" t="s">
        <v>9619</v>
      </c>
      <c r="I51" s="1528" t="s">
        <v>9286</v>
      </c>
      <c r="J51" s="1442" t="s">
        <v>9262</v>
      </c>
      <c r="K51" s="1442" t="s">
        <v>7082</v>
      </c>
      <c r="L51" s="1442" t="s">
        <v>9620</v>
      </c>
      <c r="M51" s="1442" t="s">
        <v>8980</v>
      </c>
      <c r="N51" s="1550" t="s">
        <v>1164</v>
      </c>
      <c r="O51" s="1442" t="s">
        <v>3485</v>
      </c>
      <c r="P51" s="1442" t="s">
        <v>8681</v>
      </c>
      <c r="Q51" s="1444" t="s">
        <v>9621</v>
      </c>
      <c r="R51" s="1444" t="s">
        <v>9222</v>
      </c>
      <c r="S51" s="1444" t="s">
        <v>9622</v>
      </c>
      <c r="T51" s="1444" t="s">
        <v>9623</v>
      </c>
      <c r="U51" s="1444" t="s">
        <v>9624</v>
      </c>
      <c r="V51" s="1444" t="s">
        <v>4203</v>
      </c>
      <c r="W51" s="1445" t="s">
        <v>9625</v>
      </c>
      <c r="X51" s="1445" t="s">
        <v>9626</v>
      </c>
      <c r="Y51" s="1445" t="s">
        <v>9627</v>
      </c>
      <c r="Z51" s="1445" t="s">
        <v>1356</v>
      </c>
      <c r="AA51" s="1445" t="s">
        <v>8943</v>
      </c>
      <c r="AB51" s="1445" t="s">
        <v>9370</v>
      </c>
      <c r="AC51" s="1445" t="s">
        <v>481</v>
      </c>
      <c r="AD51" s="1440" t="s">
        <v>9628</v>
      </c>
      <c r="AE51" s="1440" t="s">
        <v>5946</v>
      </c>
      <c r="AF51" s="1446" t="s">
        <v>9629</v>
      </c>
      <c r="AG51" s="1446" t="s">
        <v>9630</v>
      </c>
      <c r="AH51" s="1446" t="s">
        <v>9631</v>
      </c>
      <c r="AI51" s="1446" t="s">
        <v>310</v>
      </c>
      <c r="AJ51" s="1446" t="s">
        <v>9632</v>
      </c>
      <c r="AK51" s="1392" t="s">
        <v>9126</v>
      </c>
      <c r="AL51" s="1446" t="s">
        <v>9035</v>
      </c>
      <c r="AM51" s="1448" t="s">
        <v>9633</v>
      </c>
      <c r="AN51" s="1448" t="s">
        <v>568</v>
      </c>
      <c r="AO51" s="1448" t="s">
        <v>9634</v>
      </c>
      <c r="AP51" s="1448" t="s">
        <v>9635</v>
      </c>
      <c r="AQ51" s="1202" t="s">
        <v>9636</v>
      </c>
      <c r="AR51" s="1551" t="s">
        <v>9637</v>
      </c>
      <c r="AS51" s="1448" t="s">
        <v>9638</v>
      </c>
      <c r="AT51" s="1442" t="s">
        <v>9639</v>
      </c>
      <c r="AU51" s="1428" t="s">
        <v>9640</v>
      </c>
      <c r="AV51" s="1398" t="str">
        <f t="shared" si="1"/>
        <v>4:25</v>
      </c>
      <c r="AW51" s="1434" t="s">
        <v>9641</v>
      </c>
    </row>
    <row r="52" ht="15.75" customHeight="1">
      <c r="A52" s="1435" t="s">
        <v>1635</v>
      </c>
      <c r="B52" s="1552" t="s">
        <v>8599</v>
      </c>
      <c r="C52" s="1531">
        <v>0.051319444444444445</v>
      </c>
      <c r="D52" s="1202" t="s">
        <v>9642</v>
      </c>
      <c r="E52" s="1398" t="s">
        <v>9643</v>
      </c>
      <c r="F52" s="1398" t="s">
        <v>9644</v>
      </c>
      <c r="G52" s="1398" t="s">
        <v>9645</v>
      </c>
      <c r="H52" s="1398" t="s">
        <v>5006</v>
      </c>
      <c r="I52" s="1398" t="s">
        <v>6440</v>
      </c>
      <c r="J52" s="1398" t="s">
        <v>9646</v>
      </c>
      <c r="K52" s="1398" t="s">
        <v>8702</v>
      </c>
      <c r="L52" s="1398" t="s">
        <v>3827</v>
      </c>
      <c r="M52" s="1398" t="s">
        <v>9416</v>
      </c>
      <c r="N52" s="1398" t="s">
        <v>9205</v>
      </c>
      <c r="O52" s="1398" t="s">
        <v>9647</v>
      </c>
      <c r="P52" s="1553" t="s">
        <v>8608</v>
      </c>
      <c r="Q52" s="1398" t="s">
        <v>9648</v>
      </c>
      <c r="R52" s="1398" t="s">
        <v>5756</v>
      </c>
      <c r="S52" s="1398" t="s">
        <v>1162</v>
      </c>
      <c r="T52" s="1398" t="s">
        <v>9649</v>
      </c>
      <c r="U52" s="1398" t="s">
        <v>1009</v>
      </c>
      <c r="V52" s="1398" t="s">
        <v>450</v>
      </c>
      <c r="W52" s="1398" t="s">
        <v>9650</v>
      </c>
      <c r="X52" s="1398" t="s">
        <v>307</v>
      </c>
      <c r="Y52" s="1398" t="s">
        <v>9651</v>
      </c>
      <c r="Z52" s="1398" t="s">
        <v>7404</v>
      </c>
      <c r="AA52" s="1398" t="s">
        <v>6037</v>
      </c>
      <c r="AB52" s="1398" t="s">
        <v>4429</v>
      </c>
      <c r="AC52" s="1398" t="s">
        <v>6069</v>
      </c>
      <c r="AD52" s="1398" t="s">
        <v>9652</v>
      </c>
      <c r="AE52" s="1553" t="s">
        <v>8620</v>
      </c>
      <c r="AF52" s="1553" t="s">
        <v>2670</v>
      </c>
      <c r="AG52" s="1398" t="s">
        <v>4568</v>
      </c>
      <c r="AH52" s="1398" t="s">
        <v>9653</v>
      </c>
      <c r="AI52" s="1398" t="s">
        <v>9654</v>
      </c>
      <c r="AJ52" s="1398" t="s">
        <v>9655</v>
      </c>
      <c r="AK52" s="1398" t="s">
        <v>5913</v>
      </c>
      <c r="AL52" s="1398" t="s">
        <v>6154</v>
      </c>
      <c r="AM52" s="1553" t="s">
        <v>8624</v>
      </c>
      <c r="AN52" s="1400" t="s">
        <v>2465</v>
      </c>
      <c r="AO52" s="1398" t="s">
        <v>4884</v>
      </c>
      <c r="AP52" s="1398" t="s">
        <v>9656</v>
      </c>
      <c r="AQ52" s="1398" t="s">
        <v>9657</v>
      </c>
      <c r="AR52" s="1398" t="s">
        <v>7087</v>
      </c>
      <c r="AS52" s="1398" t="s">
        <v>4434</v>
      </c>
      <c r="AT52" s="1398" t="s">
        <v>9658</v>
      </c>
      <c r="AU52" s="1398" t="s">
        <v>9659</v>
      </c>
      <c r="AV52" s="1398" t="str">
        <f t="shared" si="1"/>
        <v>3:15</v>
      </c>
      <c r="AW52" s="1480" t="s">
        <v>9660</v>
      </c>
    </row>
    <row r="53">
      <c r="A53" s="1435" t="s">
        <v>1874</v>
      </c>
      <c r="B53" s="1433" t="s">
        <v>8542</v>
      </c>
      <c r="C53" s="1388">
        <v>0.05133101851851852</v>
      </c>
      <c r="D53" s="1538" t="s">
        <v>9661</v>
      </c>
      <c r="E53" s="1440" t="s">
        <v>9662</v>
      </c>
      <c r="F53" s="1440" t="s">
        <v>9663</v>
      </c>
      <c r="G53" s="1440" t="s">
        <v>9664</v>
      </c>
      <c r="H53" s="1528" t="s">
        <v>9665</v>
      </c>
      <c r="I53" s="1528" t="s">
        <v>3062</v>
      </c>
      <c r="J53" s="1442" t="s">
        <v>1861</v>
      </c>
      <c r="K53" s="1442" t="s">
        <v>9666</v>
      </c>
      <c r="L53" s="1442" t="s">
        <v>4165</v>
      </c>
      <c r="M53" s="1442" t="s">
        <v>9667</v>
      </c>
      <c r="N53" s="1442" t="s">
        <v>8796</v>
      </c>
      <c r="O53" s="1442" t="s">
        <v>9668</v>
      </c>
      <c r="P53" s="1442" t="s">
        <v>8726</v>
      </c>
      <c r="Q53" s="1444" t="s">
        <v>9669</v>
      </c>
      <c r="R53" s="1444" t="s">
        <v>9460</v>
      </c>
      <c r="S53" s="1444" t="s">
        <v>9670</v>
      </c>
      <c r="T53" s="1444" t="s">
        <v>9465</v>
      </c>
      <c r="U53" s="1444" t="s">
        <v>9671</v>
      </c>
      <c r="V53" s="1444" t="s">
        <v>9241</v>
      </c>
      <c r="W53" s="1445" t="s">
        <v>9672</v>
      </c>
      <c r="X53" s="1445" t="s">
        <v>9673</v>
      </c>
      <c r="Y53" s="1445" t="s">
        <v>5444</v>
      </c>
      <c r="Z53" s="1445" t="s">
        <v>1506</v>
      </c>
      <c r="AA53" s="1445" t="s">
        <v>9674</v>
      </c>
      <c r="AB53" s="1445" t="s">
        <v>6215</v>
      </c>
      <c r="AC53" s="1445" t="s">
        <v>260</v>
      </c>
      <c r="AD53" s="1440" t="s">
        <v>9012</v>
      </c>
      <c r="AE53" s="1440" t="s">
        <v>5444</v>
      </c>
      <c r="AF53" s="1446" t="s">
        <v>9675</v>
      </c>
      <c r="AG53" s="1446" t="s">
        <v>5691</v>
      </c>
      <c r="AH53" s="1446" t="s">
        <v>3994</v>
      </c>
      <c r="AI53" s="1446" t="s">
        <v>9676</v>
      </c>
      <c r="AJ53" s="1446" t="s">
        <v>9677</v>
      </c>
      <c r="AK53" s="1446" t="s">
        <v>9601</v>
      </c>
      <c r="AL53" s="1446" t="s">
        <v>3997</v>
      </c>
      <c r="AM53" s="1448" t="s">
        <v>9040</v>
      </c>
      <c r="AN53" s="1448" t="s">
        <v>4003</v>
      </c>
      <c r="AO53" s="1448" t="s">
        <v>9678</v>
      </c>
      <c r="AP53" s="1448" t="s">
        <v>9679</v>
      </c>
      <c r="AQ53" s="1448" t="s">
        <v>9278</v>
      </c>
      <c r="AR53" s="1448" t="s">
        <v>9680</v>
      </c>
      <c r="AS53" s="1448" t="s">
        <v>9681</v>
      </c>
      <c r="AT53" s="1442" t="s">
        <v>9682</v>
      </c>
      <c r="AU53" s="1428" t="s">
        <v>9683</v>
      </c>
      <c r="AV53" s="1398" t="str">
        <f t="shared" si="1"/>
        <v>1:34</v>
      </c>
      <c r="AW53" s="1530"/>
    </row>
    <row r="54">
      <c r="A54" s="1435" t="s">
        <v>2977</v>
      </c>
      <c r="B54" s="1433" t="s">
        <v>8542</v>
      </c>
      <c r="C54" s="1388">
        <v>0.05134259259259259</v>
      </c>
      <c r="D54" s="1440" t="s">
        <v>9684</v>
      </c>
      <c r="E54" s="1440" t="s">
        <v>6437</v>
      </c>
      <c r="F54" s="1440" t="s">
        <v>9685</v>
      </c>
      <c r="G54" s="1440" t="s">
        <v>9686</v>
      </c>
      <c r="H54" s="1440" t="s">
        <v>9687</v>
      </c>
      <c r="I54" s="1440" t="s">
        <v>1294</v>
      </c>
      <c r="J54" s="1442" t="s">
        <v>4962</v>
      </c>
      <c r="K54" s="1442" t="s">
        <v>7290</v>
      </c>
      <c r="L54" s="1442" t="s">
        <v>4818</v>
      </c>
      <c r="M54" s="1442" t="s">
        <v>3537</v>
      </c>
      <c r="N54" s="1442" t="s">
        <v>2003</v>
      </c>
      <c r="O54" s="1442" t="s">
        <v>9688</v>
      </c>
      <c r="P54" s="1442" t="s">
        <v>4526</v>
      </c>
      <c r="Q54" s="1444" t="s">
        <v>9689</v>
      </c>
      <c r="R54" s="1444" t="s">
        <v>2553</v>
      </c>
      <c r="S54" s="1444" t="s">
        <v>9690</v>
      </c>
      <c r="T54" s="1444" t="s">
        <v>9691</v>
      </c>
      <c r="U54" s="1444" t="s">
        <v>9557</v>
      </c>
      <c r="V54" s="1444" t="s">
        <v>8841</v>
      </c>
      <c r="W54" s="1445" t="s">
        <v>9692</v>
      </c>
      <c r="X54" s="1445" t="s">
        <v>8621</v>
      </c>
      <c r="Y54" s="1445" t="s">
        <v>9290</v>
      </c>
      <c r="Z54" s="1445" t="s">
        <v>3023</v>
      </c>
      <c r="AA54" s="1400" t="s">
        <v>589</v>
      </c>
      <c r="AB54" s="1445" t="s">
        <v>8923</v>
      </c>
      <c r="AC54" s="1445" t="s">
        <v>9165</v>
      </c>
      <c r="AD54" s="1440" t="s">
        <v>9693</v>
      </c>
      <c r="AE54" s="1440" t="s">
        <v>9694</v>
      </c>
      <c r="AF54" s="1446" t="s">
        <v>9695</v>
      </c>
      <c r="AG54" s="1446" t="s">
        <v>9696</v>
      </c>
      <c r="AH54" s="1446" t="s">
        <v>1899</v>
      </c>
      <c r="AI54" s="1446" t="s">
        <v>417</v>
      </c>
      <c r="AJ54" s="1446" t="s">
        <v>9697</v>
      </c>
      <c r="AK54" s="1446" t="s">
        <v>9698</v>
      </c>
      <c r="AL54" s="1446" t="s">
        <v>5587</v>
      </c>
      <c r="AM54" s="1448" t="s">
        <v>9699</v>
      </c>
      <c r="AN54" s="1448" t="s">
        <v>6391</v>
      </c>
      <c r="AO54" s="1448" t="s">
        <v>9700</v>
      </c>
      <c r="AP54" s="1448" t="s">
        <v>9701</v>
      </c>
      <c r="AQ54" s="1448" t="s">
        <v>9278</v>
      </c>
      <c r="AR54" s="1448" t="s">
        <v>9702</v>
      </c>
      <c r="AS54" s="1448" t="s">
        <v>1898</v>
      </c>
      <c r="AT54" s="1442" t="s">
        <v>9703</v>
      </c>
      <c r="AU54" s="1428" t="s">
        <v>9591</v>
      </c>
      <c r="AV54" s="1398" t="str">
        <f t="shared" si="1"/>
        <v>2:56</v>
      </c>
      <c r="AW54" s="1434" t="s">
        <v>9704</v>
      </c>
    </row>
    <row r="55" ht="15.75" customHeight="1">
      <c r="A55" s="1402" t="s">
        <v>1419</v>
      </c>
      <c r="B55" s="1552" t="s">
        <v>8599</v>
      </c>
      <c r="C55" s="1531">
        <v>0.05134259259259259</v>
      </c>
      <c r="D55" s="1202" t="s">
        <v>9705</v>
      </c>
      <c r="E55" s="1470" t="s">
        <v>9706</v>
      </c>
      <c r="F55" s="1470" t="s">
        <v>9685</v>
      </c>
      <c r="G55" s="1470" t="s">
        <v>9707</v>
      </c>
      <c r="H55" s="1441" t="s">
        <v>9708</v>
      </c>
      <c r="I55" s="1554" t="s">
        <v>347</v>
      </c>
      <c r="J55" s="1472" t="s">
        <v>9709</v>
      </c>
      <c r="K55" s="1472" t="s">
        <v>3907</v>
      </c>
      <c r="L55" s="1555" t="s">
        <v>3768</v>
      </c>
      <c r="M55" s="1472" t="s">
        <v>5557</v>
      </c>
      <c r="N55" s="1472" t="s">
        <v>9710</v>
      </c>
      <c r="O55" s="1555" t="s">
        <v>8607</v>
      </c>
      <c r="P55" s="1472" t="s">
        <v>385</v>
      </c>
      <c r="Q55" s="1473" t="s">
        <v>9711</v>
      </c>
      <c r="R55" s="1473" t="s">
        <v>1626</v>
      </c>
      <c r="S55" s="1473" t="s">
        <v>9712</v>
      </c>
      <c r="T55" s="1556" t="s">
        <v>8611</v>
      </c>
      <c r="U55" s="1473" t="s">
        <v>9713</v>
      </c>
      <c r="V55" s="1473" t="s">
        <v>3996</v>
      </c>
      <c r="W55" s="1557" t="s">
        <v>8614</v>
      </c>
      <c r="X55" s="1474" t="s">
        <v>4285</v>
      </c>
      <c r="Y55" s="1474" t="s">
        <v>6440</v>
      </c>
      <c r="Z55" s="1474" t="s">
        <v>7661</v>
      </c>
      <c r="AA55" s="1474" t="s">
        <v>9126</v>
      </c>
      <c r="AB55" s="1557" t="s">
        <v>8618</v>
      </c>
      <c r="AC55" s="1474" t="s">
        <v>6529</v>
      </c>
      <c r="AD55" s="1448" t="s">
        <v>9714</v>
      </c>
      <c r="AE55" s="1470" t="s">
        <v>9715</v>
      </c>
      <c r="AF55" s="1475" t="s">
        <v>9716</v>
      </c>
      <c r="AG55" s="1475" t="s">
        <v>9717</v>
      </c>
      <c r="AH55" s="1475" t="s">
        <v>9718</v>
      </c>
      <c r="AI55" s="1475" t="s">
        <v>9719</v>
      </c>
      <c r="AJ55" s="1475" t="s">
        <v>9720</v>
      </c>
      <c r="AK55" s="1558" t="s">
        <v>887</v>
      </c>
      <c r="AL55" s="1475" t="s">
        <v>1570</v>
      </c>
      <c r="AM55" s="1447" t="s">
        <v>9584</v>
      </c>
      <c r="AN55" s="1448" t="s">
        <v>4103</v>
      </c>
      <c r="AO55" s="1447" t="s">
        <v>9721</v>
      </c>
      <c r="AP55" s="1447" t="s">
        <v>9722</v>
      </c>
      <c r="AQ55" s="1447" t="s">
        <v>9723</v>
      </c>
      <c r="AR55" s="1447" t="s">
        <v>8635</v>
      </c>
      <c r="AS55" s="1447" t="s">
        <v>4616</v>
      </c>
      <c r="AT55" s="1472" t="s">
        <v>9724</v>
      </c>
      <c r="AU55" s="1476" t="s">
        <v>9725</v>
      </c>
      <c r="AV55" s="1398" t="str">
        <f t="shared" si="1"/>
        <v>1:58</v>
      </c>
      <c r="AW55" s="1530"/>
    </row>
    <row r="56" ht="15.75" customHeight="1">
      <c r="A56" s="1386" t="s">
        <v>3362</v>
      </c>
      <c r="B56" s="1387" t="s">
        <v>8542</v>
      </c>
      <c r="C56" s="1531">
        <v>0.05134259259259259</v>
      </c>
      <c r="D56" s="1202" t="s">
        <v>9726</v>
      </c>
      <c r="E56" s="1398" t="s">
        <v>9727</v>
      </c>
      <c r="F56" s="1398" t="s">
        <v>9728</v>
      </c>
      <c r="G56" s="1398" t="s">
        <v>7691</v>
      </c>
      <c r="H56" s="1398" t="s">
        <v>8785</v>
      </c>
      <c r="I56" s="1398" t="s">
        <v>6157</v>
      </c>
      <c r="J56" s="1398" t="s">
        <v>9729</v>
      </c>
      <c r="K56" s="1398" t="s">
        <v>3835</v>
      </c>
      <c r="L56" s="1398" t="s">
        <v>9730</v>
      </c>
      <c r="M56" s="1398" t="s">
        <v>9731</v>
      </c>
      <c r="N56" s="1398" t="s">
        <v>2748</v>
      </c>
      <c r="O56" s="1398" t="s">
        <v>9732</v>
      </c>
      <c r="P56" s="1398" t="s">
        <v>1087</v>
      </c>
      <c r="Q56" s="1398" t="s">
        <v>2456</v>
      </c>
      <c r="R56" s="1398" t="s">
        <v>9460</v>
      </c>
      <c r="S56" s="1398" t="s">
        <v>9328</v>
      </c>
      <c r="T56" s="1398" t="s">
        <v>9733</v>
      </c>
      <c r="U56" s="1398" t="s">
        <v>9734</v>
      </c>
      <c r="V56" s="1398" t="s">
        <v>4101</v>
      </c>
      <c r="W56" s="1398" t="s">
        <v>9735</v>
      </c>
      <c r="X56" s="1398" t="s">
        <v>9736</v>
      </c>
      <c r="Y56" s="1398" t="s">
        <v>385</v>
      </c>
      <c r="Z56" s="1398" t="s">
        <v>7089</v>
      </c>
      <c r="AA56" s="1398" t="s">
        <v>9273</v>
      </c>
      <c r="AB56" s="1398" t="s">
        <v>8663</v>
      </c>
      <c r="AC56" s="1398" t="s">
        <v>849</v>
      </c>
      <c r="AD56" s="1398" t="s">
        <v>9737</v>
      </c>
      <c r="AE56" s="1398" t="s">
        <v>385</v>
      </c>
      <c r="AF56" s="1398" t="s">
        <v>9738</v>
      </c>
      <c r="AG56" s="1398" t="s">
        <v>9739</v>
      </c>
      <c r="AH56" s="1398" t="s">
        <v>5173</v>
      </c>
      <c r="AI56" s="1398" t="s">
        <v>9740</v>
      </c>
      <c r="AJ56" s="1398" t="s">
        <v>9677</v>
      </c>
      <c r="AK56" s="1398" t="s">
        <v>7426</v>
      </c>
      <c r="AL56" s="1398" t="s">
        <v>3335</v>
      </c>
      <c r="AM56" s="1398" t="s">
        <v>4127</v>
      </c>
      <c r="AN56" s="1398" t="s">
        <v>9741</v>
      </c>
      <c r="AO56" s="1398" t="s">
        <v>6365</v>
      </c>
      <c r="AP56" s="1398" t="s">
        <v>9742</v>
      </c>
      <c r="AQ56" s="1398" t="s">
        <v>9743</v>
      </c>
      <c r="AR56" s="1398" t="s">
        <v>9744</v>
      </c>
      <c r="AS56" s="1447" t="s">
        <v>4406</v>
      </c>
      <c r="AT56" s="1398" t="s">
        <v>9745</v>
      </c>
      <c r="AU56" s="1398" t="s">
        <v>8969</v>
      </c>
      <c r="AV56" s="1398" t="str">
        <f t="shared" si="1"/>
        <v>2:27</v>
      </c>
      <c r="AW56" s="1480"/>
    </row>
    <row r="57" ht="15.75" customHeight="1">
      <c r="A57" s="1435" t="s">
        <v>1351</v>
      </c>
      <c r="B57" s="1430" t="s">
        <v>8599</v>
      </c>
      <c r="C57" s="1388">
        <v>0.05140046296296296</v>
      </c>
      <c r="D57" s="1400" t="s">
        <v>9746</v>
      </c>
      <c r="E57" s="1400" t="s">
        <v>1660</v>
      </c>
      <c r="F57" s="1400" t="s">
        <v>9747</v>
      </c>
      <c r="G57" s="1541" t="s">
        <v>8603</v>
      </c>
      <c r="H57" s="1202" t="s">
        <v>9748</v>
      </c>
      <c r="I57" s="1400" t="s">
        <v>1757</v>
      </c>
      <c r="J57" s="1541" t="s">
        <v>8605</v>
      </c>
      <c r="K57" s="1400" t="s">
        <v>9749</v>
      </c>
      <c r="L57" s="1400" t="s">
        <v>9750</v>
      </c>
      <c r="M57" s="1541" t="s">
        <v>8606</v>
      </c>
      <c r="N57" s="1400" t="s">
        <v>9751</v>
      </c>
      <c r="O57" s="1400" t="s">
        <v>9752</v>
      </c>
      <c r="P57" s="1400" t="s">
        <v>1048</v>
      </c>
      <c r="Q57" s="1400" t="s">
        <v>9555</v>
      </c>
      <c r="R57" s="1400" t="s">
        <v>9753</v>
      </c>
      <c r="S57" s="1400" t="s">
        <v>9754</v>
      </c>
      <c r="T57" s="1400" t="s">
        <v>3235</v>
      </c>
      <c r="U57" s="1400" t="s">
        <v>9475</v>
      </c>
      <c r="V57" s="1400" t="s">
        <v>5780</v>
      </c>
      <c r="W57" s="1400" t="s">
        <v>9755</v>
      </c>
      <c r="X57" s="1400" t="s">
        <v>626</v>
      </c>
      <c r="Y57" s="1400" t="s">
        <v>9756</v>
      </c>
      <c r="Z57" s="1400" t="s">
        <v>9757</v>
      </c>
      <c r="AA57" s="1559" t="s">
        <v>8617</v>
      </c>
      <c r="AB57" s="1400" t="s">
        <v>5881</v>
      </c>
      <c r="AC57" s="1400" t="s">
        <v>9758</v>
      </c>
      <c r="AD57" s="1400" t="s">
        <v>8953</v>
      </c>
      <c r="AE57" s="1400" t="s">
        <v>2559</v>
      </c>
      <c r="AF57" s="1400" t="s">
        <v>9759</v>
      </c>
      <c r="AG57" s="1541" t="s">
        <v>4600</v>
      </c>
      <c r="AH57" s="1541" t="s">
        <v>5196</v>
      </c>
      <c r="AI57" s="1400" t="s">
        <v>9760</v>
      </c>
      <c r="AJ57" s="1400" t="s">
        <v>9761</v>
      </c>
      <c r="AK57" s="1400" t="s">
        <v>7624</v>
      </c>
      <c r="AL57" s="1400" t="s">
        <v>3826</v>
      </c>
      <c r="AM57" s="1400" t="s">
        <v>9762</v>
      </c>
      <c r="AN57" s="1400" t="s">
        <v>3684</v>
      </c>
      <c r="AO57" s="1541" t="s">
        <v>8626</v>
      </c>
      <c r="AP57" s="1560" t="s">
        <v>8627</v>
      </c>
      <c r="AQ57" s="1400" t="s">
        <v>3260</v>
      </c>
      <c r="AR57" s="1400" t="s">
        <v>1622</v>
      </c>
      <c r="AS57" s="1400" t="s">
        <v>5141</v>
      </c>
      <c r="AT57" s="1400" t="s">
        <v>9763</v>
      </c>
      <c r="AU57" s="1400" t="s">
        <v>8969</v>
      </c>
      <c r="AV57" s="1398" t="str">
        <f t="shared" si="1"/>
        <v>2:22</v>
      </c>
      <c r="AW57" s="1431" t="s">
        <v>9764</v>
      </c>
    </row>
    <row r="58" ht="15.75" customHeight="1">
      <c r="A58" s="1435" t="s">
        <v>3980</v>
      </c>
      <c r="B58" s="1433" t="s">
        <v>8542</v>
      </c>
      <c r="C58" s="1388">
        <v>0.05153935185185185</v>
      </c>
      <c r="D58" s="1489" t="s">
        <v>9765</v>
      </c>
      <c r="E58" s="1489" t="s">
        <v>6727</v>
      </c>
      <c r="F58" s="1489" t="s">
        <v>9766</v>
      </c>
      <c r="G58" s="1489" t="s">
        <v>4892</v>
      </c>
      <c r="H58" s="1202" t="s">
        <v>9767</v>
      </c>
      <c r="I58" s="1489" t="s">
        <v>1294</v>
      </c>
      <c r="J58" s="1489" t="s">
        <v>9768</v>
      </c>
      <c r="K58" s="1489" t="s">
        <v>3571</v>
      </c>
      <c r="L58" s="1489" t="s">
        <v>4203</v>
      </c>
      <c r="M58" s="1489" t="s">
        <v>7222</v>
      </c>
      <c r="N58" s="1489" t="s">
        <v>9769</v>
      </c>
      <c r="O58" s="1489" t="s">
        <v>3761</v>
      </c>
      <c r="P58" s="1489" t="s">
        <v>7056</v>
      </c>
      <c r="Q58" s="1489" t="s">
        <v>9770</v>
      </c>
      <c r="R58" s="1489" t="s">
        <v>3421</v>
      </c>
      <c r="S58" s="1561" t="s">
        <v>9414</v>
      </c>
      <c r="T58" s="1489" t="s">
        <v>9225</v>
      </c>
      <c r="U58" s="1489" t="s">
        <v>9771</v>
      </c>
      <c r="V58" s="1489" t="s">
        <v>1788</v>
      </c>
      <c r="W58" s="1489" t="s">
        <v>9772</v>
      </c>
      <c r="X58" s="1489" t="s">
        <v>1677</v>
      </c>
      <c r="Y58" s="1489" t="s">
        <v>3620</v>
      </c>
      <c r="Z58" s="1489" t="s">
        <v>7395</v>
      </c>
      <c r="AA58" s="1489" t="s">
        <v>969</v>
      </c>
      <c r="AB58" s="1489" t="s">
        <v>9773</v>
      </c>
      <c r="AC58" s="1489" t="s">
        <v>9758</v>
      </c>
      <c r="AD58" s="1489" t="s">
        <v>9774</v>
      </c>
      <c r="AE58" s="1489" t="s">
        <v>4252</v>
      </c>
      <c r="AF58" s="1390" t="s">
        <v>9775</v>
      </c>
      <c r="AG58" s="1489" t="s">
        <v>9776</v>
      </c>
      <c r="AH58" s="1489" t="s">
        <v>9777</v>
      </c>
      <c r="AI58" s="1489" t="s">
        <v>9778</v>
      </c>
      <c r="AJ58" s="1489" t="s">
        <v>9779</v>
      </c>
      <c r="AK58" s="1489" t="s">
        <v>5065</v>
      </c>
      <c r="AL58" s="1489" t="s">
        <v>9586</v>
      </c>
      <c r="AM58" s="1489" t="s">
        <v>9760</v>
      </c>
      <c r="AN58" s="1489" t="s">
        <v>2548</v>
      </c>
      <c r="AO58" s="1489" t="s">
        <v>5611</v>
      </c>
      <c r="AP58" s="1561" t="s">
        <v>9523</v>
      </c>
      <c r="AQ58" s="1489" t="s">
        <v>9780</v>
      </c>
      <c r="AR58" s="1489" t="s">
        <v>4962</v>
      </c>
      <c r="AS58" s="1489" t="s">
        <v>9192</v>
      </c>
      <c r="AT58" s="1489" t="s">
        <v>9781</v>
      </c>
      <c r="AU58" s="1489" t="s">
        <v>9782</v>
      </c>
      <c r="AV58" s="1562" t="str">
        <f t="shared" si="1"/>
        <v>2:41</v>
      </c>
      <c r="AW58" s="1563" t="s">
        <v>9783</v>
      </c>
    </row>
    <row r="59" ht="15.75" customHeight="1">
      <c r="A59" s="1386" t="s">
        <v>1952</v>
      </c>
      <c r="B59" s="1387" t="s">
        <v>8542</v>
      </c>
      <c r="C59" s="1388">
        <v>0.05157407407407407</v>
      </c>
      <c r="D59" s="1202" t="s">
        <v>9784</v>
      </c>
      <c r="E59" s="1440" t="s">
        <v>9785</v>
      </c>
      <c r="F59" s="1440" t="s">
        <v>9786</v>
      </c>
      <c r="G59" s="1470" t="s">
        <v>9284</v>
      </c>
      <c r="H59" s="1441" t="s">
        <v>9787</v>
      </c>
      <c r="I59" s="1441" t="s">
        <v>2092</v>
      </c>
      <c r="J59" s="1472" t="s">
        <v>5414</v>
      </c>
      <c r="K59" s="1472" t="s">
        <v>3592</v>
      </c>
      <c r="L59" s="1472" t="s">
        <v>9788</v>
      </c>
      <c r="M59" s="1472" t="s">
        <v>9457</v>
      </c>
      <c r="N59" s="1472" t="s">
        <v>1232</v>
      </c>
      <c r="O59" s="1472" t="s">
        <v>9755</v>
      </c>
      <c r="P59" s="1472" t="s">
        <v>8773</v>
      </c>
      <c r="Q59" s="1473" t="s">
        <v>9789</v>
      </c>
      <c r="R59" s="1473" t="s">
        <v>9790</v>
      </c>
      <c r="S59" s="1473" t="s">
        <v>9791</v>
      </c>
      <c r="T59" s="1473" t="s">
        <v>7399</v>
      </c>
      <c r="U59" s="1473" t="s">
        <v>2954</v>
      </c>
      <c r="V59" s="1473" t="s">
        <v>5035</v>
      </c>
      <c r="W59" s="1474" t="s">
        <v>9792</v>
      </c>
      <c r="X59" s="1474" t="s">
        <v>9793</v>
      </c>
      <c r="Y59" s="1474" t="s">
        <v>9651</v>
      </c>
      <c r="Z59" s="1474" t="s">
        <v>8618</v>
      </c>
      <c r="AA59" s="1474" t="s">
        <v>5975</v>
      </c>
      <c r="AB59" s="1474" t="s">
        <v>5657</v>
      </c>
      <c r="AC59" s="1474" t="s">
        <v>6315</v>
      </c>
      <c r="AD59" s="1440" t="s">
        <v>9794</v>
      </c>
      <c r="AE59" s="1470" t="s">
        <v>5467</v>
      </c>
      <c r="AF59" s="1475" t="s">
        <v>9795</v>
      </c>
      <c r="AG59" s="1475" t="s">
        <v>9796</v>
      </c>
      <c r="AH59" s="1475" t="s">
        <v>9797</v>
      </c>
      <c r="AI59" s="1475" t="s">
        <v>1039</v>
      </c>
      <c r="AJ59" s="1475" t="s">
        <v>9798</v>
      </c>
      <c r="AK59" s="1446" t="s">
        <v>626</v>
      </c>
      <c r="AL59" s="1446" t="s">
        <v>9799</v>
      </c>
      <c r="AM59" s="1447" t="s">
        <v>3660</v>
      </c>
      <c r="AN59" s="1447" t="s">
        <v>9800</v>
      </c>
      <c r="AO59" s="1447" t="s">
        <v>9801</v>
      </c>
      <c r="AP59" s="1447" t="s">
        <v>9802</v>
      </c>
      <c r="AQ59" s="1447" t="s">
        <v>9803</v>
      </c>
      <c r="AR59" s="1448" t="s">
        <v>7885</v>
      </c>
      <c r="AS59" s="1447" t="s">
        <v>4406</v>
      </c>
      <c r="AT59" s="1472" t="s">
        <v>9804</v>
      </c>
      <c r="AU59" s="1476" t="s">
        <v>9805</v>
      </c>
      <c r="AV59" s="1398" t="str">
        <f t="shared" si="1"/>
        <v>4:40</v>
      </c>
      <c r="AW59" s="1530" t="s">
        <v>9806</v>
      </c>
    </row>
    <row r="60" ht="15.75" customHeight="1">
      <c r="A60" s="1435" t="s">
        <v>9807</v>
      </c>
      <c r="B60" s="1433" t="s">
        <v>8542</v>
      </c>
      <c r="C60" s="1388">
        <v>0.051631944444444446</v>
      </c>
      <c r="D60" s="1440" t="s">
        <v>9808</v>
      </c>
      <c r="E60" s="1440" t="s">
        <v>6582</v>
      </c>
      <c r="F60" s="1440" t="s">
        <v>8780</v>
      </c>
      <c r="G60" s="1440" t="s">
        <v>9809</v>
      </c>
      <c r="H60" s="1528" t="s">
        <v>9810</v>
      </c>
      <c r="I60" s="1528" t="s">
        <v>9811</v>
      </c>
      <c r="J60" s="1442" t="s">
        <v>9812</v>
      </c>
      <c r="K60" s="1442" t="s">
        <v>7624</v>
      </c>
      <c r="L60" s="1442" t="s">
        <v>4453</v>
      </c>
      <c r="M60" s="1442" t="s">
        <v>9813</v>
      </c>
      <c r="N60" s="1442" t="s">
        <v>6030</v>
      </c>
      <c r="O60" s="1442" t="s">
        <v>9814</v>
      </c>
      <c r="P60" s="1442" t="s">
        <v>2243</v>
      </c>
      <c r="Q60" s="1444" t="s">
        <v>9815</v>
      </c>
      <c r="R60" s="1444" t="s">
        <v>5756</v>
      </c>
      <c r="S60" s="1444" t="s">
        <v>5570</v>
      </c>
      <c r="T60" s="1444" t="s">
        <v>6139</v>
      </c>
      <c r="U60" s="1444" t="s">
        <v>9816</v>
      </c>
      <c r="V60" s="1444" t="s">
        <v>9817</v>
      </c>
      <c r="W60" s="1445" t="s">
        <v>9818</v>
      </c>
      <c r="X60" s="1445" t="s">
        <v>626</v>
      </c>
      <c r="Y60" s="1445" t="s">
        <v>5025</v>
      </c>
      <c r="Z60" s="1445" t="s">
        <v>9819</v>
      </c>
      <c r="AA60" s="1400" t="s">
        <v>9820</v>
      </c>
      <c r="AB60" s="1445" t="s">
        <v>9424</v>
      </c>
      <c r="AC60" s="1445" t="s">
        <v>4698</v>
      </c>
      <c r="AD60" s="1440" t="s">
        <v>9821</v>
      </c>
      <c r="AE60" s="1440" t="s">
        <v>9117</v>
      </c>
      <c r="AF60" s="1564" t="s">
        <v>9822</v>
      </c>
      <c r="AG60" s="1446" t="s">
        <v>6694</v>
      </c>
      <c r="AH60" s="1446" t="s">
        <v>9797</v>
      </c>
      <c r="AI60" s="1446" t="s">
        <v>4049</v>
      </c>
      <c r="AJ60" s="1446" t="s">
        <v>9823</v>
      </c>
      <c r="AK60" s="1446" t="s">
        <v>1527</v>
      </c>
      <c r="AL60" s="1446" t="s">
        <v>3513</v>
      </c>
      <c r="AM60" s="1448" t="s">
        <v>5975</v>
      </c>
      <c r="AN60" s="1448" t="s">
        <v>5587</v>
      </c>
      <c r="AO60" s="1448" t="s">
        <v>6516</v>
      </c>
      <c r="AP60" s="1448" t="s">
        <v>9824</v>
      </c>
      <c r="AQ60" s="1448" t="s">
        <v>3600</v>
      </c>
      <c r="AR60" s="1448" t="s">
        <v>9390</v>
      </c>
      <c r="AS60" s="1448" t="s">
        <v>4024</v>
      </c>
      <c r="AT60" s="1442" t="s">
        <v>9825</v>
      </c>
      <c r="AU60" s="1428" t="s">
        <v>9826</v>
      </c>
      <c r="AV60" s="1398" t="str">
        <f t="shared" si="1"/>
        <v>2:25</v>
      </c>
      <c r="AW60" s="1492" t="s">
        <v>9827</v>
      </c>
    </row>
    <row r="61" ht="15.75" customHeight="1">
      <c r="A61" s="1490" t="s">
        <v>9828</v>
      </c>
      <c r="B61" s="1387" t="s">
        <v>8542</v>
      </c>
      <c r="C61" s="1531">
        <v>0.051631944444444446</v>
      </c>
      <c r="D61" s="1202" t="s">
        <v>9829</v>
      </c>
      <c r="E61" s="1562" t="s">
        <v>9830</v>
      </c>
      <c r="F61" s="1562" t="s">
        <v>8627</v>
      </c>
      <c r="G61" s="1562" t="s">
        <v>9831</v>
      </c>
      <c r="H61" s="1562" t="s">
        <v>9832</v>
      </c>
      <c r="I61" s="1562" t="s">
        <v>9758</v>
      </c>
      <c r="J61" s="1562" t="s">
        <v>3593</v>
      </c>
      <c r="K61" s="1562" t="s">
        <v>9833</v>
      </c>
      <c r="L61" s="1562" t="s">
        <v>5361</v>
      </c>
      <c r="M61" s="1562" t="s">
        <v>711</v>
      </c>
      <c r="N61" s="1562" t="s">
        <v>9834</v>
      </c>
      <c r="O61" s="1562" t="s">
        <v>4707</v>
      </c>
      <c r="P61" s="1562" t="s">
        <v>8578</v>
      </c>
      <c r="Q61" s="1562" t="s">
        <v>2967</v>
      </c>
      <c r="R61" s="1562" t="s">
        <v>9835</v>
      </c>
      <c r="S61" s="1562" t="s">
        <v>9613</v>
      </c>
      <c r="T61" s="1562" t="s">
        <v>9040</v>
      </c>
      <c r="U61" s="1562" t="s">
        <v>9836</v>
      </c>
      <c r="V61" s="1562" t="s">
        <v>9837</v>
      </c>
      <c r="W61" s="1562" t="s">
        <v>9838</v>
      </c>
      <c r="X61" s="1562" t="s">
        <v>9760</v>
      </c>
      <c r="Y61" s="1562" t="s">
        <v>4698</v>
      </c>
      <c r="Z61" s="1562" t="s">
        <v>7325</v>
      </c>
      <c r="AA61" s="1562" t="s">
        <v>5755</v>
      </c>
      <c r="AB61" s="1562" t="s">
        <v>9839</v>
      </c>
      <c r="AC61" s="1562" t="s">
        <v>385</v>
      </c>
      <c r="AD61" s="1562" t="s">
        <v>5999</v>
      </c>
      <c r="AE61" s="1562" t="s">
        <v>3062</v>
      </c>
      <c r="AF61" s="1562" t="s">
        <v>9529</v>
      </c>
      <c r="AG61" s="1562" t="s">
        <v>9840</v>
      </c>
      <c r="AH61" s="1562" t="s">
        <v>5323</v>
      </c>
      <c r="AI61" s="1562" t="s">
        <v>4069</v>
      </c>
      <c r="AJ61" s="1562" t="s">
        <v>9841</v>
      </c>
      <c r="AK61" s="1562" t="s">
        <v>9674</v>
      </c>
      <c r="AL61" s="1562" t="s">
        <v>4478</v>
      </c>
      <c r="AM61" s="1562" t="s">
        <v>9842</v>
      </c>
      <c r="AN61" s="1562" t="s">
        <v>8403</v>
      </c>
      <c r="AO61" s="1562" t="s">
        <v>5077</v>
      </c>
      <c r="AP61" s="1562" t="s">
        <v>9843</v>
      </c>
      <c r="AQ61" s="1562" t="s">
        <v>3626</v>
      </c>
      <c r="AR61" s="1562" t="s">
        <v>9207</v>
      </c>
      <c r="AS61" s="1562" t="s">
        <v>4685</v>
      </c>
      <c r="AT61" s="1562" t="s">
        <v>9844</v>
      </c>
      <c r="AU61" s="1565" t="str">
        <f>HYPERLINK("https://splits.io/pc9","1:16:48")</f>
        <v>1:16:48</v>
      </c>
      <c r="AV61" s="1562" t="str">
        <f t="shared" si="1"/>
        <v>2:27</v>
      </c>
      <c r="AW61" s="1566" t="s">
        <v>9845</v>
      </c>
    </row>
    <row r="62" ht="15.75" customHeight="1">
      <c r="A62" s="1386" t="s">
        <v>5654</v>
      </c>
      <c r="B62" s="1387" t="s">
        <v>8542</v>
      </c>
      <c r="C62" s="1531">
        <v>0.051631944444444446</v>
      </c>
      <c r="D62" s="1202" t="s">
        <v>9846</v>
      </c>
      <c r="E62" s="1562" t="s">
        <v>6727</v>
      </c>
      <c r="F62" s="1562" t="s">
        <v>9847</v>
      </c>
      <c r="G62" s="1562" t="s">
        <v>5254</v>
      </c>
      <c r="H62" s="1562" t="s">
        <v>9436</v>
      </c>
      <c r="I62" s="1562" t="s">
        <v>4698</v>
      </c>
      <c r="J62" s="1562" t="s">
        <v>8770</v>
      </c>
      <c r="K62" s="1562" t="s">
        <v>8439</v>
      </c>
      <c r="L62" s="1562" t="s">
        <v>5705</v>
      </c>
      <c r="M62" s="1562" t="s">
        <v>941</v>
      </c>
      <c r="N62" s="1562" t="s">
        <v>9848</v>
      </c>
      <c r="O62" s="1562" t="s">
        <v>9647</v>
      </c>
      <c r="P62" s="1562" t="s">
        <v>9532</v>
      </c>
      <c r="Q62" s="1562" t="s">
        <v>9849</v>
      </c>
      <c r="R62" s="1562" t="s">
        <v>9790</v>
      </c>
      <c r="S62" s="1562" t="s">
        <v>7281</v>
      </c>
      <c r="T62" s="1562" t="s">
        <v>9850</v>
      </c>
      <c r="U62" s="1562" t="s">
        <v>9851</v>
      </c>
      <c r="V62" s="1562" t="s">
        <v>9852</v>
      </c>
      <c r="W62" s="1562" t="s">
        <v>9853</v>
      </c>
      <c r="X62" s="1562" t="s">
        <v>9854</v>
      </c>
      <c r="Y62" s="1562" t="s">
        <v>1168</v>
      </c>
      <c r="Z62" s="1562" t="s">
        <v>4808</v>
      </c>
      <c r="AA62" s="1562" t="s">
        <v>9855</v>
      </c>
      <c r="AB62" s="1562" t="s">
        <v>7352</v>
      </c>
      <c r="AC62" s="1562" t="s">
        <v>9856</v>
      </c>
      <c r="AD62" s="1562" t="s">
        <v>9857</v>
      </c>
      <c r="AE62" s="1489" t="s">
        <v>5444</v>
      </c>
      <c r="AF62" s="1562" t="s">
        <v>9858</v>
      </c>
      <c r="AG62" s="1562" t="s">
        <v>9859</v>
      </c>
      <c r="AH62" s="1562" t="s">
        <v>2210</v>
      </c>
      <c r="AI62" s="1562" t="s">
        <v>5197</v>
      </c>
      <c r="AJ62" s="1562" t="s">
        <v>8221</v>
      </c>
      <c r="AK62" s="1562" t="s">
        <v>1706</v>
      </c>
      <c r="AL62" s="1562" t="s">
        <v>5587</v>
      </c>
      <c r="AM62" s="1562" t="s">
        <v>9860</v>
      </c>
      <c r="AN62" s="1562" t="s">
        <v>9861</v>
      </c>
      <c r="AO62" s="1562" t="s">
        <v>8818</v>
      </c>
      <c r="AP62" s="1562" t="s">
        <v>9862</v>
      </c>
      <c r="AQ62" s="1562" t="s">
        <v>9863</v>
      </c>
      <c r="AR62" s="1562" t="s">
        <v>4795</v>
      </c>
      <c r="AS62" s="1562" t="s">
        <v>3027</v>
      </c>
      <c r="AT62" s="1562" t="s">
        <v>9864</v>
      </c>
      <c r="AU62" s="1562" t="s">
        <v>9865</v>
      </c>
      <c r="AV62" s="1562" t="str">
        <f t="shared" si="1"/>
        <v>3:33</v>
      </c>
      <c r="AW62" s="1566"/>
    </row>
    <row r="63" ht="15.75" customHeight="1">
      <c r="A63" s="1386" t="s">
        <v>4207</v>
      </c>
      <c r="B63" s="1387" t="s">
        <v>8542</v>
      </c>
      <c r="C63" s="1531">
        <v>0.05164351851851852</v>
      </c>
      <c r="D63" s="1202" t="s">
        <v>9866</v>
      </c>
      <c r="E63" s="1562" t="s">
        <v>8717</v>
      </c>
      <c r="F63" s="1562" t="s">
        <v>9867</v>
      </c>
      <c r="G63" s="1562" t="s">
        <v>8603</v>
      </c>
      <c r="H63" s="1562" t="s">
        <v>9868</v>
      </c>
      <c r="I63" s="1562" t="s">
        <v>1294</v>
      </c>
      <c r="J63" s="1562" t="s">
        <v>804</v>
      </c>
      <c r="K63" s="1562" t="s">
        <v>7271</v>
      </c>
      <c r="L63" s="1562" t="s">
        <v>3661</v>
      </c>
      <c r="M63" s="1562" t="s">
        <v>9813</v>
      </c>
      <c r="N63" s="1562" t="s">
        <v>8886</v>
      </c>
      <c r="O63" s="1562" t="s">
        <v>9536</v>
      </c>
      <c r="P63" s="1562" t="s">
        <v>5125</v>
      </c>
      <c r="Q63" s="1562" t="s">
        <v>9869</v>
      </c>
      <c r="R63" s="1562" t="s">
        <v>9870</v>
      </c>
      <c r="S63" s="1562" t="s">
        <v>9871</v>
      </c>
      <c r="T63" s="1562" t="s">
        <v>9872</v>
      </c>
      <c r="U63" s="1562" t="s">
        <v>9873</v>
      </c>
      <c r="V63" s="1562" t="s">
        <v>9874</v>
      </c>
      <c r="W63" s="1562" t="s">
        <v>9875</v>
      </c>
      <c r="X63" s="1562" t="s">
        <v>605</v>
      </c>
      <c r="Y63" s="1562" t="s">
        <v>9876</v>
      </c>
      <c r="Z63" s="1562" t="s">
        <v>7661</v>
      </c>
      <c r="AA63" s="1562" t="s">
        <v>5574</v>
      </c>
      <c r="AB63" s="1562" t="s">
        <v>6517</v>
      </c>
      <c r="AC63" s="1562" t="s">
        <v>6666</v>
      </c>
      <c r="AD63" s="1562" t="s">
        <v>9877</v>
      </c>
      <c r="AE63" s="1562" t="s">
        <v>1844</v>
      </c>
      <c r="AF63" s="1562" t="s">
        <v>9878</v>
      </c>
      <c r="AG63" s="1562" t="s">
        <v>525</v>
      </c>
      <c r="AH63" s="1562" t="s">
        <v>5323</v>
      </c>
      <c r="AI63" s="1562" t="s">
        <v>9879</v>
      </c>
      <c r="AJ63" s="1562" t="s">
        <v>9880</v>
      </c>
      <c r="AK63" s="1562" t="s">
        <v>9881</v>
      </c>
      <c r="AL63" s="1562" t="s">
        <v>5122</v>
      </c>
      <c r="AM63" s="1562" t="s">
        <v>9332</v>
      </c>
      <c r="AN63" s="1562" t="s">
        <v>8975</v>
      </c>
      <c r="AO63" s="1562" t="s">
        <v>8635</v>
      </c>
      <c r="AP63" s="1562" t="s">
        <v>9882</v>
      </c>
      <c r="AQ63" s="1562" t="s">
        <v>9883</v>
      </c>
      <c r="AR63" s="1562" t="s">
        <v>3523</v>
      </c>
      <c r="AS63" s="1562" t="s">
        <v>9884</v>
      </c>
      <c r="AT63" s="1562" t="s">
        <v>9675</v>
      </c>
      <c r="AU63" s="1562" t="s">
        <v>9885</v>
      </c>
      <c r="AV63" s="1562" t="str">
        <f t="shared" si="1"/>
        <v>3:13</v>
      </c>
      <c r="AW63" s="1566" t="s">
        <v>9886</v>
      </c>
    </row>
    <row r="64" ht="15.75" customHeight="1">
      <c r="A64" s="1402" t="s">
        <v>901</v>
      </c>
      <c r="B64" s="1552" t="s">
        <v>8599</v>
      </c>
      <c r="C64" s="1531">
        <v>0.05167824074074074</v>
      </c>
      <c r="D64" s="1202" t="s">
        <v>9887</v>
      </c>
      <c r="E64" s="1562" t="s">
        <v>9888</v>
      </c>
      <c r="F64" s="1562" t="s">
        <v>5761</v>
      </c>
      <c r="G64" s="1562" t="s">
        <v>9889</v>
      </c>
      <c r="H64" s="1562" t="s">
        <v>9890</v>
      </c>
      <c r="I64" s="1562" t="s">
        <v>1833</v>
      </c>
      <c r="J64" s="1562" t="s">
        <v>9751</v>
      </c>
      <c r="K64" s="1562" t="s">
        <v>8866</v>
      </c>
      <c r="L64" s="1562" t="s">
        <v>1892</v>
      </c>
      <c r="M64" s="1562" t="s">
        <v>7383</v>
      </c>
      <c r="N64" s="1562" t="s">
        <v>9891</v>
      </c>
      <c r="O64" s="1562" t="s">
        <v>9892</v>
      </c>
      <c r="P64" s="1562" t="s">
        <v>2406</v>
      </c>
      <c r="Q64" s="1562" t="s">
        <v>719</v>
      </c>
      <c r="R64" s="1562" t="s">
        <v>9893</v>
      </c>
      <c r="S64" s="1562" t="s">
        <v>9894</v>
      </c>
      <c r="T64" s="1562" t="s">
        <v>9895</v>
      </c>
      <c r="U64" s="1562" t="s">
        <v>9490</v>
      </c>
      <c r="V64" s="1562" t="s">
        <v>486</v>
      </c>
      <c r="W64" s="1562" t="s">
        <v>5812</v>
      </c>
      <c r="X64" s="1562" t="s">
        <v>9896</v>
      </c>
      <c r="Y64" s="1562" t="s">
        <v>945</v>
      </c>
      <c r="Z64" s="1562" t="s">
        <v>3957</v>
      </c>
      <c r="AA64" s="1562" t="s">
        <v>1623</v>
      </c>
      <c r="AB64" s="1562" t="s">
        <v>9897</v>
      </c>
      <c r="AC64" s="1562" t="s">
        <v>9898</v>
      </c>
      <c r="AD64" s="1489" t="s">
        <v>9899</v>
      </c>
      <c r="AE64" s="1562" t="s">
        <v>1857</v>
      </c>
      <c r="AF64" s="1562" t="s">
        <v>9374</v>
      </c>
      <c r="AG64" s="1562" t="s">
        <v>6806</v>
      </c>
      <c r="AH64" s="1562" t="s">
        <v>4453</v>
      </c>
      <c r="AI64" s="1562" t="s">
        <v>6270</v>
      </c>
      <c r="AJ64" s="1562" t="s">
        <v>9900</v>
      </c>
      <c r="AK64" s="1562" t="s">
        <v>8676</v>
      </c>
      <c r="AL64" s="1562" t="s">
        <v>5196</v>
      </c>
      <c r="AM64" s="1562" t="s">
        <v>9901</v>
      </c>
      <c r="AN64" s="1562" t="s">
        <v>9902</v>
      </c>
      <c r="AO64" s="1562" t="s">
        <v>9903</v>
      </c>
      <c r="AP64" s="1562" t="s">
        <v>9904</v>
      </c>
      <c r="AQ64" s="1562" t="s">
        <v>9905</v>
      </c>
      <c r="AR64" s="1562" t="s">
        <v>9906</v>
      </c>
      <c r="AS64" s="1562" t="s">
        <v>9907</v>
      </c>
      <c r="AT64" s="1562" t="s">
        <v>9908</v>
      </c>
      <c r="AU64" s="1562" t="s">
        <v>9909</v>
      </c>
      <c r="AV64" s="1562" t="str">
        <f t="shared" si="1"/>
        <v>2:51</v>
      </c>
      <c r="AW64" s="1567"/>
    </row>
    <row r="65" ht="15.75" customHeight="1">
      <c r="A65" s="1435" t="s">
        <v>4622</v>
      </c>
      <c r="B65" s="1465" t="s">
        <v>8573</v>
      </c>
      <c r="C65" s="1531">
        <v>0.05170138888888889</v>
      </c>
      <c r="D65" s="1202" t="s">
        <v>9910</v>
      </c>
      <c r="E65" s="1562" t="s">
        <v>4244</v>
      </c>
      <c r="F65" s="1562" t="s">
        <v>9480</v>
      </c>
      <c r="G65" s="1562" t="s">
        <v>9386</v>
      </c>
      <c r="H65" s="1562" t="s">
        <v>9911</v>
      </c>
      <c r="I65" s="1562" t="s">
        <v>9912</v>
      </c>
      <c r="J65" s="1562" t="s">
        <v>9495</v>
      </c>
      <c r="K65" s="1562" t="s">
        <v>8818</v>
      </c>
      <c r="L65" s="1562" t="s">
        <v>4027</v>
      </c>
      <c r="M65" s="1562" t="s">
        <v>7581</v>
      </c>
      <c r="N65" s="1562" t="s">
        <v>6015</v>
      </c>
      <c r="O65" s="1562" t="s">
        <v>9597</v>
      </c>
      <c r="P65" s="1562" t="s">
        <v>481</v>
      </c>
      <c r="Q65" s="1562" t="s">
        <v>2765</v>
      </c>
      <c r="R65" s="1562" t="s">
        <v>9913</v>
      </c>
      <c r="S65" s="1562" t="s">
        <v>9801</v>
      </c>
      <c r="T65" s="1562" t="s">
        <v>2748</v>
      </c>
      <c r="U65" s="1562" t="s">
        <v>9914</v>
      </c>
      <c r="V65" s="1562" t="s">
        <v>9915</v>
      </c>
      <c r="W65" s="1562" t="s">
        <v>9838</v>
      </c>
      <c r="X65" s="1562" t="s">
        <v>3660</v>
      </c>
      <c r="Y65" s="1562" t="s">
        <v>2385</v>
      </c>
      <c r="Z65" s="1562" t="s">
        <v>489</v>
      </c>
      <c r="AA65" s="1562" t="s">
        <v>626</v>
      </c>
      <c r="AB65" s="1562" t="s">
        <v>9916</v>
      </c>
      <c r="AC65" s="1562" t="s">
        <v>838</v>
      </c>
      <c r="AD65" s="1562" t="s">
        <v>9552</v>
      </c>
      <c r="AE65" s="1562" t="s">
        <v>678</v>
      </c>
      <c r="AF65" s="1562" t="s">
        <v>9917</v>
      </c>
      <c r="AG65" s="1562" t="s">
        <v>9918</v>
      </c>
      <c r="AH65" s="1562" t="s">
        <v>9919</v>
      </c>
      <c r="AI65" s="1562" t="s">
        <v>9920</v>
      </c>
      <c r="AJ65" s="1562" t="s">
        <v>9921</v>
      </c>
      <c r="AK65" s="1562" t="s">
        <v>9499</v>
      </c>
      <c r="AL65" s="1562" t="s">
        <v>9922</v>
      </c>
      <c r="AM65" s="1562" t="s">
        <v>9778</v>
      </c>
      <c r="AN65" s="1562" t="s">
        <v>9923</v>
      </c>
      <c r="AO65" s="1562" t="s">
        <v>9543</v>
      </c>
      <c r="AP65" s="1562" t="s">
        <v>3348</v>
      </c>
      <c r="AQ65" s="1562" t="s">
        <v>9924</v>
      </c>
      <c r="AR65" s="1562" t="s">
        <v>9925</v>
      </c>
      <c r="AS65" s="1562" t="s">
        <v>6428</v>
      </c>
      <c r="AT65" s="1562" t="s">
        <v>9926</v>
      </c>
      <c r="AU65" s="1562" t="s">
        <v>9927</v>
      </c>
      <c r="AV65" s="1562" t="str">
        <f t="shared" si="1"/>
        <v>2:37</v>
      </c>
      <c r="AW65" s="1567" t="s">
        <v>9928</v>
      </c>
    </row>
    <row r="66" ht="15.75" customHeight="1">
      <c r="A66" s="1435" t="s">
        <v>5040</v>
      </c>
      <c r="B66" s="1430" t="s">
        <v>8573</v>
      </c>
      <c r="C66" s="1388">
        <v>0.05171296296296296</v>
      </c>
      <c r="D66" s="1538" t="s">
        <v>9929</v>
      </c>
      <c r="E66" s="1489" t="s">
        <v>9930</v>
      </c>
      <c r="F66" s="1489" t="s">
        <v>1471</v>
      </c>
      <c r="G66" s="1489" t="s">
        <v>9931</v>
      </c>
      <c r="H66" s="1489" t="s">
        <v>9932</v>
      </c>
      <c r="I66" s="1489" t="s">
        <v>9933</v>
      </c>
      <c r="J66" s="1489" t="s">
        <v>888</v>
      </c>
      <c r="K66" s="1489" t="s">
        <v>4874</v>
      </c>
      <c r="L66" s="1489" t="s">
        <v>1882</v>
      </c>
      <c r="M66" s="1568" t="s">
        <v>9934</v>
      </c>
      <c r="N66" s="1489" t="s">
        <v>9935</v>
      </c>
      <c r="O66" s="1489" t="s">
        <v>1782</v>
      </c>
      <c r="P66" s="1489" t="s">
        <v>5025</v>
      </c>
      <c r="Q66" s="1489" t="s">
        <v>2889</v>
      </c>
      <c r="R66" s="1489" t="s">
        <v>9936</v>
      </c>
      <c r="S66" s="1489" t="s">
        <v>8660</v>
      </c>
      <c r="T66" s="1489" t="s">
        <v>9937</v>
      </c>
      <c r="U66" s="1489" t="s">
        <v>9728</v>
      </c>
      <c r="V66" s="1568" t="s">
        <v>9938</v>
      </c>
      <c r="W66" s="1568" t="s">
        <v>9939</v>
      </c>
      <c r="X66" s="1489" t="s">
        <v>9603</v>
      </c>
      <c r="Y66" s="1202" t="s">
        <v>9286</v>
      </c>
      <c r="Z66" s="1489" t="s">
        <v>1525</v>
      </c>
      <c r="AA66" s="1489" t="s">
        <v>1338</v>
      </c>
      <c r="AB66" s="1568" t="s">
        <v>9940</v>
      </c>
      <c r="AC66" s="1489" t="s">
        <v>1844</v>
      </c>
      <c r="AD66" s="1489" t="s">
        <v>9941</v>
      </c>
      <c r="AE66" s="1489" t="s">
        <v>3783</v>
      </c>
      <c r="AF66" s="1489" t="s">
        <v>9942</v>
      </c>
      <c r="AG66" s="1489" t="s">
        <v>525</v>
      </c>
      <c r="AH66" s="1489" t="s">
        <v>9943</v>
      </c>
      <c r="AI66" s="1489" t="s">
        <v>5350</v>
      </c>
      <c r="AJ66" s="1489" t="s">
        <v>9944</v>
      </c>
      <c r="AK66" s="1489" t="s">
        <v>9945</v>
      </c>
      <c r="AL66" s="1489" t="s">
        <v>1663</v>
      </c>
      <c r="AM66" s="1489" t="s">
        <v>9769</v>
      </c>
      <c r="AN66" s="1489" t="s">
        <v>9946</v>
      </c>
      <c r="AO66" s="1489" t="s">
        <v>2722</v>
      </c>
      <c r="AP66" s="1489" t="s">
        <v>2001</v>
      </c>
      <c r="AQ66" s="1489" t="s">
        <v>757</v>
      </c>
      <c r="AR66" s="1489" t="s">
        <v>9570</v>
      </c>
      <c r="AS66" s="1489" t="s">
        <v>7060</v>
      </c>
      <c r="AT66" s="1489" t="s">
        <v>9947</v>
      </c>
      <c r="AU66" s="1489" t="s">
        <v>9948</v>
      </c>
      <c r="AV66" s="1562" t="str">
        <f t="shared" si="1"/>
        <v>4:14</v>
      </c>
      <c r="AW66" s="1563" t="s">
        <v>9949</v>
      </c>
    </row>
    <row r="67" ht="15.75" customHeight="1">
      <c r="A67" s="1435" t="s">
        <v>2145</v>
      </c>
      <c r="B67" s="1548" t="s">
        <v>8573</v>
      </c>
      <c r="C67" s="1388">
        <v>0.05173611111111111</v>
      </c>
      <c r="D67" s="1202" t="s">
        <v>9950</v>
      </c>
      <c r="E67" s="1489" t="s">
        <v>9951</v>
      </c>
      <c r="F67" s="1489" t="s">
        <v>9952</v>
      </c>
      <c r="G67" s="1489" t="s">
        <v>9953</v>
      </c>
      <c r="H67" s="1489" t="s">
        <v>7516</v>
      </c>
      <c r="I67" s="1489" t="s">
        <v>494</v>
      </c>
      <c r="J67" s="1489" t="s">
        <v>8957</v>
      </c>
      <c r="K67" s="1489" t="s">
        <v>9954</v>
      </c>
      <c r="L67" s="1489" t="s">
        <v>7139</v>
      </c>
      <c r="M67" s="1489" t="s">
        <v>3540</v>
      </c>
      <c r="N67" s="1489" t="s">
        <v>9955</v>
      </c>
      <c r="O67" s="1489" t="s">
        <v>9956</v>
      </c>
      <c r="P67" s="1489" t="s">
        <v>3714</v>
      </c>
      <c r="Q67" s="1489" t="s">
        <v>9957</v>
      </c>
      <c r="R67" s="1489" t="s">
        <v>9893</v>
      </c>
      <c r="S67" s="1489" t="s">
        <v>5512</v>
      </c>
      <c r="T67" s="1489" t="s">
        <v>9958</v>
      </c>
      <c r="U67" s="1489" t="s">
        <v>9959</v>
      </c>
      <c r="V67" s="1489" t="s">
        <v>357</v>
      </c>
      <c r="W67" s="1489" t="s">
        <v>5578</v>
      </c>
      <c r="X67" s="1489" t="s">
        <v>9796</v>
      </c>
      <c r="Y67" s="1489" t="s">
        <v>1168</v>
      </c>
      <c r="Z67" s="1489" t="s">
        <v>9960</v>
      </c>
      <c r="AA67" s="1489" t="s">
        <v>5755</v>
      </c>
      <c r="AB67" s="1489" t="s">
        <v>6515</v>
      </c>
      <c r="AC67" s="1489" t="s">
        <v>160</v>
      </c>
      <c r="AD67" s="1489" t="s">
        <v>9821</v>
      </c>
      <c r="AE67" s="1489" t="s">
        <v>6934</v>
      </c>
      <c r="AF67" s="1489" t="s">
        <v>9272</v>
      </c>
      <c r="AG67" s="1489" t="s">
        <v>9961</v>
      </c>
      <c r="AH67" s="1489" t="s">
        <v>9962</v>
      </c>
      <c r="AI67" s="1489" t="s">
        <v>9963</v>
      </c>
      <c r="AJ67" s="1489" t="s">
        <v>9964</v>
      </c>
      <c r="AK67" s="1489" t="s">
        <v>8897</v>
      </c>
      <c r="AL67" s="1489" t="s">
        <v>9965</v>
      </c>
      <c r="AM67" s="1489" t="s">
        <v>2853</v>
      </c>
      <c r="AN67" s="1489" t="s">
        <v>5122</v>
      </c>
      <c r="AO67" s="1489" t="s">
        <v>9721</v>
      </c>
      <c r="AP67" s="1489" t="s">
        <v>9966</v>
      </c>
      <c r="AQ67" s="1489" t="s">
        <v>9967</v>
      </c>
      <c r="AR67" s="1489" t="s">
        <v>194</v>
      </c>
      <c r="AS67" s="1489" t="s">
        <v>9968</v>
      </c>
      <c r="AT67" s="1489" t="s">
        <v>9969</v>
      </c>
      <c r="AU67" s="1489" t="s">
        <v>9970</v>
      </c>
      <c r="AV67" s="1562" t="str">
        <f t="shared" si="1"/>
        <v>3:51</v>
      </c>
      <c r="AW67" s="1563" t="s">
        <v>9971</v>
      </c>
    </row>
    <row r="68" ht="15.75" customHeight="1">
      <c r="A68" s="1435" t="s">
        <v>7923</v>
      </c>
      <c r="B68" s="1433" t="s">
        <v>8599</v>
      </c>
      <c r="C68" s="1388">
        <v>0.051805555555555556</v>
      </c>
      <c r="D68" s="1489" t="s">
        <v>9972</v>
      </c>
      <c r="E68" s="1489" t="s">
        <v>9973</v>
      </c>
      <c r="F68" s="1202" t="s">
        <v>9974</v>
      </c>
      <c r="G68" s="1489" t="s">
        <v>9975</v>
      </c>
      <c r="H68" s="1407" t="s">
        <v>9976</v>
      </c>
      <c r="I68" s="1407">
        <v>49.81</v>
      </c>
      <c r="J68" s="1407" t="s">
        <v>9977</v>
      </c>
      <c r="K68" s="1407" t="s">
        <v>6156</v>
      </c>
      <c r="L68" s="1407">
        <v>59.57</v>
      </c>
      <c r="M68" s="1407" t="s">
        <v>9978</v>
      </c>
      <c r="N68" s="1407" t="s">
        <v>9979</v>
      </c>
      <c r="O68" s="1406" t="s">
        <v>7437</v>
      </c>
      <c r="P68" s="1406" t="s">
        <v>9980</v>
      </c>
      <c r="Q68" s="1406" t="s">
        <v>9981</v>
      </c>
      <c r="R68" s="1407" t="s">
        <v>9982</v>
      </c>
      <c r="S68" s="1407" t="s">
        <v>9613</v>
      </c>
      <c r="T68" s="1407" t="s">
        <v>9983</v>
      </c>
      <c r="U68" s="1407" t="s">
        <v>9984</v>
      </c>
      <c r="V68" s="1407" t="s">
        <v>4358</v>
      </c>
      <c r="W68" s="1407" t="s">
        <v>9985</v>
      </c>
      <c r="X68" s="1407" t="s">
        <v>9986</v>
      </c>
      <c r="Y68" s="1406" t="s">
        <v>9500</v>
      </c>
      <c r="Z68" s="1569" t="s">
        <v>8616</v>
      </c>
      <c r="AA68" s="1407" t="s">
        <v>197</v>
      </c>
      <c r="AB68" s="1406" t="s">
        <v>4262</v>
      </c>
      <c r="AC68" s="1407">
        <v>49.53</v>
      </c>
      <c r="AD68" s="1407" t="s">
        <v>1931</v>
      </c>
      <c r="AE68" s="1406" t="s">
        <v>9987</v>
      </c>
      <c r="AF68" s="1407" t="s">
        <v>8778</v>
      </c>
      <c r="AG68" s="1407" t="s">
        <v>9988</v>
      </c>
      <c r="AH68" s="1407">
        <v>59.93</v>
      </c>
      <c r="AI68" s="1407" t="s">
        <v>9989</v>
      </c>
      <c r="AJ68" s="1407" t="s">
        <v>9990</v>
      </c>
      <c r="AK68" s="1407" t="s">
        <v>5801</v>
      </c>
      <c r="AL68" s="1407">
        <v>59.13</v>
      </c>
      <c r="AM68" s="1407" t="s">
        <v>9925</v>
      </c>
      <c r="AN68" s="1407">
        <v>57.86</v>
      </c>
      <c r="AO68" s="1407" t="s">
        <v>7734</v>
      </c>
      <c r="AP68" s="1407" t="s">
        <v>9991</v>
      </c>
      <c r="AQ68" s="1407" t="s">
        <v>9506</v>
      </c>
      <c r="AR68" s="1407" t="s">
        <v>6097</v>
      </c>
      <c r="AS68" s="1407">
        <v>47.67</v>
      </c>
      <c r="AT68" s="1489" t="s">
        <v>9992</v>
      </c>
      <c r="AU68" s="1489" t="s">
        <v>9993</v>
      </c>
      <c r="AV68" s="1562" t="str">
        <f t="shared" si="1"/>
        <v>2:57</v>
      </c>
      <c r="AW68" s="1570" t="s">
        <v>9994</v>
      </c>
    </row>
    <row r="69">
      <c r="A69" s="1571" t="s">
        <v>1260</v>
      </c>
      <c r="B69" s="1430" t="s">
        <v>8573</v>
      </c>
      <c r="C69" s="1572">
        <v>0.05181712962962963</v>
      </c>
      <c r="D69" s="1390" t="s">
        <v>9995</v>
      </c>
      <c r="E69" s="1522" t="s">
        <v>6587</v>
      </c>
      <c r="F69" s="1390" t="s">
        <v>9996</v>
      </c>
      <c r="G69" s="1390" t="s">
        <v>9997</v>
      </c>
      <c r="H69" s="1390" t="s">
        <v>9998</v>
      </c>
      <c r="I69" s="1390" t="s">
        <v>4983</v>
      </c>
      <c r="J69" s="1390" t="s">
        <v>8941</v>
      </c>
      <c r="K69" s="1522" t="s">
        <v>9037</v>
      </c>
      <c r="L69" s="1390" t="s">
        <v>9962</v>
      </c>
      <c r="M69" s="1390" t="s">
        <v>1456</v>
      </c>
      <c r="N69" s="1522" t="s">
        <v>9468</v>
      </c>
      <c r="O69" s="1390" t="s">
        <v>7489</v>
      </c>
      <c r="P69" s="1390" t="s">
        <v>9034</v>
      </c>
      <c r="Q69" s="1390" t="s">
        <v>9999</v>
      </c>
      <c r="R69" s="1390" t="s">
        <v>2890</v>
      </c>
      <c r="S69" s="1522" t="s">
        <v>4881</v>
      </c>
      <c r="T69" s="1390" t="s">
        <v>10000</v>
      </c>
      <c r="U69" s="1522" t="s">
        <v>10001</v>
      </c>
      <c r="V69" s="1390" t="s">
        <v>9915</v>
      </c>
      <c r="W69" s="1390" t="s">
        <v>10002</v>
      </c>
      <c r="X69" s="1390" t="s">
        <v>9560</v>
      </c>
      <c r="Y69" s="1390" t="s">
        <v>10003</v>
      </c>
      <c r="Z69" s="1522" t="s">
        <v>6251</v>
      </c>
      <c r="AA69" s="1390" t="s">
        <v>962</v>
      </c>
      <c r="AB69" s="1390" t="s">
        <v>10004</v>
      </c>
      <c r="AC69" s="1390" t="s">
        <v>2092</v>
      </c>
      <c r="AD69" s="1390" t="s">
        <v>10005</v>
      </c>
      <c r="AE69" s="1390" t="s">
        <v>2243</v>
      </c>
      <c r="AF69" s="1390" t="s">
        <v>9675</v>
      </c>
      <c r="AG69" s="1390" t="s">
        <v>398</v>
      </c>
      <c r="AH69" s="1390" t="s">
        <v>10006</v>
      </c>
      <c r="AI69" s="1390" t="s">
        <v>243</v>
      </c>
      <c r="AJ69" s="1522" t="s">
        <v>10007</v>
      </c>
      <c r="AK69" s="1390" t="s">
        <v>9276</v>
      </c>
      <c r="AL69" s="1390" t="s">
        <v>4713</v>
      </c>
      <c r="AM69" s="1390" t="s">
        <v>10008</v>
      </c>
      <c r="AN69" s="1390" t="s">
        <v>9326</v>
      </c>
      <c r="AO69" s="1390" t="s">
        <v>10009</v>
      </c>
      <c r="AP69" s="1522" t="s">
        <v>10010</v>
      </c>
      <c r="AQ69" s="1390" t="s">
        <v>10011</v>
      </c>
      <c r="AR69" s="1390" t="s">
        <v>10012</v>
      </c>
      <c r="AS69" s="1522" t="s">
        <v>350</v>
      </c>
      <c r="AT69" s="1390" t="s">
        <v>10013</v>
      </c>
      <c r="AU69" s="1400" t="s">
        <v>10014</v>
      </c>
      <c r="AV69" s="1476" t="str">
        <f t="shared" si="1"/>
        <v>3:49</v>
      </c>
      <c r="AW69" s="1573" t="s">
        <v>10015</v>
      </c>
    </row>
    <row r="70" ht="15.75" customHeight="1">
      <c r="A70" s="1386" t="s">
        <v>3118</v>
      </c>
      <c r="B70" s="1465" t="s">
        <v>8573</v>
      </c>
      <c r="C70" s="1531">
        <v>0.051863425925925924</v>
      </c>
      <c r="D70" s="1202" t="s">
        <v>10016</v>
      </c>
      <c r="E70" s="1562" t="s">
        <v>6407</v>
      </c>
      <c r="F70" s="1562" t="s">
        <v>10017</v>
      </c>
      <c r="G70" s="1562" t="s">
        <v>10018</v>
      </c>
      <c r="H70" s="1562" t="s">
        <v>7258</v>
      </c>
      <c r="I70" s="1562" t="s">
        <v>2024</v>
      </c>
      <c r="J70" s="1562" t="s">
        <v>1760</v>
      </c>
      <c r="K70" s="1562" t="s">
        <v>1596</v>
      </c>
      <c r="L70" s="1562" t="s">
        <v>3126</v>
      </c>
      <c r="M70" s="1562" t="s">
        <v>9790</v>
      </c>
      <c r="N70" s="1562" t="s">
        <v>5065</v>
      </c>
      <c r="O70" s="1562" t="s">
        <v>10019</v>
      </c>
      <c r="P70" s="1562" t="s">
        <v>1236</v>
      </c>
      <c r="Q70" s="1562" t="s">
        <v>10020</v>
      </c>
      <c r="R70" s="1562" t="s">
        <v>10021</v>
      </c>
      <c r="S70" s="1562" t="s">
        <v>10022</v>
      </c>
      <c r="T70" s="1562" t="s">
        <v>10023</v>
      </c>
      <c r="U70" s="1562" t="s">
        <v>10024</v>
      </c>
      <c r="V70" s="1562" t="s">
        <v>9579</v>
      </c>
      <c r="W70" s="1562" t="s">
        <v>10025</v>
      </c>
      <c r="X70" s="1562" t="s">
        <v>9920</v>
      </c>
      <c r="Y70" s="1562" t="s">
        <v>3297</v>
      </c>
      <c r="Z70" s="1562" t="s">
        <v>10026</v>
      </c>
      <c r="AA70" s="1562" t="s">
        <v>10027</v>
      </c>
      <c r="AB70" s="1562" t="s">
        <v>8442</v>
      </c>
      <c r="AC70" s="1562" t="s">
        <v>838</v>
      </c>
      <c r="AD70" s="1562" t="s">
        <v>10028</v>
      </c>
      <c r="AE70" s="1562" t="s">
        <v>1186</v>
      </c>
      <c r="AF70" s="1562" t="s">
        <v>10029</v>
      </c>
      <c r="AG70" s="1562" t="s">
        <v>10030</v>
      </c>
      <c r="AH70" s="1562" t="s">
        <v>5361</v>
      </c>
      <c r="AI70" s="1562" t="s">
        <v>9963</v>
      </c>
      <c r="AJ70" s="1562" t="s">
        <v>10031</v>
      </c>
      <c r="AK70" s="1562" t="s">
        <v>1837</v>
      </c>
      <c r="AL70" s="1562" t="s">
        <v>10006</v>
      </c>
      <c r="AM70" s="1562" t="s">
        <v>10032</v>
      </c>
      <c r="AN70" s="1562" t="s">
        <v>9488</v>
      </c>
      <c r="AO70" s="1562" t="s">
        <v>8772</v>
      </c>
      <c r="AP70" s="1562" t="s">
        <v>10033</v>
      </c>
      <c r="AQ70" s="1562" t="s">
        <v>10034</v>
      </c>
      <c r="AR70" s="1562" t="s">
        <v>2185</v>
      </c>
      <c r="AS70" s="1562" t="s">
        <v>4787</v>
      </c>
      <c r="AT70" s="1562" t="s">
        <v>10035</v>
      </c>
      <c r="AU70" s="1562" t="s">
        <v>10036</v>
      </c>
      <c r="AV70" s="1562" t="str">
        <f t="shared" si="1"/>
        <v>2:06</v>
      </c>
      <c r="AW70" s="1563" t="s">
        <v>10037</v>
      </c>
    </row>
    <row r="71" ht="15.75" customHeight="1">
      <c r="A71" s="1386" t="s">
        <v>1130</v>
      </c>
      <c r="B71" s="1387" t="s">
        <v>8542</v>
      </c>
      <c r="C71" s="1531">
        <v>0.051875</v>
      </c>
      <c r="D71" s="1202" t="s">
        <v>10038</v>
      </c>
      <c r="E71" s="1562" t="s">
        <v>3228</v>
      </c>
      <c r="F71" s="1562" t="s">
        <v>10039</v>
      </c>
      <c r="G71" s="1562" t="s">
        <v>10040</v>
      </c>
      <c r="H71" s="1562" t="s">
        <v>10041</v>
      </c>
      <c r="I71" s="1562" t="s">
        <v>10042</v>
      </c>
      <c r="J71" s="1562" t="s">
        <v>2520</v>
      </c>
      <c r="K71" s="1562" t="s">
        <v>10043</v>
      </c>
      <c r="L71" s="1562" t="s">
        <v>8793</v>
      </c>
      <c r="M71" s="1562" t="s">
        <v>7599</v>
      </c>
      <c r="N71" s="1562" t="s">
        <v>9040</v>
      </c>
      <c r="O71" s="1562" t="s">
        <v>4467</v>
      </c>
      <c r="P71" s="1562" t="s">
        <v>1530</v>
      </c>
      <c r="Q71" s="1562" t="s">
        <v>10044</v>
      </c>
      <c r="R71" s="1562" t="s">
        <v>8632</v>
      </c>
      <c r="S71" s="1562" t="s">
        <v>4432</v>
      </c>
      <c r="T71" s="1562" t="s">
        <v>10045</v>
      </c>
      <c r="U71" s="1562" t="s">
        <v>9836</v>
      </c>
      <c r="V71" s="1562" t="s">
        <v>6424</v>
      </c>
      <c r="W71" s="1562" t="s">
        <v>4467</v>
      </c>
      <c r="X71" s="1562" t="s">
        <v>9468</v>
      </c>
      <c r="Y71" s="1562" t="s">
        <v>9502</v>
      </c>
      <c r="Z71" s="1562" t="s">
        <v>10046</v>
      </c>
      <c r="AA71" s="1562" t="s">
        <v>417</v>
      </c>
      <c r="AB71" s="1562" t="s">
        <v>620</v>
      </c>
      <c r="AC71" s="1562" t="s">
        <v>10047</v>
      </c>
      <c r="AD71" s="1562" t="s">
        <v>9877</v>
      </c>
      <c r="AE71" s="1562" t="s">
        <v>849</v>
      </c>
      <c r="AF71" s="1562" t="s">
        <v>10048</v>
      </c>
      <c r="AG71" s="1562" t="s">
        <v>10049</v>
      </c>
      <c r="AH71" s="1562" t="s">
        <v>9788</v>
      </c>
      <c r="AI71" s="1562" t="s">
        <v>10050</v>
      </c>
      <c r="AJ71" s="1562" t="s">
        <v>10051</v>
      </c>
      <c r="AK71" s="1562" t="s">
        <v>10052</v>
      </c>
      <c r="AL71" s="1562" t="s">
        <v>5577</v>
      </c>
      <c r="AM71" s="1562" t="s">
        <v>10053</v>
      </c>
      <c r="AN71" s="1562" t="s">
        <v>6219</v>
      </c>
      <c r="AO71" s="1489" t="s">
        <v>9637</v>
      </c>
      <c r="AP71" s="1562" t="s">
        <v>10054</v>
      </c>
      <c r="AQ71" s="1562" t="s">
        <v>10055</v>
      </c>
      <c r="AR71" s="1562" t="s">
        <v>9314</v>
      </c>
      <c r="AS71" s="1562" t="s">
        <v>9380</v>
      </c>
      <c r="AT71" s="1562" t="s">
        <v>10056</v>
      </c>
      <c r="AU71" s="1489" t="s">
        <v>10057</v>
      </c>
      <c r="AV71" s="1562" t="str">
        <f t="shared" si="1"/>
        <v>0:37</v>
      </c>
      <c r="AW71" s="1567" t="s">
        <v>10058</v>
      </c>
    </row>
    <row r="72">
      <c r="A72" s="1435" t="s">
        <v>7893</v>
      </c>
      <c r="B72" s="1430" t="s">
        <v>8542</v>
      </c>
      <c r="C72" s="1388">
        <v>0.05188657407407407</v>
      </c>
      <c r="D72" s="1489" t="s">
        <v>10059</v>
      </c>
      <c r="E72" s="1202" t="s">
        <v>938</v>
      </c>
      <c r="F72" s="1202" t="s">
        <v>10060</v>
      </c>
      <c r="G72" s="1202" t="s">
        <v>10061</v>
      </c>
      <c r="H72" s="1202" t="s">
        <v>10062</v>
      </c>
      <c r="I72" s="1202" t="s">
        <v>678</v>
      </c>
      <c r="J72" s="1202" t="s">
        <v>4129</v>
      </c>
      <c r="K72" s="1202" t="s">
        <v>9287</v>
      </c>
      <c r="L72" s="1202" t="s">
        <v>2701</v>
      </c>
      <c r="M72" s="1202" t="s">
        <v>10063</v>
      </c>
      <c r="N72" s="1202" t="s">
        <v>4005</v>
      </c>
      <c r="O72" s="1202" t="s">
        <v>10064</v>
      </c>
      <c r="P72" s="1202" t="s">
        <v>5126</v>
      </c>
      <c r="Q72" s="1202" t="s">
        <v>10065</v>
      </c>
      <c r="R72" s="1202" t="s">
        <v>5495</v>
      </c>
      <c r="S72" s="1202" t="s">
        <v>10066</v>
      </c>
      <c r="T72" s="1202" t="s">
        <v>8621</v>
      </c>
      <c r="U72" s="1202" t="s">
        <v>10067</v>
      </c>
      <c r="V72" s="1202" t="s">
        <v>5404</v>
      </c>
      <c r="W72" s="1202" t="s">
        <v>10068</v>
      </c>
      <c r="X72" s="1202" t="s">
        <v>10069</v>
      </c>
      <c r="Y72" s="1202" t="s">
        <v>10070</v>
      </c>
      <c r="Z72" s="1202" t="s">
        <v>9298</v>
      </c>
      <c r="AA72" s="1202" t="s">
        <v>5084</v>
      </c>
      <c r="AB72" s="1202" t="s">
        <v>687</v>
      </c>
      <c r="AC72" s="1202" t="s">
        <v>10071</v>
      </c>
      <c r="AD72" s="1202" t="s">
        <v>2937</v>
      </c>
      <c r="AE72" s="1202" t="s">
        <v>5740</v>
      </c>
      <c r="AF72" s="1202" t="s">
        <v>10072</v>
      </c>
      <c r="AG72" s="1202" t="s">
        <v>2436</v>
      </c>
      <c r="AH72" s="1202" t="s">
        <v>2701</v>
      </c>
      <c r="AI72" s="1202" t="s">
        <v>196</v>
      </c>
      <c r="AJ72" s="1202" t="s">
        <v>10073</v>
      </c>
      <c r="AK72" s="1202" t="s">
        <v>9305</v>
      </c>
      <c r="AL72" s="1202" t="s">
        <v>9750</v>
      </c>
      <c r="AM72" s="1202" t="s">
        <v>9274</v>
      </c>
      <c r="AN72" s="1202" t="s">
        <v>3534</v>
      </c>
      <c r="AO72" s="1202" t="s">
        <v>8766</v>
      </c>
      <c r="AP72" s="1202" t="s">
        <v>9701</v>
      </c>
      <c r="AQ72" s="1202" t="s">
        <v>10055</v>
      </c>
      <c r="AR72" s="1202" t="s">
        <v>10074</v>
      </c>
      <c r="AS72" s="1202" t="s">
        <v>6428</v>
      </c>
      <c r="AT72" s="1202" t="s">
        <v>8837</v>
      </c>
      <c r="AU72" s="1489" t="s">
        <v>10075</v>
      </c>
      <c r="AV72" s="1562" t="str">
        <f t="shared" si="1"/>
        <v>4:21</v>
      </c>
      <c r="AW72" s="1563" t="s">
        <v>10076</v>
      </c>
    </row>
    <row r="73">
      <c r="A73" s="1435" t="s">
        <v>8487</v>
      </c>
      <c r="B73" s="1433" t="s">
        <v>8542</v>
      </c>
      <c r="C73" s="1388">
        <v>0.05193287037037037</v>
      </c>
      <c r="D73" s="1538" t="s">
        <v>10077</v>
      </c>
      <c r="E73" s="1489" t="s">
        <v>7627</v>
      </c>
      <c r="F73" s="1489" t="s">
        <v>10078</v>
      </c>
      <c r="G73" s="1489" t="s">
        <v>10079</v>
      </c>
      <c r="H73" s="1489" t="s">
        <v>10080</v>
      </c>
      <c r="I73" s="1489" t="s">
        <v>2406</v>
      </c>
      <c r="J73" s="1489" t="s">
        <v>4227</v>
      </c>
      <c r="K73" s="1489" t="s">
        <v>9227</v>
      </c>
      <c r="L73" s="1489"/>
      <c r="M73" s="1489" t="s">
        <v>7277</v>
      </c>
      <c r="N73" s="1489" t="s">
        <v>4643</v>
      </c>
      <c r="O73" s="1489" t="s">
        <v>8614</v>
      </c>
      <c r="P73" s="1489" t="s">
        <v>9694</v>
      </c>
      <c r="Q73" s="1489" t="s">
        <v>10081</v>
      </c>
      <c r="R73" s="1489" t="s">
        <v>10082</v>
      </c>
      <c r="S73" s="1489" t="s">
        <v>8923</v>
      </c>
      <c r="T73" s="1489" t="s">
        <v>9243</v>
      </c>
      <c r="U73" s="1489" t="s">
        <v>2265</v>
      </c>
      <c r="V73" s="1489" t="s">
        <v>9079</v>
      </c>
      <c r="W73" s="1489" t="s">
        <v>5806</v>
      </c>
      <c r="X73" s="1489" t="s">
        <v>626</v>
      </c>
      <c r="Y73" s="1489" t="s">
        <v>9020</v>
      </c>
      <c r="Z73" s="1489" t="s">
        <v>8643</v>
      </c>
      <c r="AA73" s="1489" t="s">
        <v>7747</v>
      </c>
      <c r="AB73" s="1489" t="s">
        <v>9702</v>
      </c>
      <c r="AC73" s="1489" t="s">
        <v>3002</v>
      </c>
      <c r="AD73" s="1489" t="s">
        <v>10083</v>
      </c>
      <c r="AE73" s="1489" t="s">
        <v>10084</v>
      </c>
      <c r="AF73" s="1489" t="s">
        <v>10085</v>
      </c>
      <c r="AG73" s="1489" t="s">
        <v>9840</v>
      </c>
      <c r="AH73" s="1489" t="s">
        <v>10086</v>
      </c>
      <c r="AI73" s="1489" t="s">
        <v>10087</v>
      </c>
      <c r="AJ73" s="1489" t="s">
        <v>10088</v>
      </c>
      <c r="AK73" s="1489" t="s">
        <v>10089</v>
      </c>
      <c r="AL73" s="1489" t="s">
        <v>3292</v>
      </c>
      <c r="AM73" s="1489" t="s">
        <v>10090</v>
      </c>
      <c r="AN73" s="1489" t="s">
        <v>3545</v>
      </c>
      <c r="AO73" s="1489" t="s">
        <v>10091</v>
      </c>
      <c r="AP73" s="1489" t="s">
        <v>10092</v>
      </c>
      <c r="AQ73" s="1489" t="s">
        <v>10093</v>
      </c>
      <c r="AR73" s="1489" t="s">
        <v>10094</v>
      </c>
      <c r="AS73" s="1489" t="s">
        <v>3756</v>
      </c>
      <c r="AT73" s="1489" t="s">
        <v>10095</v>
      </c>
      <c r="AU73" s="1489" t="s">
        <v>10096</v>
      </c>
      <c r="AV73" s="1562" t="str">
        <f t="shared" si="1"/>
        <v>4:12</v>
      </c>
      <c r="AW73" s="1567"/>
    </row>
    <row r="74">
      <c r="A74" s="1435" t="s">
        <v>2919</v>
      </c>
      <c r="B74" s="1430" t="s">
        <v>8542</v>
      </c>
      <c r="C74" s="1388">
        <v>0.05196759259259259</v>
      </c>
      <c r="D74" s="1202" t="s">
        <v>10097</v>
      </c>
      <c r="E74" s="1489" t="s">
        <v>10098</v>
      </c>
      <c r="F74" s="1489" t="s">
        <v>1393</v>
      </c>
      <c r="G74" s="1489" t="s">
        <v>10099</v>
      </c>
      <c r="H74" s="1202" t="s">
        <v>10100</v>
      </c>
      <c r="I74" s="1489" t="s">
        <v>9811</v>
      </c>
      <c r="J74" s="1489" t="s">
        <v>4004</v>
      </c>
      <c r="K74" s="1489" t="s">
        <v>9430</v>
      </c>
      <c r="L74" s="1489" t="s">
        <v>4889</v>
      </c>
      <c r="M74" s="1489" t="s">
        <v>3308</v>
      </c>
      <c r="N74" s="1489" t="s">
        <v>4649</v>
      </c>
      <c r="O74" s="1489" t="s">
        <v>10101</v>
      </c>
      <c r="P74" s="1489" t="s">
        <v>6698</v>
      </c>
      <c r="Q74" s="1489" t="s">
        <v>10102</v>
      </c>
      <c r="R74" s="1489" t="s">
        <v>3308</v>
      </c>
      <c r="S74" s="1397" t="s">
        <v>2071</v>
      </c>
      <c r="T74" s="1489" t="s">
        <v>9674</v>
      </c>
      <c r="U74" s="1489" t="s">
        <v>9836</v>
      </c>
      <c r="V74" s="1489" t="s">
        <v>9241</v>
      </c>
      <c r="W74" s="1489" t="s">
        <v>10103</v>
      </c>
      <c r="X74" s="1489" t="s">
        <v>9855</v>
      </c>
      <c r="Y74" s="1489" t="s">
        <v>594</v>
      </c>
      <c r="Z74" s="1489" t="s">
        <v>8842</v>
      </c>
      <c r="AA74" s="1489" t="s">
        <v>9332</v>
      </c>
      <c r="AB74" s="1489" t="s">
        <v>489</v>
      </c>
      <c r="AC74" s="1489" t="s">
        <v>1073</v>
      </c>
      <c r="AD74" s="1489" t="s">
        <v>8555</v>
      </c>
      <c r="AE74" s="1489" t="s">
        <v>9004</v>
      </c>
      <c r="AF74" s="1489" t="s">
        <v>10104</v>
      </c>
      <c r="AG74" s="1489" t="s">
        <v>2950</v>
      </c>
      <c r="AH74" s="1489" t="s">
        <v>4979</v>
      </c>
      <c r="AI74" s="1489" t="s">
        <v>6123</v>
      </c>
      <c r="AJ74" s="1489" t="s">
        <v>10105</v>
      </c>
      <c r="AK74" s="1489" t="s">
        <v>459</v>
      </c>
      <c r="AL74" s="1489" t="s">
        <v>2214</v>
      </c>
      <c r="AM74" s="1489" t="s">
        <v>3781</v>
      </c>
      <c r="AN74" s="1489" t="s">
        <v>652</v>
      </c>
      <c r="AO74" s="1489" t="s">
        <v>10106</v>
      </c>
      <c r="AP74" s="1489" t="s">
        <v>10102</v>
      </c>
      <c r="AQ74" s="1489" t="s">
        <v>10107</v>
      </c>
      <c r="AR74" s="1489" t="s">
        <v>4004</v>
      </c>
      <c r="AS74" s="1489" t="s">
        <v>978</v>
      </c>
      <c r="AT74" s="1489" t="s">
        <v>10108</v>
      </c>
      <c r="AU74" s="1489" t="s">
        <v>10109</v>
      </c>
      <c r="AV74" s="1489" t="s">
        <v>8426</v>
      </c>
      <c r="AW74" s="1570" t="s">
        <v>10110</v>
      </c>
    </row>
    <row r="75" ht="15.75" customHeight="1">
      <c r="A75" s="1490" t="s">
        <v>10111</v>
      </c>
      <c r="B75" s="1387" t="s">
        <v>8542</v>
      </c>
      <c r="C75" s="1531">
        <v>0.05199074074074074</v>
      </c>
      <c r="D75" s="1202" t="s">
        <v>10112</v>
      </c>
      <c r="E75" s="1562" t="s">
        <v>10113</v>
      </c>
      <c r="F75" s="1562" t="s">
        <v>10114</v>
      </c>
      <c r="G75" s="1562" t="s">
        <v>10115</v>
      </c>
      <c r="H75" s="1562" t="s">
        <v>7543</v>
      </c>
      <c r="I75" s="1562" t="s">
        <v>9651</v>
      </c>
      <c r="J75" s="1562" t="s">
        <v>10116</v>
      </c>
      <c r="K75" s="1562" t="s">
        <v>10117</v>
      </c>
      <c r="L75" s="1562" t="s">
        <v>3126</v>
      </c>
      <c r="M75" s="1562" t="s">
        <v>10118</v>
      </c>
      <c r="N75" s="1562" t="s">
        <v>9376</v>
      </c>
      <c r="O75" s="1562" t="s">
        <v>10119</v>
      </c>
      <c r="P75" s="1562" t="s">
        <v>2376</v>
      </c>
      <c r="Q75" s="1562" t="s">
        <v>5043</v>
      </c>
      <c r="R75" s="1562" t="s">
        <v>5245</v>
      </c>
      <c r="S75" s="1562" t="s">
        <v>10120</v>
      </c>
      <c r="T75" s="1562" t="s">
        <v>5691</v>
      </c>
      <c r="U75" s="1562" t="s">
        <v>10121</v>
      </c>
      <c r="V75" s="1562" t="s">
        <v>6424</v>
      </c>
      <c r="W75" s="1562" t="s">
        <v>7901</v>
      </c>
      <c r="X75" s="1562" t="s">
        <v>10122</v>
      </c>
      <c r="Y75" s="1562" t="s">
        <v>2092</v>
      </c>
      <c r="Z75" s="1562" t="s">
        <v>10123</v>
      </c>
      <c r="AA75" s="1562" t="s">
        <v>9793</v>
      </c>
      <c r="AB75" s="1562" t="s">
        <v>10124</v>
      </c>
      <c r="AC75" s="1562" t="s">
        <v>8620</v>
      </c>
      <c r="AD75" s="1562" t="s">
        <v>10125</v>
      </c>
      <c r="AE75" s="1562" t="s">
        <v>6666</v>
      </c>
      <c r="AF75" s="1562" t="s">
        <v>10126</v>
      </c>
      <c r="AG75" s="1562" t="s">
        <v>10052</v>
      </c>
      <c r="AH75" s="1562" t="s">
        <v>10127</v>
      </c>
      <c r="AI75" s="1562" t="s">
        <v>10128</v>
      </c>
      <c r="AJ75" s="1562" t="s">
        <v>10129</v>
      </c>
      <c r="AK75" s="1562" t="s">
        <v>809</v>
      </c>
      <c r="AL75" s="1562" t="s">
        <v>3360</v>
      </c>
      <c r="AM75" s="1562" t="s">
        <v>9564</v>
      </c>
      <c r="AN75" s="1562" t="s">
        <v>10130</v>
      </c>
      <c r="AO75" s="1489" t="s">
        <v>7503</v>
      </c>
      <c r="AP75" s="1489" t="s">
        <v>10131</v>
      </c>
      <c r="AQ75" s="1562" t="s">
        <v>5285</v>
      </c>
      <c r="AR75" s="1562" t="s">
        <v>10132</v>
      </c>
      <c r="AS75" s="1562" t="s">
        <v>1091</v>
      </c>
      <c r="AT75" s="1562" t="s">
        <v>9695</v>
      </c>
      <c r="AU75" s="1565" t="str">
        <f>HYPERLINK("https://splits.io/m3t","1:18:40")</f>
        <v>1:18:40</v>
      </c>
      <c r="AV75" s="1562" t="str">
        <f t="shared" ref="AV75:AV78" si="2">TEXT(AU75-C75,"m:ss")</f>
        <v>3:48</v>
      </c>
      <c r="AW75" s="1566" t="s">
        <v>10133</v>
      </c>
    </row>
    <row r="76" ht="15.75" customHeight="1">
      <c r="A76" s="1490" t="s">
        <v>10134</v>
      </c>
      <c r="B76" s="1387" t="s">
        <v>8542</v>
      </c>
      <c r="C76" s="1531">
        <v>0.052002314814814814</v>
      </c>
      <c r="D76" s="1202" t="s">
        <v>10135</v>
      </c>
      <c r="E76" s="1562" t="s">
        <v>8857</v>
      </c>
      <c r="F76" s="1562" t="s">
        <v>10136</v>
      </c>
      <c r="G76" s="1562" t="s">
        <v>10137</v>
      </c>
      <c r="H76" s="1562" t="s">
        <v>10138</v>
      </c>
      <c r="I76" s="1562" t="s">
        <v>3546</v>
      </c>
      <c r="J76" s="1562" t="s">
        <v>9262</v>
      </c>
      <c r="K76" s="1562" t="s">
        <v>4432</v>
      </c>
      <c r="L76" s="1562" t="s">
        <v>3586</v>
      </c>
      <c r="M76" s="1562" t="s">
        <v>9835</v>
      </c>
      <c r="N76" s="1562" t="s">
        <v>4470</v>
      </c>
      <c r="O76" s="1562" t="s">
        <v>10139</v>
      </c>
      <c r="P76" s="1562" t="s">
        <v>10140</v>
      </c>
      <c r="Q76" s="1562" t="s">
        <v>4851</v>
      </c>
      <c r="R76" s="1562" t="s">
        <v>1456</v>
      </c>
      <c r="S76" s="1562" t="s">
        <v>9348</v>
      </c>
      <c r="T76" s="1562" t="s">
        <v>526</v>
      </c>
      <c r="U76" s="1562" t="s">
        <v>1917</v>
      </c>
      <c r="V76" s="1562" t="s">
        <v>463</v>
      </c>
      <c r="W76" s="1562" t="s">
        <v>5616</v>
      </c>
      <c r="X76" s="1562" t="s">
        <v>9607</v>
      </c>
      <c r="Y76" s="1562" t="s">
        <v>2385</v>
      </c>
      <c r="Z76" s="1562" t="s">
        <v>5387</v>
      </c>
      <c r="AA76" s="1562" t="s">
        <v>9376</v>
      </c>
      <c r="AB76" s="1562" t="s">
        <v>10141</v>
      </c>
      <c r="AC76" s="1562" t="s">
        <v>3062</v>
      </c>
      <c r="AD76" s="1562" t="s">
        <v>10142</v>
      </c>
      <c r="AE76" s="1562" t="s">
        <v>5126</v>
      </c>
      <c r="AF76" s="1562" t="s">
        <v>10143</v>
      </c>
      <c r="AG76" s="1562" t="s">
        <v>10144</v>
      </c>
      <c r="AH76" s="1562" t="s">
        <v>2210</v>
      </c>
      <c r="AI76" s="1562" t="s">
        <v>10145</v>
      </c>
      <c r="AJ76" s="1562" t="s">
        <v>10146</v>
      </c>
      <c r="AK76" s="1562" t="s">
        <v>4583</v>
      </c>
      <c r="AL76" s="1562" t="s">
        <v>9006</v>
      </c>
      <c r="AM76" s="1562" t="s">
        <v>1461</v>
      </c>
      <c r="AN76" s="1562" t="s">
        <v>8721</v>
      </c>
      <c r="AO76" s="1562" t="s">
        <v>9074</v>
      </c>
      <c r="AP76" s="1562" t="s">
        <v>4638</v>
      </c>
      <c r="AQ76" s="1562" t="s">
        <v>10147</v>
      </c>
      <c r="AR76" s="1562" t="s">
        <v>10148</v>
      </c>
      <c r="AS76" s="1562" t="s">
        <v>10149</v>
      </c>
      <c r="AT76" s="1562" t="s">
        <v>10150</v>
      </c>
      <c r="AU76" s="1562" t="s">
        <v>10151</v>
      </c>
      <c r="AV76" s="1562" t="str">
        <f t="shared" si="2"/>
        <v>3:32</v>
      </c>
      <c r="AW76" s="1566" t="s">
        <v>10152</v>
      </c>
    </row>
    <row r="77" ht="15.75" customHeight="1">
      <c r="A77" s="1490" t="s">
        <v>10153</v>
      </c>
      <c r="B77" s="1465" t="s">
        <v>8573</v>
      </c>
      <c r="C77" s="1531">
        <v>0.05201388888888889</v>
      </c>
      <c r="D77" s="1202" t="s">
        <v>10154</v>
      </c>
      <c r="E77" s="1489" t="s">
        <v>10155</v>
      </c>
      <c r="F77" s="1562" t="s">
        <v>10156</v>
      </c>
      <c r="G77" s="1562" t="s">
        <v>10157</v>
      </c>
      <c r="H77" s="1562" t="s">
        <v>1656</v>
      </c>
      <c r="I77" s="1562" t="s">
        <v>10158</v>
      </c>
      <c r="J77" s="1562" t="s">
        <v>10159</v>
      </c>
      <c r="K77" s="1562" t="s">
        <v>4198</v>
      </c>
      <c r="L77" s="1562" t="s">
        <v>10160</v>
      </c>
      <c r="M77" s="1562" t="s">
        <v>10161</v>
      </c>
      <c r="N77" s="1562" t="s">
        <v>10162</v>
      </c>
      <c r="O77" s="1562" t="s">
        <v>10163</v>
      </c>
      <c r="P77" s="1562" t="s">
        <v>160</v>
      </c>
      <c r="Q77" s="1562" t="s">
        <v>10164</v>
      </c>
      <c r="R77" s="1562" t="s">
        <v>7430</v>
      </c>
      <c r="S77" s="1562" t="s">
        <v>10165</v>
      </c>
      <c r="T77" s="1562" t="s">
        <v>10166</v>
      </c>
      <c r="U77" s="1562" t="s">
        <v>10167</v>
      </c>
      <c r="V77" s="1562" t="s">
        <v>8160</v>
      </c>
      <c r="W77" s="1562" t="s">
        <v>10168</v>
      </c>
      <c r="X77" s="1562" t="s">
        <v>9607</v>
      </c>
      <c r="Y77" s="1562" t="s">
        <v>300</v>
      </c>
      <c r="Z77" s="1562" t="s">
        <v>2400</v>
      </c>
      <c r="AA77" s="1562" t="s">
        <v>5728</v>
      </c>
      <c r="AB77" s="1562" t="s">
        <v>8880</v>
      </c>
      <c r="AC77" s="1562" t="s">
        <v>930</v>
      </c>
      <c r="AD77" s="1562" t="s">
        <v>10169</v>
      </c>
      <c r="AE77" s="1562" t="s">
        <v>1168</v>
      </c>
      <c r="AF77" s="1562" t="s">
        <v>10170</v>
      </c>
      <c r="AG77" s="1562" t="s">
        <v>2853</v>
      </c>
      <c r="AH77" s="1562" t="s">
        <v>6018</v>
      </c>
      <c r="AI77" s="1562" t="s">
        <v>1576</v>
      </c>
      <c r="AJ77" s="1562" t="s">
        <v>10171</v>
      </c>
      <c r="AK77" s="1562" t="s">
        <v>3523</v>
      </c>
      <c r="AL77" s="1562" t="s">
        <v>3827</v>
      </c>
      <c r="AM77" s="1562" t="s">
        <v>841</v>
      </c>
      <c r="AN77" s="1562" t="s">
        <v>9922</v>
      </c>
      <c r="AO77" s="1562" t="s">
        <v>2213</v>
      </c>
      <c r="AP77" s="1562" t="s">
        <v>10172</v>
      </c>
      <c r="AQ77" s="1562" t="s">
        <v>1006</v>
      </c>
      <c r="AR77" s="1562" t="s">
        <v>8615</v>
      </c>
      <c r="AS77" s="1562" t="s">
        <v>9681</v>
      </c>
      <c r="AT77" s="1562" t="s">
        <v>10173</v>
      </c>
      <c r="AU77" s="1562" t="s">
        <v>10174</v>
      </c>
      <c r="AV77" s="1562" t="str">
        <f t="shared" si="2"/>
        <v>2:58</v>
      </c>
      <c r="AW77" s="1567" t="s">
        <v>10175</v>
      </c>
    </row>
    <row r="78" ht="15.75" customHeight="1">
      <c r="A78" s="1386" t="s">
        <v>6489</v>
      </c>
      <c r="B78" s="1465" t="s">
        <v>8573</v>
      </c>
      <c r="C78" s="1531">
        <v>0.05207175925925926</v>
      </c>
      <c r="D78" s="1202" t="s">
        <v>10176</v>
      </c>
      <c r="E78" s="1562" t="s">
        <v>10177</v>
      </c>
      <c r="F78" s="1562" t="s">
        <v>10178</v>
      </c>
      <c r="G78" s="1562" t="s">
        <v>10179</v>
      </c>
      <c r="H78" s="1562" t="s">
        <v>8836</v>
      </c>
      <c r="I78" s="1562" t="s">
        <v>4872</v>
      </c>
      <c r="J78" s="1562" t="s">
        <v>9171</v>
      </c>
      <c r="K78" s="1562" t="s">
        <v>9801</v>
      </c>
      <c r="L78" s="1562" t="s">
        <v>10180</v>
      </c>
      <c r="M78" s="1562" t="s">
        <v>2686</v>
      </c>
      <c r="N78" s="1562" t="s">
        <v>10181</v>
      </c>
      <c r="O78" s="1562" t="s">
        <v>10182</v>
      </c>
      <c r="P78" s="1562" t="s">
        <v>765</v>
      </c>
      <c r="Q78" s="1562" t="s">
        <v>10183</v>
      </c>
      <c r="R78" s="1562" t="s">
        <v>4883</v>
      </c>
      <c r="S78" s="1562" t="s">
        <v>5971</v>
      </c>
      <c r="T78" s="1562" t="s">
        <v>5691</v>
      </c>
      <c r="U78" s="1562" t="s">
        <v>10184</v>
      </c>
      <c r="V78" s="1562" t="s">
        <v>2442</v>
      </c>
      <c r="W78" s="1562" t="s">
        <v>8619</v>
      </c>
      <c r="X78" s="1562" t="s">
        <v>10185</v>
      </c>
      <c r="Y78" s="1562" t="s">
        <v>1414</v>
      </c>
      <c r="Z78" s="1562" t="s">
        <v>7374</v>
      </c>
      <c r="AA78" s="1562" t="s">
        <v>1489</v>
      </c>
      <c r="AB78" s="1562" t="s">
        <v>10186</v>
      </c>
      <c r="AC78" s="1562" t="s">
        <v>236</v>
      </c>
      <c r="AD78" s="1562" t="s">
        <v>4234</v>
      </c>
      <c r="AE78" s="1562" t="s">
        <v>6069</v>
      </c>
      <c r="AF78" s="1562" t="s">
        <v>10187</v>
      </c>
      <c r="AG78" s="1562" t="s">
        <v>9607</v>
      </c>
      <c r="AH78" s="1562" t="s">
        <v>7142</v>
      </c>
      <c r="AI78" s="1562" t="s">
        <v>9963</v>
      </c>
      <c r="AJ78" s="1562" t="s">
        <v>10188</v>
      </c>
      <c r="AK78" s="1562" t="s">
        <v>10189</v>
      </c>
      <c r="AL78" s="1562" t="s">
        <v>4278</v>
      </c>
      <c r="AM78" s="1562" t="s">
        <v>9719</v>
      </c>
      <c r="AN78" s="1562" t="s">
        <v>3827</v>
      </c>
      <c r="AO78" s="1562" t="s">
        <v>4198</v>
      </c>
      <c r="AP78" s="1562" t="s">
        <v>9459</v>
      </c>
      <c r="AQ78" s="1562" t="s">
        <v>10190</v>
      </c>
      <c r="AR78" s="1562" t="s">
        <v>1488</v>
      </c>
      <c r="AS78" s="1562" t="s">
        <v>6122</v>
      </c>
      <c r="AT78" s="1562" t="s">
        <v>7691</v>
      </c>
      <c r="AU78" s="1562" t="s">
        <v>10191</v>
      </c>
      <c r="AV78" s="1562" t="str">
        <f t="shared" si="2"/>
        <v>3:10</v>
      </c>
      <c r="AW78" s="1567" t="s">
        <v>10192</v>
      </c>
    </row>
    <row r="79">
      <c r="A79" s="1571" t="s">
        <v>3913</v>
      </c>
      <c r="B79" s="1552" t="s">
        <v>8599</v>
      </c>
      <c r="C79" s="1574">
        <v>0.052141203703703703</v>
      </c>
      <c r="D79" s="1202" t="s">
        <v>10193</v>
      </c>
      <c r="E79" s="1440" t="s">
        <v>2994</v>
      </c>
      <c r="F79" s="1440" t="s">
        <v>10194</v>
      </c>
      <c r="G79" s="1485" t="s">
        <v>10195</v>
      </c>
      <c r="H79" s="1485" t="s">
        <v>10196</v>
      </c>
      <c r="I79" s="1485" t="s">
        <v>2371</v>
      </c>
      <c r="J79" s="1485" t="s">
        <v>6971</v>
      </c>
      <c r="K79" s="1575" t="s">
        <v>6163</v>
      </c>
      <c r="L79" s="1576" t="s">
        <v>7139</v>
      </c>
      <c r="M79" s="1485" t="s">
        <v>5787</v>
      </c>
      <c r="N79" s="1485" t="s">
        <v>5691</v>
      </c>
      <c r="O79" s="1485" t="s">
        <v>5498</v>
      </c>
      <c r="P79" s="1485" t="s">
        <v>1844</v>
      </c>
      <c r="Q79" s="1485" t="s">
        <v>10197</v>
      </c>
      <c r="R79" s="1485" t="s">
        <v>10198</v>
      </c>
      <c r="S79" s="1577" t="s">
        <v>2263</v>
      </c>
      <c r="T79" s="1485" t="s">
        <v>8914</v>
      </c>
      <c r="U79" s="1485" t="s">
        <v>3447</v>
      </c>
      <c r="V79" s="1485" t="s">
        <v>10199</v>
      </c>
      <c r="W79" s="1485" t="s">
        <v>10200</v>
      </c>
      <c r="X79" s="1485" t="s">
        <v>4456</v>
      </c>
      <c r="Y79" s="1485" t="s">
        <v>3620</v>
      </c>
      <c r="Z79" s="1485" t="s">
        <v>4168</v>
      </c>
      <c r="AA79" s="1485" t="s">
        <v>398</v>
      </c>
      <c r="AB79" s="1485" t="s">
        <v>623</v>
      </c>
      <c r="AC79" s="1485" t="s">
        <v>6069</v>
      </c>
      <c r="AD79" s="1390" t="s">
        <v>8974</v>
      </c>
      <c r="AE79" s="1485" t="s">
        <v>477</v>
      </c>
      <c r="AF79" s="1485" t="s">
        <v>10201</v>
      </c>
      <c r="AG79" s="1485" t="s">
        <v>10202</v>
      </c>
      <c r="AH79" s="1485" t="s">
        <v>4555</v>
      </c>
      <c r="AI79" s="1485" t="s">
        <v>10203</v>
      </c>
      <c r="AJ79" s="1485" t="s">
        <v>10204</v>
      </c>
      <c r="AK79" s="1485" t="s">
        <v>10205</v>
      </c>
      <c r="AL79" s="1485" t="s">
        <v>5045</v>
      </c>
      <c r="AM79" s="1485" t="s">
        <v>9842</v>
      </c>
      <c r="AN79" s="1485" t="s">
        <v>4361</v>
      </c>
      <c r="AO79" s="1485" t="s">
        <v>8957</v>
      </c>
      <c r="AP79" s="1485" t="s">
        <v>10206</v>
      </c>
      <c r="AQ79" s="1575" t="s">
        <v>8628</v>
      </c>
      <c r="AR79" s="1485" t="s">
        <v>10207</v>
      </c>
      <c r="AS79" s="1578" t="s">
        <v>754</v>
      </c>
      <c r="AT79" s="1485" t="s">
        <v>10208</v>
      </c>
      <c r="AU79" s="1428" t="s">
        <v>10209</v>
      </c>
      <c r="AV79" s="1428" t="s">
        <v>10210</v>
      </c>
      <c r="AW79" s="1579" t="s">
        <v>10211</v>
      </c>
    </row>
    <row r="80">
      <c r="A80" s="1435" t="s">
        <v>3832</v>
      </c>
      <c r="B80" s="1433" t="s">
        <v>8542</v>
      </c>
      <c r="C80" s="1388">
        <v>0.0522337962962963</v>
      </c>
      <c r="D80" s="1538" t="s">
        <v>10212</v>
      </c>
      <c r="E80" s="1489" t="s">
        <v>10213</v>
      </c>
      <c r="F80" s="1489" t="s">
        <v>10214</v>
      </c>
      <c r="G80" s="1489" t="s">
        <v>10215</v>
      </c>
      <c r="H80" s="1489" t="s">
        <v>10216</v>
      </c>
      <c r="I80" s="1489" t="s">
        <v>141</v>
      </c>
      <c r="J80" s="1489" t="s">
        <v>8236</v>
      </c>
      <c r="K80" s="1489" t="s">
        <v>4432</v>
      </c>
      <c r="L80" s="1489" t="s">
        <v>6181</v>
      </c>
      <c r="M80" s="1489" t="s">
        <v>10217</v>
      </c>
      <c r="N80" s="1489" t="s">
        <v>10218</v>
      </c>
      <c r="O80" s="1489" t="s">
        <v>10219</v>
      </c>
      <c r="P80" s="1489" t="s">
        <v>5126</v>
      </c>
      <c r="Q80" s="1489" t="s">
        <v>10220</v>
      </c>
      <c r="R80" s="1489" t="s">
        <v>6161</v>
      </c>
      <c r="S80" s="1489" t="s">
        <v>605</v>
      </c>
      <c r="T80" s="1489" t="s">
        <v>10008</v>
      </c>
      <c r="U80" s="1489" t="s">
        <v>8999</v>
      </c>
      <c r="V80" s="1489" t="s">
        <v>10221</v>
      </c>
      <c r="W80" s="1489" t="s">
        <v>10222</v>
      </c>
      <c r="X80" s="1489" t="s">
        <v>2950</v>
      </c>
      <c r="Y80" s="1489" t="s">
        <v>759</v>
      </c>
      <c r="Z80" s="1489" t="s">
        <v>10223</v>
      </c>
      <c r="AA80" s="1202" t="s">
        <v>10224</v>
      </c>
      <c r="AB80" s="1489" t="s">
        <v>7082</v>
      </c>
      <c r="AC80" s="1489" t="s">
        <v>9987</v>
      </c>
      <c r="AD80" s="1489" t="s">
        <v>7540</v>
      </c>
      <c r="AE80" s="1489" t="s">
        <v>4887</v>
      </c>
      <c r="AF80" s="1399" t="s">
        <v>10225</v>
      </c>
      <c r="AG80" s="1489" t="s">
        <v>10226</v>
      </c>
      <c r="AH80" s="1489" t="s">
        <v>5000</v>
      </c>
      <c r="AI80" s="1489" t="s">
        <v>6689</v>
      </c>
      <c r="AJ80" s="1489" t="s">
        <v>10227</v>
      </c>
      <c r="AK80" s="1489" t="s">
        <v>10228</v>
      </c>
      <c r="AL80" s="1489" t="s">
        <v>9923</v>
      </c>
      <c r="AM80" s="1489" t="s">
        <v>10229</v>
      </c>
      <c r="AN80" s="1489" t="s">
        <v>1081</v>
      </c>
      <c r="AO80" s="1489" t="s">
        <v>6351</v>
      </c>
      <c r="AP80" s="1489" t="s">
        <v>5580</v>
      </c>
      <c r="AQ80" s="1489" t="s">
        <v>10230</v>
      </c>
      <c r="AR80" s="1489" t="s">
        <v>690</v>
      </c>
      <c r="AS80" s="1399" t="s">
        <v>2764</v>
      </c>
      <c r="AT80" s="1489" t="s">
        <v>10231</v>
      </c>
      <c r="AU80" s="1489" t="s">
        <v>10232</v>
      </c>
      <c r="AV80" s="1562" t="str">
        <f t="shared" ref="AV80:AV98" si="3">TEXT(AU80-C80,"m:ss")</f>
        <v>4:32</v>
      </c>
      <c r="AW80" s="1563" t="s">
        <v>10233</v>
      </c>
    </row>
    <row r="81">
      <c r="A81" s="1435" t="s">
        <v>5161</v>
      </c>
      <c r="B81" s="1430" t="s">
        <v>8573</v>
      </c>
      <c r="C81" s="1388">
        <v>0.05232638888888889</v>
      </c>
      <c r="D81" s="1538" t="s">
        <v>10234</v>
      </c>
      <c r="E81" s="1489" t="s">
        <v>1233</v>
      </c>
      <c r="F81" s="1489" t="s">
        <v>10235</v>
      </c>
      <c r="G81" s="1489" t="s">
        <v>10236</v>
      </c>
      <c r="H81" s="1489" t="s">
        <v>10237</v>
      </c>
      <c r="I81" s="1489" t="s">
        <v>1355</v>
      </c>
      <c r="J81" s="1489" t="s">
        <v>7830</v>
      </c>
      <c r="K81" s="1489" t="s">
        <v>9812</v>
      </c>
      <c r="L81" s="1489" t="s">
        <v>10238</v>
      </c>
      <c r="M81" s="1489" t="s">
        <v>7568</v>
      </c>
      <c r="N81" s="1489" t="s">
        <v>10239</v>
      </c>
      <c r="O81" s="1489" t="s">
        <v>10240</v>
      </c>
      <c r="P81" s="1489" t="s">
        <v>518</v>
      </c>
      <c r="Q81" s="1489" t="s">
        <v>9648</v>
      </c>
      <c r="R81" s="1489" t="s">
        <v>5358</v>
      </c>
      <c r="S81" s="1489" t="s">
        <v>9468</v>
      </c>
      <c r="T81" s="1489" t="s">
        <v>10241</v>
      </c>
      <c r="U81" s="1489" t="s">
        <v>10242</v>
      </c>
      <c r="V81" s="1489" t="s">
        <v>10243</v>
      </c>
      <c r="W81" s="1489" t="s">
        <v>6258</v>
      </c>
      <c r="X81" s="1489" t="s">
        <v>310</v>
      </c>
      <c r="Y81" s="1489" t="s">
        <v>6530</v>
      </c>
      <c r="Z81" s="1489" t="s">
        <v>781</v>
      </c>
      <c r="AA81" s="1562" t="s">
        <v>9468</v>
      </c>
      <c r="AB81" s="1489" t="s">
        <v>10244</v>
      </c>
      <c r="AC81" s="1489" t="s">
        <v>6157</v>
      </c>
      <c r="AD81" s="1489" t="s">
        <v>10245</v>
      </c>
      <c r="AE81" s="1489" t="s">
        <v>222</v>
      </c>
      <c r="AF81" s="1489" t="s">
        <v>8153</v>
      </c>
      <c r="AG81" s="1489" t="s">
        <v>4010</v>
      </c>
      <c r="AH81" s="1489" t="s">
        <v>1882</v>
      </c>
      <c r="AI81" s="1489" t="s">
        <v>416</v>
      </c>
      <c r="AJ81" s="1489" t="s">
        <v>10246</v>
      </c>
      <c r="AK81" s="1489" t="s">
        <v>10247</v>
      </c>
      <c r="AL81" s="1489" t="s">
        <v>9965</v>
      </c>
      <c r="AM81" s="1489" t="s">
        <v>2853</v>
      </c>
      <c r="AN81" s="1489" t="s">
        <v>5868</v>
      </c>
      <c r="AO81" s="1489" t="s">
        <v>3654</v>
      </c>
      <c r="AP81" s="1489" t="s">
        <v>10248</v>
      </c>
      <c r="AQ81" s="1489" t="s">
        <v>7567</v>
      </c>
      <c r="AR81" s="1489" t="s">
        <v>6156</v>
      </c>
      <c r="AS81" s="1489" t="s">
        <v>10249</v>
      </c>
      <c r="AT81" s="1489" t="s">
        <v>10250</v>
      </c>
      <c r="AU81" s="1489" t="s">
        <v>10251</v>
      </c>
      <c r="AV81" s="1562" t="str">
        <f t="shared" si="3"/>
        <v>3:48</v>
      </c>
      <c r="AW81" s="1567"/>
    </row>
    <row r="82" ht="15.75" customHeight="1">
      <c r="A82" s="1386" t="s">
        <v>10252</v>
      </c>
      <c r="B82" s="1387" t="s">
        <v>8542</v>
      </c>
      <c r="C82" s="1531">
        <v>0.05240740740740741</v>
      </c>
      <c r="D82" s="1202" t="s">
        <v>10253</v>
      </c>
      <c r="E82" s="1562" t="s">
        <v>1660</v>
      </c>
      <c r="F82" s="1562" t="s">
        <v>7820</v>
      </c>
      <c r="G82" s="1562" t="s">
        <v>9944</v>
      </c>
      <c r="H82" s="1562" t="s">
        <v>10254</v>
      </c>
      <c r="I82" s="1562" t="s">
        <v>10255</v>
      </c>
      <c r="J82" s="1562" t="s">
        <v>10256</v>
      </c>
      <c r="K82" s="1562" t="s">
        <v>10257</v>
      </c>
      <c r="L82" s="1562" t="s">
        <v>4461</v>
      </c>
      <c r="M82" s="1562" t="s">
        <v>3319</v>
      </c>
      <c r="N82" s="1562" t="s">
        <v>4805</v>
      </c>
      <c r="O82" s="1562" t="s">
        <v>10258</v>
      </c>
      <c r="P82" s="1562" t="s">
        <v>10259</v>
      </c>
      <c r="Q82" s="1562" t="s">
        <v>4210</v>
      </c>
      <c r="R82" s="1562" t="s">
        <v>9578</v>
      </c>
      <c r="S82" s="1562" t="s">
        <v>9721</v>
      </c>
      <c r="T82" s="1562" t="s">
        <v>5001</v>
      </c>
      <c r="U82" s="1562" t="s">
        <v>10260</v>
      </c>
      <c r="V82" s="1562" t="s">
        <v>10261</v>
      </c>
      <c r="W82" s="1562" t="s">
        <v>10262</v>
      </c>
      <c r="X82" s="1562" t="s">
        <v>10263</v>
      </c>
      <c r="Y82" s="1562" t="s">
        <v>6440</v>
      </c>
      <c r="Z82" s="1562" t="s">
        <v>10123</v>
      </c>
      <c r="AA82" s="1562" t="s">
        <v>1863</v>
      </c>
      <c r="AB82" s="1562" t="s">
        <v>10264</v>
      </c>
      <c r="AC82" s="1562" t="s">
        <v>1545</v>
      </c>
      <c r="AD82" s="1562" t="s">
        <v>10265</v>
      </c>
      <c r="AE82" s="1562" t="s">
        <v>1545</v>
      </c>
      <c r="AF82" s="1562" t="s">
        <v>10266</v>
      </c>
      <c r="AG82" s="1562" t="s">
        <v>9879</v>
      </c>
      <c r="AH82" s="1562" t="s">
        <v>2107</v>
      </c>
      <c r="AI82" s="1562" t="s">
        <v>3300</v>
      </c>
      <c r="AJ82" s="1562" t="s">
        <v>10267</v>
      </c>
      <c r="AK82" s="1562" t="s">
        <v>7083</v>
      </c>
      <c r="AL82" s="1562" t="s">
        <v>10268</v>
      </c>
      <c r="AM82" s="1562" t="s">
        <v>1193</v>
      </c>
      <c r="AN82" s="1562" t="s">
        <v>2995</v>
      </c>
      <c r="AO82" s="1562" t="s">
        <v>10269</v>
      </c>
      <c r="AP82" s="1562" t="s">
        <v>3554</v>
      </c>
      <c r="AQ82" s="1562" t="s">
        <v>10270</v>
      </c>
      <c r="AR82" s="1562" t="s">
        <v>10271</v>
      </c>
      <c r="AS82" s="1562" t="s">
        <v>9192</v>
      </c>
      <c r="AT82" s="1562" t="s">
        <v>9275</v>
      </c>
      <c r="AU82" s="1562" t="s">
        <v>10272</v>
      </c>
      <c r="AV82" s="1562" t="str">
        <f t="shared" si="3"/>
        <v>3:40</v>
      </c>
      <c r="AW82" s="1566" t="s">
        <v>10273</v>
      </c>
    </row>
    <row r="83" ht="15.75" customHeight="1">
      <c r="A83" s="1490" t="s">
        <v>10274</v>
      </c>
      <c r="B83" s="1387" t="s">
        <v>8542</v>
      </c>
      <c r="C83" s="1531">
        <v>0.05263888888888889</v>
      </c>
      <c r="D83" s="1202" t="s">
        <v>10275</v>
      </c>
      <c r="E83" s="1562" t="s">
        <v>6587</v>
      </c>
      <c r="F83" s="1562" t="s">
        <v>10276</v>
      </c>
      <c r="G83" s="1562" t="s">
        <v>10277</v>
      </c>
      <c r="H83" s="1562" t="s">
        <v>10278</v>
      </c>
      <c r="I83" s="1562" t="s">
        <v>10279</v>
      </c>
      <c r="J83" s="1562" t="s">
        <v>10280</v>
      </c>
      <c r="K83" s="1562" t="s">
        <v>4129</v>
      </c>
      <c r="L83" s="1562" t="s">
        <v>4203</v>
      </c>
      <c r="M83" s="1562" t="s">
        <v>9296</v>
      </c>
      <c r="N83" s="1562" t="s">
        <v>10281</v>
      </c>
      <c r="O83" s="1562" t="s">
        <v>8588</v>
      </c>
      <c r="P83" s="1562" t="s">
        <v>481</v>
      </c>
      <c r="Q83" s="1562" t="s">
        <v>10282</v>
      </c>
      <c r="R83" s="1562" t="s">
        <v>5495</v>
      </c>
      <c r="S83" s="1562" t="s">
        <v>6386</v>
      </c>
      <c r="T83" s="1562" t="s">
        <v>10283</v>
      </c>
      <c r="U83" s="1562" t="s">
        <v>10284</v>
      </c>
      <c r="V83" s="1562" t="s">
        <v>10285</v>
      </c>
      <c r="W83" s="1562" t="s">
        <v>10286</v>
      </c>
      <c r="X83" s="1562" t="s">
        <v>5664</v>
      </c>
      <c r="Y83" s="1562" t="s">
        <v>1545</v>
      </c>
      <c r="Z83" s="1562" t="s">
        <v>6517</v>
      </c>
      <c r="AA83" s="1489" t="s">
        <v>6347</v>
      </c>
      <c r="AB83" s="1562" t="s">
        <v>9190</v>
      </c>
      <c r="AC83" s="1562" t="s">
        <v>10003</v>
      </c>
      <c r="AD83" s="1562" t="s">
        <v>3032</v>
      </c>
      <c r="AE83" s="1562" t="s">
        <v>1073</v>
      </c>
      <c r="AF83" s="1562" t="s">
        <v>10287</v>
      </c>
      <c r="AG83" s="1562" t="s">
        <v>2709</v>
      </c>
      <c r="AH83" s="1562" t="s">
        <v>6684</v>
      </c>
      <c r="AI83" s="1562" t="s">
        <v>10288</v>
      </c>
      <c r="AJ83" s="1562" t="s">
        <v>10289</v>
      </c>
      <c r="AK83" s="1562" t="s">
        <v>9603</v>
      </c>
      <c r="AL83" s="1562" t="s">
        <v>10290</v>
      </c>
      <c r="AM83" s="1562" t="s">
        <v>10291</v>
      </c>
      <c r="AN83" s="1562" t="s">
        <v>3826</v>
      </c>
      <c r="AO83" s="1562" t="s">
        <v>8957</v>
      </c>
      <c r="AP83" s="1562" t="s">
        <v>10292</v>
      </c>
      <c r="AQ83" s="1562" t="s">
        <v>10293</v>
      </c>
      <c r="AR83" s="1562" t="s">
        <v>1386</v>
      </c>
      <c r="AS83" s="1562" t="s">
        <v>1091</v>
      </c>
      <c r="AT83" s="1562" t="s">
        <v>10294</v>
      </c>
      <c r="AU83" s="1562" t="s">
        <v>10295</v>
      </c>
      <c r="AV83" s="1562" t="str">
        <f t="shared" si="3"/>
        <v>4:28</v>
      </c>
      <c r="AW83" s="1566" t="s">
        <v>10296</v>
      </c>
    </row>
    <row r="84">
      <c r="A84" s="1435" t="s">
        <v>3519</v>
      </c>
      <c r="B84" s="1539" t="s">
        <v>8599</v>
      </c>
      <c r="C84" s="1388">
        <v>0.052662037037037035</v>
      </c>
      <c r="D84" s="1202" t="s">
        <v>10297</v>
      </c>
      <c r="E84" s="1202" t="s">
        <v>530</v>
      </c>
      <c r="F84" s="1202" t="s">
        <v>10298</v>
      </c>
      <c r="G84" s="1202" t="s">
        <v>10299</v>
      </c>
      <c r="H84" s="1202" t="s">
        <v>8792</v>
      </c>
      <c r="I84" s="1202" t="s">
        <v>10300</v>
      </c>
      <c r="J84" s="1202" t="s">
        <v>1598</v>
      </c>
      <c r="K84" s="1202" t="s">
        <v>10301</v>
      </c>
      <c r="L84" s="1202" t="s">
        <v>2702</v>
      </c>
      <c r="M84" s="1202" t="s">
        <v>267</v>
      </c>
      <c r="N84" s="1202" t="s">
        <v>9106</v>
      </c>
      <c r="O84" s="1202" t="s">
        <v>10302</v>
      </c>
      <c r="P84" s="1202" t="s">
        <v>2048</v>
      </c>
      <c r="Q84" s="1202" t="s">
        <v>3501</v>
      </c>
      <c r="R84" s="1202" t="s">
        <v>10303</v>
      </c>
      <c r="S84" s="1202" t="s">
        <v>6066</v>
      </c>
      <c r="T84" s="1202" t="s">
        <v>10304</v>
      </c>
      <c r="U84" s="1202" t="s">
        <v>10305</v>
      </c>
      <c r="V84" s="1202" t="s">
        <v>10306</v>
      </c>
      <c r="W84" s="1202" t="s">
        <v>10307</v>
      </c>
      <c r="X84" s="1202" t="s">
        <v>2674</v>
      </c>
      <c r="Y84" s="1202" t="s">
        <v>2778</v>
      </c>
      <c r="Z84" s="1202" t="s">
        <v>6264</v>
      </c>
      <c r="AA84" s="1489" t="s">
        <v>10308</v>
      </c>
      <c r="AB84" s="1202" t="s">
        <v>10309</v>
      </c>
      <c r="AC84" s="1202" t="s">
        <v>6529</v>
      </c>
      <c r="AD84" s="1580" t="s">
        <v>8619</v>
      </c>
      <c r="AE84" s="1202" t="s">
        <v>332</v>
      </c>
      <c r="AF84" s="1202" t="s">
        <v>10310</v>
      </c>
      <c r="AG84" s="1202" t="s">
        <v>7491</v>
      </c>
      <c r="AH84" s="1202" t="s">
        <v>3694</v>
      </c>
      <c r="AI84" s="1202" t="s">
        <v>10311</v>
      </c>
      <c r="AJ84" s="1202" t="s">
        <v>10312</v>
      </c>
      <c r="AK84" s="1202" t="s">
        <v>10313</v>
      </c>
      <c r="AL84" s="1202" t="s">
        <v>4599</v>
      </c>
      <c r="AM84" s="1202" t="s">
        <v>5615</v>
      </c>
      <c r="AN84" s="1580" t="s">
        <v>8625</v>
      </c>
      <c r="AO84" s="1202" t="s">
        <v>10314</v>
      </c>
      <c r="AP84" s="1202" t="s">
        <v>10315</v>
      </c>
      <c r="AQ84" s="1202" t="s">
        <v>10316</v>
      </c>
      <c r="AR84" s="1202" t="s">
        <v>5913</v>
      </c>
      <c r="AS84" s="1202" t="s">
        <v>7021</v>
      </c>
      <c r="AT84" s="1202" t="s">
        <v>10317</v>
      </c>
      <c r="AU84" s="1581" t="s">
        <v>10318</v>
      </c>
      <c r="AV84" s="1562" t="str">
        <f t="shared" si="3"/>
        <v>4:43</v>
      </c>
      <c r="AW84" s="1570" t="s">
        <v>10319</v>
      </c>
    </row>
    <row r="85" ht="15.75" customHeight="1">
      <c r="A85" s="1435" t="s">
        <v>10320</v>
      </c>
      <c r="B85" s="1430" t="s">
        <v>8542</v>
      </c>
      <c r="C85" s="1388">
        <v>0.05267361111111111</v>
      </c>
      <c r="D85" s="1538" t="s">
        <v>9684</v>
      </c>
      <c r="E85" s="1489" t="s">
        <v>938</v>
      </c>
      <c r="F85" s="1489" t="s">
        <v>7515</v>
      </c>
      <c r="G85" s="1489" t="s">
        <v>10321</v>
      </c>
      <c r="H85" s="1489" t="s">
        <v>10322</v>
      </c>
      <c r="I85" s="1489" t="s">
        <v>5573</v>
      </c>
      <c r="J85" s="1202" t="s">
        <v>10323</v>
      </c>
      <c r="K85" s="1489" t="s">
        <v>10324</v>
      </c>
      <c r="L85" s="1489" t="s">
        <v>3694</v>
      </c>
      <c r="M85" s="1489" t="s">
        <v>7473</v>
      </c>
      <c r="N85" s="1489" t="s">
        <v>10325</v>
      </c>
      <c r="O85" s="1489" t="s">
        <v>10326</v>
      </c>
      <c r="P85" s="1489" t="s">
        <v>9651</v>
      </c>
      <c r="Q85" s="1489" t="s">
        <v>10327</v>
      </c>
      <c r="R85" s="1489" t="s">
        <v>5541</v>
      </c>
      <c r="S85" s="1489" t="s">
        <v>7508</v>
      </c>
      <c r="T85" s="1489" t="s">
        <v>10328</v>
      </c>
      <c r="U85" s="1489" t="s">
        <v>10329</v>
      </c>
      <c r="V85" s="1489" t="s">
        <v>3932</v>
      </c>
      <c r="W85" s="1489" t="s">
        <v>10330</v>
      </c>
      <c r="X85" s="1489" t="s">
        <v>2436</v>
      </c>
      <c r="Y85" s="1489" t="s">
        <v>6934</v>
      </c>
      <c r="Z85" s="1489" t="s">
        <v>8742</v>
      </c>
      <c r="AA85" s="1489" t="s">
        <v>10331</v>
      </c>
      <c r="AB85" s="1489" t="s">
        <v>9871</v>
      </c>
      <c r="AC85" s="1489" t="s">
        <v>9147</v>
      </c>
      <c r="AD85" s="1489" t="s">
        <v>10332</v>
      </c>
      <c r="AE85" s="1489" t="s">
        <v>2406</v>
      </c>
      <c r="AF85" s="1489" t="s">
        <v>10333</v>
      </c>
      <c r="AG85" s="1489" t="s">
        <v>10334</v>
      </c>
      <c r="AH85" s="1489" t="s">
        <v>4203</v>
      </c>
      <c r="AI85" s="1489" t="s">
        <v>10335</v>
      </c>
      <c r="AJ85" s="1489" t="s">
        <v>10336</v>
      </c>
      <c r="AK85" s="1489" t="s">
        <v>1689</v>
      </c>
      <c r="AL85" s="1489" t="s">
        <v>2563</v>
      </c>
      <c r="AM85" s="1489" t="s">
        <v>1689</v>
      </c>
      <c r="AN85" s="1489" t="s">
        <v>2563</v>
      </c>
      <c r="AO85" s="1489" t="s">
        <v>6097</v>
      </c>
      <c r="AP85" s="1489" t="s">
        <v>10337</v>
      </c>
      <c r="AQ85" s="1489" t="s">
        <v>2163</v>
      </c>
      <c r="AR85" s="1489" t="s">
        <v>10147</v>
      </c>
      <c r="AS85" s="1489" t="s">
        <v>10338</v>
      </c>
      <c r="AT85" s="1489" t="s">
        <v>10339</v>
      </c>
      <c r="AU85" s="1489" t="s">
        <v>10340</v>
      </c>
      <c r="AV85" s="1562" t="str">
        <f t="shared" si="3"/>
        <v>5:58</v>
      </c>
      <c r="AW85" s="1563" t="s">
        <v>10341</v>
      </c>
    </row>
    <row r="86" ht="15.75" customHeight="1">
      <c r="A86" s="1386" t="s">
        <v>5933</v>
      </c>
      <c r="B86" s="1465" t="s">
        <v>8573</v>
      </c>
      <c r="C86" s="1531">
        <v>0.05275462962962963</v>
      </c>
      <c r="D86" s="1202" t="s">
        <v>10342</v>
      </c>
      <c r="E86" s="1562" t="s">
        <v>9706</v>
      </c>
      <c r="F86" s="1562" t="s">
        <v>10343</v>
      </c>
      <c r="G86" s="1562" t="s">
        <v>8778</v>
      </c>
      <c r="H86" s="1562" t="s">
        <v>7347</v>
      </c>
      <c r="I86" s="1562" t="s">
        <v>2279</v>
      </c>
      <c r="J86" s="1562" t="s">
        <v>4145</v>
      </c>
      <c r="K86" s="1562" t="s">
        <v>10022</v>
      </c>
      <c r="L86" s="1562" t="s">
        <v>5225</v>
      </c>
      <c r="M86" s="1562" t="s">
        <v>4128</v>
      </c>
      <c r="N86" s="1562" t="s">
        <v>10344</v>
      </c>
      <c r="O86" s="1562" t="s">
        <v>10345</v>
      </c>
      <c r="P86" s="1562" t="s">
        <v>6236</v>
      </c>
      <c r="Q86" s="1562" t="s">
        <v>10346</v>
      </c>
      <c r="R86" s="1562" t="s">
        <v>10347</v>
      </c>
      <c r="S86" s="1562" t="s">
        <v>8562</v>
      </c>
      <c r="T86" s="1562" t="s">
        <v>2568</v>
      </c>
      <c r="U86" s="1562" t="s">
        <v>496</v>
      </c>
      <c r="V86" s="1562" t="s">
        <v>4097</v>
      </c>
      <c r="W86" s="1562" t="s">
        <v>10348</v>
      </c>
      <c r="X86" s="1562" t="s">
        <v>10349</v>
      </c>
      <c r="Y86" s="1562" t="s">
        <v>5629</v>
      </c>
      <c r="Z86" s="1562" t="s">
        <v>8880</v>
      </c>
      <c r="AA86" s="1562" t="s">
        <v>10350</v>
      </c>
      <c r="AB86" s="1562" t="s">
        <v>489</v>
      </c>
      <c r="AC86" s="1562" t="s">
        <v>9898</v>
      </c>
      <c r="AD86" s="1562" t="s">
        <v>10351</v>
      </c>
      <c r="AE86" s="1562" t="s">
        <v>10352</v>
      </c>
      <c r="AF86" s="1562" t="s">
        <v>9427</v>
      </c>
      <c r="AG86" s="1562" t="s">
        <v>6966</v>
      </c>
      <c r="AH86" s="1562" t="s">
        <v>722</v>
      </c>
      <c r="AI86" s="1562" t="s">
        <v>5253</v>
      </c>
      <c r="AJ86" s="1562" t="s">
        <v>10353</v>
      </c>
      <c r="AK86" s="1562" t="s">
        <v>8922</v>
      </c>
      <c r="AL86" s="1562" t="s">
        <v>5368</v>
      </c>
      <c r="AM86" s="1562" t="s">
        <v>10354</v>
      </c>
      <c r="AN86" s="1562" t="s">
        <v>6399</v>
      </c>
      <c r="AO86" s="1562" t="s">
        <v>6329</v>
      </c>
      <c r="AP86" s="1562" t="s">
        <v>10355</v>
      </c>
      <c r="AQ86" s="1562" t="s">
        <v>10356</v>
      </c>
      <c r="AR86" s="1562" t="s">
        <v>9958</v>
      </c>
      <c r="AS86" s="1562" t="s">
        <v>8890</v>
      </c>
      <c r="AT86" s="1562" t="s">
        <v>10357</v>
      </c>
      <c r="AU86" s="1562" t="s">
        <v>10358</v>
      </c>
      <c r="AV86" s="1562" t="str">
        <f t="shared" si="3"/>
        <v>3:59</v>
      </c>
      <c r="AW86" s="1567" t="s">
        <v>10359</v>
      </c>
    </row>
    <row r="87" ht="15.75" customHeight="1">
      <c r="A87" s="1490" t="s">
        <v>10360</v>
      </c>
      <c r="B87" s="1552" t="s">
        <v>8599</v>
      </c>
      <c r="C87" s="1531">
        <v>0.05291666666666667</v>
      </c>
      <c r="D87" s="1202" t="s">
        <v>10361</v>
      </c>
      <c r="E87" s="1562" t="s">
        <v>10362</v>
      </c>
      <c r="F87" s="1562" t="s">
        <v>5731</v>
      </c>
      <c r="G87" s="1562" t="s">
        <v>9565</v>
      </c>
      <c r="H87" s="1562" t="s">
        <v>9890</v>
      </c>
      <c r="I87" s="1562" t="s">
        <v>3069</v>
      </c>
      <c r="J87" s="1562" t="s">
        <v>10363</v>
      </c>
      <c r="K87" s="1562" t="s">
        <v>5352</v>
      </c>
      <c r="L87" s="1562" t="s">
        <v>7808</v>
      </c>
      <c r="M87" s="1562" t="s">
        <v>10364</v>
      </c>
      <c r="N87" s="1562" t="s">
        <v>10365</v>
      </c>
      <c r="O87" s="1562" t="s">
        <v>10366</v>
      </c>
      <c r="P87" s="1562" t="s">
        <v>9758</v>
      </c>
      <c r="Q87" s="1562" t="s">
        <v>10367</v>
      </c>
      <c r="R87" s="1562" t="s">
        <v>5756</v>
      </c>
      <c r="S87" s="1562" t="s">
        <v>4565</v>
      </c>
      <c r="T87" s="1562" t="s">
        <v>8777</v>
      </c>
      <c r="U87" s="1562" t="s">
        <v>5455</v>
      </c>
      <c r="V87" s="1562" t="s">
        <v>1151</v>
      </c>
      <c r="W87" s="1562" t="s">
        <v>1827</v>
      </c>
      <c r="X87" s="1562" t="s">
        <v>3294</v>
      </c>
      <c r="Y87" s="1562" t="s">
        <v>657</v>
      </c>
      <c r="Z87" s="1562" t="s">
        <v>10368</v>
      </c>
      <c r="AA87" s="1489" t="s">
        <v>7742</v>
      </c>
      <c r="AB87" s="1562" t="s">
        <v>3571</v>
      </c>
      <c r="AC87" s="1562" t="s">
        <v>2385</v>
      </c>
      <c r="AD87" s="1562" t="s">
        <v>10369</v>
      </c>
      <c r="AE87" s="1562" t="s">
        <v>10370</v>
      </c>
      <c r="AF87" s="1562" t="s">
        <v>10371</v>
      </c>
      <c r="AG87" s="1562" t="s">
        <v>10372</v>
      </c>
      <c r="AH87" s="1562" t="s">
        <v>10373</v>
      </c>
      <c r="AI87" s="1562" t="s">
        <v>10374</v>
      </c>
      <c r="AJ87" s="1562" t="s">
        <v>10375</v>
      </c>
      <c r="AK87" s="1562" t="s">
        <v>10376</v>
      </c>
      <c r="AL87" s="1562" t="s">
        <v>1663</v>
      </c>
      <c r="AM87" s="1562" t="s">
        <v>2900</v>
      </c>
      <c r="AN87" s="1562" t="s">
        <v>5964</v>
      </c>
      <c r="AO87" s="1562" t="s">
        <v>10377</v>
      </c>
      <c r="AP87" s="1562" t="s">
        <v>2894</v>
      </c>
      <c r="AQ87" s="1562" t="s">
        <v>10378</v>
      </c>
      <c r="AR87" s="1562" t="s">
        <v>10283</v>
      </c>
      <c r="AS87" s="1562" t="s">
        <v>4286</v>
      </c>
      <c r="AT87" s="1562" t="s">
        <v>10379</v>
      </c>
      <c r="AU87" s="1562" t="s">
        <v>10380</v>
      </c>
      <c r="AV87" s="1562" t="str">
        <f t="shared" si="3"/>
        <v>2:38</v>
      </c>
      <c r="AW87" s="1567"/>
    </row>
    <row r="88" ht="15.75" customHeight="1">
      <c r="A88" s="1435" t="s">
        <v>6286</v>
      </c>
      <c r="B88" s="1433" t="s">
        <v>8542</v>
      </c>
      <c r="C88" s="1388">
        <v>0.05324074074074074</v>
      </c>
      <c r="D88" s="1202" t="s">
        <v>10381</v>
      </c>
      <c r="E88" s="1202" t="s">
        <v>10382</v>
      </c>
      <c r="F88" s="1202" t="s">
        <v>10383</v>
      </c>
      <c r="G88" s="1202" t="s">
        <v>9302</v>
      </c>
      <c r="H88" s="1202" t="s">
        <v>10384</v>
      </c>
      <c r="I88" s="1202" t="s">
        <v>6069</v>
      </c>
      <c r="J88" s="1202" t="s">
        <v>1791</v>
      </c>
      <c r="K88" s="1202" t="s">
        <v>4321</v>
      </c>
      <c r="L88" s="1202" t="s">
        <v>10385</v>
      </c>
      <c r="M88" s="1202" t="s">
        <v>10386</v>
      </c>
      <c r="N88" s="1202" t="s">
        <v>10387</v>
      </c>
      <c r="O88" s="1202" t="s">
        <v>10388</v>
      </c>
      <c r="P88" s="1202" t="s">
        <v>10389</v>
      </c>
      <c r="Q88" s="1202" t="s">
        <v>10390</v>
      </c>
      <c r="R88" s="1202" t="s">
        <v>8558</v>
      </c>
      <c r="S88" s="1202" t="s">
        <v>10263</v>
      </c>
      <c r="T88" s="1202" t="s">
        <v>10391</v>
      </c>
      <c r="U88" s="1202" t="s">
        <v>10392</v>
      </c>
      <c r="V88" s="1202" t="s">
        <v>2724</v>
      </c>
      <c r="W88" s="1202" t="s">
        <v>10393</v>
      </c>
      <c r="X88" s="1202" t="s">
        <v>10394</v>
      </c>
      <c r="Y88" s="1202" t="s">
        <v>5573</v>
      </c>
      <c r="Z88" s="1202" t="s">
        <v>4061</v>
      </c>
      <c r="AA88" s="1489" t="s">
        <v>10395</v>
      </c>
      <c r="AB88" s="1202" t="s">
        <v>9690</v>
      </c>
      <c r="AC88" s="1202" t="s">
        <v>5494</v>
      </c>
      <c r="AD88" s="1202" t="s">
        <v>10396</v>
      </c>
      <c r="AE88" s="1202" t="s">
        <v>9502</v>
      </c>
      <c r="AF88" s="1202" t="s">
        <v>10397</v>
      </c>
      <c r="AG88" s="1202" t="s">
        <v>10202</v>
      </c>
      <c r="AH88" s="1202" t="s">
        <v>5618</v>
      </c>
      <c r="AI88" s="1202" t="s">
        <v>10398</v>
      </c>
      <c r="AJ88" s="1202" t="s">
        <v>10399</v>
      </c>
      <c r="AK88" s="1489" t="s">
        <v>10400</v>
      </c>
      <c r="AL88" s="1202" t="s">
        <v>10006</v>
      </c>
      <c r="AM88" s="1202" t="s">
        <v>10401</v>
      </c>
      <c r="AN88" s="1202" t="s">
        <v>9837</v>
      </c>
      <c r="AO88" s="1202" t="s">
        <v>4515</v>
      </c>
      <c r="AP88" s="1202" t="s">
        <v>10402</v>
      </c>
      <c r="AQ88" s="1202" t="s">
        <v>10403</v>
      </c>
      <c r="AR88" s="1489" t="s">
        <v>3693</v>
      </c>
      <c r="AS88" s="1202" t="s">
        <v>10404</v>
      </c>
      <c r="AT88" s="1202" t="s">
        <v>10405</v>
      </c>
      <c r="AU88" s="1489" t="s">
        <v>10318</v>
      </c>
      <c r="AV88" s="1562" t="str">
        <f t="shared" si="3"/>
        <v>3:53</v>
      </c>
      <c r="AW88" s="1563" t="s">
        <v>10406</v>
      </c>
    </row>
    <row r="89">
      <c r="A89" s="1435" t="s">
        <v>4745</v>
      </c>
      <c r="B89" s="1430" t="s">
        <v>8599</v>
      </c>
      <c r="C89" s="1388">
        <v>0.05331018518518518</v>
      </c>
      <c r="D89" s="1489" t="s">
        <v>10407</v>
      </c>
      <c r="E89" s="1489" t="s">
        <v>7886</v>
      </c>
      <c r="F89" s="1489" t="s">
        <v>10178</v>
      </c>
      <c r="G89" s="1489" t="s">
        <v>10408</v>
      </c>
      <c r="H89" s="1202" t="s">
        <v>10409</v>
      </c>
      <c r="I89" s="1489" t="s">
        <v>10410</v>
      </c>
      <c r="J89" s="1489" t="s">
        <v>9935</v>
      </c>
      <c r="K89" s="1489" t="s">
        <v>8772</v>
      </c>
      <c r="L89" s="1489" t="s">
        <v>4094</v>
      </c>
      <c r="M89" s="1489" t="s">
        <v>10411</v>
      </c>
      <c r="N89" s="1489" t="s">
        <v>9719</v>
      </c>
      <c r="O89" s="1489" t="s">
        <v>10412</v>
      </c>
      <c r="P89" s="1489" t="s">
        <v>6157</v>
      </c>
      <c r="Q89" s="1489" t="s">
        <v>10413</v>
      </c>
      <c r="R89" s="1489" t="s">
        <v>2143</v>
      </c>
      <c r="S89" s="1489" t="s">
        <v>7757</v>
      </c>
      <c r="T89" s="1489" t="s">
        <v>7329</v>
      </c>
      <c r="U89" s="1489" t="s">
        <v>10414</v>
      </c>
      <c r="V89" s="1489" t="s">
        <v>9915</v>
      </c>
      <c r="W89" s="1489" t="s">
        <v>10415</v>
      </c>
      <c r="X89" s="1489" t="s">
        <v>6967</v>
      </c>
      <c r="Y89" s="1489" t="s">
        <v>5424</v>
      </c>
      <c r="Z89" s="1489" t="s">
        <v>9721</v>
      </c>
      <c r="AA89" s="1489" t="s">
        <v>10416</v>
      </c>
      <c r="AB89" s="1489" t="s">
        <v>3464</v>
      </c>
      <c r="AC89" s="1489" t="s">
        <v>10417</v>
      </c>
      <c r="AD89" s="1489" t="s">
        <v>10418</v>
      </c>
      <c r="AE89" s="1489" t="s">
        <v>5629</v>
      </c>
      <c r="AF89" s="1489" t="s">
        <v>10419</v>
      </c>
      <c r="AG89" s="1489" t="s">
        <v>9046</v>
      </c>
      <c r="AH89" s="1489" t="s">
        <v>10420</v>
      </c>
      <c r="AI89" s="1489" t="s">
        <v>10421</v>
      </c>
      <c r="AJ89" s="1489" t="s">
        <v>10422</v>
      </c>
      <c r="AK89" s="1489" t="s">
        <v>2185</v>
      </c>
      <c r="AL89" s="1489" t="s">
        <v>2154</v>
      </c>
      <c r="AM89" s="1489" t="s">
        <v>10423</v>
      </c>
      <c r="AN89" s="1489" t="s">
        <v>4633</v>
      </c>
      <c r="AO89" s="1489" t="s">
        <v>10424</v>
      </c>
      <c r="AP89" s="1489" t="s">
        <v>2680</v>
      </c>
      <c r="AQ89" s="1489" t="s">
        <v>10425</v>
      </c>
      <c r="AR89" s="1489" t="s">
        <v>1676</v>
      </c>
      <c r="AS89" s="1489" t="s">
        <v>978</v>
      </c>
      <c r="AT89" s="1489" t="s">
        <v>10426</v>
      </c>
      <c r="AU89" s="1489" t="s">
        <v>10427</v>
      </c>
      <c r="AV89" s="1562" t="str">
        <f t="shared" si="3"/>
        <v>4:18</v>
      </c>
      <c r="AW89" s="1567"/>
    </row>
    <row r="90" ht="15.75" customHeight="1">
      <c r="A90" s="1490" t="s">
        <v>10428</v>
      </c>
      <c r="B90" s="1552" t="s">
        <v>8599</v>
      </c>
      <c r="C90" s="1388">
        <v>0.05348379629629629</v>
      </c>
      <c r="D90" s="1202" t="s">
        <v>10429</v>
      </c>
      <c r="E90" s="1562" t="s">
        <v>10213</v>
      </c>
      <c r="F90" s="1562" t="s">
        <v>6398</v>
      </c>
      <c r="G90" s="1562" t="s">
        <v>10430</v>
      </c>
      <c r="H90" s="1562" t="s">
        <v>10431</v>
      </c>
      <c r="I90" s="1562" t="s">
        <v>2345</v>
      </c>
      <c r="J90" s="1562" t="s">
        <v>9121</v>
      </c>
      <c r="K90" s="1562" t="s">
        <v>8611</v>
      </c>
      <c r="L90" s="1562" t="s">
        <v>4803</v>
      </c>
      <c r="M90" s="1562" t="s">
        <v>10432</v>
      </c>
      <c r="N90" s="1562" t="s">
        <v>10433</v>
      </c>
      <c r="O90" s="1562" t="s">
        <v>4363</v>
      </c>
      <c r="P90" s="1562" t="s">
        <v>930</v>
      </c>
      <c r="Q90" s="1489" t="s">
        <v>10434</v>
      </c>
      <c r="R90" s="1562" t="s">
        <v>9982</v>
      </c>
      <c r="S90" s="1562" t="s">
        <v>9334</v>
      </c>
      <c r="T90" s="1562" t="s">
        <v>10185</v>
      </c>
      <c r="U90" s="1562" t="s">
        <v>10435</v>
      </c>
      <c r="V90" s="1562" t="s">
        <v>3246</v>
      </c>
      <c r="W90" s="1562" t="s">
        <v>2970</v>
      </c>
      <c r="X90" s="1562" t="s">
        <v>3131</v>
      </c>
      <c r="Y90" s="1562" t="s">
        <v>114</v>
      </c>
      <c r="Z90" s="1562" t="s">
        <v>8997</v>
      </c>
      <c r="AA90" s="1489" t="s">
        <v>10436</v>
      </c>
      <c r="AB90" s="1562" t="s">
        <v>9729</v>
      </c>
      <c r="AC90" s="1562" t="s">
        <v>1157</v>
      </c>
      <c r="AD90" s="1562" t="s">
        <v>10437</v>
      </c>
      <c r="AE90" s="1562" t="s">
        <v>583</v>
      </c>
      <c r="AF90" s="1489" t="s">
        <v>10438</v>
      </c>
      <c r="AG90" s="1562" t="s">
        <v>5677</v>
      </c>
      <c r="AH90" s="1562" t="s">
        <v>9203</v>
      </c>
      <c r="AI90" s="1562" t="s">
        <v>2593</v>
      </c>
      <c r="AJ90" s="1562" t="s">
        <v>10439</v>
      </c>
      <c r="AK90" s="1562" t="s">
        <v>9013</v>
      </c>
      <c r="AL90" s="1562" t="s">
        <v>10440</v>
      </c>
      <c r="AM90" s="1562" t="s">
        <v>8756</v>
      </c>
      <c r="AN90" s="1562" t="s">
        <v>10006</v>
      </c>
      <c r="AO90" s="1562" t="s">
        <v>8702</v>
      </c>
      <c r="AP90" s="1562" t="s">
        <v>10441</v>
      </c>
      <c r="AQ90" s="1562" t="s">
        <v>4458</v>
      </c>
      <c r="AR90" s="1562" t="s">
        <v>1386</v>
      </c>
      <c r="AS90" s="1562" t="s">
        <v>8788</v>
      </c>
      <c r="AT90" s="1562" t="s">
        <v>4686</v>
      </c>
      <c r="AU90" s="1562" t="s">
        <v>10442</v>
      </c>
      <c r="AV90" s="1562" t="str">
        <f t="shared" si="3"/>
        <v>3:27</v>
      </c>
      <c r="AW90" s="1563" t="s">
        <v>10443</v>
      </c>
    </row>
    <row r="91">
      <c r="A91" s="1435" t="s">
        <v>5306</v>
      </c>
      <c r="B91" s="1433" t="s">
        <v>8542</v>
      </c>
      <c r="C91" s="1388">
        <v>0.05376157407407407</v>
      </c>
      <c r="D91" s="1489" t="s">
        <v>10444</v>
      </c>
      <c r="E91" s="1489" t="s">
        <v>10445</v>
      </c>
      <c r="F91" s="1489" t="s">
        <v>10446</v>
      </c>
      <c r="G91" s="1489" t="s">
        <v>10447</v>
      </c>
      <c r="H91" s="1582" t="s">
        <v>10448</v>
      </c>
      <c r="I91" s="1202" t="s">
        <v>236</v>
      </c>
      <c r="J91" s="1489" t="s">
        <v>9603</v>
      </c>
      <c r="K91" s="1489" t="s">
        <v>10449</v>
      </c>
      <c r="L91" s="1489" t="s">
        <v>2509</v>
      </c>
      <c r="M91" s="1489" t="s">
        <v>1264</v>
      </c>
      <c r="N91" s="1489" t="s">
        <v>10450</v>
      </c>
      <c r="O91" s="1489" t="s">
        <v>10451</v>
      </c>
      <c r="P91" s="1489" t="s">
        <v>863</v>
      </c>
      <c r="Q91" s="1489" t="s">
        <v>4383</v>
      </c>
      <c r="R91" s="1489" t="s">
        <v>10452</v>
      </c>
      <c r="S91" s="1583" t="s">
        <v>10453</v>
      </c>
      <c r="T91" s="1583" t="s">
        <v>9167</v>
      </c>
      <c r="U91" s="1489" t="s">
        <v>10454</v>
      </c>
      <c r="V91" s="1489" t="s">
        <v>10455</v>
      </c>
      <c r="W91" s="1489" t="s">
        <v>7726</v>
      </c>
      <c r="X91" s="1489" t="s">
        <v>10456</v>
      </c>
      <c r="Y91" s="1489" t="s">
        <v>2118</v>
      </c>
      <c r="Z91" s="1489" t="s">
        <v>9729</v>
      </c>
      <c r="AA91" s="1489" t="s">
        <v>10457</v>
      </c>
      <c r="AB91" s="1489" t="s">
        <v>10458</v>
      </c>
      <c r="AC91" s="1489" t="s">
        <v>7678</v>
      </c>
      <c r="AD91" s="1489" t="s">
        <v>5899</v>
      </c>
      <c r="AE91" s="1489" t="s">
        <v>2385</v>
      </c>
      <c r="AF91" s="1489" t="s">
        <v>10459</v>
      </c>
      <c r="AG91" s="1489" t="s">
        <v>10460</v>
      </c>
      <c r="AH91" s="1489" t="s">
        <v>4955</v>
      </c>
      <c r="AI91" s="1489" t="s">
        <v>7560</v>
      </c>
      <c r="AJ91" s="1489" t="s">
        <v>10461</v>
      </c>
      <c r="AK91" s="1489" t="s">
        <v>4795</v>
      </c>
      <c r="AL91" s="1489" t="s">
        <v>10462</v>
      </c>
      <c r="AM91" s="1489" t="s">
        <v>4806</v>
      </c>
      <c r="AN91" s="1489" t="s">
        <v>10463</v>
      </c>
      <c r="AO91" s="1489" t="s">
        <v>8557</v>
      </c>
      <c r="AP91" s="1489" t="s">
        <v>10464</v>
      </c>
      <c r="AQ91" s="1489" t="s">
        <v>10465</v>
      </c>
      <c r="AR91" s="1489" t="s">
        <v>5123</v>
      </c>
      <c r="AS91" s="1489" t="s">
        <v>8735</v>
      </c>
      <c r="AT91" s="1489" t="s">
        <v>10466</v>
      </c>
      <c r="AU91" s="1489" t="s">
        <v>10467</v>
      </c>
      <c r="AV91" s="1562" t="str">
        <f t="shared" si="3"/>
        <v>4:58</v>
      </c>
      <c r="AW91" s="1584"/>
    </row>
    <row r="92" ht="15.75" customHeight="1">
      <c r="A92" s="1490" t="s">
        <v>6441</v>
      </c>
      <c r="B92" s="1552" t="s">
        <v>8599</v>
      </c>
      <c r="C92" s="1531">
        <v>0.05386574074074074</v>
      </c>
      <c r="D92" s="1562" t="s">
        <v>10468</v>
      </c>
      <c r="E92" s="1562" t="s">
        <v>7311</v>
      </c>
      <c r="F92" s="1562" t="s">
        <v>10469</v>
      </c>
      <c r="G92" s="1562" t="s">
        <v>4328</v>
      </c>
      <c r="H92" s="1562" t="s">
        <v>10470</v>
      </c>
      <c r="I92" s="1562" t="s">
        <v>10410</v>
      </c>
      <c r="J92" s="1562" t="s">
        <v>10471</v>
      </c>
      <c r="K92" s="1562" t="s">
        <v>10472</v>
      </c>
      <c r="L92" s="1562" t="s">
        <v>1437</v>
      </c>
      <c r="M92" s="1562" t="s">
        <v>4536</v>
      </c>
      <c r="N92" s="1562" t="s">
        <v>7465</v>
      </c>
      <c r="O92" s="1562" t="s">
        <v>10473</v>
      </c>
      <c r="P92" s="1562" t="s">
        <v>6157</v>
      </c>
      <c r="Q92" s="1562" t="s">
        <v>10474</v>
      </c>
      <c r="R92" s="1562" t="s">
        <v>10475</v>
      </c>
      <c r="S92" s="1562" t="s">
        <v>10476</v>
      </c>
      <c r="T92" s="1562" t="s">
        <v>9710</v>
      </c>
      <c r="U92" s="1562" t="s">
        <v>10477</v>
      </c>
      <c r="V92" s="1562" t="s">
        <v>10478</v>
      </c>
      <c r="W92" s="1562" t="s">
        <v>10479</v>
      </c>
      <c r="X92" s="1562" t="s">
        <v>1335</v>
      </c>
      <c r="Y92" s="1562" t="s">
        <v>1878</v>
      </c>
      <c r="Z92" s="1562" t="s">
        <v>9037</v>
      </c>
      <c r="AA92" s="1202" t="s">
        <v>10480</v>
      </c>
      <c r="AB92" s="1562" t="s">
        <v>10481</v>
      </c>
      <c r="AC92" s="1562" t="s">
        <v>7051</v>
      </c>
      <c r="AD92" s="1562" t="s">
        <v>10482</v>
      </c>
      <c r="AE92" s="1562" t="s">
        <v>10483</v>
      </c>
      <c r="AF92" s="1562" t="s">
        <v>10051</v>
      </c>
      <c r="AG92" s="1562" t="s">
        <v>10484</v>
      </c>
      <c r="AH92" s="1562" t="s">
        <v>10485</v>
      </c>
      <c r="AI92" s="1562" t="s">
        <v>3547</v>
      </c>
      <c r="AJ92" s="1562" t="s">
        <v>10486</v>
      </c>
      <c r="AK92" s="1562" t="s">
        <v>10487</v>
      </c>
      <c r="AL92" s="1562" t="s">
        <v>4509</v>
      </c>
      <c r="AM92" s="1562" t="s">
        <v>9698</v>
      </c>
      <c r="AN92" s="1562" t="s">
        <v>9241</v>
      </c>
      <c r="AO92" s="1489" t="s">
        <v>9418</v>
      </c>
      <c r="AP92" s="1562" t="s">
        <v>10488</v>
      </c>
      <c r="AQ92" s="1562" t="s">
        <v>10489</v>
      </c>
      <c r="AR92" s="1562" t="s">
        <v>10490</v>
      </c>
      <c r="AS92" s="1562" t="s">
        <v>9004</v>
      </c>
      <c r="AT92" s="1562" t="s">
        <v>5957</v>
      </c>
      <c r="AU92" s="1562" t="s">
        <v>10427</v>
      </c>
      <c r="AV92" s="1562" t="str">
        <f t="shared" si="3"/>
        <v>3:30</v>
      </c>
      <c r="AW92" s="1567"/>
    </row>
    <row r="93">
      <c r="A93" s="1435" t="s">
        <v>5203</v>
      </c>
      <c r="B93" s="1433" t="s">
        <v>8599</v>
      </c>
      <c r="C93" s="1388">
        <v>0.05482638888888889</v>
      </c>
      <c r="D93" s="1538" t="s">
        <v>10491</v>
      </c>
      <c r="E93" s="1489" t="s">
        <v>9327</v>
      </c>
      <c r="F93" s="1489" t="s">
        <v>10492</v>
      </c>
      <c r="G93" s="1489" t="s">
        <v>10493</v>
      </c>
      <c r="H93" s="1489" t="s">
        <v>10494</v>
      </c>
      <c r="I93" s="1489" t="s">
        <v>10495</v>
      </c>
      <c r="J93" s="1489" t="s">
        <v>10496</v>
      </c>
      <c r="K93" s="1489" t="s">
        <v>9733</v>
      </c>
      <c r="L93" s="1489" t="s">
        <v>10497</v>
      </c>
      <c r="M93" s="1489" t="s">
        <v>1674</v>
      </c>
      <c r="N93" s="1489" t="s">
        <v>6356</v>
      </c>
      <c r="O93" s="1489" t="s">
        <v>10498</v>
      </c>
      <c r="P93" s="1489" t="s">
        <v>6440</v>
      </c>
      <c r="Q93" s="1489" t="s">
        <v>10499</v>
      </c>
      <c r="R93" s="1489" t="s">
        <v>9002</v>
      </c>
      <c r="S93" s="1489" t="s">
        <v>10500</v>
      </c>
      <c r="T93" s="1489" t="s">
        <v>10416</v>
      </c>
      <c r="U93" s="1489" t="s">
        <v>10501</v>
      </c>
      <c r="V93" s="1489" t="s">
        <v>842</v>
      </c>
      <c r="W93" s="1489" t="s">
        <v>10502</v>
      </c>
      <c r="X93" s="1489" t="s">
        <v>10503</v>
      </c>
      <c r="Y93" s="1489" t="s">
        <v>1765</v>
      </c>
      <c r="Z93" s="1489" t="s">
        <v>9751</v>
      </c>
      <c r="AA93" s="1489" t="s">
        <v>2412</v>
      </c>
      <c r="AB93" s="1489" t="s">
        <v>5357</v>
      </c>
      <c r="AC93" s="1489" t="s">
        <v>10504</v>
      </c>
      <c r="AD93" s="1489" t="s">
        <v>10505</v>
      </c>
      <c r="AE93" s="1489" t="s">
        <v>1545</v>
      </c>
      <c r="AF93" s="1489" t="s">
        <v>10506</v>
      </c>
      <c r="AG93" s="1489" t="s">
        <v>10507</v>
      </c>
      <c r="AH93" s="1489" t="s">
        <v>10508</v>
      </c>
      <c r="AI93" s="1489" t="s">
        <v>6043</v>
      </c>
      <c r="AJ93" s="1489" t="s">
        <v>10509</v>
      </c>
      <c r="AK93" s="1489" t="s">
        <v>243</v>
      </c>
      <c r="AL93" s="1489" t="s">
        <v>7139</v>
      </c>
      <c r="AM93" s="1489" t="s">
        <v>4332</v>
      </c>
      <c r="AN93" s="1489" t="s">
        <v>10510</v>
      </c>
      <c r="AO93" s="1489" t="s">
        <v>1791</v>
      </c>
      <c r="AP93" s="1489" t="s">
        <v>886</v>
      </c>
      <c r="AQ93" s="1489" t="s">
        <v>10511</v>
      </c>
      <c r="AR93" s="1489" t="s">
        <v>10512</v>
      </c>
      <c r="AS93" s="1489" t="s">
        <v>2180</v>
      </c>
      <c r="AT93" s="1489" t="s">
        <v>10513</v>
      </c>
      <c r="AU93" s="1489" t="s">
        <v>10514</v>
      </c>
      <c r="AV93" s="1562" t="str">
        <f t="shared" si="3"/>
        <v>3:40</v>
      </c>
      <c r="AW93" s="1563" t="s">
        <v>10515</v>
      </c>
    </row>
    <row r="94">
      <c r="A94" s="1435" t="s">
        <v>5385</v>
      </c>
      <c r="B94" s="1433" t="s">
        <v>8542</v>
      </c>
      <c r="C94" s="1388">
        <v>0.05482638888888889</v>
      </c>
      <c r="D94" s="1411" t="s">
        <v>10516</v>
      </c>
      <c r="E94" s="1411" t="s">
        <v>9178</v>
      </c>
      <c r="F94" s="1411" t="s">
        <v>10517</v>
      </c>
      <c r="G94" s="1411" t="s">
        <v>10518</v>
      </c>
      <c r="H94" s="1411" t="s">
        <v>10519</v>
      </c>
      <c r="I94" s="1411">
        <v>50.26</v>
      </c>
      <c r="J94" s="1411" t="s">
        <v>10496</v>
      </c>
      <c r="K94" s="1411" t="s">
        <v>10520</v>
      </c>
      <c r="L94" s="1411" t="s">
        <v>10521</v>
      </c>
      <c r="M94" s="1411" t="s">
        <v>2209</v>
      </c>
      <c r="N94" s="1411" t="s">
        <v>10522</v>
      </c>
      <c r="O94" s="1411" t="s">
        <v>10523</v>
      </c>
      <c r="P94" s="1411">
        <v>49.15</v>
      </c>
      <c r="Q94" s="1411" t="s">
        <v>10524</v>
      </c>
      <c r="R94" s="1411" t="s">
        <v>3385</v>
      </c>
      <c r="S94" s="1411" t="s">
        <v>10525</v>
      </c>
      <c r="T94" s="1411" t="s">
        <v>5001</v>
      </c>
      <c r="U94" s="1411" t="s">
        <v>3184</v>
      </c>
      <c r="V94" s="1411" t="s">
        <v>10526</v>
      </c>
      <c r="W94" s="1411" t="s">
        <v>10527</v>
      </c>
      <c r="X94" s="1411" t="s">
        <v>10528</v>
      </c>
      <c r="Y94" s="1411">
        <v>51.87</v>
      </c>
      <c r="Z94" s="1411" t="s">
        <v>6156</v>
      </c>
      <c r="AA94" s="1411" t="s">
        <v>6409</v>
      </c>
      <c r="AB94" s="1411" t="s">
        <v>6386</v>
      </c>
      <c r="AC94" s="1411">
        <v>49.75</v>
      </c>
      <c r="AD94" s="1411" t="s">
        <v>10529</v>
      </c>
      <c r="AE94" s="1411">
        <v>50.16</v>
      </c>
      <c r="AF94" s="1411" t="s">
        <v>10530</v>
      </c>
      <c r="AG94" s="1411" t="s">
        <v>10531</v>
      </c>
      <c r="AH94" s="1411" t="s">
        <v>6255</v>
      </c>
      <c r="AI94" s="1411" t="s">
        <v>7297</v>
      </c>
      <c r="AJ94" s="1411" t="s">
        <v>10532</v>
      </c>
      <c r="AK94" s="1411" t="s">
        <v>10450</v>
      </c>
      <c r="AL94" s="1411">
        <v>59.29</v>
      </c>
      <c r="AM94" s="1411" t="s">
        <v>4458</v>
      </c>
      <c r="AN94" s="1411" t="s">
        <v>621</v>
      </c>
      <c r="AO94" s="1411" t="s">
        <v>10533</v>
      </c>
      <c r="AP94" s="1411" t="s">
        <v>10534</v>
      </c>
      <c r="AQ94" s="1411" t="s">
        <v>10535</v>
      </c>
      <c r="AR94" s="1411" t="s">
        <v>7369</v>
      </c>
      <c r="AS94" s="1411">
        <v>47.7</v>
      </c>
      <c r="AT94" s="1411" t="s">
        <v>10536</v>
      </c>
      <c r="AU94" s="1416" t="s">
        <v>10537</v>
      </c>
      <c r="AV94" s="1562" t="str">
        <f t="shared" si="3"/>
        <v>5:51</v>
      </c>
      <c r="AW94" s="1570" t="s">
        <v>10538</v>
      </c>
    </row>
    <row r="95">
      <c r="A95" s="1435" t="s">
        <v>5456</v>
      </c>
      <c r="B95" s="1430" t="s">
        <v>8542</v>
      </c>
      <c r="C95" s="1388">
        <v>0.05559027777777778</v>
      </c>
      <c r="D95" s="1538" t="s">
        <v>10539</v>
      </c>
      <c r="E95" s="1489" t="s">
        <v>10540</v>
      </c>
      <c r="F95" s="1489" t="s">
        <v>10541</v>
      </c>
      <c r="G95" s="1489" t="s">
        <v>8240</v>
      </c>
      <c r="H95" s="1489" t="s">
        <v>5742</v>
      </c>
      <c r="I95" s="1489" t="s">
        <v>1842</v>
      </c>
      <c r="J95" s="1489" t="s">
        <v>10542</v>
      </c>
      <c r="K95" s="1489" t="s">
        <v>6160</v>
      </c>
      <c r="L95" s="1489" t="s">
        <v>8383</v>
      </c>
      <c r="M95" s="1489" t="s">
        <v>7374</v>
      </c>
      <c r="N95" s="1489" t="s">
        <v>10543</v>
      </c>
      <c r="O95" s="1489" t="s">
        <v>10544</v>
      </c>
      <c r="P95" s="1489" t="s">
        <v>187</v>
      </c>
      <c r="Q95" s="1489" t="s">
        <v>1756</v>
      </c>
      <c r="R95" s="1489" t="s">
        <v>10545</v>
      </c>
      <c r="S95" s="1489" t="s">
        <v>5182</v>
      </c>
      <c r="T95" s="1489" t="s">
        <v>10546</v>
      </c>
      <c r="U95" s="1489" t="s">
        <v>10547</v>
      </c>
      <c r="V95" s="1489" t="s">
        <v>6438</v>
      </c>
      <c r="W95" s="1489" t="s">
        <v>9309</v>
      </c>
      <c r="X95" s="1489" t="s">
        <v>4957</v>
      </c>
      <c r="Y95" s="1489" t="s">
        <v>99</v>
      </c>
      <c r="Z95" s="1489" t="s">
        <v>10548</v>
      </c>
      <c r="AA95" s="1489" t="s">
        <v>10311</v>
      </c>
      <c r="AB95" s="1489" t="s">
        <v>3592</v>
      </c>
      <c r="AC95" s="1489" t="s">
        <v>4698</v>
      </c>
      <c r="AD95" s="1489" t="s">
        <v>6079</v>
      </c>
      <c r="AE95" s="1489" t="s">
        <v>860</v>
      </c>
      <c r="AF95" s="1489" t="s">
        <v>10549</v>
      </c>
      <c r="AG95" s="1489" t="s">
        <v>10550</v>
      </c>
      <c r="AH95" s="1489" t="s">
        <v>8274</v>
      </c>
      <c r="AI95" s="1489" t="s">
        <v>10551</v>
      </c>
      <c r="AJ95" s="1489" t="s">
        <v>10552</v>
      </c>
      <c r="AK95" s="1489" t="s">
        <v>4530</v>
      </c>
      <c r="AL95" s="1489" t="s">
        <v>125</v>
      </c>
      <c r="AM95" s="1489" t="s">
        <v>10553</v>
      </c>
      <c r="AN95" s="1489" t="s">
        <v>10554</v>
      </c>
      <c r="AO95" s="1489" t="s">
        <v>1039</v>
      </c>
      <c r="AP95" s="1489" t="s">
        <v>10555</v>
      </c>
      <c r="AQ95" s="1489" t="s">
        <v>10556</v>
      </c>
      <c r="AR95" s="1489" t="s">
        <v>10557</v>
      </c>
      <c r="AS95" s="1489" t="s">
        <v>830</v>
      </c>
      <c r="AT95" s="1489" t="s">
        <v>10558</v>
      </c>
      <c r="AU95" s="1489" t="s">
        <v>10559</v>
      </c>
      <c r="AV95" s="1562" t="str">
        <f t="shared" si="3"/>
        <v>5:05</v>
      </c>
      <c r="AW95" s="1563" t="s">
        <v>10560</v>
      </c>
    </row>
    <row r="96">
      <c r="A96" s="1435" t="s">
        <v>4880</v>
      </c>
      <c r="B96" s="1430" t="s">
        <v>8573</v>
      </c>
      <c r="C96" s="1477">
        <v>0.05565972222222222</v>
      </c>
      <c r="D96" s="1489" t="s">
        <v>10561</v>
      </c>
      <c r="E96" s="1489" t="s">
        <v>3227</v>
      </c>
      <c r="F96" s="1489" t="s">
        <v>10562</v>
      </c>
      <c r="G96" s="1489" t="s">
        <v>10563</v>
      </c>
      <c r="H96" s="1202" t="s">
        <v>9087</v>
      </c>
      <c r="I96" s="1489" t="s">
        <v>3589</v>
      </c>
      <c r="J96" s="1489" t="s">
        <v>9318</v>
      </c>
      <c r="K96" s="1489" t="s">
        <v>804</v>
      </c>
      <c r="L96" s="1489" t="s">
        <v>10564</v>
      </c>
      <c r="M96" s="1489" t="s">
        <v>10565</v>
      </c>
      <c r="N96" s="1489" t="s">
        <v>6276</v>
      </c>
      <c r="O96" s="1489" t="s">
        <v>10566</v>
      </c>
      <c r="P96" s="1489" t="s">
        <v>9987</v>
      </c>
      <c r="Q96" s="1489" t="s">
        <v>10567</v>
      </c>
      <c r="R96" s="1489" t="s">
        <v>9753</v>
      </c>
      <c r="S96" s="1489" t="s">
        <v>416</v>
      </c>
      <c r="T96" s="1489" t="s">
        <v>10568</v>
      </c>
      <c r="U96" s="1489" t="s">
        <v>10569</v>
      </c>
      <c r="V96" s="1489" t="s">
        <v>10570</v>
      </c>
      <c r="W96" s="1489" t="s">
        <v>10571</v>
      </c>
      <c r="X96" s="1489" t="s">
        <v>10572</v>
      </c>
      <c r="Y96" s="1489" t="s">
        <v>2385</v>
      </c>
      <c r="Z96" s="1489" t="s">
        <v>5271</v>
      </c>
      <c r="AA96" s="1489" t="s">
        <v>9920</v>
      </c>
      <c r="AB96" s="1489" t="s">
        <v>10257</v>
      </c>
      <c r="AC96" s="1489" t="s">
        <v>9758</v>
      </c>
      <c r="AD96" s="1489" t="s">
        <v>10573</v>
      </c>
      <c r="AE96" s="1489" t="s">
        <v>10574</v>
      </c>
      <c r="AF96" s="1489" t="s">
        <v>10575</v>
      </c>
      <c r="AG96" s="1489" t="s">
        <v>10576</v>
      </c>
      <c r="AH96" s="1489" t="s">
        <v>10577</v>
      </c>
      <c r="AI96" s="1489" t="s">
        <v>10578</v>
      </c>
      <c r="AJ96" s="1489" t="s">
        <v>10579</v>
      </c>
      <c r="AK96" s="1489" t="s">
        <v>7329</v>
      </c>
      <c r="AL96" s="1489" t="s">
        <v>3719</v>
      </c>
      <c r="AM96" s="1489" t="s">
        <v>4806</v>
      </c>
      <c r="AN96" s="1489" t="s">
        <v>10580</v>
      </c>
      <c r="AO96" s="1489" t="s">
        <v>1984</v>
      </c>
      <c r="AP96" s="1489" t="s">
        <v>10581</v>
      </c>
      <c r="AQ96" s="1489" t="s">
        <v>10582</v>
      </c>
      <c r="AR96" s="1489" t="s">
        <v>10583</v>
      </c>
      <c r="AS96" s="1489" t="s">
        <v>2241</v>
      </c>
      <c r="AT96" s="1489" t="s">
        <v>10584</v>
      </c>
      <c r="AU96" s="1489" t="s">
        <v>10585</v>
      </c>
      <c r="AV96" s="1562" t="str">
        <f t="shared" si="3"/>
        <v>8:24</v>
      </c>
      <c r="AW96" s="1563" t="s">
        <v>9616</v>
      </c>
    </row>
    <row r="97">
      <c r="A97" s="1490" t="s">
        <v>10586</v>
      </c>
      <c r="B97" s="1465" t="s">
        <v>8573</v>
      </c>
      <c r="C97" s="1531">
        <v>0.057881944444444444</v>
      </c>
      <c r="D97" s="1489" t="s">
        <v>10587</v>
      </c>
      <c r="E97" s="1562" t="s">
        <v>10588</v>
      </c>
      <c r="F97" s="1489" t="s">
        <v>10589</v>
      </c>
      <c r="G97" s="1489" t="s">
        <v>10590</v>
      </c>
      <c r="H97" s="1562" t="s">
        <v>10591</v>
      </c>
      <c r="I97" s="1562" t="s">
        <v>1029</v>
      </c>
      <c r="J97" s="1562" t="s">
        <v>10592</v>
      </c>
      <c r="K97" s="1562" t="s">
        <v>3643</v>
      </c>
      <c r="L97" s="1562" t="s">
        <v>10593</v>
      </c>
      <c r="M97" s="1562" t="s">
        <v>6799</v>
      </c>
      <c r="N97" s="1562" t="s">
        <v>10594</v>
      </c>
      <c r="O97" s="1562" t="s">
        <v>10595</v>
      </c>
      <c r="P97" s="1562" t="s">
        <v>3680</v>
      </c>
      <c r="Q97" s="1562" t="s">
        <v>10596</v>
      </c>
      <c r="R97" s="1562" t="s">
        <v>10597</v>
      </c>
      <c r="S97" s="1562" t="s">
        <v>10598</v>
      </c>
      <c r="T97" s="1562" t="s">
        <v>1764</v>
      </c>
      <c r="U97" s="1562" t="s">
        <v>10599</v>
      </c>
      <c r="V97" s="1562" t="s">
        <v>10600</v>
      </c>
      <c r="W97" s="1562" t="s">
        <v>10601</v>
      </c>
      <c r="X97" s="1562" t="s">
        <v>10602</v>
      </c>
      <c r="Y97" s="1562" t="s">
        <v>2850</v>
      </c>
      <c r="Z97" s="1562" t="s">
        <v>10603</v>
      </c>
      <c r="AA97" s="1489" t="s">
        <v>10604</v>
      </c>
      <c r="AB97" s="1562" t="s">
        <v>9121</v>
      </c>
      <c r="AC97" s="1562" t="s">
        <v>3498</v>
      </c>
      <c r="AD97" s="1562" t="s">
        <v>5234</v>
      </c>
      <c r="AE97" s="1562" t="s">
        <v>2570</v>
      </c>
      <c r="AF97" s="1562" t="s">
        <v>10605</v>
      </c>
      <c r="AG97" s="1562" t="s">
        <v>5680</v>
      </c>
      <c r="AH97" s="1562" t="s">
        <v>10606</v>
      </c>
      <c r="AI97" s="1562" t="s">
        <v>4827</v>
      </c>
      <c r="AJ97" s="1562" t="s">
        <v>10607</v>
      </c>
      <c r="AK97" s="1562" t="s">
        <v>10608</v>
      </c>
      <c r="AL97" s="1562" t="s">
        <v>3891</v>
      </c>
      <c r="AM97" s="1562" t="s">
        <v>4835</v>
      </c>
      <c r="AN97" s="1562" t="s">
        <v>10609</v>
      </c>
      <c r="AO97" s="1562" t="s">
        <v>9988</v>
      </c>
      <c r="AP97" s="1562" t="s">
        <v>10610</v>
      </c>
      <c r="AQ97" s="1562" t="s">
        <v>7346</v>
      </c>
      <c r="AR97" s="1562" t="s">
        <v>10611</v>
      </c>
      <c r="AS97" s="1562" t="s">
        <v>616</v>
      </c>
      <c r="AT97" s="1562" t="s">
        <v>10612</v>
      </c>
      <c r="AU97" s="1562" t="s">
        <v>10613</v>
      </c>
      <c r="AV97" s="1562" t="str">
        <f t="shared" si="3"/>
        <v>2:11</v>
      </c>
      <c r="AW97" s="1567" t="s">
        <v>10614</v>
      </c>
    </row>
    <row r="98" ht="15.75" customHeight="1">
      <c r="A98" s="1435" t="s">
        <v>6240</v>
      </c>
      <c r="B98" s="1465" t="s">
        <v>8573</v>
      </c>
      <c r="C98" s="1388">
        <v>0.06635416666666667</v>
      </c>
      <c r="D98" s="1202" t="s">
        <v>10615</v>
      </c>
      <c r="E98" s="1202" t="s">
        <v>8439</v>
      </c>
      <c r="F98" s="1202" t="s">
        <v>10616</v>
      </c>
      <c r="G98" s="1202" t="s">
        <v>10617</v>
      </c>
      <c r="H98" s="1202" t="s">
        <v>10618</v>
      </c>
      <c r="I98" s="1202" t="s">
        <v>3507</v>
      </c>
      <c r="J98" s="1202" t="s">
        <v>10619</v>
      </c>
      <c r="K98" s="1202" t="s">
        <v>3859</v>
      </c>
      <c r="L98" s="1202" t="s">
        <v>7375</v>
      </c>
      <c r="M98" s="1202" t="s">
        <v>940</v>
      </c>
      <c r="N98" s="1202" t="s">
        <v>10620</v>
      </c>
      <c r="O98" s="1202" t="s">
        <v>10621</v>
      </c>
      <c r="P98" s="1202" t="s">
        <v>5150</v>
      </c>
      <c r="Q98" s="1202" t="s">
        <v>10622</v>
      </c>
      <c r="R98" s="1202" t="s">
        <v>4545</v>
      </c>
      <c r="S98" s="1202" t="s">
        <v>10623</v>
      </c>
      <c r="T98" s="1202" t="s">
        <v>10502</v>
      </c>
      <c r="U98" s="1202" t="s">
        <v>10624</v>
      </c>
      <c r="V98" s="1202" t="s">
        <v>7886</v>
      </c>
      <c r="W98" s="1202" t="s">
        <v>10625</v>
      </c>
      <c r="X98" s="1202" t="s">
        <v>10626</v>
      </c>
      <c r="Y98" s="1202" t="s">
        <v>756</v>
      </c>
      <c r="Z98" s="1202" t="s">
        <v>10627</v>
      </c>
      <c r="AA98" s="1562"/>
      <c r="AB98" s="1202" t="s">
        <v>10628</v>
      </c>
      <c r="AC98" s="1202" t="s">
        <v>959</v>
      </c>
      <c r="AD98" s="1202" t="s">
        <v>10629</v>
      </c>
      <c r="AE98" s="1202" t="s">
        <v>10630</v>
      </c>
      <c r="AF98" s="1202" t="s">
        <v>10631</v>
      </c>
      <c r="AG98" s="1202" t="s">
        <v>10632</v>
      </c>
      <c r="AH98" s="1202" t="s">
        <v>4105</v>
      </c>
      <c r="AI98" s="1202" t="s">
        <v>10633</v>
      </c>
      <c r="AJ98" s="1202" t="s">
        <v>10634</v>
      </c>
      <c r="AK98" s="1202" t="s">
        <v>10635</v>
      </c>
      <c r="AL98" s="1202" t="s">
        <v>10636</v>
      </c>
      <c r="AM98" s="1202" t="s">
        <v>10637</v>
      </c>
      <c r="AN98" s="1202" t="s">
        <v>9183</v>
      </c>
      <c r="AO98" s="1202" t="s">
        <v>2325</v>
      </c>
      <c r="AP98" s="1202" t="s">
        <v>10638</v>
      </c>
      <c r="AQ98" s="1202" t="s">
        <v>129</v>
      </c>
      <c r="AR98" s="1202" t="s">
        <v>10639</v>
      </c>
      <c r="AS98" s="1202" t="s">
        <v>4011</v>
      </c>
      <c r="AT98" s="1202" t="s">
        <v>10640</v>
      </c>
      <c r="AU98" s="1468" t="s">
        <v>10641</v>
      </c>
      <c r="AV98" s="1562" t="str">
        <f t="shared" si="3"/>
        <v>9:53</v>
      </c>
      <c r="AW98" s="1570" t="s">
        <v>10642</v>
      </c>
    </row>
    <row r="99">
      <c r="A99" s="1435" t="s">
        <v>4652</v>
      </c>
      <c r="B99" s="1433" t="s">
        <v>8573</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8589</v>
      </c>
      <c r="AG99" s="1446"/>
      <c r="AH99" s="1446"/>
      <c r="AI99" s="1446"/>
      <c r="AJ99" s="1446"/>
      <c r="AK99" s="1446"/>
      <c r="AL99" s="1446"/>
      <c r="AM99" s="1448"/>
      <c r="AN99" s="1448"/>
      <c r="AO99" s="1448"/>
      <c r="AP99" s="1448"/>
      <c r="AQ99" s="1448"/>
      <c r="AR99" s="1448"/>
      <c r="AS99" s="1448"/>
      <c r="AT99" s="1442"/>
      <c r="AU99" s="1428"/>
      <c r="AV99" s="1428"/>
      <c r="AW99" s="1434"/>
    </row>
    <row r="100">
      <c r="A100" s="1435" t="s">
        <v>6480</v>
      </c>
      <c r="B100" s="1430" t="s">
        <v>8573</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9080</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8504</v>
      </c>
      <c r="C1" s="1322" t="s">
        <v>8505</v>
      </c>
      <c r="D1" s="1613" t="s">
        <v>10643</v>
      </c>
      <c r="E1" s="1614" t="s">
        <v>6717</v>
      </c>
      <c r="F1" s="1615" t="s">
        <v>7017</v>
      </c>
      <c r="G1" s="1616" t="s">
        <v>38</v>
      </c>
      <c r="H1" s="1617" t="s">
        <v>36</v>
      </c>
      <c r="I1" s="1613" t="s">
        <v>10644</v>
      </c>
      <c r="J1" s="1618" t="s">
        <v>39</v>
      </c>
      <c r="K1" s="1619" t="s">
        <v>6955</v>
      </c>
      <c r="L1" s="1330" t="s">
        <v>8537</v>
      </c>
      <c r="M1" s="1620" t="s">
        <v>8538</v>
      </c>
      <c r="N1" s="1621" t="s">
        <v>8539</v>
      </c>
      <c r="O1" s="1320" t="s">
        <v>8540</v>
      </c>
    </row>
    <row r="2" ht="15.75" customHeight="1">
      <c r="A2" s="1622" t="s">
        <v>8541</v>
      </c>
      <c r="B2" s="1623" t="s">
        <v>8542</v>
      </c>
      <c r="C2" s="1624">
        <v>0.04982638888888889</v>
      </c>
      <c r="D2" s="1625" t="s">
        <v>10645</v>
      </c>
      <c r="E2" s="1626" t="s">
        <v>10646</v>
      </c>
      <c r="F2" s="1627" t="s">
        <v>10647</v>
      </c>
      <c r="G2" s="1628" t="s">
        <v>10648</v>
      </c>
      <c r="H2" s="1629" t="s">
        <v>10649</v>
      </c>
      <c r="I2" s="1630" t="s">
        <v>10650</v>
      </c>
      <c r="J2" s="1631" t="s">
        <v>10651</v>
      </c>
      <c r="K2" s="1632" t="s">
        <v>10652</v>
      </c>
      <c r="L2" s="1633" t="s">
        <v>8570</v>
      </c>
      <c r="M2" s="1624">
        <v>0.0505787037037037</v>
      </c>
      <c r="N2" s="1634" t="str">
        <f t="shared" ref="N2:N39" si="1">TEXT(M2-C2, "m:ss")</f>
        <v>1:05</v>
      </c>
      <c r="O2" s="1635"/>
    </row>
    <row r="3" ht="15.75" customHeight="1">
      <c r="A3" s="1353" t="s">
        <v>8572</v>
      </c>
      <c r="B3" s="1636" t="s">
        <v>8573</v>
      </c>
      <c r="C3" s="1637">
        <v>0.051458333333333335</v>
      </c>
      <c r="D3" s="1356" t="s">
        <v>10653</v>
      </c>
      <c r="E3" s="1638" t="s">
        <v>5845</v>
      </c>
      <c r="F3" s="1358" t="s">
        <v>10654</v>
      </c>
      <c r="G3" s="1359" t="s">
        <v>10655</v>
      </c>
      <c r="H3" s="1363" t="s">
        <v>10656</v>
      </c>
      <c r="I3" s="1356" t="s">
        <v>10657</v>
      </c>
      <c r="J3" s="1365" t="s">
        <v>10658</v>
      </c>
      <c r="K3" s="1367" t="s">
        <v>10659</v>
      </c>
      <c r="L3" s="1369" t="s">
        <v>9174</v>
      </c>
      <c r="M3" s="1637">
        <v>0.05236111111111111</v>
      </c>
      <c r="N3" s="1639" t="str">
        <f t="shared" si="1"/>
        <v>1:18</v>
      </c>
    </row>
    <row r="4" ht="15.75" customHeight="1">
      <c r="A4" s="1371" t="s">
        <v>8598</v>
      </c>
      <c r="B4" s="1640" t="s">
        <v>8599</v>
      </c>
      <c r="C4" s="1641">
        <f>C24</f>
        <v>0.05158564815</v>
      </c>
      <c r="D4" s="1374" t="s">
        <v>10660</v>
      </c>
      <c r="E4" s="1642" t="s">
        <v>10661</v>
      </c>
      <c r="F4" s="1376" t="s">
        <v>10662</v>
      </c>
      <c r="G4" s="1377" t="s">
        <v>10663</v>
      </c>
      <c r="H4" s="1378" t="s">
        <v>10664</v>
      </c>
      <c r="I4" s="1374" t="s">
        <v>10665</v>
      </c>
      <c r="J4" s="1380" t="s">
        <v>10666</v>
      </c>
      <c r="K4" s="1381" t="s">
        <v>10667</v>
      </c>
      <c r="L4" s="1383" t="s">
        <v>8629</v>
      </c>
      <c r="M4" s="1643">
        <f>M24</f>
        <v>0.0521412037</v>
      </c>
      <c r="N4" s="1643" t="str">
        <f t="shared" si="1"/>
        <v>0:48</v>
      </c>
    </row>
    <row r="5" ht="15.75" customHeight="1">
      <c r="A5" s="1571" t="s">
        <v>1060</v>
      </c>
      <c r="B5" s="1548" t="s">
        <v>8542</v>
      </c>
      <c r="C5" s="1644">
        <v>0.04986111111111111</v>
      </c>
      <c r="D5" s="1645" t="s">
        <v>10645</v>
      </c>
      <c r="E5" s="1412" t="s">
        <v>10668</v>
      </c>
      <c r="F5" s="1645" t="s">
        <v>10647</v>
      </c>
      <c r="G5" s="1645" t="s">
        <v>10648</v>
      </c>
      <c r="H5" s="1645" t="s">
        <v>10649</v>
      </c>
      <c r="I5" s="1409" t="s">
        <v>10669</v>
      </c>
      <c r="J5" s="1646" t="s">
        <v>10670</v>
      </c>
      <c r="K5" s="1645" t="s">
        <v>10652</v>
      </c>
      <c r="L5" s="1397" t="s">
        <v>10671</v>
      </c>
      <c r="M5" s="1467" t="s">
        <v>8571</v>
      </c>
      <c r="N5" s="1647" t="str">
        <f t="shared" si="1"/>
        <v>1:02</v>
      </c>
      <c r="O5" s="1409" t="s">
        <v>10672</v>
      </c>
    </row>
    <row r="6" ht="15.75" customHeight="1">
      <c r="A6" s="1648" t="s">
        <v>433</v>
      </c>
      <c r="B6" s="1387" t="s">
        <v>8542</v>
      </c>
      <c r="C6" s="1649">
        <v>0.04998842592592593</v>
      </c>
      <c r="D6" s="1409" t="s">
        <v>10673</v>
      </c>
      <c r="E6" s="1650" t="s">
        <v>10646</v>
      </c>
      <c r="F6" s="1409" t="s">
        <v>10674</v>
      </c>
      <c r="G6" s="1409" t="s">
        <v>10675</v>
      </c>
      <c r="H6" s="1409" t="s">
        <v>10676</v>
      </c>
      <c r="I6" s="1409" t="s">
        <v>10677</v>
      </c>
      <c r="J6" s="1467" t="s">
        <v>10651</v>
      </c>
      <c r="K6" s="1409" t="s">
        <v>10678</v>
      </c>
      <c r="L6" s="1409" t="s">
        <v>8665</v>
      </c>
      <c r="M6" s="1409" t="s">
        <v>8666</v>
      </c>
      <c r="N6" s="1651" t="str">
        <f t="shared" si="1"/>
        <v>1:18</v>
      </c>
      <c r="O6" s="1409" t="s">
        <v>10679</v>
      </c>
    </row>
    <row r="7" ht="15.75" customHeight="1">
      <c r="A7" s="1598" t="s">
        <v>1806</v>
      </c>
      <c r="B7" s="1387" t="s">
        <v>8542</v>
      </c>
      <c r="C7" s="1644">
        <v>0.050150462962962966</v>
      </c>
      <c r="D7" s="1409" t="s">
        <v>10680</v>
      </c>
      <c r="E7" s="1409" t="s">
        <v>10681</v>
      </c>
      <c r="F7" s="1409" t="s">
        <v>10682</v>
      </c>
      <c r="G7" s="1409" t="s">
        <v>10683</v>
      </c>
      <c r="H7" s="1409" t="s">
        <v>10684</v>
      </c>
      <c r="I7" s="1409" t="s">
        <v>10685</v>
      </c>
      <c r="J7" s="1409" t="s">
        <v>10686</v>
      </c>
      <c r="K7" s="1409" t="s">
        <v>10687</v>
      </c>
      <c r="L7" s="1646" t="s">
        <v>8570</v>
      </c>
      <c r="M7" s="1652">
        <v>0.05077546296296296</v>
      </c>
      <c r="N7" s="1651" t="str">
        <f t="shared" si="1"/>
        <v>0:54</v>
      </c>
      <c r="O7" s="1409" t="s">
        <v>10679</v>
      </c>
    </row>
    <row r="8" ht="15.75" customHeight="1">
      <c r="A8" s="1648" t="s">
        <v>6433</v>
      </c>
      <c r="B8" s="1450" t="s">
        <v>8542</v>
      </c>
      <c r="C8" s="1653">
        <v>0.05025462962962963</v>
      </c>
      <c r="D8" s="1589" t="s">
        <v>10688</v>
      </c>
      <c r="E8" s="1410" t="s">
        <v>10689</v>
      </c>
      <c r="F8" s="1409" t="s">
        <v>10690</v>
      </c>
      <c r="G8" s="1409" t="s">
        <v>10691</v>
      </c>
      <c r="H8" s="1409" t="s">
        <v>10692</v>
      </c>
      <c r="I8" s="1409" t="s">
        <v>10474</v>
      </c>
      <c r="J8" s="1409" t="s">
        <v>10693</v>
      </c>
      <c r="K8" s="1409" t="s">
        <v>10694</v>
      </c>
      <c r="L8" s="1409" t="s">
        <v>8758</v>
      </c>
      <c r="M8" s="1652" t="s">
        <v>8759</v>
      </c>
      <c r="N8" s="1651" t="str">
        <f t="shared" si="1"/>
        <v>0:36</v>
      </c>
      <c r="O8" s="1409"/>
    </row>
    <row r="9" ht="15.75" customHeight="1">
      <c r="A9" s="1598" t="s">
        <v>6491</v>
      </c>
      <c r="B9" s="1387" t="s">
        <v>8542</v>
      </c>
      <c r="C9" s="1653">
        <v>0.050416666666666665</v>
      </c>
      <c r="D9" s="1409" t="s">
        <v>10695</v>
      </c>
      <c r="E9" s="1410" t="s">
        <v>10696</v>
      </c>
      <c r="F9" s="1412" t="s">
        <v>10697</v>
      </c>
      <c r="G9" s="1412" t="s">
        <v>10698</v>
      </c>
      <c r="H9" s="1409" t="s">
        <v>10699</v>
      </c>
      <c r="I9" s="1467" t="s">
        <v>10650</v>
      </c>
      <c r="J9" s="1409" t="s">
        <v>10700</v>
      </c>
      <c r="K9" s="1409" t="s">
        <v>10701</v>
      </c>
      <c r="L9" s="1412" t="s">
        <v>10702</v>
      </c>
      <c r="M9" s="1652">
        <v>0.0512037037037037</v>
      </c>
      <c r="N9" s="1651" t="str">
        <f t="shared" si="1"/>
        <v>1:08</v>
      </c>
      <c r="O9" s="1409" t="s">
        <v>10679</v>
      </c>
    </row>
    <row r="10">
      <c r="A10" s="1654" t="s">
        <v>826</v>
      </c>
      <c r="B10" s="1655" t="s">
        <v>8542</v>
      </c>
      <c r="C10" s="1653">
        <v>0.05047453703703704</v>
      </c>
      <c r="D10" s="1521" t="s">
        <v>10703</v>
      </c>
      <c r="E10" s="1410" t="s">
        <v>10704</v>
      </c>
      <c r="F10" s="1646" t="s">
        <v>10705</v>
      </c>
      <c r="G10" s="1409" t="s">
        <v>10706</v>
      </c>
      <c r="H10" s="1409" t="s">
        <v>10707</v>
      </c>
      <c r="I10" s="1409" t="s">
        <v>10708</v>
      </c>
      <c r="J10" s="1409" t="s">
        <v>10709</v>
      </c>
      <c r="K10" s="1409" t="s">
        <v>10710</v>
      </c>
      <c r="L10" s="1409" t="s">
        <v>3569</v>
      </c>
      <c r="M10" s="1652">
        <v>0.051076388888888886</v>
      </c>
      <c r="N10" s="1651" t="str">
        <f t="shared" si="1"/>
        <v>0:52</v>
      </c>
      <c r="O10" s="1409" t="s">
        <v>10711</v>
      </c>
    </row>
    <row r="11" ht="15.75" customHeight="1">
      <c r="A11" s="1571" t="s">
        <v>1557</v>
      </c>
      <c r="B11" s="1656" t="s">
        <v>8542</v>
      </c>
      <c r="C11" s="1653">
        <v>0.05061342592592592</v>
      </c>
      <c r="D11" s="1657" t="s">
        <v>10712</v>
      </c>
      <c r="E11" s="1410" t="s">
        <v>10713</v>
      </c>
      <c r="F11" s="1658" t="s">
        <v>10714</v>
      </c>
      <c r="G11" s="1409" t="s">
        <v>10715</v>
      </c>
      <c r="H11" s="1658" t="s">
        <v>10716</v>
      </c>
      <c r="I11" s="1658" t="s">
        <v>10717</v>
      </c>
      <c r="J11" s="1409" t="s">
        <v>10718</v>
      </c>
      <c r="K11" s="1409" t="s">
        <v>10719</v>
      </c>
      <c r="L11" s="1409" t="s">
        <v>3599</v>
      </c>
      <c r="M11" s="1652">
        <v>0.05122685185185185</v>
      </c>
      <c r="N11" s="1651" t="str">
        <f t="shared" si="1"/>
        <v>0:53</v>
      </c>
      <c r="O11" s="1409" t="s">
        <v>10720</v>
      </c>
    </row>
    <row r="12" ht="15.75" customHeight="1">
      <c r="A12" s="1603" t="s">
        <v>2079</v>
      </c>
      <c r="B12" s="1387" t="s">
        <v>8542</v>
      </c>
      <c r="C12" s="1649">
        <v>0.05061342592592592</v>
      </c>
      <c r="D12" s="1521" t="s">
        <v>10721</v>
      </c>
      <c r="E12" s="1659" t="s">
        <v>10722</v>
      </c>
      <c r="F12" s="1409" t="s">
        <v>10723</v>
      </c>
      <c r="G12" s="1409" t="s">
        <v>10724</v>
      </c>
      <c r="H12" s="1409" t="s">
        <v>10725</v>
      </c>
      <c r="I12" s="1409" t="s">
        <v>10726</v>
      </c>
      <c r="J12" s="1409" t="s">
        <v>10727</v>
      </c>
      <c r="K12" s="1409" t="s">
        <v>10728</v>
      </c>
      <c r="L12" s="1409" t="s">
        <v>6405</v>
      </c>
      <c r="M12" s="1652">
        <v>0.05153935185185185</v>
      </c>
      <c r="N12" s="1651" t="str">
        <f t="shared" si="1"/>
        <v>1:20</v>
      </c>
      <c r="O12" s="1409" t="s">
        <v>10679</v>
      </c>
    </row>
    <row r="13" ht="15.75" customHeight="1">
      <c r="A13" s="1648" t="s">
        <v>327</v>
      </c>
      <c r="B13" s="1387" t="s">
        <v>8542</v>
      </c>
      <c r="C13" s="1649">
        <v>0.05068287037037037</v>
      </c>
      <c r="D13" s="1409" t="s">
        <v>10729</v>
      </c>
      <c r="E13" s="1659" t="s">
        <v>10730</v>
      </c>
      <c r="F13" s="1409" t="s">
        <v>10731</v>
      </c>
      <c r="G13" s="1409" t="s">
        <v>10732</v>
      </c>
      <c r="H13" s="1409" t="s">
        <v>10733</v>
      </c>
      <c r="I13" s="1409" t="s">
        <v>6366</v>
      </c>
      <c r="J13" s="1409" t="s">
        <v>10734</v>
      </c>
      <c r="K13" s="1409" t="s">
        <v>10735</v>
      </c>
      <c r="L13" s="1660" t="s">
        <v>8736</v>
      </c>
      <c r="M13" s="1652">
        <v>0.05164351851851852</v>
      </c>
      <c r="N13" s="1651" t="str">
        <f t="shared" si="1"/>
        <v>1:23</v>
      </c>
      <c r="O13" s="1409" t="s">
        <v>10679</v>
      </c>
    </row>
    <row r="14">
      <c r="A14" s="1661" t="s">
        <v>2891</v>
      </c>
      <c r="B14" s="1662" t="s">
        <v>8542</v>
      </c>
      <c r="C14" s="1649">
        <v>0.05074791666666666</v>
      </c>
      <c r="D14" s="1663" t="s">
        <v>10736</v>
      </c>
      <c r="E14" s="1664" t="s">
        <v>5017</v>
      </c>
      <c r="F14" s="1646" t="s">
        <v>10737</v>
      </c>
      <c r="G14" s="1646" t="s">
        <v>10738</v>
      </c>
      <c r="H14" s="1646" t="s">
        <v>10739</v>
      </c>
      <c r="I14" s="1646" t="s">
        <v>10740</v>
      </c>
      <c r="J14" s="1646" t="s">
        <v>10741</v>
      </c>
      <c r="K14" s="1646" t="s">
        <v>10742</v>
      </c>
      <c r="L14" s="1646" t="s">
        <v>1991</v>
      </c>
      <c r="M14" s="1652">
        <v>0.052210648148148145</v>
      </c>
      <c r="N14" s="1652" t="str">
        <f t="shared" si="1"/>
        <v>2:06</v>
      </c>
      <c r="O14" s="1409"/>
    </row>
    <row r="15" ht="15.75" customHeight="1">
      <c r="A15" s="1586" t="s">
        <v>2222</v>
      </c>
      <c r="B15" s="1548" t="s">
        <v>8573</v>
      </c>
      <c r="C15" s="1653">
        <v>0.05096064814814815</v>
      </c>
      <c r="D15" s="1589" t="s">
        <v>10743</v>
      </c>
      <c r="E15" s="1665" t="s">
        <v>10744</v>
      </c>
      <c r="F15" s="1665" t="s">
        <v>10745</v>
      </c>
      <c r="G15" s="1665" t="s">
        <v>10746</v>
      </c>
      <c r="H15" s="1665" t="s">
        <v>10747</v>
      </c>
      <c r="I15" s="1665" t="s">
        <v>10748</v>
      </c>
      <c r="J15" s="1665" t="s">
        <v>10749</v>
      </c>
      <c r="K15" s="1409" t="s">
        <v>10750</v>
      </c>
      <c r="L15" s="1666" t="s">
        <v>8847</v>
      </c>
      <c r="M15" s="1652">
        <v>0.0528125</v>
      </c>
      <c r="N15" s="1651" t="str">
        <f t="shared" si="1"/>
        <v>2:40</v>
      </c>
      <c r="O15" s="1409" t="s">
        <v>10679</v>
      </c>
    </row>
    <row r="16" ht="15.75" customHeight="1">
      <c r="A16" s="1667" t="s">
        <v>2638</v>
      </c>
      <c r="B16" s="1387" t="s">
        <v>8542</v>
      </c>
      <c r="C16" s="1668">
        <v>0.05103009259259259</v>
      </c>
      <c r="D16" s="1409" t="s">
        <v>10751</v>
      </c>
      <c r="E16" s="1659" t="s">
        <v>10287</v>
      </c>
      <c r="F16" s="1409" t="s">
        <v>10752</v>
      </c>
      <c r="G16" s="1409" t="s">
        <v>10753</v>
      </c>
      <c r="H16" s="1646" t="s">
        <v>10754</v>
      </c>
      <c r="I16" s="1409" t="s">
        <v>10755</v>
      </c>
      <c r="J16" s="1409" t="s">
        <v>10756</v>
      </c>
      <c r="K16" s="1409" t="s">
        <v>10757</v>
      </c>
      <c r="L16" s="1409" t="s">
        <v>10758</v>
      </c>
      <c r="M16" s="1652">
        <v>0.051909722222222225</v>
      </c>
      <c r="N16" s="1651" t="str">
        <f t="shared" si="1"/>
        <v>1:16</v>
      </c>
      <c r="O16" s="1409" t="s">
        <v>10679</v>
      </c>
    </row>
    <row r="17" ht="15.75" customHeight="1">
      <c r="A17" s="1586" t="s">
        <v>2260</v>
      </c>
      <c r="B17" s="1450" t="s">
        <v>8542</v>
      </c>
      <c r="C17" s="1649">
        <v>0.051145833333333335</v>
      </c>
      <c r="D17" s="1521" t="s">
        <v>10759</v>
      </c>
      <c r="E17" s="1410" t="s">
        <v>10760</v>
      </c>
      <c r="F17" s="1409" t="s">
        <v>10761</v>
      </c>
      <c r="G17" s="1409" t="s">
        <v>10762</v>
      </c>
      <c r="H17" s="1409" t="s">
        <v>10763</v>
      </c>
      <c r="I17" s="1409" t="s">
        <v>10764</v>
      </c>
      <c r="J17" s="1409" t="s">
        <v>10765</v>
      </c>
      <c r="K17" s="1409" t="s">
        <v>10766</v>
      </c>
      <c r="L17" s="1409" t="s">
        <v>3070</v>
      </c>
      <c r="M17" s="1652">
        <v>0.05228009259259259</v>
      </c>
      <c r="N17" s="1651" t="str">
        <f t="shared" si="1"/>
        <v>1:38</v>
      </c>
      <c r="O17" s="1409" t="s">
        <v>10767</v>
      </c>
    </row>
    <row r="18" ht="15.75" customHeight="1">
      <c r="A18" s="1648" t="s">
        <v>1419</v>
      </c>
      <c r="B18" s="1387" t="s">
        <v>8542</v>
      </c>
      <c r="C18" s="1649">
        <v>0.05122685185185185</v>
      </c>
      <c r="D18" s="1409" t="s">
        <v>10768</v>
      </c>
      <c r="E18" s="1659" t="s">
        <v>8603</v>
      </c>
      <c r="F18" s="1409" t="s">
        <v>10769</v>
      </c>
      <c r="G18" s="1409" t="s">
        <v>10770</v>
      </c>
      <c r="H18" s="1409" t="s">
        <v>10648</v>
      </c>
      <c r="I18" s="1409" t="s">
        <v>10771</v>
      </c>
      <c r="J18" s="1409" t="s">
        <v>10772</v>
      </c>
      <c r="K18" s="1409" t="s">
        <v>10773</v>
      </c>
      <c r="L18" s="1409" t="s">
        <v>10774</v>
      </c>
      <c r="M18" s="1652">
        <v>0.052037037037037034</v>
      </c>
      <c r="N18" s="1651" t="str">
        <f t="shared" si="1"/>
        <v>1:10</v>
      </c>
      <c r="O18" s="1409" t="s">
        <v>10679</v>
      </c>
    </row>
    <row r="19" ht="15.75" customHeight="1">
      <c r="A19" s="1586" t="s">
        <v>1723</v>
      </c>
      <c r="B19" s="1450" t="s">
        <v>8542</v>
      </c>
      <c r="C19" s="1649">
        <v>0.05122685185185185</v>
      </c>
      <c r="D19" s="1589" t="s">
        <v>10775</v>
      </c>
      <c r="E19" s="1410" t="s">
        <v>10776</v>
      </c>
      <c r="F19" s="1409" t="s">
        <v>10777</v>
      </c>
      <c r="G19" s="1409" t="s">
        <v>10778</v>
      </c>
      <c r="H19" s="1409" t="s">
        <v>10779</v>
      </c>
      <c r="I19" s="1409" t="s">
        <v>10780</v>
      </c>
      <c r="J19" s="1409" t="s">
        <v>10781</v>
      </c>
      <c r="K19" s="1409" t="s">
        <v>10782</v>
      </c>
      <c r="L19" s="1409" t="s">
        <v>5927</v>
      </c>
      <c r="M19" s="1652">
        <v>0.05224537037037037</v>
      </c>
      <c r="N19" s="1651" t="str">
        <f t="shared" si="1"/>
        <v>1:28</v>
      </c>
      <c r="O19" s="1409" t="s">
        <v>10783</v>
      </c>
    </row>
    <row r="20" ht="15.75" customHeight="1">
      <c r="A20" s="1586" t="s">
        <v>6480</v>
      </c>
      <c r="B20" s="1450" t="s">
        <v>8542</v>
      </c>
      <c r="C20" s="1649">
        <v>0.05133101851851852</v>
      </c>
      <c r="D20" s="1409" t="s">
        <v>10784</v>
      </c>
      <c r="E20" s="1410" t="s">
        <v>10785</v>
      </c>
      <c r="F20" s="1409" t="s">
        <v>10786</v>
      </c>
      <c r="G20" s="1412" t="s">
        <v>10787</v>
      </c>
      <c r="H20" s="1412" t="s">
        <v>10788</v>
      </c>
      <c r="I20" s="1409" t="s">
        <v>10789</v>
      </c>
      <c r="J20" s="1409" t="s">
        <v>10790</v>
      </c>
      <c r="K20" s="1409" t="s">
        <v>10791</v>
      </c>
      <c r="L20" s="1409" t="s">
        <v>10792</v>
      </c>
      <c r="M20" s="1652">
        <v>0.05197916666666667</v>
      </c>
      <c r="N20" s="1651" t="str">
        <f t="shared" si="1"/>
        <v>0:56</v>
      </c>
      <c r="O20" s="1409" t="s">
        <v>10793</v>
      </c>
    </row>
    <row r="21" ht="15.75" customHeight="1">
      <c r="A21" s="1598" t="s">
        <v>8993</v>
      </c>
      <c r="B21" s="1387" t="s">
        <v>8542</v>
      </c>
      <c r="C21" s="1653">
        <v>0.05144675925925926</v>
      </c>
      <c r="D21" s="1409" t="s">
        <v>10794</v>
      </c>
      <c r="E21" s="1659" t="s">
        <v>10795</v>
      </c>
      <c r="F21" s="1409" t="s">
        <v>10796</v>
      </c>
      <c r="G21" s="1409" t="s">
        <v>10797</v>
      </c>
      <c r="H21" s="1409" t="s">
        <v>10798</v>
      </c>
      <c r="I21" s="1409" t="s">
        <v>10799</v>
      </c>
      <c r="J21" s="1409" t="s">
        <v>10800</v>
      </c>
      <c r="K21" s="1409" t="s">
        <v>10801</v>
      </c>
      <c r="L21" s="1669" t="s">
        <v>8863</v>
      </c>
      <c r="M21" s="1652">
        <v>0.05258101851851852</v>
      </c>
      <c r="N21" s="1651" t="str">
        <f t="shared" si="1"/>
        <v>1:38</v>
      </c>
      <c r="O21" s="1409" t="s">
        <v>10679</v>
      </c>
    </row>
    <row r="22" ht="15.75" customHeight="1">
      <c r="A22" s="1586" t="s">
        <v>9159</v>
      </c>
      <c r="B22" s="1450" t="s">
        <v>8573</v>
      </c>
      <c r="C22" s="1649">
        <v>0.05146990740740741</v>
      </c>
      <c r="D22" s="1665" t="s">
        <v>10653</v>
      </c>
      <c r="E22" s="1410" t="s">
        <v>10115</v>
      </c>
      <c r="F22" s="1410" t="s">
        <v>10654</v>
      </c>
      <c r="G22" s="1410" t="s">
        <v>10655</v>
      </c>
      <c r="H22" s="1410" t="s">
        <v>10656</v>
      </c>
      <c r="I22" s="1409" t="s">
        <v>10802</v>
      </c>
      <c r="J22" s="1521" t="s">
        <v>10658</v>
      </c>
      <c r="K22" s="1665" t="s">
        <v>10659</v>
      </c>
      <c r="L22" s="1521" t="s">
        <v>9174</v>
      </c>
      <c r="M22" s="1670">
        <v>0.05236111111111111</v>
      </c>
      <c r="N22" s="1651" t="str">
        <f t="shared" si="1"/>
        <v>1:17</v>
      </c>
      <c r="O22" s="1409" t="s">
        <v>10679</v>
      </c>
    </row>
    <row r="23" ht="15.75" customHeight="1">
      <c r="A23" s="1648" t="s">
        <v>901</v>
      </c>
      <c r="B23" s="1387" t="s">
        <v>8542</v>
      </c>
      <c r="C23" s="1653">
        <v>0.051550925925925924</v>
      </c>
      <c r="D23" s="1409" t="s">
        <v>10803</v>
      </c>
      <c r="E23" s="1659" t="s">
        <v>10085</v>
      </c>
      <c r="F23" s="1409" t="s">
        <v>10804</v>
      </c>
      <c r="G23" s="1409" t="s">
        <v>10805</v>
      </c>
      <c r="H23" s="1409" t="s">
        <v>10806</v>
      </c>
      <c r="I23" s="1409" t="s">
        <v>10807</v>
      </c>
      <c r="J23" s="1409" t="s">
        <v>10808</v>
      </c>
      <c r="K23" s="1409" t="s">
        <v>10809</v>
      </c>
      <c r="L23" s="1669" t="s">
        <v>10810</v>
      </c>
      <c r="M23" s="1652">
        <v>0.05229166666666667</v>
      </c>
      <c r="N23" s="1651" t="str">
        <f t="shared" si="1"/>
        <v>1:04</v>
      </c>
      <c r="O23" s="1409" t="s">
        <v>10679</v>
      </c>
    </row>
    <row r="24">
      <c r="A24" s="1661" t="s">
        <v>1806</v>
      </c>
      <c r="B24" s="1548" t="s">
        <v>8599</v>
      </c>
      <c r="C24" s="1649">
        <v>0.05158564814814815</v>
      </c>
      <c r="D24" s="1671" t="s">
        <v>10660</v>
      </c>
      <c r="E24" s="1672" t="s">
        <v>10661</v>
      </c>
      <c r="F24" s="1671" t="s">
        <v>10662</v>
      </c>
      <c r="G24" s="1671" t="s">
        <v>10663</v>
      </c>
      <c r="H24" s="1671" t="s">
        <v>10664</v>
      </c>
      <c r="I24" s="1671" t="s">
        <v>10665</v>
      </c>
      <c r="J24" s="1671" t="s">
        <v>10666</v>
      </c>
      <c r="K24" s="1671" t="s">
        <v>10667</v>
      </c>
      <c r="L24" s="1671" t="s">
        <v>8629</v>
      </c>
      <c r="M24" s="1673">
        <v>0.052141203703703703</v>
      </c>
      <c r="N24" s="1651" t="str">
        <f t="shared" si="1"/>
        <v>0:48</v>
      </c>
      <c r="O24" s="1409" t="s">
        <v>10811</v>
      </c>
    </row>
    <row r="25" ht="15.75" customHeight="1">
      <c r="A25" s="1571" t="s">
        <v>2758</v>
      </c>
      <c r="B25" s="1450" t="s">
        <v>8542</v>
      </c>
      <c r="C25" s="1653">
        <v>0.051706365740740744</v>
      </c>
      <c r="D25" s="1521" t="s">
        <v>10812</v>
      </c>
      <c r="E25" s="1410" t="s">
        <v>10813</v>
      </c>
      <c r="F25" s="1409" t="s">
        <v>10814</v>
      </c>
      <c r="G25" s="1409" t="s">
        <v>10815</v>
      </c>
      <c r="H25" s="1409" t="s">
        <v>10816</v>
      </c>
      <c r="I25" s="1409" t="s">
        <v>10817</v>
      </c>
      <c r="J25" s="1409" t="s">
        <v>10818</v>
      </c>
      <c r="K25" s="1409" t="s">
        <v>10819</v>
      </c>
      <c r="L25" s="1409" t="s">
        <v>9472</v>
      </c>
      <c r="M25" s="1652">
        <v>0.0525</v>
      </c>
      <c r="N25" s="1652" t="str">
        <f t="shared" si="1"/>
        <v>1:09</v>
      </c>
      <c r="O25" s="1409"/>
    </row>
    <row r="26" ht="15.75" customHeight="1">
      <c r="A26" s="1674" t="s">
        <v>2098</v>
      </c>
      <c r="B26" s="1539" t="s">
        <v>8542</v>
      </c>
      <c r="C26" s="1653">
        <v>0.05171296296296296</v>
      </c>
      <c r="D26" s="1675" t="s">
        <v>10820</v>
      </c>
      <c r="E26" s="1675" t="s">
        <v>10821</v>
      </c>
      <c r="F26" s="1675" t="s">
        <v>10822</v>
      </c>
      <c r="G26" s="1675" t="s">
        <v>10823</v>
      </c>
      <c r="H26" s="1521" t="s">
        <v>10824</v>
      </c>
      <c r="I26" s="1675" t="s">
        <v>10825</v>
      </c>
      <c r="J26" s="1521" t="s">
        <v>10826</v>
      </c>
      <c r="K26" s="1675" t="s">
        <v>10827</v>
      </c>
      <c r="L26" s="1521" t="s">
        <v>8039</v>
      </c>
      <c r="M26" s="1652">
        <v>0.054375</v>
      </c>
      <c r="N26" s="1651" t="str">
        <f t="shared" si="1"/>
        <v>3:50</v>
      </c>
      <c r="O26" s="1409" t="s">
        <v>10828</v>
      </c>
    </row>
    <row r="27" ht="15.75" customHeight="1">
      <c r="A27" s="1586" t="s">
        <v>3045</v>
      </c>
      <c r="B27" s="1450" t="s">
        <v>8542</v>
      </c>
      <c r="C27" s="1649">
        <v>0.05180160879629629</v>
      </c>
      <c r="D27" s="1521" t="s">
        <v>10829</v>
      </c>
      <c r="E27" s="1410" t="s">
        <v>10830</v>
      </c>
      <c r="F27" s="1409" t="s">
        <v>10831</v>
      </c>
      <c r="G27" s="1409" t="s">
        <v>10832</v>
      </c>
      <c r="H27" s="1409" t="s">
        <v>10833</v>
      </c>
      <c r="I27" s="1409" t="s">
        <v>10834</v>
      </c>
      <c r="J27" s="1409" t="s">
        <v>10835</v>
      </c>
      <c r="K27" s="1409" t="s">
        <v>10836</v>
      </c>
      <c r="L27" s="1409" t="s">
        <v>10837</v>
      </c>
      <c r="M27" s="1652">
        <v>0.05303240740740741</v>
      </c>
      <c r="N27" s="1651" t="str">
        <f t="shared" si="1"/>
        <v>1:46</v>
      </c>
      <c r="O27" s="1409"/>
    </row>
    <row r="28" ht="15.75" customHeight="1">
      <c r="A28" s="1571" t="s">
        <v>1351</v>
      </c>
      <c r="B28" s="1548" t="s">
        <v>8599</v>
      </c>
      <c r="C28" s="1653">
        <v>0.052088194444444444</v>
      </c>
      <c r="D28" s="1521" t="s">
        <v>10838</v>
      </c>
      <c r="E28" s="1410" t="s">
        <v>10839</v>
      </c>
      <c r="F28" s="1409" t="s">
        <v>10840</v>
      </c>
      <c r="G28" s="1409" t="s">
        <v>10841</v>
      </c>
      <c r="H28" s="1409" t="s">
        <v>10842</v>
      </c>
      <c r="I28" s="1409" t="s">
        <v>10843</v>
      </c>
      <c r="J28" s="1409" t="s">
        <v>10844</v>
      </c>
      <c r="K28" s="1409" t="s">
        <v>10845</v>
      </c>
      <c r="L28" s="1409" t="s">
        <v>9763</v>
      </c>
      <c r="M28" s="1652">
        <v>0.053043981481481484</v>
      </c>
      <c r="N28" s="1651" t="str">
        <f t="shared" si="1"/>
        <v>1:23</v>
      </c>
      <c r="O28" s="1409" t="s">
        <v>10679</v>
      </c>
    </row>
    <row r="29" ht="15.75" customHeight="1">
      <c r="A29" s="1571" t="s">
        <v>2534</v>
      </c>
      <c r="B29" s="1450" t="s">
        <v>8573</v>
      </c>
      <c r="C29" s="1653">
        <v>0.05215277777777778</v>
      </c>
      <c r="D29" s="1409" t="s">
        <v>10846</v>
      </c>
      <c r="E29" s="1409" t="s">
        <v>5845</v>
      </c>
      <c r="F29" s="1409" t="s">
        <v>10847</v>
      </c>
      <c r="G29" s="1409" t="s">
        <v>10848</v>
      </c>
      <c r="H29" s="1409" t="s">
        <v>10849</v>
      </c>
      <c r="I29" s="1409" t="s">
        <v>10713</v>
      </c>
      <c r="J29" s="1409" t="s">
        <v>10850</v>
      </c>
      <c r="K29" s="1409" t="s">
        <v>10851</v>
      </c>
      <c r="L29" s="1409" t="s">
        <v>9524</v>
      </c>
      <c r="M29" s="1652">
        <v>0.05399305555555556</v>
      </c>
      <c r="N29" s="1651" t="str">
        <f t="shared" si="1"/>
        <v>2:39</v>
      </c>
      <c r="O29" s="1409" t="s">
        <v>10852</v>
      </c>
    </row>
    <row r="30" ht="15.75" customHeight="1">
      <c r="A30" s="1586" t="s">
        <v>2977</v>
      </c>
      <c r="B30" s="1450" t="s">
        <v>8542</v>
      </c>
      <c r="C30" s="1676">
        <v>0.05216435185185185</v>
      </c>
      <c r="D30" s="1409" t="s">
        <v>10853</v>
      </c>
      <c r="E30" s="1410" t="s">
        <v>10854</v>
      </c>
      <c r="F30" s="1409" t="s">
        <v>10855</v>
      </c>
      <c r="G30" s="1409" t="s">
        <v>10856</v>
      </c>
      <c r="H30" s="1409" t="s">
        <v>10857</v>
      </c>
      <c r="I30" s="1409" t="s">
        <v>10858</v>
      </c>
      <c r="J30" s="1409" t="s">
        <v>10859</v>
      </c>
      <c r="K30" s="1409" t="s">
        <v>10860</v>
      </c>
      <c r="L30" s="1409" t="s">
        <v>10861</v>
      </c>
      <c r="M30" s="1677">
        <v>0.05337962962962963</v>
      </c>
      <c r="N30" s="1651" t="str">
        <f t="shared" si="1"/>
        <v>1:45</v>
      </c>
      <c r="O30" s="1409" t="s">
        <v>10862</v>
      </c>
    </row>
    <row r="31" ht="15.75" customHeight="1">
      <c r="A31" s="1571" t="s">
        <v>738</v>
      </c>
      <c r="B31" s="1450" t="s">
        <v>8573</v>
      </c>
      <c r="C31" s="1653">
        <v>0.05224537037037037</v>
      </c>
      <c r="D31" s="1409" t="s">
        <v>10863</v>
      </c>
      <c r="E31" s="1678" t="s">
        <v>10864</v>
      </c>
      <c r="F31" s="1409" t="s">
        <v>10865</v>
      </c>
      <c r="G31" s="1409" t="s">
        <v>10866</v>
      </c>
      <c r="H31" s="1409" t="s">
        <v>10867</v>
      </c>
      <c r="I31" s="1409" t="s">
        <v>10657</v>
      </c>
      <c r="J31" s="1409" t="s">
        <v>10868</v>
      </c>
      <c r="K31" s="1412" t="s">
        <v>10869</v>
      </c>
      <c r="L31" s="1409" t="s">
        <v>10870</v>
      </c>
      <c r="M31" s="1652">
        <v>0.053043981481481484</v>
      </c>
      <c r="N31" s="1651" t="str">
        <f t="shared" si="1"/>
        <v>1:09</v>
      </c>
      <c r="O31" s="1409" t="s">
        <v>10871</v>
      </c>
    </row>
    <row r="32" ht="15.75" customHeight="1">
      <c r="A32" s="1586" t="s">
        <v>3045</v>
      </c>
      <c r="B32" s="1548" t="s">
        <v>8573</v>
      </c>
      <c r="C32" s="1649">
        <v>0.052316898148148154</v>
      </c>
      <c r="D32" s="1521" t="s">
        <v>10872</v>
      </c>
      <c r="E32" s="1410" t="s">
        <v>10873</v>
      </c>
      <c r="F32" s="1409" t="s">
        <v>10874</v>
      </c>
      <c r="G32" s="1409" t="s">
        <v>10875</v>
      </c>
      <c r="H32" s="1409" t="s">
        <v>10876</v>
      </c>
      <c r="I32" s="1409" t="s">
        <v>10877</v>
      </c>
      <c r="J32" s="1409" t="s">
        <v>10878</v>
      </c>
      <c r="K32" s="1409" t="s">
        <v>10879</v>
      </c>
      <c r="L32" s="1409" t="s">
        <v>9250</v>
      </c>
      <c r="M32" s="1652">
        <v>0.0537625</v>
      </c>
      <c r="N32" s="1651" t="str">
        <f t="shared" si="1"/>
        <v>2:05</v>
      </c>
      <c r="O32" s="1409" t="s">
        <v>10679</v>
      </c>
    </row>
    <row r="33" ht="15.75" customHeight="1">
      <c r="A33" s="1571" t="s">
        <v>3980</v>
      </c>
      <c r="B33" s="1450" t="s">
        <v>8542</v>
      </c>
      <c r="C33" s="1653">
        <v>0.05238425925925926</v>
      </c>
      <c r="D33" s="1589" t="s">
        <v>10880</v>
      </c>
      <c r="E33" s="1410" t="s">
        <v>10854</v>
      </c>
      <c r="F33" s="1409" t="s">
        <v>10881</v>
      </c>
      <c r="G33" s="1679" t="s">
        <v>10882</v>
      </c>
      <c r="H33" s="1409" t="s">
        <v>10883</v>
      </c>
      <c r="I33" s="1409" t="s">
        <v>10884</v>
      </c>
      <c r="J33" s="1409" t="s">
        <v>10885</v>
      </c>
      <c r="K33" s="1409" t="s">
        <v>10886</v>
      </c>
      <c r="L33" s="1409" t="s">
        <v>9781</v>
      </c>
      <c r="M33" s="1652">
        <v>0.05340277777777778</v>
      </c>
      <c r="N33" s="1651" t="str">
        <f t="shared" si="1"/>
        <v>1:28</v>
      </c>
      <c r="O33" s="1409" t="s">
        <v>10887</v>
      </c>
    </row>
    <row r="34" ht="15.75" customHeight="1">
      <c r="A34" s="1586" t="s">
        <v>9807</v>
      </c>
      <c r="B34" s="1450" t="s">
        <v>8542</v>
      </c>
      <c r="C34" s="1649">
        <v>0.05268518518518518</v>
      </c>
      <c r="D34" s="1521" t="s">
        <v>10888</v>
      </c>
      <c r="E34" s="1410" t="s">
        <v>10889</v>
      </c>
      <c r="F34" s="1409" t="s">
        <v>10890</v>
      </c>
      <c r="G34" s="1409" t="s">
        <v>10891</v>
      </c>
      <c r="H34" s="1409" t="s">
        <v>10892</v>
      </c>
      <c r="I34" s="1409" t="s">
        <v>10893</v>
      </c>
      <c r="J34" s="1409" t="s">
        <v>10894</v>
      </c>
      <c r="K34" s="1409" t="s">
        <v>10895</v>
      </c>
      <c r="L34" s="1409" t="s">
        <v>9825</v>
      </c>
      <c r="M34" s="1652">
        <v>0.05331018518518518</v>
      </c>
      <c r="N34" s="1651" t="str">
        <f t="shared" si="1"/>
        <v>0:54</v>
      </c>
      <c r="O34" s="1409" t="s">
        <v>10896</v>
      </c>
    </row>
    <row r="35" ht="15.75" customHeight="1">
      <c r="A35" s="1680" t="s">
        <v>3707</v>
      </c>
      <c r="B35" s="1655" t="s">
        <v>8542</v>
      </c>
      <c r="C35" s="1649">
        <v>0.05270034722222223</v>
      </c>
      <c r="D35" s="1589" t="s">
        <v>10897</v>
      </c>
      <c r="E35" s="1410" t="s">
        <v>10898</v>
      </c>
      <c r="F35" s="1409" t="s">
        <v>10899</v>
      </c>
      <c r="G35" s="1409" t="s">
        <v>10900</v>
      </c>
      <c r="H35" s="1409" t="s">
        <v>10901</v>
      </c>
      <c r="I35" s="1409" t="s">
        <v>10902</v>
      </c>
      <c r="J35" s="1409" t="s">
        <v>10903</v>
      </c>
      <c r="K35" s="1409" t="s">
        <v>10904</v>
      </c>
      <c r="L35" s="1409" t="s">
        <v>10905</v>
      </c>
      <c r="M35" s="1652">
        <v>0.05425925925925926</v>
      </c>
      <c r="N35" s="1651" t="str">
        <f t="shared" si="1"/>
        <v>2:15</v>
      </c>
      <c r="O35" s="1409" t="s">
        <v>10679</v>
      </c>
    </row>
    <row r="36" ht="15.75" customHeight="1">
      <c r="A36" s="1571" t="s">
        <v>2919</v>
      </c>
      <c r="B36" s="1450" t="s">
        <v>8542</v>
      </c>
      <c r="C36" s="1653">
        <v>0.05269675925925926</v>
      </c>
      <c r="D36" s="1521" t="s">
        <v>10906</v>
      </c>
      <c r="E36" s="1410" t="s">
        <v>10907</v>
      </c>
      <c r="F36" s="1409" t="s">
        <v>10908</v>
      </c>
      <c r="G36" s="1409" t="s">
        <v>10909</v>
      </c>
      <c r="H36" s="1409" t="s">
        <v>10910</v>
      </c>
      <c r="I36" s="1409" t="s">
        <v>10911</v>
      </c>
      <c r="J36" s="1409" t="s">
        <v>10912</v>
      </c>
      <c r="K36" s="1409" t="s">
        <v>10913</v>
      </c>
      <c r="L36" s="1409" t="s">
        <v>10914</v>
      </c>
      <c r="M36" s="1652">
        <v>0.05417824074074074</v>
      </c>
      <c r="N36" s="1651" t="str">
        <f t="shared" si="1"/>
        <v>2:08</v>
      </c>
      <c r="O36" s="1409" t="s">
        <v>10915</v>
      </c>
    </row>
    <row r="37">
      <c r="A37" s="1681" t="s">
        <v>3469</v>
      </c>
      <c r="B37" s="1655" t="s">
        <v>8542</v>
      </c>
      <c r="C37" s="1649">
        <v>0.053009259259259256</v>
      </c>
      <c r="D37" s="1589" t="s">
        <v>10916</v>
      </c>
      <c r="E37" s="1410" t="s">
        <v>10917</v>
      </c>
      <c r="F37" s="1409" t="s">
        <v>10918</v>
      </c>
      <c r="G37" s="1409" t="s">
        <v>10919</v>
      </c>
      <c r="H37" s="1409" t="s">
        <v>10920</v>
      </c>
      <c r="I37" s="1409" t="s">
        <v>10921</v>
      </c>
      <c r="J37" s="1409" t="s">
        <v>10922</v>
      </c>
      <c r="K37" s="1409" t="s">
        <v>10923</v>
      </c>
      <c r="L37" s="1409" t="s">
        <v>10924</v>
      </c>
      <c r="M37" s="1652">
        <v>0.05372685185185185</v>
      </c>
      <c r="N37" s="1651" t="str">
        <f t="shared" si="1"/>
        <v>1:02</v>
      </c>
      <c r="O37" s="1409" t="s">
        <v>10679</v>
      </c>
    </row>
    <row r="38" ht="15.75" customHeight="1">
      <c r="A38" s="1571" t="s">
        <v>986</v>
      </c>
      <c r="B38" s="1636" t="s">
        <v>8573</v>
      </c>
      <c r="C38" s="1653">
        <v>0.05378472222222222</v>
      </c>
      <c r="D38" s="1521" t="s">
        <v>10925</v>
      </c>
      <c r="E38" s="1410" t="s">
        <v>10926</v>
      </c>
      <c r="F38" s="1409" t="s">
        <v>10927</v>
      </c>
      <c r="G38" s="1409" t="s">
        <v>10928</v>
      </c>
      <c r="H38" s="1409" t="s">
        <v>10929</v>
      </c>
      <c r="I38" s="1409" t="s">
        <v>8153</v>
      </c>
      <c r="J38" s="1409" t="s">
        <v>10930</v>
      </c>
      <c r="K38" s="1409" t="s">
        <v>10931</v>
      </c>
      <c r="L38" s="1409" t="s">
        <v>9571</v>
      </c>
      <c r="M38" s="1652">
        <v>0.054560185185185184</v>
      </c>
      <c r="N38" s="1651" t="str">
        <f t="shared" si="1"/>
        <v>1:07</v>
      </c>
      <c r="O38" s="1409"/>
    </row>
    <row r="39" ht="15.75" customHeight="1">
      <c r="A39" s="1571" t="s">
        <v>4880</v>
      </c>
      <c r="B39" s="1548" t="s">
        <v>8573</v>
      </c>
      <c r="C39" s="1653">
        <v>0.05748842592592593</v>
      </c>
      <c r="D39" s="1521" t="s">
        <v>10932</v>
      </c>
      <c r="E39" s="1410" t="s">
        <v>10933</v>
      </c>
      <c r="F39" s="1409" t="s">
        <v>10934</v>
      </c>
      <c r="G39" s="1409" t="s">
        <v>10935</v>
      </c>
      <c r="H39" s="1409" t="s">
        <v>10936</v>
      </c>
      <c r="I39" s="1409" t="s">
        <v>10937</v>
      </c>
      <c r="J39" s="1409" t="s">
        <v>10938</v>
      </c>
      <c r="K39" s="1409" t="s">
        <v>10939</v>
      </c>
      <c r="L39" s="1409" t="s">
        <v>10584</v>
      </c>
      <c r="M39" s="1652">
        <v>0.06149305555555556</v>
      </c>
      <c r="N39" s="1651" t="str">
        <f t="shared" si="1"/>
        <v>5:46</v>
      </c>
      <c r="O39" s="1409" t="s">
        <v>10679</v>
      </c>
    </row>
    <row r="40">
      <c r="A40" s="1586" t="s">
        <v>2015</v>
      </c>
      <c r="B40" s="1682" t="s">
        <v>8542</v>
      </c>
      <c r="C40" s="1649">
        <v>0.05059429398148148</v>
      </c>
      <c r="D40" s="1589" t="s">
        <v>10940</v>
      </c>
      <c r="E40" s="1410" t="s">
        <v>10941</v>
      </c>
      <c r="F40" s="1409" t="s">
        <v>10942</v>
      </c>
      <c r="G40" s="1409" t="s">
        <v>10943</v>
      </c>
      <c r="H40" s="1409" t="s">
        <v>10944</v>
      </c>
      <c r="I40" s="1409" t="s">
        <v>10945</v>
      </c>
      <c r="J40" s="1409" t="s">
        <v>10946</v>
      </c>
      <c r="K40" s="1409" t="s">
        <v>10947</v>
      </c>
      <c r="L40" s="1409" t="s">
        <v>10948</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8504</v>
      </c>
      <c r="C1" s="1705" t="s">
        <v>10643</v>
      </c>
      <c r="D1" s="1706" t="s">
        <v>6717</v>
      </c>
      <c r="E1" s="1707" t="s">
        <v>7017</v>
      </c>
      <c r="F1" s="1708" t="s">
        <v>38</v>
      </c>
      <c r="G1" s="1709" t="s">
        <v>36</v>
      </c>
      <c r="H1" s="1705" t="s">
        <v>10644</v>
      </c>
      <c r="I1" s="1710" t="s">
        <v>39</v>
      </c>
      <c r="J1" s="1711" t="s">
        <v>6955</v>
      </c>
      <c r="K1" s="1320" t="s">
        <v>8538</v>
      </c>
      <c r="L1" s="1320" t="s">
        <v>8540</v>
      </c>
    </row>
    <row r="2" ht="15.75" customHeight="1">
      <c r="A2" s="1622" t="s">
        <v>8541</v>
      </c>
      <c r="B2" s="1623" t="s">
        <v>8542</v>
      </c>
      <c r="C2" s="1625" t="s">
        <v>10645</v>
      </c>
      <c r="D2" s="1712" t="s">
        <v>10949</v>
      </c>
      <c r="E2" s="1627" t="s">
        <v>10950</v>
      </c>
      <c r="F2" s="1713" t="s">
        <v>10951</v>
      </c>
      <c r="G2" s="1629" t="s">
        <v>10952</v>
      </c>
      <c r="H2" s="1625" t="s">
        <v>10953</v>
      </c>
      <c r="I2" s="1714" t="s">
        <v>10954</v>
      </c>
      <c r="J2" s="1632" t="s">
        <v>10955</v>
      </c>
      <c r="K2" s="1715" t="s">
        <v>8571</v>
      </c>
      <c r="L2" s="1716"/>
    </row>
    <row r="3" ht="15.75" customHeight="1">
      <c r="A3" s="1353" t="s">
        <v>8572</v>
      </c>
      <c r="B3" s="1636" t="s">
        <v>8573</v>
      </c>
      <c r="C3" s="1356" t="s">
        <v>10846</v>
      </c>
      <c r="D3" s="1357" t="s">
        <v>10956</v>
      </c>
      <c r="E3" s="1358" t="s">
        <v>10957</v>
      </c>
      <c r="F3" s="1359" t="s">
        <v>10958</v>
      </c>
      <c r="G3" s="1363" t="s">
        <v>10959</v>
      </c>
      <c r="H3" s="1356" t="s">
        <v>10960</v>
      </c>
      <c r="I3" s="1365" t="s">
        <v>10961</v>
      </c>
      <c r="J3" s="1367" t="s">
        <v>10962</v>
      </c>
      <c r="K3" s="1637">
        <v>0.053043981481481484</v>
      </c>
    </row>
    <row r="4" ht="15.75" customHeight="1">
      <c r="A4" s="1371" t="s">
        <v>8598</v>
      </c>
      <c r="B4" s="1640" t="s">
        <v>8599</v>
      </c>
      <c r="C4" s="1374" t="s">
        <v>10838</v>
      </c>
      <c r="D4" s="1375" t="s">
        <v>10963</v>
      </c>
      <c r="E4" s="1376" t="s">
        <v>10964</v>
      </c>
      <c r="F4" s="1377" t="s">
        <v>10965</v>
      </c>
      <c r="G4" s="1378" t="s">
        <v>10966</v>
      </c>
      <c r="H4" s="1374" t="s">
        <v>10967</v>
      </c>
      <c r="I4" s="1380" t="s">
        <v>10968</v>
      </c>
      <c r="J4" s="1381" t="s">
        <v>10969</v>
      </c>
      <c r="K4" s="1641">
        <v>0.053043981481481484</v>
      </c>
    </row>
    <row r="5" ht="15.75" customHeight="1">
      <c r="A5" s="1571" t="s">
        <v>1060</v>
      </c>
      <c r="B5" s="1450" t="s">
        <v>8542</v>
      </c>
      <c r="C5" s="1645" t="s">
        <v>10645</v>
      </c>
      <c r="D5" s="1645" t="s">
        <v>10949</v>
      </c>
      <c r="E5" s="1645" t="s">
        <v>10950</v>
      </c>
      <c r="F5" s="1645" t="s">
        <v>10951</v>
      </c>
      <c r="G5" s="1645" t="s">
        <v>10970</v>
      </c>
      <c r="H5" s="1645" t="s">
        <v>10971</v>
      </c>
      <c r="I5" s="1645" t="s">
        <v>10954</v>
      </c>
      <c r="J5" s="1645" t="s">
        <v>10955</v>
      </c>
      <c r="K5" s="1717" t="s">
        <v>8571</v>
      </c>
      <c r="L5" s="1409" t="s">
        <v>10972</v>
      </c>
    </row>
    <row r="6" ht="15.75" customHeight="1">
      <c r="A6" s="1718" t="s">
        <v>6433</v>
      </c>
      <c r="B6" s="1450" t="s">
        <v>8542</v>
      </c>
      <c r="C6" s="1576" t="s">
        <v>10688</v>
      </c>
      <c r="D6" s="1409" t="s">
        <v>10973</v>
      </c>
      <c r="E6" s="1409" t="s">
        <v>10974</v>
      </c>
      <c r="F6" s="1409" t="s">
        <v>10975</v>
      </c>
      <c r="G6" s="1409" t="s">
        <v>10976</v>
      </c>
      <c r="H6" s="1409" t="s">
        <v>10977</v>
      </c>
      <c r="I6" s="1409" t="s">
        <v>10978</v>
      </c>
      <c r="J6" s="1409" t="s">
        <v>10979</v>
      </c>
      <c r="K6" s="1409" t="s">
        <v>8759</v>
      </c>
      <c r="L6" s="1409"/>
    </row>
    <row r="7" ht="15.75" customHeight="1">
      <c r="A7" s="1598" t="s">
        <v>1806</v>
      </c>
      <c r="B7" s="1719" t="s">
        <v>8542</v>
      </c>
      <c r="C7" s="1409" t="s">
        <v>10680</v>
      </c>
      <c r="D7" s="1409" t="s">
        <v>10980</v>
      </c>
      <c r="E7" s="1646" t="s">
        <v>10981</v>
      </c>
      <c r="F7" s="1412" t="s">
        <v>10982</v>
      </c>
      <c r="G7" s="1720" t="s">
        <v>10983</v>
      </c>
      <c r="H7" s="1720" t="s">
        <v>10984</v>
      </c>
      <c r="I7" s="1409" t="s">
        <v>10985</v>
      </c>
      <c r="J7" s="1721" t="s">
        <v>10986</v>
      </c>
      <c r="K7" s="1721" t="s">
        <v>8711</v>
      </c>
      <c r="L7" s="1409" t="s">
        <v>10987</v>
      </c>
    </row>
    <row r="8" ht="15.75" customHeight="1">
      <c r="A8" s="1648" t="s">
        <v>433</v>
      </c>
      <c r="B8" s="1387" t="s">
        <v>8542</v>
      </c>
      <c r="C8" s="1576" t="s">
        <v>10673</v>
      </c>
      <c r="D8" s="1409" t="s">
        <v>10988</v>
      </c>
      <c r="E8" s="1409" t="s">
        <v>10989</v>
      </c>
      <c r="F8" s="1409" t="s">
        <v>10990</v>
      </c>
      <c r="G8" s="1409" t="s">
        <v>10991</v>
      </c>
      <c r="H8" s="1409" t="s">
        <v>10992</v>
      </c>
      <c r="I8" s="1409" t="s">
        <v>10993</v>
      </c>
      <c r="J8" s="1409" t="s">
        <v>10994</v>
      </c>
      <c r="K8" s="1409" t="s">
        <v>8666</v>
      </c>
      <c r="L8" s="1409"/>
    </row>
    <row r="9" ht="15.75" customHeight="1">
      <c r="A9" s="1598" t="s">
        <v>6491</v>
      </c>
      <c r="B9" s="1387" t="s">
        <v>8542</v>
      </c>
      <c r="C9" s="1409" t="s">
        <v>10995</v>
      </c>
      <c r="D9" s="1409" t="s">
        <v>10996</v>
      </c>
      <c r="E9" s="1409" t="s">
        <v>10997</v>
      </c>
      <c r="F9" s="1412" t="s">
        <v>10998</v>
      </c>
      <c r="G9" s="1412" t="s">
        <v>10999</v>
      </c>
      <c r="H9" s="1722" t="s">
        <v>11000</v>
      </c>
      <c r="I9" s="1412" t="s">
        <v>11001</v>
      </c>
      <c r="J9" s="1412" t="s">
        <v>11002</v>
      </c>
      <c r="K9" s="1409" t="s">
        <v>8690</v>
      </c>
      <c r="L9" s="1409"/>
    </row>
    <row r="10" ht="15.75" customHeight="1">
      <c r="A10" s="1571" t="s">
        <v>1557</v>
      </c>
      <c r="B10" s="1450" t="s">
        <v>8542</v>
      </c>
      <c r="C10" s="1723" t="s">
        <v>10712</v>
      </c>
      <c r="D10" s="1658" t="s">
        <v>11003</v>
      </c>
      <c r="E10" s="1658" t="s">
        <v>11004</v>
      </c>
      <c r="F10" s="1409" t="s">
        <v>11005</v>
      </c>
      <c r="G10" s="1679" t="s">
        <v>11006</v>
      </c>
      <c r="H10" s="1679" t="s">
        <v>11007</v>
      </c>
      <c r="I10" s="1679" t="s">
        <v>11008</v>
      </c>
      <c r="J10" s="1679" t="s">
        <v>11009</v>
      </c>
      <c r="K10" s="1679" t="s">
        <v>8948</v>
      </c>
      <c r="L10" s="1409" t="s">
        <v>11010</v>
      </c>
    </row>
    <row r="11" ht="15.75" customHeight="1">
      <c r="A11" s="1586" t="s">
        <v>826</v>
      </c>
      <c r="B11" s="1548" t="s">
        <v>8542</v>
      </c>
      <c r="C11" s="1724" t="s">
        <v>10703</v>
      </c>
      <c r="D11" s="1409" t="s">
        <v>11011</v>
      </c>
      <c r="E11" s="1409" t="s">
        <v>11012</v>
      </c>
      <c r="F11" s="1409" t="s">
        <v>11013</v>
      </c>
      <c r="G11" s="1409" t="s">
        <v>11014</v>
      </c>
      <c r="H11" s="1409" t="s">
        <v>11015</v>
      </c>
      <c r="I11" s="1409" t="s">
        <v>11016</v>
      </c>
      <c r="J11" s="1409" t="s">
        <v>11017</v>
      </c>
      <c r="K11" s="1409" t="s">
        <v>8782</v>
      </c>
      <c r="L11" s="1409" t="s">
        <v>11018</v>
      </c>
    </row>
    <row r="12" ht="15.75" customHeight="1">
      <c r="A12" s="1603" t="s">
        <v>2079</v>
      </c>
      <c r="B12" s="1387" t="s">
        <v>8542</v>
      </c>
      <c r="C12" s="1723" t="s">
        <v>10721</v>
      </c>
      <c r="D12" s="1409" t="s">
        <v>11019</v>
      </c>
      <c r="E12" s="1409" t="s">
        <v>11020</v>
      </c>
      <c r="F12" s="1409" t="s">
        <v>11021</v>
      </c>
      <c r="G12" s="1409" t="s">
        <v>11022</v>
      </c>
      <c r="H12" s="1409" t="s">
        <v>11023</v>
      </c>
      <c r="I12" s="1409" t="s">
        <v>11024</v>
      </c>
      <c r="J12" s="1409" t="s">
        <v>11025</v>
      </c>
      <c r="K12" s="1409" t="s">
        <v>8899</v>
      </c>
      <c r="L12" s="1409"/>
    </row>
    <row r="13" ht="15.75" customHeight="1">
      <c r="A13" s="1648" t="s">
        <v>327</v>
      </c>
      <c r="B13" s="1387" t="s">
        <v>8542</v>
      </c>
      <c r="C13" s="1409" t="s">
        <v>11026</v>
      </c>
      <c r="D13" s="1409" t="s">
        <v>11027</v>
      </c>
      <c r="E13" s="1409" t="s">
        <v>11028</v>
      </c>
      <c r="F13" s="1409" t="s">
        <v>11029</v>
      </c>
      <c r="G13" s="1409" t="s">
        <v>11030</v>
      </c>
      <c r="H13" s="1409" t="s">
        <v>11031</v>
      </c>
      <c r="I13" s="1409" t="s">
        <v>11032</v>
      </c>
      <c r="J13" s="1409" t="s">
        <v>11033</v>
      </c>
      <c r="K13" s="1409" t="s">
        <v>8737</v>
      </c>
      <c r="L13" s="1409"/>
    </row>
    <row r="14" ht="16.5" customHeight="1">
      <c r="A14" s="1667" t="s">
        <v>2638</v>
      </c>
      <c r="B14" s="1387" t="s">
        <v>8542</v>
      </c>
      <c r="C14" s="1409" t="s">
        <v>10751</v>
      </c>
      <c r="D14" s="1409" t="s">
        <v>11034</v>
      </c>
      <c r="E14" s="1409" t="s">
        <v>11035</v>
      </c>
      <c r="F14" s="1409" t="s">
        <v>11036</v>
      </c>
      <c r="G14" s="1409" t="s">
        <v>11037</v>
      </c>
      <c r="H14" s="1409" t="s">
        <v>11038</v>
      </c>
      <c r="I14" s="1409" t="s">
        <v>11039</v>
      </c>
      <c r="J14" s="1409" t="s">
        <v>11040</v>
      </c>
      <c r="K14" s="1409" t="s">
        <v>11041</v>
      </c>
      <c r="L14" s="1409" t="s">
        <v>11042</v>
      </c>
    </row>
    <row r="15" ht="15.0" customHeight="1">
      <c r="A15" s="1674" t="s">
        <v>1635</v>
      </c>
      <c r="B15" s="1539" t="s">
        <v>8542</v>
      </c>
      <c r="C15" s="1724" t="s">
        <v>11043</v>
      </c>
      <c r="D15" s="1409" t="s">
        <v>11044</v>
      </c>
      <c r="E15" s="1409" t="s">
        <v>11045</v>
      </c>
      <c r="F15" s="1409" t="s">
        <v>11046</v>
      </c>
      <c r="G15" s="1409" t="s">
        <v>11047</v>
      </c>
      <c r="H15" s="1409" t="s">
        <v>11048</v>
      </c>
      <c r="I15" s="1409" t="s">
        <v>11049</v>
      </c>
      <c r="J15" s="1409" t="s">
        <v>11050</v>
      </c>
      <c r="K15" s="1409" t="s">
        <v>9230</v>
      </c>
      <c r="L15" s="1409"/>
    </row>
    <row r="16" ht="15.75" customHeight="1">
      <c r="A16" s="1571" t="s">
        <v>6480</v>
      </c>
      <c r="B16" s="1387" t="s">
        <v>8542</v>
      </c>
      <c r="C16" s="1409" t="s">
        <v>10784</v>
      </c>
      <c r="D16" s="1409" t="s">
        <v>11051</v>
      </c>
      <c r="E16" s="1409" t="s">
        <v>11052</v>
      </c>
      <c r="F16" s="1409" t="s">
        <v>11053</v>
      </c>
      <c r="G16" s="1409" t="s">
        <v>11054</v>
      </c>
      <c r="H16" s="1409" t="s">
        <v>11055</v>
      </c>
      <c r="I16" s="1409" t="s">
        <v>11056</v>
      </c>
      <c r="J16" s="1409" t="s">
        <v>11057</v>
      </c>
      <c r="K16" s="1409" t="s">
        <v>9131</v>
      </c>
      <c r="L16" s="1409" t="s">
        <v>11058</v>
      </c>
    </row>
    <row r="17" ht="15.75" customHeight="1">
      <c r="A17" s="1648" t="s">
        <v>1419</v>
      </c>
      <c r="B17" s="1387" t="s">
        <v>8542</v>
      </c>
      <c r="C17" s="1409" t="s">
        <v>11059</v>
      </c>
      <c r="D17" s="1409" t="s">
        <v>11060</v>
      </c>
      <c r="E17" s="1409" t="s">
        <v>11061</v>
      </c>
      <c r="F17" s="1409" t="s">
        <v>11062</v>
      </c>
      <c r="G17" s="1409" t="s">
        <v>11063</v>
      </c>
      <c r="H17" s="1409" t="s">
        <v>11064</v>
      </c>
      <c r="I17" s="1409" t="s">
        <v>11065</v>
      </c>
      <c r="J17" s="1409" t="s">
        <v>11066</v>
      </c>
      <c r="K17" s="1409" t="s">
        <v>9108</v>
      </c>
      <c r="L17" s="1409"/>
    </row>
    <row r="18" ht="15.75" customHeight="1">
      <c r="A18" s="1571" t="s">
        <v>2891</v>
      </c>
      <c r="B18" s="1450" t="s">
        <v>8542</v>
      </c>
      <c r="C18" s="1663" t="s">
        <v>10736</v>
      </c>
      <c r="D18" s="1646" t="s">
        <v>11067</v>
      </c>
      <c r="E18" s="1646" t="s">
        <v>11068</v>
      </c>
      <c r="F18" s="1646" t="s">
        <v>11069</v>
      </c>
      <c r="G18" s="1646" t="s">
        <v>11070</v>
      </c>
      <c r="H18" s="1646" t="s">
        <v>11071</v>
      </c>
      <c r="I18" s="1646" t="s">
        <v>11072</v>
      </c>
      <c r="J18" s="1646" t="s">
        <v>11073</v>
      </c>
      <c r="K18" s="1646" t="s">
        <v>9069</v>
      </c>
      <c r="L18" s="1409"/>
    </row>
    <row r="19" ht="15.75" customHeight="1">
      <c r="A19" s="1571" t="s">
        <v>2260</v>
      </c>
      <c r="B19" s="1548" t="s">
        <v>8542</v>
      </c>
      <c r="C19" s="1724" t="s">
        <v>10759</v>
      </c>
      <c r="D19" s="1409" t="s">
        <v>11074</v>
      </c>
      <c r="E19" s="1409" t="s">
        <v>11075</v>
      </c>
      <c r="F19" s="1409" t="s">
        <v>11076</v>
      </c>
      <c r="G19" s="1409" t="s">
        <v>11077</v>
      </c>
      <c r="H19" s="1409" t="s">
        <v>11078</v>
      </c>
      <c r="I19" s="1409" t="s">
        <v>11079</v>
      </c>
      <c r="J19" s="1409" t="s">
        <v>11080</v>
      </c>
      <c r="K19" s="1409" t="s">
        <v>8991</v>
      </c>
      <c r="L19" s="1409" t="s">
        <v>11081</v>
      </c>
    </row>
    <row r="20" ht="15.75" customHeight="1">
      <c r="A20" s="1648" t="s">
        <v>901</v>
      </c>
      <c r="B20" s="1387" t="s">
        <v>8542</v>
      </c>
      <c r="C20" s="1409" t="s">
        <v>11082</v>
      </c>
      <c r="D20" s="1409" t="s">
        <v>11083</v>
      </c>
      <c r="E20" s="1409" t="s">
        <v>11084</v>
      </c>
      <c r="F20" s="1409" t="s">
        <v>11085</v>
      </c>
      <c r="G20" s="1409" t="s">
        <v>11086</v>
      </c>
      <c r="H20" s="1409" t="s">
        <v>11087</v>
      </c>
      <c r="I20" s="1409" t="s">
        <v>11088</v>
      </c>
      <c r="J20" s="1409" t="s">
        <v>11089</v>
      </c>
      <c r="K20" s="1409" t="s">
        <v>9382</v>
      </c>
      <c r="L20" s="1409"/>
    </row>
    <row r="21" ht="15.75" customHeight="1">
      <c r="A21" s="1571" t="s">
        <v>1723</v>
      </c>
      <c r="B21" s="1450" t="s">
        <v>8542</v>
      </c>
      <c r="C21" s="1409" t="s">
        <v>11090</v>
      </c>
      <c r="D21" s="1409" t="s">
        <v>11091</v>
      </c>
      <c r="E21" s="1679" t="s">
        <v>11092</v>
      </c>
      <c r="F21" s="1409" t="s">
        <v>11093</v>
      </c>
      <c r="G21" s="1409" t="s">
        <v>11094</v>
      </c>
      <c r="H21" s="1409" t="s">
        <v>11095</v>
      </c>
      <c r="I21" s="1409" t="s">
        <v>11096</v>
      </c>
      <c r="J21" s="1409" t="s">
        <v>11097</v>
      </c>
      <c r="K21" s="1409" t="s">
        <v>9157</v>
      </c>
      <c r="L21" s="1409"/>
    </row>
    <row r="22" ht="15.75" customHeight="1">
      <c r="A22" s="1598" t="s">
        <v>8993</v>
      </c>
      <c r="B22" s="1387" t="s">
        <v>8542</v>
      </c>
      <c r="C22" s="1409" t="s">
        <v>10794</v>
      </c>
      <c r="D22" s="1409" t="s">
        <v>11098</v>
      </c>
      <c r="E22" s="1409" t="s">
        <v>11099</v>
      </c>
      <c r="F22" s="1409" t="s">
        <v>11100</v>
      </c>
      <c r="G22" s="1409" t="s">
        <v>11101</v>
      </c>
      <c r="H22" s="1409" t="s">
        <v>11102</v>
      </c>
      <c r="I22" s="1409" t="s">
        <v>11103</v>
      </c>
      <c r="J22" s="1409" t="s">
        <v>11104</v>
      </c>
      <c r="K22" s="1409" t="s">
        <v>9009</v>
      </c>
      <c r="L22" s="1409"/>
    </row>
    <row r="23" ht="15.75" customHeight="1">
      <c r="A23" s="1571" t="s">
        <v>738</v>
      </c>
      <c r="B23" s="1450" t="s">
        <v>8573</v>
      </c>
      <c r="C23" s="1409" t="s">
        <v>11105</v>
      </c>
      <c r="D23" s="1665" t="s">
        <v>10956</v>
      </c>
      <c r="E23" s="1665" t="s">
        <v>10957</v>
      </c>
      <c r="F23" s="1665" t="s">
        <v>10958</v>
      </c>
      <c r="G23" s="1665" t="s">
        <v>10959</v>
      </c>
      <c r="H23" s="1665" t="s">
        <v>10960</v>
      </c>
      <c r="I23" s="1665" t="s">
        <v>10961</v>
      </c>
      <c r="J23" s="1665" t="s">
        <v>10962</v>
      </c>
      <c r="K23" s="1665" t="s">
        <v>8969</v>
      </c>
      <c r="L23" s="1409" t="s">
        <v>11106</v>
      </c>
    </row>
    <row r="24" ht="15.75" customHeight="1">
      <c r="A24" s="1586" t="s">
        <v>1351</v>
      </c>
      <c r="B24" s="1450" t="s">
        <v>8599</v>
      </c>
      <c r="C24" s="1540" t="s">
        <v>10838</v>
      </c>
      <c r="D24" s="1540" t="s">
        <v>10963</v>
      </c>
      <c r="E24" s="1540" t="s">
        <v>10964</v>
      </c>
      <c r="F24" s="1540" t="s">
        <v>10965</v>
      </c>
      <c r="G24" s="1540" t="s">
        <v>10966</v>
      </c>
      <c r="H24" s="1540" t="s">
        <v>10967</v>
      </c>
      <c r="I24" s="1540" t="s">
        <v>10968</v>
      </c>
      <c r="J24" s="1540" t="s">
        <v>10969</v>
      </c>
      <c r="K24" s="1540" t="s">
        <v>8969</v>
      </c>
      <c r="L24" s="1409"/>
    </row>
    <row r="25" ht="16.5" customHeight="1">
      <c r="A25" s="1586" t="s">
        <v>11107</v>
      </c>
      <c r="B25" s="1450" t="s">
        <v>8542</v>
      </c>
      <c r="C25" s="1675" t="s">
        <v>10820</v>
      </c>
      <c r="D25" s="1409" t="s">
        <v>11108</v>
      </c>
      <c r="E25" s="1409" t="s">
        <v>11109</v>
      </c>
      <c r="F25" s="1409" t="s">
        <v>11110</v>
      </c>
      <c r="G25" s="1409" t="s">
        <v>11101</v>
      </c>
      <c r="H25" s="1409" t="s">
        <v>11111</v>
      </c>
      <c r="I25" s="1409" t="s">
        <v>11112</v>
      </c>
      <c r="J25" s="1409" t="s">
        <v>11113</v>
      </c>
      <c r="K25" s="1409" t="s">
        <v>9547</v>
      </c>
      <c r="L25" s="1409"/>
    </row>
    <row r="26" ht="15.75" customHeight="1">
      <c r="A26" s="1586" t="s">
        <v>2977</v>
      </c>
      <c r="B26" s="1450" t="s">
        <v>8542</v>
      </c>
      <c r="C26" s="1409" t="s">
        <v>11114</v>
      </c>
      <c r="D26" s="1409" t="s">
        <v>11115</v>
      </c>
      <c r="E26" s="1409" t="s">
        <v>11116</v>
      </c>
      <c r="F26" s="1409" t="s">
        <v>11117</v>
      </c>
      <c r="G26" s="1409" t="s">
        <v>11118</v>
      </c>
      <c r="H26" s="1409" t="s">
        <v>11119</v>
      </c>
      <c r="I26" s="1409" t="s">
        <v>11120</v>
      </c>
      <c r="J26" s="1409" t="s">
        <v>11121</v>
      </c>
      <c r="K26" s="1409" t="s">
        <v>11122</v>
      </c>
      <c r="L26" s="1409" t="s">
        <v>11123</v>
      </c>
    </row>
    <row r="27">
      <c r="A27" s="1681" t="s">
        <v>3045</v>
      </c>
      <c r="B27" s="1655" t="s">
        <v>8573</v>
      </c>
      <c r="C27" s="1724" t="s">
        <v>11124</v>
      </c>
      <c r="D27" s="1409"/>
      <c r="E27" s="1409" t="s">
        <v>11125</v>
      </c>
      <c r="F27" s="1409" t="s">
        <v>11126</v>
      </c>
      <c r="G27" s="1409"/>
      <c r="H27" s="1409"/>
      <c r="I27" s="1409"/>
      <c r="J27" s="1409"/>
      <c r="K27" s="1409" t="s">
        <v>9659</v>
      </c>
      <c r="L27" s="1409"/>
    </row>
    <row r="28">
      <c r="A28" s="1661" t="s">
        <v>2222</v>
      </c>
      <c r="B28" s="1548" t="s">
        <v>8573</v>
      </c>
      <c r="C28" s="1409" t="s">
        <v>11127</v>
      </c>
      <c r="D28" s="1409" t="s">
        <v>11128</v>
      </c>
      <c r="E28" s="1409" t="s">
        <v>11129</v>
      </c>
      <c r="F28" s="1409" t="s">
        <v>11130</v>
      </c>
      <c r="G28" s="1409" t="s">
        <v>11131</v>
      </c>
      <c r="H28" s="1409" t="s">
        <v>11132</v>
      </c>
      <c r="I28" s="1409" t="s">
        <v>11133</v>
      </c>
      <c r="J28" s="1409" t="s">
        <v>11134</v>
      </c>
      <c r="K28" s="1409" t="s">
        <v>11135</v>
      </c>
      <c r="L28" s="1409" t="s">
        <v>11136</v>
      </c>
    </row>
    <row r="29" ht="15.75" customHeight="1">
      <c r="A29" s="1571" t="s">
        <v>2534</v>
      </c>
      <c r="B29" s="1539" t="s">
        <v>8573</v>
      </c>
      <c r="C29" s="1665" t="s">
        <v>10846</v>
      </c>
      <c r="D29" s="1409" t="s">
        <v>11137</v>
      </c>
      <c r="E29" s="1409" t="s">
        <v>11138</v>
      </c>
      <c r="F29" s="1409" t="s">
        <v>11139</v>
      </c>
      <c r="G29" s="1409" t="s">
        <v>11140</v>
      </c>
      <c r="H29" s="1409" t="s">
        <v>11141</v>
      </c>
      <c r="I29" s="1409" t="s">
        <v>11142</v>
      </c>
      <c r="J29" s="1409" t="s">
        <v>11143</v>
      </c>
      <c r="K29" s="1409" t="s">
        <v>9525</v>
      </c>
      <c r="L29" s="1409"/>
    </row>
    <row r="30" ht="15.75" customHeight="1">
      <c r="A30" s="1586" t="s">
        <v>5385</v>
      </c>
      <c r="B30" s="1450" t="s">
        <v>8542</v>
      </c>
      <c r="C30" s="1724" t="s">
        <v>11144</v>
      </c>
      <c r="D30" s="1409" t="s">
        <v>11145</v>
      </c>
      <c r="E30" s="1409" t="s">
        <v>11146</v>
      </c>
      <c r="F30" s="1409" t="s">
        <v>11147</v>
      </c>
      <c r="G30" s="1409" t="s">
        <v>11148</v>
      </c>
      <c r="H30" s="1409" t="s">
        <v>11149</v>
      </c>
      <c r="I30" s="1409" t="s">
        <v>11150</v>
      </c>
      <c r="J30" s="1409" t="s">
        <v>11151</v>
      </c>
      <c r="K30" s="1409" t="s">
        <v>11152</v>
      </c>
      <c r="L30" s="1409" t="s">
        <v>11153</v>
      </c>
    </row>
    <row r="31" ht="15.75" customHeight="1">
      <c r="A31" s="1586" t="s">
        <v>4880</v>
      </c>
      <c r="B31" s="1450" t="s">
        <v>8573</v>
      </c>
      <c r="C31" s="1724" t="s">
        <v>10932</v>
      </c>
      <c r="D31" s="1409" t="s">
        <v>11154</v>
      </c>
      <c r="E31" s="1409" t="s">
        <v>11155</v>
      </c>
      <c r="F31" s="1409" t="s">
        <v>11156</v>
      </c>
      <c r="G31" s="1409" t="s">
        <v>11157</v>
      </c>
      <c r="H31" s="1409" t="s">
        <v>11158</v>
      </c>
      <c r="I31" s="1409" t="s">
        <v>11159</v>
      </c>
      <c r="J31" s="1409" t="s">
        <v>11160</v>
      </c>
      <c r="K31" s="1409" t="s">
        <v>10585</v>
      </c>
      <c r="L31" s="1409" t="s">
        <v>11161</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11162</v>
      </c>
      <c r="C1" s="1729" t="s">
        <v>43</v>
      </c>
      <c r="D1" s="1730" t="s">
        <v>11163</v>
      </c>
      <c r="E1" s="1729" t="s">
        <v>11164</v>
      </c>
      <c r="F1" s="1731" t="s">
        <v>11165</v>
      </c>
    </row>
    <row r="2">
      <c r="A2" s="1732"/>
      <c r="B2" s="1733"/>
      <c r="C2" s="1733"/>
      <c r="D2" s="1733"/>
      <c r="E2" s="1733"/>
      <c r="F2" s="1733"/>
    </row>
    <row r="3">
      <c r="A3" s="1732"/>
      <c r="B3" s="1733"/>
      <c r="C3" s="1733"/>
      <c r="D3" s="1733"/>
      <c r="E3" s="1733"/>
      <c r="F3" s="1733"/>
    </row>
    <row r="4">
      <c r="A4" s="1734" t="s">
        <v>11166</v>
      </c>
      <c r="B4" s="1735" t="s">
        <v>11167</v>
      </c>
      <c r="C4" s="1736"/>
      <c r="D4" s="1736"/>
      <c r="E4" s="1736"/>
      <c r="F4" s="1737"/>
    </row>
    <row r="5">
      <c r="A5" s="1733"/>
      <c r="B5" s="1738"/>
      <c r="C5" s="1739"/>
      <c r="D5" s="1739"/>
      <c r="E5" s="1739"/>
      <c r="F5" s="1740"/>
    </row>
    <row r="6">
      <c r="A6" s="1741" t="s">
        <v>11167</v>
      </c>
      <c r="B6" s="1742" t="s">
        <v>11168</v>
      </c>
      <c r="C6" s="1743" t="s">
        <v>4260</v>
      </c>
      <c r="D6" s="1744" t="s">
        <v>11169</v>
      </c>
      <c r="E6" s="1743" t="s">
        <v>11170</v>
      </c>
      <c r="F6" s="1745">
        <v>44233.0</v>
      </c>
    </row>
    <row r="7">
      <c r="A7" s="1741" t="s">
        <v>11171</v>
      </c>
      <c r="B7" s="1746" t="s">
        <v>11172</v>
      </c>
      <c r="C7" s="1743" t="s">
        <v>901</v>
      </c>
      <c r="D7" s="1744" t="s">
        <v>11173</v>
      </c>
      <c r="E7" s="1743" t="s">
        <v>11170</v>
      </c>
      <c r="F7" s="1745">
        <v>43878.0</v>
      </c>
    </row>
    <row r="8">
      <c r="A8" s="1741" t="s">
        <v>11174</v>
      </c>
      <c r="B8" s="1747" t="s">
        <v>11175</v>
      </c>
      <c r="C8" s="1743" t="s">
        <v>327</v>
      </c>
      <c r="D8" s="1744" t="s">
        <v>11176</v>
      </c>
      <c r="E8" s="1743" t="s">
        <v>11170</v>
      </c>
      <c r="F8" s="1745">
        <v>43879.0</v>
      </c>
    </row>
    <row r="9">
      <c r="A9" s="1741" t="s">
        <v>11177</v>
      </c>
      <c r="B9" s="1748" t="s">
        <v>11178</v>
      </c>
      <c r="C9" s="1743" t="s">
        <v>3980</v>
      </c>
      <c r="D9" s="1744" t="s">
        <v>11179</v>
      </c>
      <c r="E9" s="1743" t="s">
        <v>11180</v>
      </c>
      <c r="F9" s="1745">
        <v>44084.0</v>
      </c>
    </row>
    <row r="10">
      <c r="A10" s="1741" t="s">
        <v>11181</v>
      </c>
      <c r="B10" s="1748" t="s">
        <v>11182</v>
      </c>
      <c r="C10" s="1749"/>
      <c r="D10" s="1750"/>
      <c r="E10" s="1749"/>
      <c r="F10" s="1749"/>
    </row>
    <row r="11">
      <c r="A11" s="1741" t="s">
        <v>11183</v>
      </c>
      <c r="B11" s="1735" t="s">
        <v>11171</v>
      </c>
      <c r="C11" s="1736"/>
      <c r="D11" s="1736"/>
      <c r="E11" s="1736"/>
      <c r="F11" s="1737"/>
    </row>
    <row r="12">
      <c r="A12" s="1741" t="s">
        <v>11184</v>
      </c>
      <c r="B12" s="1738"/>
      <c r="C12" s="1739"/>
      <c r="D12" s="1739"/>
      <c r="E12" s="1739"/>
      <c r="F12" s="1740"/>
    </row>
    <row r="13">
      <c r="A13" s="1741" t="s">
        <v>11185</v>
      </c>
      <c r="B13" s="1742" t="s">
        <v>11168</v>
      </c>
      <c r="C13" s="1743" t="s">
        <v>4260</v>
      </c>
      <c r="D13" s="1744" t="s">
        <v>11186</v>
      </c>
      <c r="E13" s="1743" t="s">
        <v>11170</v>
      </c>
      <c r="F13" s="1745">
        <v>44250.0</v>
      </c>
    </row>
    <row r="14" ht="15.75" customHeight="1">
      <c r="A14" s="1741" t="s">
        <v>11187</v>
      </c>
      <c r="B14" s="1746" t="s">
        <v>11172</v>
      </c>
      <c r="C14" s="1743" t="s">
        <v>4228</v>
      </c>
      <c r="D14" s="1744" t="s">
        <v>11188</v>
      </c>
      <c r="E14" s="1743" t="s">
        <v>11170</v>
      </c>
      <c r="F14" s="1745">
        <v>43364.0</v>
      </c>
    </row>
    <row r="15">
      <c r="A15" s="1741" t="s">
        <v>11189</v>
      </c>
      <c r="B15" s="1747" t="s">
        <v>11175</v>
      </c>
      <c r="C15" s="1743" t="s">
        <v>11190</v>
      </c>
      <c r="D15" s="1744" t="s">
        <v>11191</v>
      </c>
      <c r="E15" s="1743" t="s">
        <v>11180</v>
      </c>
      <c r="F15" s="1745">
        <v>43757.0</v>
      </c>
    </row>
    <row r="16">
      <c r="A16" s="1741" t="s">
        <v>11192</v>
      </c>
      <c r="B16" s="1748" t="s">
        <v>11178</v>
      </c>
      <c r="C16" s="1743" t="s">
        <v>11193</v>
      </c>
      <c r="D16" s="1744" t="s">
        <v>11194</v>
      </c>
      <c r="E16" s="1743" t="s">
        <v>11180</v>
      </c>
      <c r="F16" s="1745">
        <v>43438.0</v>
      </c>
    </row>
    <row r="17">
      <c r="A17" s="1741" t="s">
        <v>11195</v>
      </c>
      <c r="B17" s="1748" t="s">
        <v>11182</v>
      </c>
      <c r="C17" s="1749"/>
      <c r="D17" s="1750"/>
      <c r="E17" s="1749"/>
      <c r="F17" s="1749"/>
    </row>
    <row r="18">
      <c r="A18" s="1741" t="s">
        <v>11196</v>
      </c>
      <c r="B18" s="1751" t="s">
        <v>11174</v>
      </c>
      <c r="C18" s="1736"/>
      <c r="D18" s="1736"/>
      <c r="E18" s="1736"/>
      <c r="F18" s="1737"/>
    </row>
    <row r="19">
      <c r="A19" s="1741" t="s">
        <v>11197</v>
      </c>
      <c r="B19" s="1739"/>
      <c r="C19" s="1739"/>
      <c r="D19" s="1739"/>
      <c r="E19" s="1739"/>
      <c r="F19" s="1740"/>
    </row>
    <row r="20">
      <c r="A20" s="1752"/>
      <c r="B20" s="1742" t="s">
        <v>11168</v>
      </c>
      <c r="C20" s="1743" t="s">
        <v>11198</v>
      </c>
      <c r="D20" s="1744" t="s">
        <v>11199</v>
      </c>
      <c r="E20" s="1743" t="s">
        <v>11170</v>
      </c>
      <c r="F20" s="1745">
        <v>44021.0</v>
      </c>
    </row>
    <row r="21">
      <c r="A21" s="1752"/>
      <c r="B21" s="1746" t="s">
        <v>11172</v>
      </c>
      <c r="C21" s="1743" t="s">
        <v>5203</v>
      </c>
      <c r="D21" s="1744" t="s">
        <v>11200</v>
      </c>
      <c r="E21" s="1743" t="s">
        <v>11180</v>
      </c>
      <c r="F21" s="1745">
        <v>44022.0</v>
      </c>
    </row>
    <row r="22">
      <c r="A22" s="1753"/>
      <c r="B22" s="1747" t="s">
        <v>11175</v>
      </c>
      <c r="C22" s="1743" t="s">
        <v>11201</v>
      </c>
      <c r="D22" s="1744" t="s">
        <v>11202</v>
      </c>
      <c r="E22" s="1743" t="s">
        <v>11203</v>
      </c>
      <c r="F22" s="1745">
        <v>43884.0</v>
      </c>
    </row>
    <row r="23">
      <c r="A23" s="1753"/>
      <c r="B23" s="1748" t="s">
        <v>11178</v>
      </c>
      <c r="C23" s="1743" t="s">
        <v>5385</v>
      </c>
      <c r="D23" s="1744" t="s">
        <v>11204</v>
      </c>
      <c r="E23" s="1743" t="s">
        <v>11170</v>
      </c>
      <c r="F23" s="1745">
        <v>43892.0</v>
      </c>
    </row>
    <row r="24">
      <c r="A24" s="1753"/>
      <c r="B24" s="1748" t="s">
        <v>11182</v>
      </c>
      <c r="C24" s="1749"/>
      <c r="D24" s="1750"/>
      <c r="E24" s="1749"/>
      <c r="F24" s="1749"/>
    </row>
    <row r="25">
      <c r="A25" s="1753"/>
      <c r="B25" s="1735" t="s">
        <v>11177</v>
      </c>
      <c r="C25" s="1736"/>
      <c r="D25" s="1736"/>
      <c r="E25" s="1736"/>
      <c r="F25" s="1737"/>
    </row>
    <row r="26">
      <c r="A26" s="1753"/>
      <c r="B26" s="1738"/>
      <c r="C26" s="1739"/>
      <c r="D26" s="1739"/>
      <c r="E26" s="1739"/>
      <c r="F26" s="1740"/>
    </row>
    <row r="27">
      <c r="A27" s="1753"/>
      <c r="B27" s="1754" t="s">
        <v>11205</v>
      </c>
      <c r="C27" s="1736"/>
      <c r="D27" s="1736"/>
      <c r="E27" s="1736"/>
      <c r="F27" s="1737"/>
    </row>
    <row r="28">
      <c r="A28" s="1753"/>
      <c r="B28" s="1738"/>
      <c r="C28" s="1739"/>
      <c r="D28" s="1739"/>
      <c r="E28" s="1739"/>
      <c r="F28" s="1740"/>
    </row>
    <row r="29">
      <c r="A29" s="1753"/>
      <c r="B29" s="1742" t="s">
        <v>11168</v>
      </c>
      <c r="C29" s="1755" t="s">
        <v>433</v>
      </c>
      <c r="D29" s="1744" t="s">
        <v>11206</v>
      </c>
      <c r="E29" s="1743" t="s">
        <v>11170</v>
      </c>
      <c r="F29" s="1745">
        <v>43659.0</v>
      </c>
    </row>
    <row r="30">
      <c r="A30" s="1753"/>
      <c r="B30" s="1746" t="s">
        <v>11172</v>
      </c>
      <c r="C30" s="1743" t="s">
        <v>1635</v>
      </c>
      <c r="D30" s="1744" t="s">
        <v>11207</v>
      </c>
      <c r="E30" s="1743" t="s">
        <v>11170</v>
      </c>
      <c r="F30" s="1745">
        <v>43228.0</v>
      </c>
    </row>
    <row r="31">
      <c r="A31" s="1753"/>
      <c r="B31" s="1747" t="s">
        <v>11175</v>
      </c>
      <c r="C31" s="1749"/>
      <c r="D31" s="1756"/>
      <c r="E31" s="1749"/>
      <c r="F31" s="1749"/>
    </row>
    <row r="32">
      <c r="A32" s="1753"/>
      <c r="B32" s="1748" t="s">
        <v>11178</v>
      </c>
      <c r="C32" s="1749"/>
      <c r="D32" s="1756"/>
      <c r="E32" s="1749"/>
      <c r="F32" s="1749"/>
    </row>
    <row r="33">
      <c r="A33" s="1753"/>
      <c r="B33" s="1748" t="s">
        <v>11182</v>
      </c>
      <c r="C33" s="1749"/>
      <c r="D33" s="1756"/>
      <c r="E33" s="1749"/>
      <c r="F33" s="1749"/>
    </row>
    <row r="34">
      <c r="A34" s="1753"/>
      <c r="B34" s="1754" t="s">
        <v>11208</v>
      </c>
      <c r="C34" s="1736"/>
      <c r="D34" s="1736"/>
      <c r="E34" s="1736"/>
      <c r="F34" s="1737"/>
    </row>
    <row r="35">
      <c r="A35" s="1753"/>
      <c r="B35" s="1738"/>
      <c r="C35" s="1739"/>
      <c r="D35" s="1739"/>
      <c r="E35" s="1739"/>
      <c r="F35" s="1740"/>
    </row>
    <row r="36">
      <c r="A36" s="1753"/>
      <c r="B36" s="1742" t="s">
        <v>11168</v>
      </c>
      <c r="C36" s="1743" t="s">
        <v>1635</v>
      </c>
      <c r="D36" s="1744" t="s">
        <v>11209</v>
      </c>
      <c r="E36" s="1743" t="s">
        <v>11170</v>
      </c>
      <c r="F36" s="1745">
        <v>43352.0</v>
      </c>
    </row>
    <row r="37">
      <c r="A37" s="1753"/>
      <c r="B37" s="1746" t="s">
        <v>11172</v>
      </c>
      <c r="C37" s="1743" t="s">
        <v>11210</v>
      </c>
      <c r="D37" s="1744" t="s">
        <v>11211</v>
      </c>
      <c r="E37" s="1743" t="s">
        <v>11170</v>
      </c>
      <c r="F37" s="1745">
        <v>43799.0</v>
      </c>
    </row>
    <row r="38">
      <c r="A38" s="1753"/>
      <c r="B38" s="1747" t="s">
        <v>11175</v>
      </c>
      <c r="C38" s="1749"/>
      <c r="D38" s="1750"/>
      <c r="E38" s="1749"/>
      <c r="F38" s="1749"/>
    </row>
    <row r="39">
      <c r="A39" s="1753"/>
      <c r="B39" s="1748" t="s">
        <v>11178</v>
      </c>
      <c r="C39" s="1749"/>
      <c r="D39" s="1750"/>
      <c r="E39" s="1749"/>
      <c r="F39" s="1749"/>
    </row>
    <row r="40">
      <c r="A40" s="1753"/>
      <c r="B40" s="1748" t="s">
        <v>11182</v>
      </c>
      <c r="C40" s="1749"/>
      <c r="D40" s="1750"/>
      <c r="E40" s="1749"/>
      <c r="F40" s="1749"/>
    </row>
    <row r="41">
      <c r="A41" s="1753"/>
      <c r="B41" s="1735" t="s">
        <v>11181</v>
      </c>
      <c r="C41" s="1736"/>
      <c r="D41" s="1736"/>
      <c r="E41" s="1736"/>
      <c r="F41" s="1737"/>
    </row>
    <row r="42">
      <c r="A42" s="1753"/>
      <c r="B42" s="1738"/>
      <c r="C42" s="1739"/>
      <c r="D42" s="1739"/>
      <c r="E42" s="1739"/>
      <c r="F42" s="1740"/>
    </row>
    <row r="43">
      <c r="A43" s="1753"/>
      <c r="B43" s="1742" t="s">
        <v>11168</v>
      </c>
      <c r="C43" s="1743" t="s">
        <v>7239</v>
      </c>
      <c r="D43" s="1757" t="s">
        <v>11212</v>
      </c>
      <c r="E43" s="1743" t="s">
        <v>11170</v>
      </c>
      <c r="F43" s="1758">
        <v>44511.0</v>
      </c>
    </row>
    <row r="44">
      <c r="A44" s="1753"/>
      <c r="B44" s="1746" t="s">
        <v>11172</v>
      </c>
      <c r="C44" s="1743" t="s">
        <v>11210</v>
      </c>
      <c r="D44" s="1757" t="s">
        <v>11213</v>
      </c>
      <c r="E44" s="1743" t="s">
        <v>11170</v>
      </c>
      <c r="F44" s="1758">
        <v>43740.0</v>
      </c>
    </row>
    <row r="45">
      <c r="A45" s="1753"/>
      <c r="B45" s="1747" t="s">
        <v>11175</v>
      </c>
      <c r="C45" s="1743" t="s">
        <v>10274</v>
      </c>
      <c r="D45" s="1757" t="s">
        <v>11214</v>
      </c>
      <c r="E45" s="1743" t="s">
        <v>11170</v>
      </c>
      <c r="F45" s="1758">
        <v>42098.0</v>
      </c>
    </row>
    <row r="46">
      <c r="A46" s="1753"/>
      <c r="B46" s="1748" t="s">
        <v>11178</v>
      </c>
      <c r="C46" s="1743"/>
      <c r="D46" s="1757"/>
      <c r="E46" s="1743"/>
      <c r="F46" s="1758"/>
    </row>
    <row r="47">
      <c r="A47" s="1753"/>
      <c r="B47" s="1748" t="s">
        <v>11182</v>
      </c>
      <c r="C47" s="1749"/>
      <c r="D47" s="1759"/>
      <c r="E47" s="1749"/>
      <c r="F47" s="1753"/>
    </row>
    <row r="48">
      <c r="A48" s="1753"/>
      <c r="B48" s="1735" t="s">
        <v>11183</v>
      </c>
      <c r="C48" s="1736"/>
      <c r="D48" s="1736"/>
      <c r="E48" s="1736"/>
      <c r="F48" s="1737"/>
    </row>
    <row r="49">
      <c r="A49" s="1753"/>
      <c r="B49" s="1738"/>
      <c r="C49" s="1739"/>
      <c r="D49" s="1739"/>
      <c r="E49" s="1739"/>
      <c r="F49" s="1740"/>
    </row>
    <row r="50">
      <c r="A50" s="1753"/>
      <c r="B50" s="1742" t="s">
        <v>11168</v>
      </c>
      <c r="C50" s="1743" t="s">
        <v>11215</v>
      </c>
      <c r="D50" s="1757" t="s">
        <v>11216</v>
      </c>
      <c r="E50" s="1743" t="s">
        <v>11217</v>
      </c>
      <c r="F50" s="1758">
        <v>43395.0</v>
      </c>
    </row>
    <row r="51">
      <c r="A51" s="1753"/>
      <c r="B51" s="1746" t="s">
        <v>11172</v>
      </c>
      <c r="C51" s="1743" t="s">
        <v>2260</v>
      </c>
      <c r="D51" s="1757" t="s">
        <v>11218</v>
      </c>
      <c r="E51" s="1743" t="s">
        <v>11180</v>
      </c>
      <c r="F51" s="1758">
        <v>43376.0</v>
      </c>
    </row>
    <row r="52">
      <c r="A52" s="1753"/>
      <c r="B52" s="1747" t="s">
        <v>11175</v>
      </c>
      <c r="C52" s="1749"/>
      <c r="D52" s="1759"/>
      <c r="E52" s="1749"/>
      <c r="F52" s="1753"/>
    </row>
    <row r="53">
      <c r="A53" s="1753"/>
      <c r="B53" s="1748" t="s">
        <v>11178</v>
      </c>
      <c r="C53" s="1749"/>
      <c r="D53" s="1759"/>
      <c r="E53" s="1749"/>
      <c r="F53" s="1753"/>
    </row>
    <row r="54">
      <c r="A54" s="1753"/>
      <c r="B54" s="1748" t="s">
        <v>11182</v>
      </c>
      <c r="C54" s="1749"/>
      <c r="D54" s="1759"/>
      <c r="E54" s="1749"/>
      <c r="F54" s="1753"/>
    </row>
    <row r="55">
      <c r="A55" s="1753"/>
      <c r="B55" s="1735" t="s">
        <v>11184</v>
      </c>
      <c r="C55" s="1736"/>
      <c r="D55" s="1736"/>
      <c r="E55" s="1736"/>
      <c r="F55" s="1737"/>
    </row>
    <row r="56">
      <c r="A56" s="1753"/>
      <c r="B56" s="1738"/>
      <c r="C56" s="1739"/>
      <c r="D56" s="1739"/>
      <c r="E56" s="1739"/>
      <c r="F56" s="1740"/>
    </row>
    <row r="57">
      <c r="A57" s="1753"/>
      <c r="B57" s="1760" t="s">
        <v>11219</v>
      </c>
      <c r="C57" s="1736"/>
      <c r="D57" s="1736"/>
      <c r="E57" s="1736"/>
      <c r="F57" s="1737"/>
    </row>
    <row r="58">
      <c r="A58" s="1753"/>
      <c r="B58" s="1738"/>
      <c r="C58" s="1739"/>
      <c r="D58" s="1739"/>
      <c r="E58" s="1739"/>
      <c r="F58" s="1740"/>
    </row>
    <row r="59">
      <c r="A59" s="1753"/>
      <c r="B59" s="1742" t="s">
        <v>11168</v>
      </c>
      <c r="C59" s="1761" t="s">
        <v>433</v>
      </c>
      <c r="D59" s="1757" t="s">
        <v>11220</v>
      </c>
      <c r="E59" s="1743" t="s">
        <v>11170</v>
      </c>
      <c r="F59" s="1758">
        <v>43758.0</v>
      </c>
    </row>
    <row r="60">
      <c r="A60" s="1753"/>
      <c r="B60" s="1746" t="s">
        <v>11172</v>
      </c>
      <c r="C60" s="1749"/>
      <c r="D60" s="1759"/>
      <c r="E60" s="1749"/>
      <c r="F60" s="1753"/>
    </row>
    <row r="61">
      <c r="A61" s="1753"/>
      <c r="B61" s="1747" t="s">
        <v>11175</v>
      </c>
      <c r="C61" s="1749"/>
      <c r="D61" s="1759"/>
      <c r="E61" s="1749"/>
      <c r="F61" s="1753"/>
    </row>
    <row r="62">
      <c r="A62" s="1753"/>
      <c r="B62" s="1748" t="s">
        <v>11178</v>
      </c>
      <c r="C62" s="1749"/>
      <c r="D62" s="1759"/>
      <c r="E62" s="1749"/>
      <c r="F62" s="1753"/>
    </row>
    <row r="63">
      <c r="A63" s="1753"/>
      <c r="B63" s="1748" t="s">
        <v>11182</v>
      </c>
      <c r="C63" s="1749"/>
      <c r="D63" s="1759"/>
      <c r="E63" s="1749"/>
      <c r="F63" s="1753"/>
    </row>
    <row r="64">
      <c r="A64" s="1753"/>
      <c r="B64" s="1760" t="s">
        <v>11208</v>
      </c>
      <c r="C64" s="1736"/>
      <c r="D64" s="1736"/>
      <c r="E64" s="1736"/>
      <c r="F64" s="1737"/>
    </row>
    <row r="65">
      <c r="A65" s="1753"/>
      <c r="B65" s="1738"/>
      <c r="C65" s="1739"/>
      <c r="D65" s="1739"/>
      <c r="E65" s="1739"/>
      <c r="F65" s="1740"/>
    </row>
    <row r="66">
      <c r="A66" s="1753"/>
      <c r="B66" s="1742" t="s">
        <v>11168</v>
      </c>
      <c r="C66" s="1743" t="s">
        <v>11221</v>
      </c>
      <c r="D66" s="1762" t="s">
        <v>11222</v>
      </c>
      <c r="E66" s="1743" t="s">
        <v>11170</v>
      </c>
      <c r="F66" s="1758">
        <v>44805.0</v>
      </c>
    </row>
    <row r="67">
      <c r="A67" s="1753"/>
      <c r="B67" s="1746" t="s">
        <v>11172</v>
      </c>
      <c r="C67" s="1743" t="s">
        <v>11223</v>
      </c>
      <c r="D67" s="1757" t="s">
        <v>11224</v>
      </c>
      <c r="E67" s="1743" t="s">
        <v>11170</v>
      </c>
      <c r="F67" s="1758">
        <v>43307.0</v>
      </c>
    </row>
    <row r="68">
      <c r="A68" s="1753"/>
      <c r="B68" s="1747" t="s">
        <v>11175</v>
      </c>
      <c r="C68" s="1749"/>
      <c r="D68" s="1759"/>
      <c r="E68" s="1749"/>
      <c r="F68" s="1753"/>
    </row>
    <row r="69">
      <c r="A69" s="1753"/>
      <c r="B69" s="1748" t="s">
        <v>11178</v>
      </c>
      <c r="C69" s="1749"/>
      <c r="D69" s="1759"/>
      <c r="E69" s="1749"/>
      <c r="F69" s="1753"/>
    </row>
    <row r="70">
      <c r="A70" s="1753"/>
      <c r="B70" s="1748" t="s">
        <v>11182</v>
      </c>
      <c r="C70" s="1749"/>
      <c r="D70" s="1759"/>
      <c r="E70" s="1749"/>
      <c r="F70" s="1753"/>
    </row>
    <row r="71">
      <c r="A71" s="1753"/>
      <c r="B71" s="1735" t="s">
        <v>11185</v>
      </c>
      <c r="C71" s="1736"/>
      <c r="D71" s="1736"/>
      <c r="E71" s="1736"/>
      <c r="F71" s="1737"/>
    </row>
    <row r="72">
      <c r="A72" s="1753"/>
      <c r="B72" s="1738"/>
      <c r="C72" s="1739"/>
      <c r="D72" s="1739"/>
      <c r="E72" s="1739"/>
      <c r="F72" s="1740"/>
    </row>
    <row r="73">
      <c r="A73" s="1753"/>
      <c r="B73" s="1760" t="s">
        <v>11225</v>
      </c>
      <c r="C73" s="1736"/>
      <c r="D73" s="1736"/>
      <c r="E73" s="1736"/>
      <c r="F73" s="1737"/>
    </row>
    <row r="74">
      <c r="A74" s="1753"/>
      <c r="B74" s="1738"/>
      <c r="C74" s="1739"/>
      <c r="D74" s="1739"/>
      <c r="E74" s="1739"/>
      <c r="F74" s="1740"/>
    </row>
    <row r="75">
      <c r="A75" s="1753"/>
      <c r="B75" s="1742" t="s">
        <v>11168</v>
      </c>
      <c r="C75" s="1743" t="s">
        <v>4260</v>
      </c>
      <c r="D75" s="1757" t="s">
        <v>11226</v>
      </c>
      <c r="E75" s="1743" t="s">
        <v>11170</v>
      </c>
      <c r="F75" s="1758">
        <v>44246.0</v>
      </c>
    </row>
    <row r="76">
      <c r="A76" s="1753"/>
      <c r="B76" s="1746" t="s">
        <v>11172</v>
      </c>
      <c r="C76" s="1743" t="s">
        <v>11215</v>
      </c>
      <c r="D76" s="1757" t="s">
        <v>11227</v>
      </c>
      <c r="E76" s="1743" t="s">
        <v>11217</v>
      </c>
      <c r="F76" s="1758">
        <v>43637.0</v>
      </c>
    </row>
    <row r="77">
      <c r="A77" s="1753"/>
      <c r="B77" s="1747" t="s">
        <v>11175</v>
      </c>
      <c r="C77" s="1749"/>
      <c r="D77" s="1759"/>
      <c r="E77" s="1749"/>
      <c r="F77" s="1753"/>
    </row>
    <row r="78">
      <c r="A78" s="1753"/>
      <c r="B78" s="1748" t="s">
        <v>11178</v>
      </c>
      <c r="C78" s="1749"/>
      <c r="D78" s="1759"/>
      <c r="E78" s="1749"/>
      <c r="F78" s="1753"/>
    </row>
    <row r="79">
      <c r="A79" s="1753"/>
      <c r="B79" s="1748" t="s">
        <v>11182</v>
      </c>
      <c r="C79" s="1749"/>
      <c r="D79" s="1759"/>
      <c r="E79" s="1749"/>
      <c r="F79" s="1753"/>
    </row>
    <row r="80">
      <c r="A80" s="1753"/>
      <c r="B80" s="1760" t="s">
        <v>11228</v>
      </c>
      <c r="C80" s="1736"/>
      <c r="D80" s="1736"/>
      <c r="E80" s="1736"/>
      <c r="F80" s="1737"/>
    </row>
    <row r="81">
      <c r="A81" s="1753"/>
      <c r="B81" s="1738"/>
      <c r="C81" s="1739"/>
      <c r="D81" s="1739"/>
      <c r="E81" s="1739"/>
      <c r="F81" s="1740"/>
    </row>
    <row r="82">
      <c r="A82" s="1753"/>
      <c r="B82" s="1742" t="s">
        <v>11168</v>
      </c>
      <c r="C82" s="1743" t="s">
        <v>6277</v>
      </c>
      <c r="D82" s="1757" t="s">
        <v>11229</v>
      </c>
      <c r="E82" s="1743" t="s">
        <v>11170</v>
      </c>
      <c r="F82" s="1758">
        <v>43592.0</v>
      </c>
    </row>
    <row r="83">
      <c r="A83" s="1753"/>
      <c r="B83" s="1746" t="s">
        <v>11172</v>
      </c>
      <c r="C83" s="1743" t="s">
        <v>11230</v>
      </c>
      <c r="D83" s="1757" t="s">
        <v>11231</v>
      </c>
      <c r="E83" s="1743" t="s">
        <v>11170</v>
      </c>
      <c r="F83" s="1758">
        <v>43396.0</v>
      </c>
    </row>
    <row r="84">
      <c r="A84" s="1753"/>
      <c r="B84" s="1747" t="s">
        <v>11175</v>
      </c>
      <c r="C84" s="1749"/>
      <c r="D84" s="1759"/>
      <c r="E84" s="1749"/>
      <c r="F84" s="1753"/>
    </row>
    <row r="85">
      <c r="A85" s="1753"/>
      <c r="B85" s="1748" t="s">
        <v>11178</v>
      </c>
      <c r="C85" s="1749"/>
      <c r="D85" s="1759"/>
      <c r="E85" s="1749"/>
      <c r="F85" s="1753"/>
    </row>
    <row r="86">
      <c r="A86" s="1753"/>
      <c r="B86" s="1748" t="s">
        <v>11182</v>
      </c>
      <c r="C86" s="1749"/>
      <c r="D86" s="1759"/>
      <c r="E86" s="1749"/>
      <c r="F86" s="1753"/>
    </row>
    <row r="87">
      <c r="A87" s="1753"/>
      <c r="B87" s="1735" t="s">
        <v>11187</v>
      </c>
      <c r="C87" s="1736"/>
      <c r="D87" s="1736"/>
      <c r="E87" s="1736"/>
      <c r="F87" s="1737"/>
    </row>
    <row r="88">
      <c r="A88" s="1753"/>
      <c r="B88" s="1738"/>
      <c r="C88" s="1739"/>
      <c r="D88" s="1739"/>
      <c r="E88" s="1739"/>
      <c r="F88" s="1740"/>
    </row>
    <row r="89">
      <c r="A89" s="1753"/>
      <c r="B89" s="1742" t="s">
        <v>11168</v>
      </c>
      <c r="C89" s="1761" t="s">
        <v>433</v>
      </c>
      <c r="D89" s="1757" t="s">
        <v>11232</v>
      </c>
      <c r="E89" s="1743" t="s">
        <v>11170</v>
      </c>
      <c r="F89" s="1758">
        <v>43457.0</v>
      </c>
    </row>
    <row r="90">
      <c r="A90" s="1753"/>
      <c r="B90" s="1746" t="s">
        <v>11172</v>
      </c>
      <c r="C90" s="1743" t="s">
        <v>2451</v>
      </c>
      <c r="D90" s="1757" t="s">
        <v>11233</v>
      </c>
      <c r="E90" s="1743" t="s">
        <v>11170</v>
      </c>
      <c r="F90" s="1758">
        <v>43925.0</v>
      </c>
    </row>
    <row r="91">
      <c r="A91" s="1753"/>
      <c r="B91" s="1747" t="s">
        <v>11175</v>
      </c>
      <c r="C91" s="1743" t="s">
        <v>4745</v>
      </c>
      <c r="D91" s="1757" t="s">
        <v>11234</v>
      </c>
      <c r="E91" s="1743" t="s">
        <v>11203</v>
      </c>
      <c r="F91" s="1758">
        <v>43433.0</v>
      </c>
    </row>
    <row r="92">
      <c r="A92" s="1753"/>
      <c r="B92" s="1748" t="s">
        <v>11178</v>
      </c>
      <c r="C92" s="1749"/>
      <c r="D92" s="1759"/>
      <c r="E92" s="1749"/>
      <c r="F92" s="1753"/>
    </row>
    <row r="93">
      <c r="A93" s="1753"/>
      <c r="B93" s="1748" t="s">
        <v>11182</v>
      </c>
      <c r="C93" s="1749"/>
      <c r="D93" s="1759"/>
      <c r="E93" s="1749"/>
      <c r="F93" s="1753"/>
    </row>
    <row r="94">
      <c r="A94" s="1753"/>
      <c r="B94" s="1735" t="s">
        <v>11189</v>
      </c>
      <c r="C94" s="1736"/>
      <c r="D94" s="1736"/>
      <c r="E94" s="1736"/>
      <c r="F94" s="1737"/>
    </row>
    <row r="95">
      <c r="A95" s="1753"/>
      <c r="B95" s="1738"/>
      <c r="C95" s="1739"/>
      <c r="D95" s="1739"/>
      <c r="E95" s="1739"/>
      <c r="F95" s="1740"/>
    </row>
    <row r="96">
      <c r="A96" s="1753"/>
      <c r="B96" s="1760" t="s">
        <v>11235</v>
      </c>
      <c r="C96" s="1736"/>
      <c r="D96" s="1736"/>
      <c r="E96" s="1736"/>
      <c r="F96" s="1737"/>
    </row>
    <row r="97">
      <c r="A97" s="1753"/>
      <c r="B97" s="1738"/>
      <c r="C97" s="1739"/>
      <c r="D97" s="1739"/>
      <c r="E97" s="1739"/>
      <c r="F97" s="1740"/>
    </row>
    <row r="98">
      <c r="A98" s="1753"/>
      <c r="B98" s="1742" t="s">
        <v>11168</v>
      </c>
      <c r="C98" s="1743" t="s">
        <v>11210</v>
      </c>
      <c r="D98" s="1757" t="s">
        <v>11236</v>
      </c>
      <c r="E98" s="1743" t="s">
        <v>11170</v>
      </c>
      <c r="F98" s="1758">
        <v>43862.0</v>
      </c>
    </row>
    <row r="99">
      <c r="A99" s="1753"/>
      <c r="B99" s="1746" t="s">
        <v>11172</v>
      </c>
      <c r="C99" s="1749"/>
      <c r="D99" s="1759"/>
      <c r="E99" s="1749"/>
      <c r="F99" s="1753"/>
    </row>
    <row r="100">
      <c r="A100" s="1753"/>
      <c r="B100" s="1747" t="s">
        <v>11175</v>
      </c>
      <c r="C100" s="1749"/>
      <c r="D100" s="1759"/>
      <c r="E100" s="1749"/>
      <c r="F100" s="1753"/>
    </row>
    <row r="101">
      <c r="A101" s="1753"/>
      <c r="B101" s="1748" t="s">
        <v>11178</v>
      </c>
      <c r="C101" s="1749"/>
      <c r="D101" s="1759"/>
      <c r="E101" s="1749"/>
      <c r="F101" s="1753"/>
    </row>
    <row r="102">
      <c r="A102" s="1753"/>
      <c r="B102" s="1748" t="s">
        <v>11182</v>
      </c>
      <c r="C102" s="1749"/>
      <c r="D102" s="1759"/>
      <c r="E102" s="1749"/>
      <c r="F102" s="1753"/>
    </row>
    <row r="103">
      <c r="A103" s="1753"/>
      <c r="B103" s="1760" t="s">
        <v>11237</v>
      </c>
      <c r="C103" s="1736"/>
      <c r="D103" s="1736"/>
      <c r="E103" s="1736"/>
      <c r="F103" s="1737"/>
    </row>
    <row r="104">
      <c r="A104" s="1753"/>
      <c r="B104" s="1738"/>
      <c r="C104" s="1739"/>
      <c r="D104" s="1739"/>
      <c r="E104" s="1739"/>
      <c r="F104" s="1740"/>
    </row>
    <row r="105">
      <c r="A105" s="1753"/>
      <c r="B105" s="1742" t="s">
        <v>11168</v>
      </c>
      <c r="C105" s="1743" t="s">
        <v>11210</v>
      </c>
      <c r="D105" s="1757" t="s">
        <v>11238</v>
      </c>
      <c r="E105" s="1743" t="s">
        <v>11170</v>
      </c>
      <c r="F105" s="1758">
        <v>43862.0</v>
      </c>
    </row>
    <row r="106">
      <c r="A106" s="1753"/>
      <c r="B106" s="1746" t="s">
        <v>11172</v>
      </c>
      <c r="C106" s="1763" t="s">
        <v>6149</v>
      </c>
      <c r="D106" s="1757" t="s">
        <v>11239</v>
      </c>
      <c r="E106" s="1743" t="s">
        <v>11217</v>
      </c>
      <c r="F106" s="1758">
        <v>43630.0</v>
      </c>
    </row>
    <row r="107">
      <c r="A107" s="1753"/>
      <c r="B107" s="1747" t="s">
        <v>11175</v>
      </c>
      <c r="C107" s="1749"/>
      <c r="D107" s="1759"/>
      <c r="E107" s="1749"/>
      <c r="F107" s="1753"/>
    </row>
    <row r="108">
      <c r="A108" s="1753"/>
      <c r="B108" s="1748" t="s">
        <v>11178</v>
      </c>
      <c r="C108" s="1749"/>
      <c r="D108" s="1759"/>
      <c r="E108" s="1749"/>
      <c r="F108" s="1753"/>
    </row>
    <row r="109">
      <c r="A109" s="1753"/>
      <c r="B109" s="1748" t="s">
        <v>11182</v>
      </c>
      <c r="C109" s="1749"/>
      <c r="D109" s="1759"/>
      <c r="E109" s="1749"/>
      <c r="F109" s="1753"/>
    </row>
    <row r="110">
      <c r="A110" s="1753"/>
      <c r="B110" s="1735" t="s">
        <v>11192</v>
      </c>
      <c r="C110" s="1736"/>
      <c r="D110" s="1736"/>
      <c r="E110" s="1736"/>
      <c r="F110" s="1737"/>
    </row>
    <row r="111">
      <c r="A111" s="1753"/>
      <c r="B111" s="1738"/>
      <c r="C111" s="1739"/>
      <c r="D111" s="1739"/>
      <c r="E111" s="1739"/>
      <c r="F111" s="1740"/>
    </row>
    <row r="112">
      <c r="A112" s="1753"/>
      <c r="B112" s="1742" t="s">
        <v>11168</v>
      </c>
      <c r="C112" s="1743" t="s">
        <v>5203</v>
      </c>
      <c r="D112" s="1757" t="s">
        <v>11240</v>
      </c>
      <c r="E112" s="1743" t="s">
        <v>11180</v>
      </c>
      <c r="F112" s="1758">
        <v>44132.0</v>
      </c>
    </row>
    <row r="113">
      <c r="A113" s="1753"/>
      <c r="B113" s="1746" t="s">
        <v>11172</v>
      </c>
      <c r="C113" s="1749"/>
      <c r="D113" s="1759"/>
      <c r="E113" s="1749"/>
      <c r="F113" s="1753"/>
    </row>
    <row r="114">
      <c r="A114" s="1753"/>
      <c r="B114" s="1747" t="s">
        <v>11175</v>
      </c>
      <c r="C114" s="1749"/>
      <c r="D114" s="1759"/>
      <c r="E114" s="1749"/>
      <c r="F114" s="1753"/>
    </row>
    <row r="115">
      <c r="A115" s="1753"/>
      <c r="B115" s="1748" t="s">
        <v>11178</v>
      </c>
      <c r="C115" s="1749"/>
      <c r="D115" s="1759"/>
      <c r="E115" s="1749"/>
      <c r="F115" s="1753"/>
    </row>
    <row r="116">
      <c r="A116" s="1753"/>
      <c r="B116" s="1748" t="s">
        <v>11182</v>
      </c>
      <c r="C116" s="1749"/>
      <c r="D116" s="1759"/>
      <c r="E116" s="1749"/>
      <c r="F116" s="1753"/>
    </row>
    <row r="117">
      <c r="A117" s="1753"/>
      <c r="B117" s="1735" t="s">
        <v>11195</v>
      </c>
      <c r="C117" s="1736"/>
      <c r="D117" s="1736"/>
      <c r="E117" s="1736"/>
      <c r="F117" s="1737"/>
    </row>
    <row r="118">
      <c r="A118" s="1753"/>
      <c r="B118" s="1738"/>
      <c r="C118" s="1739"/>
      <c r="D118" s="1739"/>
      <c r="E118" s="1739"/>
      <c r="F118" s="1740"/>
    </row>
    <row r="119">
      <c r="A119" s="1753"/>
      <c r="B119" s="1742" t="s">
        <v>11168</v>
      </c>
      <c r="C119" s="1743" t="s">
        <v>6221</v>
      </c>
      <c r="D119" s="1757" t="s">
        <v>11241</v>
      </c>
      <c r="E119" s="1743" t="s">
        <v>11170</v>
      </c>
      <c r="F119" s="1758">
        <v>43741.0</v>
      </c>
    </row>
    <row r="120">
      <c r="A120" s="1753"/>
      <c r="B120" s="1746" t="s">
        <v>11172</v>
      </c>
      <c r="C120" s="1743" t="s">
        <v>11242</v>
      </c>
      <c r="D120" s="1757" t="s">
        <v>11243</v>
      </c>
      <c r="E120" s="1743" t="s">
        <v>11203</v>
      </c>
      <c r="F120" s="1758">
        <v>43748.0</v>
      </c>
    </row>
    <row r="121">
      <c r="A121" s="1753"/>
      <c r="B121" s="1747" t="s">
        <v>11175</v>
      </c>
      <c r="C121" s="1743" t="s">
        <v>2145</v>
      </c>
      <c r="D121" s="1757" t="s">
        <v>11244</v>
      </c>
      <c r="E121" s="1743" t="s">
        <v>11217</v>
      </c>
      <c r="F121" s="1758">
        <v>43729.0</v>
      </c>
    </row>
    <row r="122">
      <c r="A122" s="1753"/>
      <c r="B122" s="1748" t="s">
        <v>11178</v>
      </c>
      <c r="C122" s="1761" t="s">
        <v>433</v>
      </c>
      <c r="D122" s="1757" t="s">
        <v>11245</v>
      </c>
      <c r="E122" s="1743" t="s">
        <v>11170</v>
      </c>
      <c r="F122" s="1758">
        <v>44470.0</v>
      </c>
    </row>
    <row r="123">
      <c r="A123" s="1753"/>
      <c r="B123" s="1748" t="s">
        <v>11182</v>
      </c>
      <c r="C123" s="1743" t="s">
        <v>5203</v>
      </c>
      <c r="D123" s="1757" t="s">
        <v>11246</v>
      </c>
      <c r="E123" s="1743" t="s">
        <v>11180</v>
      </c>
      <c r="F123" s="1758">
        <v>44020.0</v>
      </c>
    </row>
    <row r="124">
      <c r="A124" s="1764" t="s">
        <v>11247</v>
      </c>
      <c r="B124" s="1735" t="s">
        <v>11196</v>
      </c>
      <c r="C124" s="1736"/>
      <c r="D124" s="1736"/>
      <c r="E124" s="1736"/>
      <c r="F124" s="1737"/>
    </row>
    <row r="125">
      <c r="A125" s="1764" t="s">
        <v>11248</v>
      </c>
      <c r="B125" s="1738"/>
      <c r="C125" s="1739"/>
      <c r="D125" s="1739"/>
      <c r="E125" s="1739"/>
      <c r="F125" s="1740"/>
    </row>
    <row r="126">
      <c r="A126" s="1765"/>
      <c r="B126" s="1742" t="s">
        <v>11168</v>
      </c>
      <c r="C126" s="1743" t="s">
        <v>986</v>
      </c>
      <c r="D126" s="1766">
        <v>0.06525462962962963</v>
      </c>
      <c r="E126" s="1743" t="s">
        <v>11180</v>
      </c>
      <c r="F126" s="1745">
        <v>44652.0</v>
      </c>
    </row>
    <row r="127">
      <c r="A127" s="1765"/>
      <c r="B127" s="1746" t="s">
        <v>11172</v>
      </c>
      <c r="C127" s="1743" t="s">
        <v>4110</v>
      </c>
      <c r="D127" s="1766">
        <v>0.06892361111111112</v>
      </c>
      <c r="E127" s="1743" t="s">
        <v>11180</v>
      </c>
      <c r="F127" s="1745">
        <v>44652.0</v>
      </c>
    </row>
    <row r="128">
      <c r="A128" s="1765"/>
      <c r="B128" s="1747" t="s">
        <v>11175</v>
      </c>
      <c r="C128" s="1752" t="s">
        <v>5306</v>
      </c>
      <c r="D128" s="1767">
        <v>0.07195601851851852</v>
      </c>
      <c r="E128" s="1752" t="s">
        <v>11180</v>
      </c>
      <c r="F128" s="1758">
        <v>44652.0</v>
      </c>
    </row>
    <row r="129">
      <c r="A129" s="1765"/>
      <c r="B129" s="1748" t="s">
        <v>11178</v>
      </c>
      <c r="C129" s="1749" t="s">
        <v>11249</v>
      </c>
      <c r="D129" s="1768">
        <v>0.07211805555555556</v>
      </c>
      <c r="E129" s="1769" t="s">
        <v>11250</v>
      </c>
      <c r="F129" s="1758">
        <v>44652.0</v>
      </c>
    </row>
    <row r="130">
      <c r="A130" s="1765"/>
      <c r="B130" s="1748" t="s">
        <v>11182</v>
      </c>
      <c r="C130" s="1749"/>
      <c r="D130" s="1749"/>
      <c r="E130" s="1749"/>
      <c r="F130" s="1749"/>
    </row>
    <row r="131">
      <c r="A131" s="1770" t="s">
        <v>11197</v>
      </c>
      <c r="B131" s="1735" t="s">
        <v>11197</v>
      </c>
      <c r="C131" s="1736"/>
      <c r="D131" s="1736"/>
      <c r="E131" s="1736"/>
      <c r="F131" s="1737"/>
    </row>
    <row r="132">
      <c r="A132" s="1765"/>
      <c r="B132" s="1738"/>
      <c r="C132" s="1739"/>
      <c r="D132" s="1739"/>
      <c r="E132" s="1739"/>
      <c r="F132" s="1740"/>
    </row>
    <row r="133">
      <c r="A133" s="1765"/>
      <c r="B133" s="1742" t="s">
        <v>11168</v>
      </c>
      <c r="C133" s="1743" t="s">
        <v>2451</v>
      </c>
      <c r="D133" s="1771" t="s">
        <v>11251</v>
      </c>
      <c r="E133" s="1743" t="s">
        <v>11170</v>
      </c>
      <c r="F133" s="1745">
        <v>45152.0</v>
      </c>
    </row>
    <row r="134">
      <c r="A134" s="1765"/>
      <c r="B134" s="1746" t="s">
        <v>11172</v>
      </c>
      <c r="C134" s="1743" t="s">
        <v>4228</v>
      </c>
      <c r="D134" s="1771" t="s">
        <v>11252</v>
      </c>
      <c r="E134" s="1743" t="s">
        <v>11170</v>
      </c>
      <c r="F134" s="1745">
        <v>44866.0</v>
      </c>
    </row>
    <row r="135">
      <c r="A135" s="1765"/>
      <c r="B135" s="1747" t="s">
        <v>11175</v>
      </c>
      <c r="C135" s="1749"/>
      <c r="D135" s="1768"/>
      <c r="E135" s="1769"/>
      <c r="F135" s="1758"/>
    </row>
    <row r="136">
      <c r="A136" s="1765"/>
      <c r="B136" s="1748" t="s">
        <v>11178</v>
      </c>
      <c r="C136" s="1749"/>
      <c r="D136" s="1768"/>
      <c r="E136" s="1769"/>
      <c r="F136" s="1758"/>
    </row>
    <row r="137">
      <c r="A137" s="1765"/>
      <c r="B137" s="1748" t="s">
        <v>11182</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