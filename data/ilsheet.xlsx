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<sst xmlns="http://schemas.openxmlformats.org/spreadsheetml/2006/main" count="27636" uniqueCount="11428">
  <si>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</si>
  <si>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</si>
  <si>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</si>
  <si>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</si>
  <si>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</si>
  <si>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</si>
  <si>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</si>
  <si>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</si>
  <si>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</si>
  <si>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</si>
  <si>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</si>
  <si>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</si>
  <si>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</si>
  <si>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</si>
  <si>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</si>
  <si>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</si>
  <si>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</si>
  <si>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</si>
  <si>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</si>
  <si>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</si>
  <si>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</si>
  <si>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</si>
  <si>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</si>
  <si>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</si>
  <si>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</si>
  <si>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</si>
  <si>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</si>
  <si>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</si>
  <si>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</si>
  <si>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</si>
  <si>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</si>
  <si>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</si>
  <si>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</si>
  <si>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</si>
  <si>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</si>
  <si>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</si>
  <si>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</si>
  <si>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</si>
  <si>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</si>
  <si>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</si>
  <si>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</si>
  <si>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</si>
  <si>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</si>
  <si>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</si>
  <si>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</si>
  <si>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</si>
  <si>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</si>
  <si>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</si>
  <si>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</si>
  <si>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</si>
  <si>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</si>
  <si>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</si>
  <si>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</si>
  <si>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</si>
  <si>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</si>
  <si>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</si>
  <si>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</si>
  <si>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</si>
  <si>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</si>
  <si>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</si>
  <si>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</si>
  <si>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</si>
  <si>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</si>
  <si>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</si>
  <si>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</si>
  <si>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</si>
  <si>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</si>
  <si>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</si>
  <si>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</si>
  <si>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</si>
  <si>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</si>
  <si>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</si>
  <si>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</si>
  <si>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</si>
  <si>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</si>
  <si>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</si>
  <si>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</si>
  <si>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</si>
  <si>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</si>
  <si>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</si>
  <si>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</si>
  <si>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</si>
  <si>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</si>
  <si>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</si>
  <si>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</si>
  <si>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</si>
  <si>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</si>
  <si>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</si>
  <si>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</si>
  <si>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</si>
  <si>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</si>
  <si>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</si>
  <si>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</si>
  <si>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</si>
  <si>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</si>
  <si>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</si>
  <si>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</si>
  <si>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</si>
  <si>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</si>
  <si>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</si>
  <si>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</si>
  <si>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</si>
  <si>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</si>
  <si>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</si>
  <si>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</si>
  <si>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</si>
  <si>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</si>
  <si>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</si>
  <si>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</si>
  <si>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</si>
  <si>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</si>
  <si>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</si>
  <si>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</si>
  <si>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</si>
  <si>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</si>
  <si>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</si>
  <si>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</si>
  <si>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</si>
  <si>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</si>
  <si>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</si>
  <si>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</si>
  <si>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</si>
  <si>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</si>
  <si>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</si>
  <si>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</si>
  <si>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</si>
  <si>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</si>
  <si>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</si>
  <si>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</si>
  <si>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</si>
  <si>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</si>
  <si>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</si>
  <si>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</si>
  <si>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</si>
  <si>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</si>
  <si>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</si>
  <si>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</si>
  <si>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</si>
  <si>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</si>
  <si>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</si>
  <si>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</si>
  <si>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</si>
  <si>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</si>
  <si>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</si>
  <si>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</si>
  <si>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</si>
  <si>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</si>
  <si>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</si>
  <si>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</si>
  <si>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</si>
  <si>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</si>
  <si>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</si>
  <si>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</si>
  <si>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</si>
  <si>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</si>
  <si>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</si>
  <si>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</si>
  <si>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</si>
  <si>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</si>
  <si>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</si>
  <si>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</si>
  <si>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</si>
  <si>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</si>
  <si>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</si>
  <si>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</si>
  <si>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</si>
  <si>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</si>
  <si>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</si>
  <si>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</si>
  <si>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</si>
  <si>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</si>
  <si>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</si>
  <si>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</si>
  <si>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</si>
  <si>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</si>
  <si>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</si>
  <si>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</si>
  <si>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</si>
  <si>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</si>
  <si>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</si>
  <si>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</si>
  <si>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</si>
  <si>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</si>
  <si>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</si>
  <si>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</si>
  <si>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</si>
  <si>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</si>
  <si>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</si>
  <si>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</si>
  <si>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</si>
  <si>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</si>
  <si>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</si>
  <si>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</si>
  <si>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</si>
  <si>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</si>
  <si>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</si>
  <si>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</si>
  <si>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</si>
  <si>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</si>
  <si>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</si>
  <si>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</si>
  <si>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</si>
  <si>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</si>
  <si>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</si>
  <si>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</si>
  <si>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</si>
  <si>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</si>
  <si>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</si>
  <si>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</si>
  <si>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</si>
  <si>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</si>
  <si>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</si>
  <si>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</si>
  <si>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</si>
  <si>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</si>
  <si>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</si>
  <si>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</si>
  <si>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</si>
  <si>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</si>
  <si>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</si>
  <si>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</si>
  <si>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</si>
  <si>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</si>
  <si>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</si>
  <si>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</si>
  <si>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</si>
  <si>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</si>
  <si>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</si>
  <si>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</si>
  <si>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</si>
  <si>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</si>
  <si>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</si>
  <si>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</si>
  <si>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</si>
  <si>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</si>
  <si>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</si>
  <si>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</si>
  <si>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</si>
  <si>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</si>
  <si>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</si>
  <si>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</si>
  <si>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</si>
  <si>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</si>
  <si>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</si>
  <si>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</si>
  <si>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</si>
  <si>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</si>
  <si>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</si>
  <si>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</si>
  <si>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</si>
  <si>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</si>
  <si>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</si>
  <si>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</si>
  <si>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</si>
  <si>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</si>
  <si>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</si>
  <si>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</si>
  <si>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</si>
  <si>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</si>
  <si>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</si>
  <si>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</si>
  <si>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</si>
  <si>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</si>
  <si>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</si>
  <si>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</si>
  <si>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</si>
  <si>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</si>
  <si>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</si>
  <si>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</si>
  <si>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</si>
  <si>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</si>
  <si>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</si>
  <si>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</si>
  <si>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</si>
  <si>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</si>
  <si>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</si>
  <si>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</si>
  <si>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</si>
  <si>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</si>
  <si>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</si>
  <si>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</si>
  <si>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</si>
  <si>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</si>
  <si>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</si>
  <si>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</si>
  <si>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</si>
  <si>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</si>
  <si>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</si>
  <si>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</si>
  <si>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</si>
  <si>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</si>
  <si>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</si>
  <si>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</si>
  <si>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</si>
  <si>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</si>
  <si>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</si>
  <si>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</si>
  <si>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</si>
  <si>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</si>
  <si>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</si>
  <si>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</si>
  <si>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</si>
  <si>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</si>
  <si>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</si>
  <si>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</si>
  <si>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</si>
  <si>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</si>
  <si>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</si>
  <si>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</si>
  <si>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</si>
  <si>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</si>
  <si>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</si>
  <si>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</si>
  <si>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</si>
  <si>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</si>
  <si>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</si>
  <si>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</si>
  <si>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</si>
  <si>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</si>
  <si>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</si>
  <si>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</si>
  <si>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</si>
  <si>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</si>
  <si>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</si>
  <si>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</si>
  <si>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</si>
  <si>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</si>
  <si>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</si>
  <si>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</si>
  <si>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</si>
  <si>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</si>
  <si>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</si>
  <si>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</si>
  <si>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</si>
  <si>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</si>
  <si>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</si>
  <si>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</si>
  <si>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</si>
  <si>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</si>
  <si>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</si>
  <si>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</si>
  <si>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</si>
  <si>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</si>
  <si>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</si>
  <si>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</si>
  <si>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</si>
  <si>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</si>
  <si>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</si>
  <si>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</si>
  <si>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</si>
  <si>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</si>
  <si>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</si>
  <si>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</si>
  <si>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</si>
  <si>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</si>
  <si>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</si>
  <si>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</si>
  <si>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</si>
  <si>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</si>
  <si>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</si>
  <si>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</si>
  <si>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</si>
  <si>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</si>
  <si>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</si>
  <si>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</si>
  <si>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</si>
  <si>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</si>
  <si>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</si>
  <si>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</si>
  <si>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</si>
  <si>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</si>
  <si>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</si>
  <si>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</si>
  <si>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</si>
  <si>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</si>
  <si>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</si>
  <si>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</si>
  <si>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</si>
  <si>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</si>
  <si>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</si>
  <si>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</si>
  <si>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</si>
  <si>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</si>
  <si>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</si>
  <si>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</si>
  <si>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</si>
  <si>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</si>
  <si>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</si>
  <si>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</si>
  <si>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</si>
  <si>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</si>
  <si>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</si>
  <si>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</si>
  <si>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</si>
  <si>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</si>
  <si>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</si>
  <si>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</si>
  <si>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</si>
  <si>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</si>
  <si>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</si>
  <si>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</si>
  <si>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</si>
  <si>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</si>
  <si>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</si>
  <si>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</si>
  <si>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</si>
  <si>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</si>
  <si>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</si>
  <si>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</si>
  <si>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</si>
  <si>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</si>
  <si>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</si>
  <si>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</si>
  <si>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</si>
  <si>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</si>
  <si>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</si>
  <si>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</si>
  <si>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</si>
  <si>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</si>
  <si>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</si>
  <si>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</si>
  <si>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</si>
  <si>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</si>
  <si>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</si>
  <si>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</si>
  <si>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</si>
  <si>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</si>
  <si>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</si>
  <si>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</si>
  <si>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</si>
  <si>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</si>
  <si>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</si>
  <si>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</si>
  <si>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</si>
  <si>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</si>
  <si>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</si>
  <si>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</si>
  <si>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</si>
  <si>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</si>
  <si>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</si>
  <si>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</si>
  <si>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</si>
  <si>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</si>
  <si>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</si>
  <si>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</si>
  <si>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</si>
  <si>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</si>
  <si>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</si>
  <si>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</si>
  <si>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</si>
  <si>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</si>
  <si>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</si>
  <si>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</si>
  <si>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</si>
  <si>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</si>
  <si>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</si>
  <si>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</si>
  <si>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</si>
  <si>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</si>
  <si>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</si>
  <si>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</si>
  <si>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</si>
  <si>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</si>
  <si>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</si>
  <si>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</si>
  <si>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</si>
  <si>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</si>
  <si>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</si>
  <si>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</si>
  <si>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</si>
  <si>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</si>
  <si>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</si>
  <si>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</si>
  <si>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</si>
  <si>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</si>
  <si>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</si>
  <si>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</si>
  <si>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</si>
  <si>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</si>
  <si>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</si>
  <si>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</si>
  <si>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</si>
  <si>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</si>
  <si>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</si>
  <si>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</si>
  <si>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</si>
  <si>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</si>
  <si>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</si>
  <si>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</si>
  <si>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</si>
  <si>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</si>
  <si>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</si>
  <si>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</si>
  <si>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</si>
  <si>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</si>
  <si>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</si>
  <si>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</si>
  <si>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</si>
  <si>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</si>
  <si>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</si>
  <si>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</si>
  <si>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</si>
  <si>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</si>
  <si>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</si>
  <si>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</si>
  <si>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</si>
  <si>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</si>
  <si>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</si>
  <si>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</si>
  <si>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</si>
  <si>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</si>
  <si>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</si>
  <si>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</si>
  <si>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</si>
  <si>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</si>
  <si>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</si>
  <si>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</si>
  <si>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</si>
  <si>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</si>
  <si>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</si>
  <si>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</si>
  <si>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</si>
  <si>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</si>
  <si>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</si>
  <si>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</si>
  <si>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</si>
  <si>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</si>
  <si>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</si>
  <si>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</si>
  <si>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</si>
  <si>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</si>
  <si>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</si>
  <si>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</si>
  <si>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</si>
  <si>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</si>
  <si>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</si>
  <si>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</si>
  <si>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</si>
  <si>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</si>
  <si>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</si>
  <si>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</si>
  <si>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</si>
  <si>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</si>
  <si>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</si>
  <si>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</si>
  <si>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</si>
  <si>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</si>
  <si>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</si>
  <si>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</si>
  <si>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</si>
  <si>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</si>
  <si>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</si>
  <si>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</si>
  <si>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</si>
  <si>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</si>
  <si>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</si>
  <si>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</si>
  <si>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</si>
  <si>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</si>
  <si>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</si>
  <si>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</si>
  <si>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</si>
  <si>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</si>
  <si>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</si>
  <si>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</si>
  <si>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</si>
  <si>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</si>
  <si>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</si>
  <si>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</si>
  <si>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</si>
  <si>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</si>
  <si>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</si>
  <si>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</si>
  <si>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</si>
  <si>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</si>
  <si>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</si>
  <si>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</si>
  <si>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</si>
  <si>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</si>
  <si>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</si>
  <si>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</si>
  <si>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</si>
  <si>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</si>
  <si>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</si>
  <si>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</si>
  <si>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</si>
  <si>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</si>
  <si>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</si>
  <si>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</si>
  <si>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</si>
  <si>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</si>
  <si>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</si>
  <si>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</si>
  <si>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</si>
  <si>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</si>
  <si>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</si>
  <si>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</si>
  <si>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</si>
  <si>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</si>
  <si>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</si>
  <si>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</si>
  <si>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</si>
  <si>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</si>
  <si>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</si>
  <si>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</si>
  <si>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</si>
  <si>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</si>
  <si>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</si>
  <si>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</si>
  <si>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</si>
  <si>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</si>
  <si>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</si>
  <si>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</si>
  <si>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</si>
  <si>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</si>
  <si>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</si>
  <si>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</si>
  <si>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</si>
  <si>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</si>
  <si>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</si>
  <si>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</si>
  <si>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</si>
  <si>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</si>
  <si>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</si>
  <si>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</si>
  <si>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</si>
  <si>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</si>
  <si>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</si>
  <si>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</si>
  <si>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</si>
  <si>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</si>
  <si>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</si>
  <si>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</si>
  <si>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</si>
  <si>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</si>
  <si>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</si>
  <si>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</si>
  <si>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</si>
  <si>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</si>
  <si>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</si>
  <si>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</si>
  <si>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</si>
  <si>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</si>
  <si>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</si>
  <si>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</si>
  <si>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</si>
  <si>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</si>
  <si>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</si>
  <si>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</si>
  <si>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</si>
  <si>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</si>
  <si>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</si>
  <si>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</si>
  <si>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</si>
  <si>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</si>
  <si>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</si>
  <si>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</si>
  <si>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</si>
  <si>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</si>
  <si>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</si>
  <si>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</si>
  <si>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</si>
  <si>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</si>
  <si>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</si>
  <si>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</si>
  <si>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</si>
  <si>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</si>
  <si>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</si>
  <si>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</si>
  <si>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</si>
  <si>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</si>
  <si>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</si>
  <si>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</si>
  <si>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</si>
  <si>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</si>
  <si>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</si>
  <si>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</si>
  <si>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</si>
  <si>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</si>
  <si>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</si>
  <si>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</si>
  <si>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</si>
  <si>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</si>
  <si>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</si>
  <si>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</si>
  <si>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</si>
  <si>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</si>
  <si>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</si>
  <si>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</si>
  <si>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</si>
  <si>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</si>
  <si>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</si>
  <si>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</si>
  <si>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</si>
  <si>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</si>
  <si>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</si>
  <si>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</si>
  <si>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</si>
  <si>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</si>
  <si>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</si>
  <si>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</si>
  <si>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</si>
  <si>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</si>
  <si>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</si>
  <si>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</si>
  <si>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</si>
  <si>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</si>
  <si>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</si>
  <si>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</si>
  <si>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</si>
  <si>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</si>
  <si>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</si>
  <si>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</si>
  <si>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</si>
  <si>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</si>
  <si>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</si>
  <si>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</si>
  <si>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</si>
  <si>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</si>
  <si>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</si>
  <si>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</si>
  <si>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</si>
  <si>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</si>
  <si>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</si>
  <si>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</si>
  <si>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</si>
  <si>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</si>
  <si>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</si>
  <si>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</si>
  <si>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</si>
  <si>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</si>
  <si>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</si>
  <si>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</si>
  <si>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</si>
  <si>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</si>
  <si>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</si>
  <si>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</si>
  <si>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</si>
  <si>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</si>
  <si>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</si>
  <si>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</si>
  <si>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</si>
  <si>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</si>
  <si>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</si>
  <si>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</si>
  <si>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</si>
  <si>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</si>
  <si>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</si>
  <si>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</si>
  <si>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</si>
  <si>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</si>
  <si>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</si>
  <si>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</si>
  <si>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</si>
  <si>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</si>
  <si>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</si>
  <si>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</si>
  <si>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</si>
  <si>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</si>
  <si>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</si>
  <si>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</si>
  <si>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</si>
  <si>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</si>
  <si>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</si>
  <si>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</si>
  <si>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</si>
  <si>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</si>
  <si>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</si>
  <si>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</si>
  <si>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</si>
  <si>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</si>
  <si>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</si>
  <si>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</si>
  <si>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</si>
  <si>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</si>
  <si>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</si>
  <si>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</si>
  <si>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</si>
  <si>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</si>
  <si>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</si>
  <si>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</si>
  <si>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</si>
  <si>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</si>
  <si>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</si>
  <si>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</si>
  <si>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</si>
  <si>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</si>
  <si>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</si>
  <si>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</si>
  <si>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</si>
  <si>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</si>
  <si>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</si>
  <si>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</si>
  <si>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</si>
  <si>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</si>
  <si>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</si>
  <si>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</si>
  <si>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</si>
  <si>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</si>
  <si>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</si>
  <si>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</si>
  <si>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</si>
  <si>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</si>
  <si>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</si>
  <si>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</si>
  <si>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</si>
  <si>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</si>
  <si>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</si>
  <si>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</si>
  <si>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</si>
  <si>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</si>
  <si>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</si>
  <si>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</si>
  <si>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</si>
  <si>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</si>
  <si>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</si>
  <si>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</si>
  <si>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</si>
  <si>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</si>
  <si>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</si>
  <si>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</si>
  <si>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</si>
  <si>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</si>
  <si>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</si>
  <si>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</si>
  <si>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</si>
  <si>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</si>
  <si>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</si>
  <si>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</si>
  <si>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</si>
  <si>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</si>
  <si>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</si>
  <si>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</si>
  <si>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</si>
  <si>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</si>
  <si>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</si>
  <si>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</si>
  <si>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</si>
  <si>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</si>
  <si>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</si>
  <si>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</si>
  <si>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</si>
  <si>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</si>
  <si>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</si>
  <si>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</si>
  <si>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</si>
  <si>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</si>
  <si>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</si>
  <si>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</si>
  <si>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</si>
  <si>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</si>
  <si>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</si>
  <si>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</si>
  <si>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</si>
  <si>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</si>
  <si>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</si>
  <si>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</si>
  <si>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</si>
  <si>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</si>
  <si>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</si>
  <si>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</si>
  <si>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</si>
  <si>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</si>
  <si>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</si>
  <si>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</si>
  <si>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</si>
  <si>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</si>
  <si>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</si>
  <si>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</si>
  <si>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</si>
  <si>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</si>
  <si>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</si>
  <si>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</si>
  <si>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</si>
  <si>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</si>
  <si>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</si>
  <si>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</si>
  <si>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</si>
  <si>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</si>
  <si>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</si>
  <si>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</si>
  <si>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</si>
  <si>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</si>
  <si>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</si>
  <si>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</si>
  <si>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</si>
  <si>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</si>
  <si>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</si>
  <si>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</si>
  <si>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</si>
  <si>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</si>
  <si>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</si>
  <si>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</si>
  <si>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</si>
  <si>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</si>
  <si>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</si>
  <si>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</si>
  <si>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</si>
  <si>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</si>
  <si>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</si>
  <si>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</si>
  <si>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</si>
  <si>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</si>
  <si>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</si>
  <si>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</si>
  <si>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</si>
  <si>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</si>
  <si>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</si>
  <si>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</si>
  <si>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</si>
  <si>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</si>
  <si>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</si>
  <si>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</si>
  <si>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</si>
  <si>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</si>
  <si>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</si>
  <si>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</si>
  <si>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</si>
  <si>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</si>
  <si>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</si>
  <si>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</si>
  <si>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</si>
  <si>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</si>
  <si>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</si>
  <si>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</si>
  <si>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</si>
  <si>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</si>
  <si>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</si>
  <si>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</si>
  <si>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</si>
  <si>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</si>
  <si>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</si>
  <si>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</si>
  <si>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</si>
  <si>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</si>
  <si>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</si>
  <si>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</si>
  <si>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</si>
  <si>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</si>
  <si>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</si>
  <si>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</si>
  <si>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</si>
  <si>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</si>
  <si>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</si>
  <si>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</si>
  <si>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</si>
  <si>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</si>
  <si>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</si>
  <si>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</si>
  <si>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</si>
  <si>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</si>
  <si>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</si>
  <si>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</si>
  <si>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</si>
  <si>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</si>
  <si>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</si>
  <si>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</si>
  <si>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</si>
  <si>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</si>
  <si>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</si>
  <si>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</si>
  <si>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</si>
  <si>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</si>
  <si>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</si>
  <si>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</si>
  <si>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</si>
  <si>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</si>
  <si>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</si>
  <si>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</si>
  <si>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</si>
  <si>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</si>
  <si>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</si>
  <si>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</si>
  <si>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</si>
  <si>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</si>
  <si>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</si>
  <si>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</si>
  <si>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</si>
  <si>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</si>
  <si>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</si>
  <si>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</si>
  <si>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</si>
  <si>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</si>
  <si>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</si>
  <si>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</si>
  <si>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</si>
  <si>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</si>
  <si>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</si>
  <si>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</si>
  <si>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</si>
  <si>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</si>
  <si>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</si>
  <si>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</si>
  <si>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</si>
  <si>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</si>
  <si>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</si>
  <si>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</si>
  <si>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</si>
  <si>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</si>
  <si>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</si>
  <si>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</si>
  <si>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</si>
  <si>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</si>
  <si>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</si>
  <si>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</si>
  <si>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</si>
  <si>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</si>
  <si>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</si>
  <si>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</si>
  <si>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</si>
  <si>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</si>
  <si>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</si>
  <si>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</si>
  <si>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</si>
  <si>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</si>
  <si>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</si>
  <si>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</si>
  <si>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</si>
  <si>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</si>
  <si>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</si>
  <si>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</si>
  <si>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</si>
  <si>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</si>
  <si>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</si>
  <si>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</si>
  <si>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</si>
  <si>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</si>
  <si>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</si>
  <si>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</si>
  <si>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</si>
  <si>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</si>
  <si>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</si>
  <si>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</si>
  <si>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</si>
  <si>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</si>
  <si>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</si>
  <si>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</si>
  <si>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</si>
  <si>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</si>
  <si>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</si>
  <si>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</si>
  <si>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</si>
  <si>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</si>
  <si>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</si>
  <si>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</si>
  <si>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</si>
  <si>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</si>
  <si>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</si>
  <si>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</si>
  <si>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</si>
  <si>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</si>
  <si>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</si>
  <si>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</si>
  <si>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</si>
  <si>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</si>
  <si>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</si>
  <si>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</si>
  <si>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</si>
  <si>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</si>
  <si>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</si>
  <si>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</si>
  <si>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</si>
  <si>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</si>
  <si>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</si>
  <si>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</si>
  <si>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</si>
  <si>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</si>
  <si>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</si>
  <si>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</si>
  <si>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</si>
  <si>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</si>
  <si>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</si>
  <si>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</si>
  <si>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</si>
  <si>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</si>
  <si>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</si>
  <si>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</si>
  <si>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</si>
  <si>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</si>
  <si>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</si>
  <si>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</si>
  <si>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</si>
  <si>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</si>
  <si>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</si>
  <si>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</si>
  <si>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</si>
  <si>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</si>
  <si>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</si>
  <si>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</si>
  <si>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</si>
  <si>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</si>
  <si>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</si>
  <si>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</si>
  <si>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</si>
  <si>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</si>
  <si>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</si>
  <si>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</si>
  <si>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</si>
  <si>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</si>
  <si>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</si>
  <si>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</si>
  <si>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</si>
  <si>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</si>
  <si>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</si>
  <si>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</si>
  <si>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</si>
  <si>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</si>
  <si>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</si>
  <si>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</si>
  <si>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</si>
  <si>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</si>
  <si>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</si>
  <si>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</si>
  <si>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</si>
  <si>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</si>
  <si>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</si>
  <si>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</si>
  <si>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</si>
  <si>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</si>
  <si>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</si>
  <si>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</si>
  <si>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</si>
  <si>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</si>
  <si>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</si>
  <si>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</si>
  <si>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</si>
  <si>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</si>
  <si>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</si>
  <si>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</si>
  <si>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</si>
  <si>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</si>
  <si>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</si>
  <si>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</si>
  <si>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</si>
  <si>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</si>
  <si>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</si>
  <si>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</si>
  <si>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</si>
  <si>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</si>
  <si>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</si>
  <si>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</si>
  <si>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</si>
  <si>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</si>
  <si>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</si>
  <si>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</si>
  <si>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</si>
  <si>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</si>
  <si>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</si>
  <si>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</si>
  <si>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</si>
  <si>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</si>
  <si>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</si>
  <si>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</si>
  <si>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</si>
  <si>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</si>
  <si>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</si>
  <si>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</si>
  <si>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</si>
  <si>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</si>
  <si>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</si>
  <si>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</si>
  <si>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</si>
  <si>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</si>
  <si>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</si>
  <si>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</si>
  <si>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</si>
  <si>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</si>
  <si>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</si>
  <si>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</si>
  <si>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</si>
  <si>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</si>
  <si>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</si>
  <si>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</si>
  <si>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</si>
  <si>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</si>
  <si>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</si>
  <si>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</si>
  <si>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</si>
  <si>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</si>
  <si>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</si>
  <si>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</si>
  <si>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</si>
  <si>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</si>
  <si>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</si>
  <si>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</si>
  <si>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</si>
  <si>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</si>
  <si>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</si>
  <si>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</si>
  <si>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</si>
  <si>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</si>
  <si>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</si>
  <si>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</si>
  <si>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</si>
  <si>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</si>
  <si>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</si>
  <si>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</si>
  <si>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</si>
  <si>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</si>
  <si>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</si>
  <si>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</si>
  <si>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</si>
  <si>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</si>
  <si>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</si>
  <si>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</si>
  <si>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</si>
  <si>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</si>
  <si>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</si>
  <si>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</si>
  <si>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</si>
  <si>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</si>
  <si>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</si>
  <si>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</si>
  <si>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</si>
  <si>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</si>
  <si>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</si>
  <si>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</si>
  <si>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</si>
  <si>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</si>
  <si>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</si>
  <si>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</si>
  <si>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</si>
  <si>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</si>
  <si>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</si>
  <si>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</si>
  <si>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</si>
  <si>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</si>
  <si>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</si>
  <si>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</si>
  <si>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</si>
  <si>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</si>
  <si>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</si>
  <si>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</si>
  <si>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</si>
  <si>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</si>
  <si>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</si>
  <si>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</si>
  <si>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</si>
  <si>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</si>
  <si>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</si>
  <si>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</si>
  <si>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</si>
  <si>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</si>
  <si>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</si>
  <si>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</si>
  <si>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</si>
  <si>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</si>
  <si>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</si>
  <si>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</si>
  <si>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</si>
  <si>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</si>
  <si>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</si>
  <si>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</si>
  <si>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</si>
  <si>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</si>
  <si>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</si>
  <si>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</si>
  <si>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</si>
  <si>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</si>
  <si>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</si>
  <si>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</si>
  <si>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</si>
  <si>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</si>
  <si>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</si>
  <si>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</si>
  <si>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</si>
  <si>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</si>
  <si>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</si>
  <si>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</si>
  <si>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</si>
  <si>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</si>
  <si>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</si>
  <si>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</si>
  <si>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</si>
  <si>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</si>
  <si>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</si>
  <si>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</si>
  <si>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</si>
  <si>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</si>
  <si>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</si>
  <si>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</si>
  <si>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</si>
  <si>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</si>
  <si>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</si>
  <si>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</si>
  <si>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</si>
  <si>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</si>
  <si>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</si>
  <si>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</si>
  <si>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</si>
  <si>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</si>
  <si>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</si>
  <si>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</si>
  <si>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</si>
  <si>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</si>
  <si>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</si>
  <si>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</si>
  <si>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</si>
  <si>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</si>
  <si>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</si>
  <si>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</si>
  <si>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</si>
  <si>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</si>
  <si>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</si>
  <si>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</si>
  <si>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</si>
  <si>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</si>
  <si>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</si>
  <si>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</si>
  <si>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</si>
  <si>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</si>
  <si>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</si>
  <si>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</si>
  <si>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</si>
  <si>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</si>
  <si>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</si>
  <si>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</si>
  <si>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</si>
  <si>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</si>
  <si>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</si>
  <si>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</si>
  <si>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</si>
  <si>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</si>
  <si>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</si>
  <si>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</si>
  <si>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</si>
  <si>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</si>
  <si>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</si>
  <si>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</si>
  <si>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</si>
  <si>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</si>
  <si>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</si>
  <si>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</si>
  <si>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</si>
  <si>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</si>
  <si>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</si>
  <si>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</si>
  <si>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</si>
  <si>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</si>
  <si>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</si>
  <si>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</si>
  <si>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</si>
  <si>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</si>
  <si>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</si>
  <si>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</si>
  <si>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</si>
  <si>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</si>
  <si>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</si>
  <si>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</si>
  <si>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</si>
  <si>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</si>
  <si>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</si>
  <si>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</si>
  <si>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</si>
  <si>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</si>
  <si>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</si>
  <si>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</si>
  <si>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</si>
  <si>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</si>
  <si>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</si>
  <si>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</si>
  <si>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</si>
  <si>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</si>
  <si>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</si>
  <si>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</si>
  <si>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</si>
  <si>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</si>
  <si>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</si>
  <si>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</si>
  <si>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</si>
  <si>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</si>
  <si>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</si>
  <si>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</si>
  <si>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</si>
  <si>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</si>
  <si>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</si>
  <si>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</si>
  <si>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</si>
  <si>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</si>
  <si>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</si>
  <si>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</si>
  <si>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</si>
  <si>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</si>
  <si>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</si>
  <si>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</si>
  <si>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</si>
  <si>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</si>
  <si>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</si>
  <si>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</si>
  <si>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</si>
  <si>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</si>
  <si>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</si>
  <si>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</si>
  <si>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</si>
  <si>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</si>
  <si>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</si>
  <si>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</si>
  <si>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</si>
  <si>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</si>
  <si>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</si>
  <si>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</si>
  <si>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</si>
  <si>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</si>
  <si>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</si>
  <si>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</si>
  <si>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</si>
  <si>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</si>
  <si>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</si>
  <si>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</si>
  <si>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</si>
  <si>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</si>
  <si>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</si>
  <si>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</si>
  <si>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</si>
  <si>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</si>
  <si>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</si>
  <si>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</si>
  <si>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</si>
  <si>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</si>
  <si>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</si>
  <si>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</si>
  <si>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</si>
  <si>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</si>
  <si>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</si>
  <si>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</si>
  <si>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</si>
  <si>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</si>
  <si>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</si>
  <si>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</si>
  <si>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</si>
  <si>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</si>
  <si>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</si>
  <si>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</si>
  <si>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</si>
  <si>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</si>
  <si>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</si>
  <si>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</si>
  <si>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</si>
  <si>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</si>
  <si>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</si>
  <si>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</si>
  <si>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</si>
  <si>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</si>
  <si>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</si>
  <si>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</si>
  <si>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</si>
  <si>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</si>
  <si>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</si>
  <si>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</si>
  <si>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</si>
  <si>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</si>
  <si>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</si>
  <si>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</si>
  <si>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</si>
  <si>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</si>
  <si>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</si>
  <si>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</si>
  <si>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</si>
  <si>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</si>
  <si>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</si>
  <si>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</si>
  <si>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</si>
  <si>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</si>
  <si>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</si>
  <si>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</si>
  <si>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</si>
  <si>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</si>
  <si>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</si>
  <si>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</si>
  <si>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</si>
  <si>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</si>
  <si>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</si>
  <si>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</si>
  <si>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</si>
  <si>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</si>
  <si>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</si>
  <si>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</si>
  <si>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</si>
  <si>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</si>
  <si>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</si>
  <si>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</si>
  <si>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</si>
  <si>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</si>
  <si>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</si>
  <si>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</si>
  <si>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</si>
  <si>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</si>
  <si>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</si>
  <si>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</si>
  <si>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</si>
  <si>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</si>
  <si>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</si>
  <si>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</si>
  <si>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</si>
  <si>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</si>
  <si>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</si>
  <si>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</si>
  <si>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</si>
  <si>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</si>
  <si>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</si>
  <si>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</si>
  <si>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</si>
  <si>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</si>
  <si>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</si>
  <si>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</si>
  <si>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</si>
  <si>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</si>
  <si>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</si>
  <si>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</si>
  <si>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</si>
  <si>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</si>
  <si>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</si>
  <si>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</si>
  <si>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</si>
  <si>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</si>
  <si>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</si>
  <si>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</si>
  <si>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</si>
  <si>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</si>
  <si>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</si>
  <si>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</si>
  <si>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</si>
  <si>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</si>
  <si>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</si>
  <si>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</si>
  <si>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</si>
  <si>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</si>
  <si>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</si>
  <si>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</si>
  <si>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</si>
  <si>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</si>
  <si>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</si>
  <si>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</si>
  <si>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</si>
  <si>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</si>
  <si>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</si>
  <si>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</si>
  <si>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</si>
  <si>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</si>
  <si>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</si>
  <si>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</si>
  <si>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</si>
  <si>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</si>
  <si>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</si>
  <si>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</si>
  <si>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</si>
  <si>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</si>
  <si>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</si>
  <si>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</si>
  <si>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</si>
  <si>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</si>
  <si>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</si>
  <si>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</si>
  <si>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</si>
  <si>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</si>
  <si>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</si>
  <si>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</si>
  <si>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</si>
  <si>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</si>
  <si>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</si>
  <si>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</si>
  <si>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</si>
  <si>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</si>
  <si>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</si>
  <si>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</si>
  <si>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</si>
  <si>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</si>
  <si>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</si>
  <si>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</si>
  <si>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</si>
  <si>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</si>
  <si>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</si>
  <si>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</si>
  <si>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</si>
  <si>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</si>
  <si>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</si>
  <si>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</si>
  <si>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</si>
  <si>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</si>
  <si>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</si>
  <si>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</si>
  <si>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</si>
  <si>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</si>
  <si>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</si>
  <si>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</si>
  <si>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</si>
  <si>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</si>
  <si>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</si>
  <si>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</si>
  <si>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</si>
  <si>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</si>
  <si>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</si>
  <si>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</si>
  <si>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</si>
  <si>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</si>
  <si>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</si>
  <si>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</si>
  <si>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</si>
  <si>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</si>
  <si>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</si>
  <si>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</si>
  <si>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</si>
  <si>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</si>
  <si>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</si>
  <si>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</si>
  <si>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</si>
  <si>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</si>
  <si>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</si>
  <si>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</si>
  <si>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</si>
  <si>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</si>
  <si>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</si>
  <si>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</si>
  <si>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</si>
  <si>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</si>
  <si>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</si>
  <si>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</si>
  <si>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</si>
  <si>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</si>
  <si>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</si>
  <si>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</si>
  <si>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</si>
  <si>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</si>
  <si>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</si>
  <si>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</si>
  <si>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</si>
  <si>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</si>
  <si>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</si>
  <si>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</si>
  <si>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</si>
  <si>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</si>
  <si>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</si>
  <si>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</si>
  <si>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</si>
  <si>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</si>
  <si>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</si>
  <si>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</si>
  <si>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</si>
  <si>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</si>
  <si>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</si>
  <si>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</si>
  <si>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</si>
  <si>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</si>
  <si>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</si>
  <si>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</si>
  <si>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</si>
  <si>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</si>
  <si>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</si>
  <si>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</si>
  <si>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</si>
  <si>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</si>
  <si>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</si>
  <si>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</si>
  <si>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</si>
  <si>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</si>
  <si>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</si>
  <si>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</si>
  <si>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</si>
  <si>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</si>
  <si>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</si>
  <si>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</si>
  <si>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</si>
  <si>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</si>
  <si>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</si>
  <si>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</si>
  <si>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</si>
  <si>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</si>
  <si>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</si>
  <si>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</si>
  <si>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</si>
  <si>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</si>
  <si>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</si>
  <si>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</si>
  <si>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</si>
  <si>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</si>
  <si>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</si>
  <si>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</si>
  <si>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</si>
  <si>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</si>
  <si>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</si>
  <si>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</si>
  <si>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</si>
  <si>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</si>
  <si>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</si>
  <si>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</si>
  <si>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</si>
  <si>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</si>
  <si>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</si>
  <si>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</si>
  <si>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</si>
  <si>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</si>
  <si>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</si>
  <si>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</si>
  <si>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</si>
  <si>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</si>
  <si>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</si>
  <si>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</si>
  <si>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</si>
  <si>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</si>
  <si>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</si>
  <si>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</si>
  <si>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</si>
  <si>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</si>
  <si>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</si>
  <si>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</si>
  <si>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</si>
  <si>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</si>
  <si>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</si>
  <si>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</si>
  <si>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</si>
  <si>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</si>
  <si>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</si>
  <si>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</si>
  <si>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</si>
  <si>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</si>
  <si>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</si>
  <si>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</si>
  <si>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</si>
  <si>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</si>
  <si>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</si>
  <si>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</si>
  <si>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</si>
  <si>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</si>
  <si>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</si>
  <si>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</si>
  <si>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</si>
  <si>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</si>
  <si>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</si>
  <si>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</si>
  <si>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</si>
  <si>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</si>
  <si>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</si>
  <si>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</si>
  <si>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</si>
  <si>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</si>
  <si>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</si>
  <si>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</si>
  <si>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</si>
  <si>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</si>
  <si>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</si>
  <si>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</si>
  <si>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</si>
  <si>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</si>
  <si>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</si>
  <si>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</si>
  <si>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</si>
  <si>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</si>
  <si>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</si>
  <si>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</si>
  <si>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</si>
  <si>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</si>
  <si>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</si>
  <si>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</si>
  <si>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</si>
  <si>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</si>
  <si>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</si>
  <si>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</si>
  <si>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</si>
  <si>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</si>
  <si>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</si>
  <si>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</si>
  <si>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</si>
  <si>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</si>
  <si>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</si>
  <si>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</si>
  <si>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</si>
  <si>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</si>
  <si>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</si>
  <si>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</si>
  <si>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</si>
  <si>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</si>
  <si>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</si>
  <si>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</si>
  <si>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</si>
  <si>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</si>
  <si>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</si>
  <si>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</si>
  <si>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</si>
  <si>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</si>
  <si>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</si>
  <si>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</si>
  <si>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</si>
  <si>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</si>
  <si>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</si>
  <si>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</si>
  <si>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</si>
  <si>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</si>
  <si>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</si>
  <si>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</si>
  <si>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</si>
  <si>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</si>
  <si>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</si>
  <si>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</si>
  <si>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</si>
  <si>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</si>
  <si>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</si>
  <si>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</si>
  <si>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</si>
  <si>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</si>
  <si>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</si>
  <si>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</si>
  <si>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</si>
  <si>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</si>
  <si>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</si>
  <si>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</si>
  <si>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</si>
  <si>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</si>
  <si>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</si>
  <si>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</si>
  <si>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</si>
  <si>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</si>
  <si>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</si>
  <si>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</si>
  <si>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</si>
  <si>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</si>
  <si>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</si>
  <si>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</si>
  <si>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</si>
  <si>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</si>
  <si>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</si>
  <si>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</si>
  <si>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</si>
  <si>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</si>
  <si>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</si>
  <si>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</si>
  <si>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</si>
  <si>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</si>
  <si>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</si>
  <si>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</si>
  <si>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</si>
  <si>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</si>
  <si>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</si>
  <si>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</si>
  <si>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</si>
  <si>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</si>
  <si>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</si>
  <si>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</si>
  <si>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</si>
  <si>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</si>
  <si>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</si>
  <si>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</si>
  <si>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</si>
  <si>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</si>
  <si>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</si>
  <si>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</si>
  <si>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</si>
  <si>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</si>
  <si>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</si>
  <si>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</si>
  <si>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</si>
  <si>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</si>
  <si>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</si>
  <si>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</si>
  <si>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</si>
  <si>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</si>
  <si>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</si>
  <si>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</si>
  <si>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</si>
  <si>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</si>
  <si>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</si>
  <si>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</si>
  <si>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</si>
  <si>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</si>
  <si>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</si>
  <si>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</si>
  <si>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</si>
  <si>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</si>
  <si>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</si>
  <si>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</si>
  <si>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</si>
  <si>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</si>
  <si>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</si>
  <si>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</si>
  <si>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</si>
  <si>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</si>
  <si>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</si>
  <si>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</si>
  <si>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</si>
  <si>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</si>
  <si>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</si>
  <si>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</si>
  <si>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</si>
  <si>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</si>
  <si>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</si>
  <si>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</si>
  <si>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</si>
  <si>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</si>
  <si>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</si>
  <si>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</si>
  <si>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</si>
  <si>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</si>
  <si>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</si>
  <si>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</si>
  <si>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</si>
  <si>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</si>
  <si>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</si>
  <si>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</si>
  <si>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</si>
  <si>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</si>
  <si>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</si>
  <si>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</si>
  <si>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</si>
  <si>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</si>
  <si>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</si>
  <si>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</si>
  <si>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</si>
  <si>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</si>
  <si>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</si>
  <si>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</si>
  <si>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</si>
  <si>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</si>
  <si>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</si>
  <si>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</si>
  <si>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</si>
  <si>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</si>
  <si>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</si>
  <si>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</si>
  <si>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</si>
  <si>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</si>
  <si>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</si>
  <si>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</si>
  <si>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</si>
  <si>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</si>
  <si>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</si>
  <si>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</si>
  <si>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</si>
  <si>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</si>
  <si>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</si>
  <si>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</si>
  <si>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</si>
  <si>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</si>
  <si>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</si>
  <si>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</si>
  <si>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</si>
  <si>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</si>
  <si>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</si>
  <si>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</si>
  <si>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</si>
  <si>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</si>
  <si>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</si>
  <si>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</si>
  <si>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</si>
  <si>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</si>
  <si>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</si>
  <si>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</si>
  <si>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</si>
  <si>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</si>
  <si>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</si>
  <si>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</si>
  <si>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</si>
  <si>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</si>
  <si>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</si>
  <si>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</si>
  <si>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</si>
  <si>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</si>
  <si>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</si>
  <si>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</si>
  <si>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</si>
  <si>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</si>
  <si>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</si>
  <si>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</si>
  <si>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</si>
  <si>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</si>
  <si>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</si>
  <si>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</si>
  <si>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</si>
  <si>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</si>
  <si>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</si>
  <si>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</si>
  <si>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</si>
  <si>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</si>
  <si>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</si>
  <si>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</si>
  <si>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</si>
  <si>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</si>
  <si>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</si>
  <si>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</si>
  <si>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</si>
  <si>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</si>
  <si>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</si>
  <si>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</si>
  <si>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</si>
  <si>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</si>
  <si>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</si>
  <si>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</si>
  <si>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</si>
  <si>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</si>
  <si>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</si>
  <si>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</si>
  <si>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</si>
  <si>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</si>
  <si>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</si>
  <si>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</si>
  <si>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</si>
  <si>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</si>
  <si>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</si>
  <si>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</si>
  <si>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</si>
  <si>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</si>
  <si>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</si>
  <si>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</si>
  <si>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</si>
  <si>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</si>
  <si>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</si>
  <si>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</si>
  <si>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</si>
  <si>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</si>
  <si>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</si>
  <si>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</si>
  <si>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</si>
  <si>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</si>
  <si>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</si>
  <si>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</si>
  <si>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</si>
  <si>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</si>
  <si>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</si>
  <si>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</si>
  <si>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</si>
  <si>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</si>
  <si>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</si>
  <si>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</si>
  <si>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</si>
  <si>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</si>
  <si>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</si>
  <si>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</si>
  <si>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</si>
  <si>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</si>
  <si>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</si>
  <si>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</si>
  <si>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</si>
  <si>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</si>
  <si>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</si>
  <si>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</si>
  <si>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</si>
  <si>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</si>
  <si>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</si>
  <si>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</si>
  <si>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</si>
  <si>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</si>
  <si>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</si>
  <si>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</si>
  <si>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</si>
  <si>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</si>
  <si>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</si>
  <si>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</si>
  <si>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</si>
  <si>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</si>
  <si>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</si>
  <si>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</si>
  <si>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</si>
  <si>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</si>
  <si>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</si>
  <si>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</si>
  <si>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</si>
  <si>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</si>
  <si>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</si>
  <si>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</si>
  <si>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</si>
  <si>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</si>
  <si>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</si>
  <si>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</si>
  <si>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</si>
  <si>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</si>
  <si>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</si>
  <si>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</si>
  <si>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</si>
  <si>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</si>
  <si>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</si>
  <si>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</si>
  <si>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</si>
  <si>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</si>
  <si>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</si>
  <si>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</si>
  <si>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</si>
  <si>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</si>
  <si>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</si>
  <si>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</si>
  <si>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</si>
  <si>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</si>
  <si>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</si>
  <si>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</si>
  <si>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</si>
  <si>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</si>
  <si>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</si>
  <si>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</si>
  <si>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</si>
  <si>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</si>
  <si>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</si>
  <si>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</si>
  <si>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</si>
  <si>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</si>
  <si>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</si>
  <si>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</si>
  <si>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</si>
  <si>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</si>
  <si>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</si>
  <si>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</si>
  <si>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</si>
  <si>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</si>
  <si>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</si>
  <si>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</si>
  <si>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</si>
  <si>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</si>
  <si>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</si>
  <si>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</si>
  <si>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</si>
  <si>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</si>
  <si>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</si>
  <si>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</si>
  <si>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</si>
  <si>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</si>
  <si>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</si>
  <si>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</si>
  <si>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</si>
  <si>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</si>
  <si>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</si>
  <si>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</si>
  <si>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</si>
  <si>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</si>
  <si>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</si>
  <si>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</si>
  <si>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</si>
  <si>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</si>
  <si>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</si>
  <si>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</si>
  <si>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</si>
  <si>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</si>
  <si>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</si>
  <si>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</si>
  <si>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</si>
  <si>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</si>
  <si>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</si>
  <si>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</si>
  <si>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</si>
  <si>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</si>
  <si>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</si>
  <si>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</si>
  <si>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</si>
  <si>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</si>
  <si>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</si>
  <si>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</si>
  <si>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</si>
  <si>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</si>
  <si>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</si>
  <si>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</si>
  <si>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</si>
  <si>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</si>
  <si>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</si>
  <si>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</si>
  <si>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</si>
  <si>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</si>
  <si>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</si>
  <si>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</si>
  <si>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</si>
  <si>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</si>
  <si>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</si>
  <si>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</si>
  <si>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</si>
  <si>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</si>
  <si>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</si>
  <si>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</si>
  <si>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</si>
  <si>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</si>
  <si>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</si>
  <si>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</si>
  <si>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</si>
  <si>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</si>
  <si>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</si>
  <si>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</si>
  <si>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</si>
  <si>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</si>
  <si>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</si>
  <si>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</si>
  <si>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</si>
  <si>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</si>
  <si>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</si>
  <si>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</si>
  <si>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</si>
  <si>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</si>
  <si>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</si>
  <si>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</si>
  <si>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</si>
  <si>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</si>
  <si>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</si>
  <si>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</si>
  <si>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</si>
  <si>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</si>
  <si>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</si>
  <si>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</si>
  <si>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</si>
  <si>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</si>
  <si>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</si>
  <si>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</si>
  <si>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</si>
  <si>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</si>
  <si>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</si>
  <si>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</si>
  <si>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</si>
  <si>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</si>
  <si>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</si>
  <si>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</si>
  <si>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</si>
  <si>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</si>
  <si>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</si>
  <si>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</si>
  <si>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</si>
  <si>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</si>
  <si>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</si>
  <si>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</si>
  <si>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</si>
  <si>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</si>
  <si>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</si>
  <si>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</si>
  <si>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</si>
  <si>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</si>
  <si>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</si>
  <si>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</si>
  <si>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</si>
  <si>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</si>
  <si>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</si>
  <si>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</si>
  <si>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</si>
  <si>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</si>
  <si>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</si>
  <si>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</si>
  <si>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</si>
  <si>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</si>
  <si>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</si>
  <si>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</si>
  <si>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</si>
  <si>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</si>
  <si>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</si>
  <si>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</si>
  <si>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</si>
  <si>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</si>
  <si>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</si>
  <si>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</si>
  <si>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</si>
  <si>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</si>
  <si>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</si>
  <si>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</si>
  <si>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</si>
  <si>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</si>
  <si>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</si>
  <si>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</si>
  <si>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</si>
  <si>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</si>
  <si>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</si>
  <si>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</si>
  <si>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</si>
  <si>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</si>
  <si>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</si>
  <si>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</si>
  <si>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</si>
  <si>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</si>
  <si>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</si>
  <si>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</si>
  <si>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</si>
  <si>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</si>
  <si>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</si>
  <si>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</si>
  <si>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</si>
  <si>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</si>
  <si>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</si>
  <si>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</si>
  <si>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</si>
  <si>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</si>
  <si>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</si>
  <si>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</si>
  <si>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</si>
  <si>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</si>
  <si>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</si>
  <si>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</si>
  <si>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</si>
  <si>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</si>
  <si>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</si>
  <si>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</si>
  <si>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</si>
  <si>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</si>
  <si>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</si>
  <si>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</si>
  <si>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</si>
  <si>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</si>
  <si>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</si>
  <si>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</si>
  <si>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</si>
  <si>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</si>
  <si>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</si>
  <si>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</si>
  <si>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</si>
  <si>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</si>
  <si>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</si>
  <si>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</si>
  <si>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</si>
  <si>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</si>
  <si>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</si>
  <si>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</si>
  <si>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</si>
  <si>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</si>
  <si>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</si>
  <si>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</si>
  <si>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</si>
  <si>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</si>
  <si>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</si>
  <si>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</si>
  <si>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</si>
  <si>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</si>
  <si>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</si>
  <si>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</si>
  <si>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</si>
  <si>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</si>
  <si>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</si>
  <si>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</si>
  <si>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</si>
  <si>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</si>
  <si>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</si>
  <si>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</si>
  <si>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</si>
  <si>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</si>
  <si>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</si>
  <si>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</si>
  <si>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</si>
  <si>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</si>
  <si>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</si>
  <si>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</si>
  <si>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</si>
  <si>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</si>
  <si>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</si>
  <si>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</si>
  <si>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</si>
  <si>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</si>
  <si>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</si>
  <si>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</si>
  <si>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</si>
  <si>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</si>
  <si>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</si>
  <si>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</si>
  <si>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</si>
  <si>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</si>
  <si>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</si>
  <si>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</si>
  <si>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</si>
  <si>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</si>
  <si>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</si>
  <si>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</si>
  <si>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</si>
  <si>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</si>
  <si>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</si>
  <si>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</si>
  <si>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</si>
  <si>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</si>
  <si>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</si>
  <si>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</si>
  <si>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</si>
  <si>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</si>
  <si>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</si>
  <si>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</si>
  <si>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</si>
  <si>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</si>
  <si>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</si>
  <si>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</si>
  <si>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</si>
  <si>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</si>
  <si>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</si>
  <si>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</si>
  <si>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</si>
  <si>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</si>
  <si>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</si>
  <si>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</si>
  <si>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</si>
  <si>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</si>
  <si>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</si>
  <si>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</si>
  <si>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</si>
  <si>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</si>
  <si>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</si>
  <si>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</si>
  <si>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</si>
  <si>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</si>
  <si>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</si>
  <si>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</si>
  <si>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</si>
  <si>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</si>
  <si>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</si>
  <si>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</si>
  <si>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</si>
  <si>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</si>
  <si>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</si>
  <si>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</si>
  <si>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</si>
  <si>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</si>
  <si>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</si>
  <si>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</si>
  <si>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</si>
  <si>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</si>
  <si>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</si>
  <si>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</si>
  <si>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</si>
  <si>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</si>
  <si>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</si>
  <si>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</si>
  <si>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</si>
  <si>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</si>
  <si>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</si>
  <si>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</si>
  <si>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</si>
  <si>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</si>
  <si>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</si>
  <si>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</si>
  <si>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</si>
  <si>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</si>
  <si>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</si>
  <si>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</si>
  <si>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</si>
  <si>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</si>
  <si>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</si>
  <si>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</si>
  <si>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</si>
  <si>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</si>
  <si>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</si>
  <si>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</si>
  <si>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</si>
  <si>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</si>
  <si>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</si>
  <si>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</si>
  <si>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</si>
  <si>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</si>
  <si>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</si>
  <si>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</si>
  <si>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</si>
  <si>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</si>
  <si>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</si>
  <si>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</si>
  <si>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</si>
  <si>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</si>
  <si>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</si>
  <si>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</si>
  <si>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</si>
  <si>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</si>
  <si>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</si>
  <si>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</si>
  <si>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</si>
  <si>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</si>
  <si>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</si>
  <si>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</si>
  <si>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</si>
  <si>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</si>
  <si>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</si>
  <si>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</si>
  <si>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</si>
  <si>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</si>
  <si>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</si>
  <si>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</si>
  <si>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</si>
  <si>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</si>
  <si>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</si>
  <si>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</si>
  <si>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</si>
  <si>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</si>
  <si>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</si>
  <si>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</si>
  <si>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</si>
  <si>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</si>
  <si>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</si>
  <si>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</si>
  <si>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</si>
  <si>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</si>
  <si>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</si>
  <si>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</si>
  <si>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</si>
  <si>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</si>
  <si>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</si>
  <si>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</si>
  <si>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</si>
  <si>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</si>
  <si>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</si>
  <si>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</si>
  <si>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</si>
  <si>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</si>
  <si>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</si>
  <si>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</si>
  <si>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</si>
  <si>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</si>
  <si>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</si>
  <si>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</si>
  <si>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</si>
  <si>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</si>
  <si>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</si>
  <si>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</si>
  <si>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</si>
  <si>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</si>
  <si>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</si>
  <si>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</si>
  <si>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</si>
  <si>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</si>
  <si>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</si>
  <si>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</si>
  <si>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</si>
  <si>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</si>
  <si>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</si>
  <si>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</si>
  <si>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</si>
  <si>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</si>
  <si>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</si>
  <si>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</si>
  <si>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</si>
  <si>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</si>
  <si>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</si>
  <si>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</si>
  <si>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</si>
  <si>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</si>
  <si>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</si>
  <si>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</si>
  <si>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</si>
  <si>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</si>
  <si>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</si>
  <si>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</si>
  <si>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</si>
  <si>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</si>
  <si>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</si>
  <si>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</si>
  <si>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</si>
  <si>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</si>
  <si>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</si>
  <si>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</si>
  <si>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</si>
  <si>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</si>
  <si>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</si>
  <si>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</si>
  <si>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</si>
  <si>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</si>
  <si>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</si>
  <si>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</si>
  <si>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</si>
  <si>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</si>
  <si>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</si>
  <si>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</si>
  <si>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</si>
  <si>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</si>
  <si>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</si>
  <si>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</si>
  <si>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</si>
  <si>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</si>
  <si>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</si>
  <si>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</si>
  <si>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</si>
  <si>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</si>
  <si>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</si>
  <si>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</si>
  <si>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</si>
  <si>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</si>
  <si>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</si>
  <si>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</si>
  <si>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</si>
  <si>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</si>
  <si>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</si>
  <si>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</si>
  <si>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</si>
  <si>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</si>
  <si>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</si>
  <si>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</si>
  <si>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</si>
  <si>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</si>
  <si>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</si>
  <si>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</si>
  <si>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</si>
  <si>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</si>
  <si>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</si>
  <si>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</si>
  <si>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</si>
  <si>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</si>
  <si>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</si>
  <si>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</si>
  <si>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</si>
  <si>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</si>
  <si>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</si>
  <si>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</si>
  <si>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</si>
  <si>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</si>
  <si>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</si>
  <si>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</si>
  <si>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</si>
  <si>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</si>
  <si>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</si>
  <si>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</si>
  <si>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</si>
  <si>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</si>
  <si>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</si>
  <si>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</si>
  <si>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</si>
  <si>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</si>
  <si>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</si>
  <si>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</si>
  <si>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</si>
  <si>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</si>
  <si>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</si>
  <si>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</si>
  <si>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</si>
  <si>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</si>
  <si>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</si>
  <si>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</si>
  <si>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</si>
  <si>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</si>
  <si>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</si>
  <si>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</si>
  <si>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</si>
  <si>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</si>
  <si>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</si>
  <si>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</si>
  <si>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</si>
  <si>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</si>
  <si>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</si>
  <si>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</si>
  <si>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</si>
  <si>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</si>
  <si>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</si>
  <si>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</si>
  <si>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</si>
  <si>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</si>
  <si>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</si>
  <si>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</si>
  <si>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</si>
  <si>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</si>
  <si>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</si>
  <si>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</si>
  <si>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</si>
  <si>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</si>
  <si>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</si>
  <si>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</si>
  <si>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</si>
  <si>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</si>
  <si>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</si>
  <si>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</si>
  <si>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</si>
  <si>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</si>
  <si>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</si>
  <si>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</si>
  <si>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</si>
  <si>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</si>
  <si>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</si>
  <si>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</si>
  <si>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</si>
  <si>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</si>
  <si>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</si>
  <si>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</si>
  <si>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</si>
  <si>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</si>
  <si>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</si>
  <si>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</si>
  <si>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</si>
  <si>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</si>
  <si>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</si>
  <si>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</si>
  <si>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</si>
  <si>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</si>
  <si>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</si>
  <si>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</si>
  <si>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</si>
  <si>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</si>
  <si>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</si>
  <si>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</si>
  <si>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</si>
  <si>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</si>
  <si>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</si>
  <si>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</si>
  <si>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</si>
  <si>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</si>
  <si>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</si>
  <si>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</si>
  <si>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</si>
  <si>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</si>
  <si>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</si>
  <si>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</si>
  <si>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</si>
  <si>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</si>
  <si>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</si>
  <si>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</si>
  <si>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</si>
  <si>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</si>
  <si>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</si>
  <si>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</si>
  <si>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</si>
  <si>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</si>
  <si>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</si>
  <si>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</si>
  <si>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</si>
  <si>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</si>
  <si>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</si>
  <si>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</si>
  <si>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</si>
  <si>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</si>
  <si>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</si>
  <si>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</si>
  <si>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</si>
  <si>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</si>
  <si>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</si>
  <si>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</si>
  <si>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</si>
  <si>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</si>
  <si>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</si>
  <si>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</si>
  <si>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</si>
  <si>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</si>
  <si>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</si>
  <si>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</si>
  <si>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</si>
  <si>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</si>
  <si>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</si>
  <si>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</si>
  <si>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</si>
  <si>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</si>
  <si>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</si>
  <si>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</si>
  <si>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</si>
  <si>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</si>
  <si>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</si>
  <si>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</si>
  <si>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</si>
  <si>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</si>
  <si>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</si>
  <si>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</si>
  <si>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</si>
  <si>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</si>
  <si>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</si>
  <si>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</si>
  <si>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</si>
  <si>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</si>
  <si>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</si>
  <si>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</si>
  <si>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</si>
  <si>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</si>
  <si>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</si>
  <si>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</si>
  <si>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</si>
  <si>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</si>
  <si>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</si>
  <si>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</si>
  <si>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</si>
  <si>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</si>
  <si>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</si>
  <si>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</si>
  <si>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</si>
  <si>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</si>
  <si>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</si>
  <si>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</si>
  <si>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</si>
  <si>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</si>
  <si>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</si>
  <si>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</si>
  <si>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</si>
  <si>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</si>
  <si>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</si>
  <si>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</si>
  <si>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</si>
  <si>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</si>
  <si>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</si>
  <si>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</si>
  <si>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</si>
  <si>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</si>
  <si>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</si>
  <si>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</si>
  <si>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</si>
  <si>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</si>
  <si>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</si>
  <si>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</si>
  <si>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</si>
  <si>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</si>
  <si>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</si>
  <si>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</si>
  <si>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</si>
  <si>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</si>
  <si>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</si>
  <si>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</si>
  <si>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</si>
  <si>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</si>
  <si>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</si>
  <si>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</si>
  <si>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</si>
  <si>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</si>
  <si>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</si>
  <si>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</si>
  <si>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</si>
  <si>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</si>
  <si>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</si>
  <si>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</si>
  <si>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</si>
  <si>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</si>
  <si>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</si>
  <si>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</si>
  <si>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</si>
  <si>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</si>
  <si>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</si>
  <si>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</si>
  <si>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</si>
  <si>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</si>
  <si>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</si>
  <si>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</si>
  <si>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</si>
  <si>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</si>
  <si>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</si>
  <si>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</si>
  <si>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</si>
  <si>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</si>
  <si>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</si>
  <si>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</si>
  <si>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</si>
  <si>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</si>
  <si>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</si>
  <si>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</si>
  <si>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</si>
  <si>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</si>
  <si>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</si>
  <si>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</si>
  <si>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</si>
  <si>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</si>
  <si>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</si>
  <si>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</si>
  <si>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</si>
  <si>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</si>
  <si>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</si>
  <si>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</si>
  <si>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</si>
  <si>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</si>
  <si>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</si>
  <si>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</si>
  <si>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</si>
  <si>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</si>
  <si>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</si>
  <si>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</si>
  <si>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</si>
  <si>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</si>
  <si>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</si>
  <si>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</si>
  <si>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</si>
  <si>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</si>
  <si>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</si>
  <si>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</si>
  <si>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</si>
  <si>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</si>
  <si>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</si>
  <si>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</si>
  <si>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</si>
  <si>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</si>
  <si>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</si>
  <si>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</si>
  <si>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</si>
  <si>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</si>
  <si>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</si>
  <si>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</si>
  <si>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</si>
  <si>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</si>
  <si>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</si>
  <si>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</si>
  <si>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</si>
  <si>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</si>
  <si>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</si>
  <si>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</si>
  <si>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</si>
  <si>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</si>
  <si>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</si>
  <si>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</si>
  <si>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</si>
  <si>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</si>
  <si>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</si>
  <si>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</si>
  <si>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</si>
  <si>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</si>
  <si>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</si>
  <si>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</si>
  <si>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</si>
  <si>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</si>
  <si>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</si>
  <si>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</si>
  <si>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</si>
  <si>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</si>
  <si>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</si>
  <si>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</si>
  <si>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</si>
  <si>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</si>
  <si>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</si>
  <si>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</si>
  <si>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</si>
  <si>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</si>
  <si>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</si>
  <si>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</si>
  <si>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</si>
  <si>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</si>
  <si>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</si>
  <si>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</si>
  <si>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</si>
  <si>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</si>
  <si>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</si>
  <si>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</si>
  <si>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</si>
  <si>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</si>
  <si>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</si>
  <si>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</si>
  <si>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</si>
  <si>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</si>
  <si>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</si>
  <si>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</si>
  <si>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</si>
  <si>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</si>
  <si>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</si>
  <si>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</si>
  <si>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</si>
  <si>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</si>
  <si>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</si>
  <si>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</si>
  <si>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</si>
  <si>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</si>
  <si>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</si>
  <si>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</si>
  <si>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</si>
  <si>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</si>
  <si>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</si>
  <si>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</si>
  <si>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</si>
  <si>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</si>
  <si>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</si>
  <si>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</si>
  <si>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</si>
  <si>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</si>
  <si>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</si>
  <si>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</si>
  <si>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</si>
  <si>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</si>
  <si>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</si>
  <si>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</si>
  <si>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</si>
  <si>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</si>
  <si>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</si>
  <si>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</si>
  <si>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</si>
  <si>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</si>
  <si>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</si>
  <si>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</si>
  <si>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</si>
  <si>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</si>
  <si>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</si>
  <si>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</si>
  <si>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</si>
  <si>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</si>
  <si>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</si>
  <si>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</si>
  <si>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</si>
  <si>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</si>
  <si>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</si>
  <si>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</si>
  <si>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</si>
  <si>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</si>
  <si>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</si>
  <si>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</si>
  <si>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</si>
  <si>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</si>
  <si>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</si>
  <si>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</si>
  <si>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</si>
  <si>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</si>
  <si>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</si>
  <si>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</si>
  <si>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</si>
  <si>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</si>
  <si>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</si>
  <si>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</si>
  <si>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</si>
  <si>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</si>
  <si>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</si>
  <si>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</si>
  <si>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</si>
  <si>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</si>
  <si>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</si>
  <si>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</si>
  <si>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</si>
  <si>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</si>
  <si>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</si>
  <si>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</si>
  <si>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</si>
  <si>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</si>
  <si>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</si>
  <si>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</si>
  <si>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</si>
  <si>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</si>
  <si>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</si>
  <si>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</si>
  <si>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</si>
  <si>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</si>
  <si>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</si>
  <si>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</si>
  <si>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</si>
  <si>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</si>
  <si>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</si>
  <si>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</si>
  <si>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</si>
  <si>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</si>
  <si>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</si>
  <si>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</si>
  <si>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</si>
  <si>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</si>
  <si>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</si>
  <si>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</si>
  <si>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</si>
  <si>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</si>
  <si>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</si>
  <si>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</si>
  <si>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</si>
  <si>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</si>
  <si>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</si>
  <si>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</si>
  <si>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</si>
  <si>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</si>
  <si>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</si>
  <si>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</si>
  <si>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</si>
  <si>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</si>
  <si>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</si>
  <si>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</si>
  <si>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</si>
  <si>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</si>
  <si>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</si>
  <si>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</si>
  <si>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</si>
  <si>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</si>
  <si>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</si>
  <si>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</si>
  <si>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</si>
  <si>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</si>
  <si>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</si>
  <si>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</si>
  <si>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</si>
  <si>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</si>
  <si>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</si>
  <si>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</si>
  <si>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</si>
  <si>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</si>
  <si>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</si>
  <si>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</si>
  <si>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</si>
  <si>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</si>
  <si>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</si>
  <si>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</si>
  <si>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</si>
  <si>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</si>
  <si>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</si>
  <si>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</si>
  <si>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</si>
  <si>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</si>
  <si>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</si>
  <si>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</si>
  <si>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</si>
  <si>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</si>
  <si>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</si>
  <si>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</si>
  <si>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</si>
  <si>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</si>
  <si>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</si>
  <si>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</si>
  <si>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</si>
  <si>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</si>
  <si>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</si>
  <si>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</si>
  <si>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</si>
  <si>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</si>
  <si>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</si>
  <si>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</si>
  <si>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</si>
  <si>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</si>
  <si>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</si>
  <si>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</si>
  <si>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</si>
  <si>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</si>
  <si>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</si>
  <si>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</si>
  <si>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</si>
  <si>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</si>
  <si>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</si>
  <si>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</si>
  <si>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</si>
  <si>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</si>
  <si>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</si>
  <si>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</si>
  <si>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</si>
  <si>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</si>
  <si>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</si>
  <si>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</si>
  <si>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</si>
  <si>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</si>
  <si>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</si>
  <si>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</si>
  <si>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</si>
  <si>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</si>
  <si>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</si>
  <si>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</si>
  <si>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</si>
  <si>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</si>
  <si>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</si>
  <si>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</si>
  <si>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</si>
  <si>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</si>
  <si>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</si>
  <si>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</si>
  <si>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</si>
  <si>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</si>
  <si>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</si>
  <si>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</si>
  <si>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</si>
  <si>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</si>
  <si>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</si>
  <si>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</si>
  <si>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</si>
  <si>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</si>
  <si>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</si>
  <si>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</si>
  <si>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</si>
  <si>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</si>
  <si>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</si>
  <si>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</si>
  <si>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</si>
  <si>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</si>
  <si>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</si>
  <si>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</si>
  <si>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</si>
  <si>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</si>
  <si>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</si>
  <si>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</si>
  <si>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</si>
  <si>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</si>
  <si>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</si>
  <si>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</si>
  <si>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</si>
  <si>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</si>
  <si>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</si>
  <si>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</si>
  <si>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</si>
  <si>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</si>
  <si>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</si>
  <si>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</si>
  <si>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</si>
  <si>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</si>
  <si>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</si>
  <si>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</si>
  <si>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</si>
  <si>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</si>
  <si>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</si>
  <si>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</si>
  <si>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</si>
  <si>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</si>
  <si>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</si>
  <si>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</si>
  <si>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</si>
  <si>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</si>
  <si>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</si>
  <si>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</si>
  <si>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</si>
  <si>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</si>
  <si>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</si>
  <si>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</si>
  <si>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</si>
  <si>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</si>
  <si>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</si>
  <si>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</si>
  <si>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</si>
  <si>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</si>
  <si>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</si>
  <si>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</si>
  <si>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</si>
  <si>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</si>
  <si>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</si>
  <si>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</si>
  <si>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</si>
  <si>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</si>
  <si>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</si>
  <si>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</si>
  <si>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</si>
  <si>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</si>
  <si>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</si>
  <si>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</si>
  <si>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</si>
  <si>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</si>
  <si>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</si>
  <si>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</si>
  <si>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</si>
  <si>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</si>
  <si>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</si>
  <si>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</si>
  <si>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</si>
  <si>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</si>
  <si>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</si>
  <si>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</si>
  <si>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</si>
  <si>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</si>
  <si>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</si>
  <si>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</si>
  <si>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</si>
  <si>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</si>
  <si>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</si>
  <si>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</si>
  <si>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</si>
  <si>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</si>
  <si>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</si>
  <si>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</si>
  <si>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</si>
  <si>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</si>
  <si>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</si>
  <si>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</si>
  <si>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</si>
  <si>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</si>
  <si>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</si>
  <si>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</si>
  <si>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</si>
  <si>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</si>
  <si>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</si>
  <si>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</si>
  <si>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</si>
  <si>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</si>
  <si>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</si>
  <si>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</si>
  <si>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</si>
  <si>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</si>
  <si>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</si>
  <si>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</si>
  <si>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</si>
  <si>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</si>
  <si>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</si>
  <si>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</si>
  <si>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</si>
  <si>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</si>
  <si>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</si>
  <si>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</si>
  <si>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</si>
  <si>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</si>
  <si>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</si>
  <si>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</si>
  <si>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</si>
  <si>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</si>
  <si>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</si>
  <si>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</si>
  <si>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</si>
  <si>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</si>
  <si>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</si>
  <si>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</si>
  <si>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</si>
  <si>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</si>
  <si>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</si>
  <si>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</si>
  <si>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</si>
  <si>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</si>
  <si>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</si>
  <si>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</si>
  <si>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</si>
  <si>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</si>
  <si>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</si>
  <si>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</si>
  <si>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</si>
  <si>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</si>
  <si>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</si>
  <si>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</si>
  <si>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</si>
  <si>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</si>
  <si>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</si>
  <si>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</si>
  <si>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</si>
  <si>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</si>
  <si>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</si>
  <si>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</si>
  <si>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</si>
  <si>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</si>
  <si>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</si>
  <si>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</si>
  <si>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</si>
  <si>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</si>
  <si>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</si>
  <si>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</si>
  <si>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</si>
  <si>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</si>
  <si>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</si>
  <si>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</si>
  <si>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</si>
  <si>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</si>
  <si>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</si>
  <si>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</si>
  <si>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</si>
  <si>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</si>
  <si>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</si>
  <si>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</si>
  <si>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</si>
  <si>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</si>
  <si>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</si>
  <si>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</si>
  <si>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</si>
  <si>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</si>
  <si>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</si>
  <si>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</si>
  <si>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</si>
  <si>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</si>
  <si>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</si>
  <si>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</si>
  <si>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</si>
  <si>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</si>
  <si>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</si>
  <si>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</si>
  <si>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</si>
  <si>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</si>
  <si>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</si>
  <si>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</si>
  <si>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</si>
  <si>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</si>
  <si>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</si>
  <si>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</si>
  <si>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</si>
  <si>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</si>
  <si>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</si>
  <si>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</si>
  <si>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</si>
  <si>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</si>
  <si>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</si>
  <si>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</si>
  <si>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</si>
  <si>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</si>
  <si>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</si>
  <si>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</si>
  <si>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</si>
  <si>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</si>
  <si>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</si>
  <si>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</si>
  <si>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</si>
  <si>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</si>
  <si>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</si>
  <si>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</si>
  <si>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</si>
  <si>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</si>
  <si>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</si>
  <si>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</si>
  <si>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</si>
  <si>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</si>
  <si>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</si>
  <si>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</si>
  <si>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</si>
  <si>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</si>
  <si>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</si>
  <si>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</si>
  <si>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</si>
  <si>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</si>
  <si>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</si>
  <si>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</si>
  <si>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</si>
  <si>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</si>
  <si>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</si>
  <si>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</si>
  <si>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</si>
  <si>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</si>
  <si>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</si>
  <si>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</si>
  <si>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</si>
  <si>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</si>
  <si>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</si>
  <si>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</si>
  <si>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</si>
  <si>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</si>
  <si>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</si>
  <si>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</si>
  <si>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</si>
  <si>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</si>
  <si>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</si>
  <si>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</si>
  <si>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</si>
  <si>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</si>
  <si>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</si>
  <si>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</si>
  <si>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</si>
  <si>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</si>
  <si>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</si>
  <si>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</si>
  <si>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</si>
  <si>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</si>
  <si>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</si>
  <si>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</si>
  <si>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</si>
  <si>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</si>
  <si>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</si>
  <si>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</si>
  <si>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</si>
  <si>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</si>
  <si>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</si>
  <si>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</si>
  <si>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</si>
  <si>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</si>
  <si>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</si>
  <si>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</si>
  <si>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</si>
  <si>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</si>
  <si>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</si>
  <si>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</si>
  <si>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</si>
  <si>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</si>
  <si>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</si>
  <si>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</si>
  <si>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</si>
  <si>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</si>
  <si>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</si>
  <si>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</si>
  <si>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</si>
  <si>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</si>
  <si>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</si>
  <si>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</si>
  <si>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</si>
  <si>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</si>
  <si>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</si>
  <si>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</si>
  <si>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</si>
  <si>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</si>
  <si>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</si>
  <si>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</si>
  <si>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</si>
  <si>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</si>
  <si>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</si>
  <si>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</si>
  <si>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</si>
  <si>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</si>
  <si>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</si>
  <si>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</si>
  <si>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</si>
  <si>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</si>
  <si>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</si>
  <si>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</si>
  <si>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</si>
  <si>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</si>
  <si>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</si>
  <si>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</si>
  <si>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</si>
  <si>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</si>
  <si>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</si>
  <si>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</si>
  <si>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</si>
  <si>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</si>
  <si>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</si>
  <si>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</si>
  <si>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</si>
  <si>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</si>
  <si>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</si>
  <si>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</si>
  <si>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</si>
  <si>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</si>
  <si>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</si>
  <si>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</si>
  <si>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</si>
  <si>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</si>
  <si>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</si>
  <si>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</si>
  <si>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</si>
  <si>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</si>
  <si>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</si>
  <si>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</si>
  <si>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</si>
  <si>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</si>
  <si>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</si>
  <si>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</si>
  <si>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</si>
  <si>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</si>
  <si>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</si>
  <si>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</si>
  <si>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</si>
  <si>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</si>
  <si>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</si>
  <si>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</si>
  <si>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</si>
  <si>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</si>
  <si>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</si>
  <si>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</si>
  <si>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</si>
  <si>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</si>
  <si>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</si>
  <si>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</si>
  <si>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</si>
  <si>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</si>
  <si>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</si>
  <si>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</si>
  <si>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</si>
  <si>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</si>
  <si>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</si>
  <si>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</si>
  <si>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</si>
  <si>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</si>
  <si>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</si>
  <si>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</si>
  <si>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</si>
  <si>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</si>
  <si>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</si>
  <si>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</si>
  <si>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</si>
  <si>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</si>
  <si>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</si>
  <si>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</si>
  <si>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</si>
  <si>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</si>
  <si>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</si>
  <si>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</si>
  <si>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</si>
  <si>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</si>
  <si>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</si>
  <si>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</si>
  <si>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</si>
  <si>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</si>
  <si>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</si>
  <si>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</si>
  <si>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</si>
  <si>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</si>
  <si>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</si>
  <si>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</si>
  <si>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</si>
  <si>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</si>
  <si>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</si>
  <si>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</si>
  <si>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</si>
  <si>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</si>
  <si>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</si>
  <si>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</si>
  <si>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</si>
  <si>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</si>
  <si>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</si>
  <si>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</si>
  <si>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</si>
  <si>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</si>
  <si>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</si>
  <si>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</si>
  <si>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</si>
  <si>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</si>
  <si>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</si>
  <si>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</si>
  <si>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</si>
  <si>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</si>
  <si>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</si>
  <si>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</si>
  <si>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</si>
  <si>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</si>
  <si>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</si>
  <si>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</si>
  <si>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</si>
  <si>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</si>
  <si>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</si>
  <si>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</si>
  <si>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</si>
  <si>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</si>
  <si>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</si>
  <si>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</si>
  <si>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</si>
  <si>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</si>
  <si>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</si>
  <si>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</si>
  <si>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</si>
  <si>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</si>
  <si>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</si>
  <si>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</si>
  <si>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</si>
  <si>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</si>
  <si>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</si>
  <si>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</si>
  <si>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</si>
  <si>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</si>
  <si>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</si>
  <si>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</si>
  <si>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</si>
  <si>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</si>
  <si>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</si>
  <si>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</si>
  <si>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</si>
  <si>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</si>
  <si>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</si>
  <si>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</si>
  <si>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</si>
  <si>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</si>
  <si>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</si>
  <si>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</si>
  <si>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</si>
  <si>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</si>
  <si>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</si>
  <si>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</si>
  <si>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</si>
  <si>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</si>
  <si>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</si>
  <si>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</si>
  <si>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</si>
  <si>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</si>
  <si>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</si>
  <si>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</si>
  <si>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</si>
  <si>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</si>
  <si>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</si>
  <si>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</si>
  <si>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</si>
  <si>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</si>
  <si>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</si>
  <si>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</si>
  <si>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</si>
  <si>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</si>
  <si>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</si>
  <si>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</si>
  <si>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</si>
  <si>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</si>
  <si>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</si>
  <si>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</si>
  <si>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</si>
  <si>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</si>
  <si>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</si>
  <si>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</si>
  <si>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</si>
  <si>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</si>
  <si>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</si>
  <si>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</si>
  <si>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</si>
  <si>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</si>
  <si>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</si>
  <si>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</si>
  <si>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</si>
  <si>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</si>
  <si>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</si>
  <si>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</si>
  <si>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</si>
  <si>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</si>
  <si>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</si>
  <si>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</si>
  <si>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</si>
  <si>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</si>
  <si>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</si>
  <si>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</si>
  <si>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</si>
  <si>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</si>
  <si>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</si>
  <si>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</si>
  <si>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</si>
  <si>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</si>
  <si>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</si>
  <si>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</si>
  <si>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</si>
  <si>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</si>
  <si>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</si>
  <si>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</si>
  <si>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</si>
  <si>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</si>
  <si>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</si>
  <si>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</si>
  <si>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</si>
  <si>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</si>
  <si>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</si>
  <si>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</si>
  <si>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</si>
  <si>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</si>
  <si>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</si>
  <si>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</si>
  <si>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</si>
  <si>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</si>
  <si>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</si>
  <si>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</si>
  <si>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</si>
  <si>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</si>
  <si>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</si>
  <si>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</si>
  <si>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</si>
  <si>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</si>
  <si>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</si>
  <si>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</si>
  <si>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</si>
  <si>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</si>
  <si>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</si>
  <si>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</si>
  <si>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</si>
  <si>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</si>
  <si>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</si>
  <si>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</si>
  <si>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</si>
  <si>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</si>
  <si>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</si>
  <si>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</si>
  <si>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</si>
  <si>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</si>
  <si>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</si>
  <si>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</si>
  <si>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</si>
  <si>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</si>
  <si>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</si>
  <si>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</si>
  <si>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</si>
  <si>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</si>
  <si>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</si>
  <si>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</si>
  <si>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</si>
  <si>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</si>
  <si>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</si>
  <si>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</si>
  <si>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</si>
  <si>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</si>
  <si>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</si>
  <si>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</si>
  <si>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</si>
  <si>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</si>
  <si>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</si>
  <si>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</si>
  <si>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</si>
  <si>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</si>
  <si>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</si>
  <si>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</si>
  <si>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</si>
  <si>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</si>
  <si>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</si>
  <si>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</si>
  <si>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</si>
  <si>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</si>
  <si>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</si>
  <si>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</si>
  <si>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</si>
  <si>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</si>
  <si>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</si>
  <si>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</si>
  <si>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</si>
  <si>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</si>
  <si>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</si>
  <si>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</si>
  <si>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</si>
  <si>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</si>
  <si>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</si>
  <si>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</si>
  <si>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</si>
  <si>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</si>
  <si>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</si>
  <si>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</si>
  <si>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</si>
  <si>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</si>
  <si>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</si>
  <si>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</si>
  <si>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</si>
  <si>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</si>
  <si>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</si>
  <si>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</si>
  <si>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</si>
  <si>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</si>
  <si>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</si>
  <si>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</si>
  <si>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</si>
  <si>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</si>
  <si>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</si>
  <si>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</si>
  <si>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</si>
  <si>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</si>
  <si>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</si>
  <si>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</si>
  <si>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</si>
  <si>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</si>
  <si>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</si>
  <si>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</si>
  <si>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</si>
  <si>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</si>
  <si>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</si>
  <si>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</si>
  <si>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</si>
  <si>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</si>
  <si>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</si>
  <si>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</si>
  <si>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</si>
  <si>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</si>
  <si>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</si>
  <si>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</si>
  <si>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</si>
  <si>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</si>
  <si>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</si>
  <si>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</si>
  <si>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</si>
  <si>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</si>
  <si>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</si>
  <si>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</si>
  <si>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</si>
  <si>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</si>
  <si>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</si>
  <si>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</si>
  <si>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</si>
  <si>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</si>
  <si>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</si>
  <si>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</si>
  <si>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</si>
  <si>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</si>
  <si>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</si>
  <si>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</si>
  <si>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</si>
  <si>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</si>
  <si>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</si>
  <si>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</si>
  <si>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</si>
  <si>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</si>
  <si>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</si>
  <si>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</si>
  <si>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</si>
  <si>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</si>
  <si>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</si>
  <si>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</si>
  <si>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</si>
  <si>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</si>
  <si>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</si>
  <si>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</si>
  <si>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</si>
  <si>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</si>
  <si>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</si>
  <si>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</si>
  <si>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</si>
  <si>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</si>
  <si>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</si>
  <si>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</si>
  <si>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</si>
  <si>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</si>
  <si>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</si>
  <si>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</si>
  <si>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</si>
  <si>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</si>
  <si>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</si>
  <si>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</si>
  <si>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</si>
  <si>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</si>
  <si>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</si>
  <si>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</si>
  <si>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</si>
  <si>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</si>
  <si>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</si>
  <si>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</si>
  <si>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</si>
  <si>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</si>
  <si>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</si>
  <si>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</si>
  <si>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</si>
  <si>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</si>
  <si>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</si>
  <si>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</si>
  <si>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</si>
  <si>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</si>
  <si>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</si>
  <si>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</si>
  <si>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</si>
  <si>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</si>
  <si>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</si>
  <si>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</si>
  <si>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</si>
  <si>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</si>
  <si>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</si>
  <si>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</si>
  <si>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</si>
  <si>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</si>
  <si>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</si>
  <si>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</si>
  <si>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</si>
  <si>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</si>
  <si>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</si>
  <si>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</si>
  <si>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</si>
  <si>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</si>
  <si>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</si>
  <si>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</si>
  <si>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</si>
  <si>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</si>
  <si>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</si>
  <si>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</si>
  <si>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</si>
  <si>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</si>
  <si>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</si>
  <si>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</si>
  <si>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</si>
  <si>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</si>
  <si>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</si>
  <si>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</si>
  <si>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</si>
  <si>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</si>
  <si>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</si>
  <si>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</si>
  <si>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</si>
  <si>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</si>
  <si>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</si>
  <si>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</si>
  <si>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</si>
  <si>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</si>
  <si>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</si>
  <si>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</si>
  <si>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</si>
  <si>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</si>
  <si>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</si>
  <si>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</si>
  <si>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</si>
  <si>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</si>
  <si>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</si>
  <si>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</si>
  <si>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</si>
  <si>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</si>
  <si>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</si>
  <si>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</si>
  <si>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</si>
  <si>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</si>
  <si>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</si>
  <si>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</si>
  <si>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</si>
  <si>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</si>
  <si>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</si>
  <si>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</si>
  <si>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</si>
  <si>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</si>
  <si>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</si>
  <si>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</si>
  <si>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</si>
  <si>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</si>
  <si>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</si>
  <si>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</si>
  <si>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</si>
  <si>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</si>
  <si>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</si>
  <si>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</si>
  <si>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</si>
  <si>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</si>
  <si>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</si>
  <si>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</si>
  <si>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</si>
  <si>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</si>
  <si>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</si>
  <si>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</si>
  <si>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</si>
  <si>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</si>
  <si>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</si>
  <si>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</si>
  <si>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</si>
  <si>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</si>
  <si>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</si>
  <si>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</si>
  <si>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</si>
  <si>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</si>
  <si>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</si>
  <si>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</si>
  <si>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</si>
  <si>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</si>
  <si>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</si>
  <si>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</si>
  <si>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</si>
  <si>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</si>
  <si>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</si>
  <si>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</si>
  <si>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</si>
  <si>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</si>
  <si>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</si>
  <si>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</si>
  <si>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</si>
  <si>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</si>
  <si>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</si>
  <si>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</si>
  <si>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</si>
  <si>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</si>
  <si>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</si>
  <si>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</si>
  <si>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</si>
  <si>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</si>
  <si>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</si>
  <si>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</si>
  <si>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</si>
  <si>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</si>
  <si>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</si>
  <si>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</si>
  <si>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</si>
  <si>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</si>
  <si>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</si>
  <si>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</si>
  <si>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</si>
  <si>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</si>
  <si>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</si>
  <si>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</si>
  <si>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</si>
  <si>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</si>
  <si>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</si>
  <si>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</si>
  <si>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</si>
  <si>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</si>
  <si>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</si>
  <si>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</si>
  <si>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</si>
  <si>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</si>
  <si>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</si>
  <si>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</si>
  <si>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</si>
  <si>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</si>
  <si>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</si>
  <si>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</si>
  <si>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</si>
  <si>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</si>
  <si>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</si>
  <si>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</si>
  <si>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</si>
  <si>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</si>
  <si>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</si>
  <si>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</si>
  <si>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</si>
  <si>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</si>
  <si>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</si>
  <si>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</si>
  <si>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</si>
  <si>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</si>
  <si>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</si>
  <si>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</si>
  <si>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</si>
  <si>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</si>
  <si>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</si>
  <si>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</si>
  <si>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</si>
  <si>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</si>
  <si>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</si>
  <si>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</si>
  <si>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</si>
  <si>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</si>
  <si>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</si>
  <si>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</si>
  <si>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</si>
  <si>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</si>
  <si>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</si>
  <si>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</si>
  <si>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</si>
  <si>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</si>
  <si>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</si>
  <si>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</si>
  <si>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</si>
  <si>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</si>
  <si>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</si>
  <si>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</si>
  <si>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</si>
  <si>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</si>
  <si>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</si>
  <si>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</si>
  <si>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</si>
  <si>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</si>
  <si>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</si>
  <si>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</si>
  <si>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</si>
  <si>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</si>
  <si>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</si>
  <si>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</si>
  <si>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</si>
  <si>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</si>
  <si>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</si>
  <si>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</si>
  <si>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</si>
  <si>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</si>
  <si>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</si>
  <si>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</si>
  <si>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</si>
  <si>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</si>
  <si>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</si>
  <si>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4228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</si>
  <si>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</si>
  <si>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</si>
  <si>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</si>
  <si>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</si>
  <si>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</si>
  <si>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</si>
  <si>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</si>
  <si>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</si>
  <si>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</si>
  <si>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</si>
  <si>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</si>
  <si>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</si>
  <si>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</si>
  <si>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</si>
  <si>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</si>
  <si>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</si>
  <si>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</si>
  <si>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</si>
  <si>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</si>
  <si>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</si>
  <si>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</si>
  <si>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</si>
  <si>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</si>
  <si>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</si>
  <si>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</si>
  <si>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</si>
  <si>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</si>
  <si>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</si>
  <si>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</si>
  <si>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</si>
  <si>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</si>
  <si>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</si>
  <si>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</si>
  <si>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</si>
  <si>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</si>
  <si>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</si>
  <si>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</si>
  <si>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</si>
  <si>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</si>
  <si>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</si>
  <si>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</si>
  <si>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</si>
  <si>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</si>
  <si>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</si>
  <si>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</si>
  <si>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</si>
  <si>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</si>
  <si>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</si>
  <si>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</si>
  <si>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</si>
  <si>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</si>
  <si>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</si>
  <si>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</si>
  <si>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</si>
  <si>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</si>
  <si>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</si>
  <si>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</si>
  <si>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</si>
  <si>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</si>
  <si>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</si>
  <si>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</si>
  <si>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</si>
  <si>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</si>
  <si>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</si>
  <si>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</si>
  <si>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</si>
  <si>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</si>
  <si>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</si>
  <si>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</si>
  <si>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</si>
  <si>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</si>
  <si>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</si>
  <si>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</si>
  <si>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</si>
  <si>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</si>
  <si>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</si>
  <si>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</si>
  <si>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</si>
  <si>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</si>
  <si>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</si>
  <si>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</si>
  <si>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</si>
  <si>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</si>
  <si>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</si>
  <si>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</si>
  <si>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</si>
  <si>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</si>
  <si>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</si>
  <si>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</si>
  <si>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</si>
  <si>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</si>
  <si>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</si>
  <si>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</si>
  <si>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</si>
  <si>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</si>
  <si>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</si>
  <si>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</si>
  <si>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</si>
  <si>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</si>
  <si>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</si>
  <si>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</si>
  <si>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</si>
  <si>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</si>
  <si>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</si>
  <si>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</si>
  <si>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</si>
  <si>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</si>
  <si>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</si>
  <si>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</si>
  <si>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</si>
  <si>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</si>
  <si>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</si>
  <si>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</si>
  <si>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</si>
  <si>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</si>
  <si>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</si>
  <si>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</si>
  <si>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</si>
  <si>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</si>
  <si>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</si>
  <si>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</si>
  <si>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</si>
  <si>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</si>
  <si>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</si>
  <si>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</si>
  <si>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</si>
  <si>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</si>
  <si>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</si>
  <si>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</si>
  <si>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</si>
  <si>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</si>
  <si>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</si>
  <si>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</si>
  <si>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</si>
  <si>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</si>
  <si>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</si>
  <si>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</si>
  <si>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</si>
  <si>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</si>
  <si>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</si>
  <si>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</si>
  <si>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</si>
  <si>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</si>
  <si>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</si>
  <si>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</si>
  <si>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</si>
  <si>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</si>
  <si>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</si>
  <si>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</si>
  <si>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</si>
  <si>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</si>
  <si>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</si>
  <si>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</si>
  <si>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</si>
  <si>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</si>
  <si>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</si>
  <si>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</si>
  <si>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</si>
  <si>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</si>
  <si>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</si>
  <si>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</si>
  <si>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</si>
  <si>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</si>
  <si>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</si>
  <si>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</si>
  <si>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</si>
  <si>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</si>
  <si>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</si>
  <si>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</si>
  <si>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</si>
  <si>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</si>
  <si>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</si>
  <si>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</si>
  <si>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</si>
  <si>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</si>
  <si>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</si>
  <si>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</si>
  <si>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</si>
  <si>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</si>
  <si>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</si>
  <si>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</si>
  <si>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</si>
  <si>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</si>
  <si>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</si>
  <si>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</si>
  <si>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</si>
  <si>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</si>
  <si>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</si>
  <si>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</si>
  <si>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</si>
  <si>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</si>
  <si>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</si>
  <si>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</si>
  <si>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</si>
  <si>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</si>
  <si>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</si>
  <si>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</si>
  <si>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</si>
  <si>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</si>
  <si>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</si>
  <si>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</si>
  <si>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</si>
  <si>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</si>
  <si>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</si>
  <si>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</si>
  <si>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</si>
  <si>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</si>
  <si>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</si>
  <si>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</si>
  <si>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</si>
  <si>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</si>
  <si>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</si>
  <si>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</si>
  <si>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</si>
  <si>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</si>
  <si>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</si>
  <si>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</si>
  <si>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</si>
  <si>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</si>
  <si>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</si>
  <si>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</si>
  <si>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</si>
  <si>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</si>
  <si>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</si>
  <si>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</si>
  <si>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</si>
  <si>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</si>
  <si>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</si>
  <si>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</si>
  <si>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</si>
  <si>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</si>
  <si>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</si>
  <si>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</si>
  <si>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</si>
  <si>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</si>
  <si>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</si>
  <si>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</si>
  <si>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</si>
  <si>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</si>
  <si>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</si>
  <si>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</si>
  <si>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</si>
  <si>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</si>
  <si>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</si>
  <si>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</si>
  <si>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</si>
  <si>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</si>
  <si>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</si>
  <si>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</si>
  <si>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</si>
  <si>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</si>
  <si>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</si>
  <si>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</si>
  <si>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</si>
  <si>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</si>
  <si>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</si>
  <si>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</si>
  <si>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</si>
  <si>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</si>
  <si>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</si>
  <si>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</si>
  <si>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</si>
  <si>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</si>
  <si>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</si>
  <si>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</si>
  <si>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</si>
  <si>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</si>
  <si>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</si>
  <si>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</si>
  <si>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</si>
  <si>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</si>
  <si>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</si>
  <si>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</si>
  <si>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</si>
  <si>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</si>
  <si>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</si>
  <si>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</si>
  <si>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</si>
  <si>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</si>
  <si>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</si>
  <si>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</si>
  <si>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</si>
  <si>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</si>
  <si>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</si>
  <si>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</si>
  <si>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</si>
  <si>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</si>
  <si>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</si>
  <si>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</si>
  <si>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</si>
  <si>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</si>
  <si>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</si>
  <si>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</si>
  <si>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</si>
  <si>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</si>
  <si>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</si>
  <si>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</si>
  <si>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</si>
  <si>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</si>
  <si>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</si>
  <si>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</si>
  <si>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</si>
  <si>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</si>
  <si>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</si>
  <si>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</si>
  <si>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</si>
  <si>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</si>
  <si>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</si>
  <si>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</si>
  <si>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</si>
  <si>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</si>
  <si>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</si>
  <si>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</si>
  <si>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</si>
  <si>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</si>
  <si>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</si>
  <si>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</si>
  <si>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</si>
  <si>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</si>
  <si>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</si>
  <si>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</si>
  <si>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</si>
  <si>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</si>
  <si>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</si>
  <si>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</si>
  <si>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</si>
  <si>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</si>
  <si>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</si>
  <si>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</si>
  <si>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</si>
  <si>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</si>
  <si>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</si>
  <si>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</si>
  <si>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</si>
  <si>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</si>
  <si>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</si>
  <si>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</si>
  <si>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</si>
  <si>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</si>
  <si>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</si>
  <si>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</si>
  <si>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</si>
  <si>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</si>
  <si>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</si>
  <si>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</si>
  <si>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</si>
  <si>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</si>
  <si>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</si>
  <si>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</si>
  <si>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</si>
  <si>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</si>
  <si>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</si>
  <si>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</si>
  <si>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</si>
  <si>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</si>
  <si>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</si>
  <si>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</si>
  <si>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</si>
  <si>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</si>
  <si>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</si>
  <si>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</si>
  <si>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</si>
  <si>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</si>
  <si>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</si>
  <si>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</si>
  <si>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</si>
  <si>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</si>
  <si>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</si>
  <si>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</si>
  <si>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</si>
  <si>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</si>
  <si>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</si>
  <si>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</si>
  <si>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</si>
  <si>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</si>
  <si>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</si>
  <si>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</si>
  <si>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</si>
  <si>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</si>
  <si>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</si>
  <si>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</si>
  <si>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</si>
  <si>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</si>
  <si>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</si>
  <si>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</si>
  <si>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</si>
  <si>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</si>
  <si>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</si>
  <si>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</si>
  <si>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</si>
  <si>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</si>
  <si>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</si>
  <si>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</si>
  <si>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</si>
  <si>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</si>
  <si>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</si>
  <si>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</si>
  <si>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</si>
  <si>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</si>
  <si>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</si>
  <si>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</si>
  <si>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</si>
  <si>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</si>
  <si>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</si>
  <si>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</si>
  <si>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</si>
  <si>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</si>
  <si>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</si>
  <si>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</si>
  <si>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</si>
  <si>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</si>
  <si>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</si>
  <si>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</si>
  <si>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</si>
  <si>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</si>
  <si>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</si>
  <si>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</si>
  <si>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</si>
  <si>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</si>
  <si>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</si>
  <si>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</si>
  <si>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</si>
  <si>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</si>
  <si>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</si>
  <si>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</si>
  <si>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</si>
  <si>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</si>
  <si>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</si>
  <si>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</si>
  <si>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</si>
  <si>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</si>
  <si>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</si>
  <si>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</si>
  <si>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</si>
  <si>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</si>
  <si>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</si>
  <si>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</si>
  <si>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</si>
  <si>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</si>
  <si>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</si>
  <si>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</si>
  <si>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</si>
  <si>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</si>
  <si>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</si>
  <si>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</si>
  <si>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</si>
  <si>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</si>
  <si>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</si>
  <si>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</si>
  <si>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3553</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</si>
  <si>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</si>
  <si>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</si>
  <si>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</si>
  <si>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</si>
  <si>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</si>
  <si>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</si>
  <si>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</si>
  <si>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</si>
  <si>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</si>
  <si>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</si>
  <si>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</si>
  <si>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</si>
  <si>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</si>
  <si>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</si>
  <si>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</si>
  <si>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</si>
  <si>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</si>
  <si>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</si>
  <si>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</si>
  <si>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</si>
  <si>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</si>
  <si>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</si>
  <si>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</si>
  <si>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</si>
  <si>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</si>
  <si>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</si>
  <si>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</si>
  <si>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</si>
  <si>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</si>
  <si>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</si>
  <si>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</si>
  <si>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</si>
  <si>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</si>
  <si>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</si>
  <si>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</si>
  <si>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</si>
  <si>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</si>
  <si>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</si>
  <si>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</si>
  <si>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</si>
  <si>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</si>
  <si>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</si>
  <si>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</si>
  <si>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</si>
  <si>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</si>
  <si>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</si>
  <si>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</si>
  <si>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</si>
  <si>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</si>
  <si>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</si>
  <si>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</si>
  <si>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</si>
  <si>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</si>
  <si>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</si>
  <si>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</si>
  <si>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</si>
  <si>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</si>
  <si>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</si>
  <si>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</si>
  <si>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</si>
  <si>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</si>
  <si>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</si>
  <si>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</si>
  <si>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</si>
  <si>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</si>
  <si>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</si>
  <si>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</si>
  <si>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</si>
  <si>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</si>
  <si>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</si>
  <si>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</si>
  <si>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</si>
  <si>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</si>
  <si>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</si>
  <si>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</si>
  <si>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</si>
  <si>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</si>
  <si>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</si>
  <si>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</si>
  <si>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</si>
  <si>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</si>
  <si>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</si>
  <si>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</si>
  <si>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</si>
  <si>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</si>
  <si>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</si>
  <si>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</si>
  <si>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</si>
  <si>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</si>
  <si>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</si>
  <si>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</si>
  <si>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</si>
  <si>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</si>
  <si>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</si>
  <si>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</si>
  <si>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</si>
  <si>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</si>
  <si>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</si>
  <si>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</si>
  <si>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</si>
  <si>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</si>
  <si>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</si>
  <si>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</si>
  <si>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</si>
  <si>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</si>
  <si>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</si>
  <si>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</si>
  <si>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</si>
  <si>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</si>
  <si>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</si>
  <si>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</si>
  <si>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</si>
  <si>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</si>
  <si>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</si>
  <si>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</si>
  <si>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</si>
  <si>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</si>
  <si>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</si>
  <si>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</si>
  <si>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</si>
  <si>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</si>
  <si>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</si>
  <si>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</si>
  <si>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</si>
  <si>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</si>
  <si>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</si>
  <si>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</si>
  <si>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</si>
  <si>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</si>
  <si>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</si>
  <si>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</si>
  <si>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</si>
  <si>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</si>
  <si>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</si>
  <si>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</si>
  <si>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</si>
  <si>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</si>
  <si>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</si>
  <si>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</si>
  <si>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</si>
  <si>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</si>
  <si>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</si>
  <si>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</si>
  <si>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</si>
  <si>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</si>
  <si>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</si>
  <si>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</si>
  <si>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</si>
  <si>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</si>
  <si>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</si>
  <si>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</si>
  <si>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</si>
  <si>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</si>
  <si>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</si>
  <si>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</si>
  <si>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</si>
  <si>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</si>
  <si>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</si>
  <si>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</si>
  <si>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</si>
  <si>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</si>
  <si>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</si>
  <si>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</si>
  <si>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</si>
  <si>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</si>
  <si>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</si>
  <si>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</si>
  <si>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</si>
  <si>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</si>
  <si>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</si>
  <si>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</si>
  <si>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</si>
  <si>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</si>
  <si>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</si>
  <si>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</si>
  <si>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</si>
  <si>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</si>
  <si>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</si>
  <si>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</si>
  <si>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</si>
  <si>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</si>
  <si>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</si>
  <si>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</si>
  <si>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</si>
  <si>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</si>
  <si>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</si>
  <si>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</si>
  <si>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</si>
  <si>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</si>
  <si>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</si>
  <si>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</si>
  <si>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</si>
  <si>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</si>
  <si>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</si>
  <si>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</si>
  <si>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</si>
  <si>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</si>
  <si>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</si>
  <si>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</si>
  <si>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</si>
  <si>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</si>
  <si>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</si>
  <si>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</si>
  <si>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</si>
  <si>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</si>
  <si>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</si>
  <si>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</si>
  <si>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</si>
  <si>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</si>
  <si>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</si>
  <si>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</si>
  <si>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</si>
  <si>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</si>
  <si>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</si>
  <si>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</si>
  <si>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</si>
  <si>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</si>
  <si>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</si>
  <si>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</si>
  <si>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</si>
  <si>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</si>
  <si>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</si>
  <si>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</si>
  <si>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</si>
  <si>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</si>
  <si>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</si>
  <si>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</si>
  <si>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</si>
  <si>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</si>
  <si>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</si>
  <si>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</si>
  <si>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</si>
  <si>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</si>
  <si>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</si>
  <si>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</si>
  <si>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</si>
  <si>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</si>
  <si>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</si>
  <si>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</si>
  <si>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</si>
  <si>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</si>
  <si>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</si>
  <si>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</si>
  <si>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</si>
  <si>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</si>
  <si>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</si>
  <si>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</si>
  <si>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</si>
  <si>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</si>
  <si>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</si>
  <si>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</si>
  <si>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</si>
  <si>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</si>
  <si>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</si>
  <si>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</si>
  <si>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</si>
  <si>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</si>
  <si>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</si>
  <si>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</si>
  <si>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</si>
  <si>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</si>
  <si>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</si>
  <si>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</si>
  <si>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</si>
  <si>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</si>
  <si>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</si>
  <si>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</si>
  <si>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</si>
  <si>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</si>
  <si>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</si>
  <si>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</si>
  <si>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</si>
  <si>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</si>
  <si>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</si>
  <si>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</si>
  <si>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</si>
  <si>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</si>
  <si>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</si>
  <si>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</si>
  <si>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</si>
  <si>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</si>
  <si>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</si>
  <si>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</si>
  <si>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</si>
  <si>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</si>
  <si>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</si>
  <si>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</si>
  <si>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</si>
  <si>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</si>
  <si>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</si>
  <si>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</si>
  <si>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</si>
  <si>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</si>
  <si>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</si>
  <si>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</si>
  <si>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</si>
  <si>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</si>
  <si>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</si>
  <si>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</si>
  <si>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</si>
  <si>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</si>
  <si>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</si>
  <si>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</si>
  <si>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</si>
  <si>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</si>
  <si>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</si>
  <si>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</si>
  <si>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</si>
  <si>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</si>
  <si>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</si>
  <si>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</si>
  <si>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</si>
  <si>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</si>
  <si>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</si>
  <si>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</si>
  <si>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</si>
  <si>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</si>
  <si>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</si>
  <si>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</si>
  <si>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</si>
  <si>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</si>
  <si>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</si>
  <si>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</si>
  <si>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</si>
  <si>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</si>
  <si>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</si>
  <si>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</si>
  <si>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</si>
  <si>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</si>
  <si>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</si>
  <si>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</si>
  <si>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</si>
  <si>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</si>
  <si>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</si>
  <si>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</si>
  <si>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</si>
  <si>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</si>
  <si>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</si>
  <si>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</si>
  <si>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</si>
  <si>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</si>
  <si>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</si>
  <si>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</si>
  <si>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</si>
  <si>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</si>
  <si>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</si>
  <si>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</si>
  <si>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</si>
  <si>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</si>
  <si>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</si>
  <si>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</si>
  <si>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</si>
  <si>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</si>
  <si>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</si>
  <si>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</si>
  <si>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</si>
  <si>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</si>
  <si>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</si>
  <si>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</si>
  <si>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</si>
  <si>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</si>
  <si>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</si>
  <si>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</si>
  <si>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</si>
  <si>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</si>
  <si>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</si>
  <si>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</si>
  <si>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</si>
  <si>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</si>
  <si>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</si>
  <si>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</si>
  <si>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</si>
  <si>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</si>
  <si>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</si>
  <si>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</si>
  <si>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</si>
  <si>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</si>
  <si>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</si>
  <si>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</si>
  <si>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</si>
  <si>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</si>
  <si>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</si>
  <si>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</si>
  <si>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</si>
  <si>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</si>
  <si>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</si>
  <si>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</si>
  <si>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</si>
  <si>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</si>
  <si>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</si>
  <si>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</si>
  <si>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</si>
  <si>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</si>
  <si>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</si>
  <si>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</si>
  <si>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</si>
  <si>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</si>
  <si>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</si>
  <si>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</si>
  <si>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</si>
  <si>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</si>
  <si>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</si>
  <si>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</si>
  <si>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</si>
  <si>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</si>
  <si>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</si>
  <si>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</si>
  <si>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</si>
  <si>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</si>
  <si>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</si>
  <si>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</si>
  <si>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</si>
  <si>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</si>
  <si>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</si>
  <si>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</si>
  <si>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</si>
  <si>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</si>
  <si>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</si>
  <si>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</si>
  <si>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</si>
  <si>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</si>
  <si>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</si>
  <si>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</si>
  <si>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</si>
  <si>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</si>
  <si>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</si>
  <si>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</si>
  <si>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</si>
  <si>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</si>
  <si>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</si>
  <si>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</si>
  <si>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</si>
  <si>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</si>
  <si>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</si>
  <si>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</si>
  <si>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</si>
  <si>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</si>
  <si>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</si>
  <si>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</si>
  <si>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</si>
  <si>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</si>
  <si>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</si>
  <si>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</si>
  <si>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</si>
  <si>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</si>
  <si>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</si>
  <si>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</si>
  <si>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</si>
  <si>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</si>
  <si>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</si>
  <si>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</si>
  <si>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</si>
  <si>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</si>
  <si>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</si>
  <si>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</si>
  <si>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</si>
  <si>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</si>
  <si>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</si>
  <si>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</si>
  <si>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</si>
  <si>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</si>
  <si>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</si>
  <si>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</si>
  <si>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</si>
  <si>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</si>
  <si>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</si>
  <si>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</si>
  <si>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</si>
  <si>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</si>
  <si>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</si>
  <si>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</si>
  <si>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</si>
  <si>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</si>
  <si>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</si>
  <si>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</si>
  <si>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</si>
  <si>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</si>
  <si>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</si>
  <si>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</si>
  <si>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</si>
  <si>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</si>
  <si>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</si>
  <si>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</si>
  <si>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</si>
  <si>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</si>
  <si>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</si>
  <si>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</si>
  <si>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</si>
  <si>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</si>
  <si>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</si>
  <si>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</si>
  <si>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</si>
  <si>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</si>
  <si>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</si>
  <si>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</si>
  <si>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</si>
  <si>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</si>
  <si>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</si>
  <si>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</si>
  <si>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</si>
  <si>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</si>
  <si>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</si>
  <si>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</si>
  <si>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</si>
  <si>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</si>
  <si>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</si>
  <si>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</si>
  <si>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</si>
  <si>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</si>
  <si>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</si>
  <si>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</si>
  <si>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</si>
  <si>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</si>
  <si>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</si>
  <si>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</si>
  <si>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</si>
  <si>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</si>
  <si>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</si>
  <si>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</si>
  <si>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</si>
  <si>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</si>
  <si>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</si>
  <si>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</si>
  <si>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</si>
  <si>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</si>
  <si>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</si>
  <si>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</si>
  <si>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</si>
  <si>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</si>
  <si>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</si>
  <si>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</si>
  <si>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</si>
  <si>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</si>
  <si>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</si>
  <si>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</si>
  <si>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</si>
  <si>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</si>
  <si>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</si>
  <si>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</si>
  <si>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</si>
  <si>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</si>
  <si>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</si>
  <si>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</si>
  <si>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</si>
  <si>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</si>
  <si>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</si>
  <si>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</si>
  <si>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</si>
  <si>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</si>
  <si>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</si>
  <si>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</si>
  <si>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</si>
  <si>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</si>
  <si>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</si>
  <si>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</si>
  <si>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</si>
  <si>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</si>
  <si>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</si>
  <si>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</si>
  <si>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</si>
  <si>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</si>
  <si>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</si>
  <si>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</si>
  <si>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</si>
  <si>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</si>
  <si>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</si>
  <si>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</si>
  <si>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</si>
  <si>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</si>
  <si>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</si>
  <si>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</si>
  <si>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</si>
  <si>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</si>
  <si>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</si>
  <si>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</si>
  <si>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</si>
  <si>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</si>
  <si>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</si>
  <si>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</si>
  <si>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</si>
  <si>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</si>
  <si>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</si>
  <si>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</si>
  <si>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</si>
  <si>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</si>
  <si>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</si>
  <si>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</si>
  <si>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</si>
  <si>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</si>
  <si>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</si>
  <si>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</si>
  <si>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</si>
  <si>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</si>
  <si>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</si>
  <si>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</si>
  <si>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</si>
  <si>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</si>
  <si>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</si>
  <si>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</si>
  <si>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</si>
  <si>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</si>
  <si>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</si>
  <si>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</si>
  <si>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</si>
  <si>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</si>
  <si>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</si>
  <si>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</si>
  <si>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</si>
  <si>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</si>
  <si>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</si>
  <si>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</si>
  <si>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</si>
  <si>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</si>
  <si>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</si>
  <si>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</si>
  <si>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</si>
  <si>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</si>
  <si>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</si>
  <si>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</si>
  <si>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</si>
  <si>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</si>
  <si>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</si>
  <si>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</si>
  <si>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</si>
  <si>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</si>
  <si>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</si>
  <si>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</si>
  <si>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</si>
  <si>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</si>
  <si>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</si>
  <si>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</si>
  <si>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</si>
  <si>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</si>
  <si>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</si>
  <si>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</si>
  <si>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</si>
  <si>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</si>
  <si>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</si>
  <si>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</si>
  <si>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</si>
  <si>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</si>
  <si>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</si>
  <si>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</si>
  <si>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</si>
  <si>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</si>
  <si>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</si>
  <si>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</si>
  <si>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</si>
  <si>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</si>
  <si>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</si>
  <si>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</si>
  <si>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</si>
  <si>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</si>
  <si>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</si>
  <si>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</si>
  <si>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</si>
  <si>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</si>
  <si>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</si>
  <si>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</si>
  <si>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</si>
  <si>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</si>
  <si>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</si>
  <si>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</si>
  <si>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</si>
  <si>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</si>
  <si>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</si>
  <si>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</si>
  <si>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</si>
  <si>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</si>
  <si>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</si>
  <si>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</si>
  <si>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</si>
  <si>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</si>
  <si>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</si>
  <si>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</si>
  <si>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2135</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</si>
  <si>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</si>
  <si>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</si>
  <si>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</si>
  <si>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</si>
  <si>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</si>
  <si>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</si>
  <si>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</si>
  <si>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</si>
  <si>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</si>
  <si>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</si>
  <si>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</si>
  <si>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</si>
  <si>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</si>
  <si>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</si>
  <si>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</si>
  <si>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</si>
  <si>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</si>
  <si>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</si>
  <si>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</si>
  <si>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</si>
  <si>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</si>
  <si>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</si>
  <si>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</si>
  <si>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</si>
  <si>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</si>
  <si>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</si>
  <si>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</si>
  <si>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</si>
  <si>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</si>
  <si>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</si>
  <si>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</si>
  <si>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</si>
  <si>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</si>
  <si>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</si>
  <si>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</si>
  <si>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</si>
  <si>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</si>
  <si>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</si>
  <si>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</si>
  <si>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</si>
  <si>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</si>
  <si>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</si>
  <si>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</si>
  <si>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</si>
  <si>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</si>
  <si>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</si>
  <si>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</si>
  <si>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</si>
  <si>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</si>
  <si>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</si>
  <si>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</si>
  <si>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</si>
  <si>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</si>
  <si>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</si>
  <si>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</si>
  <si>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</si>
  <si>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</si>
  <si>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</si>
  <si>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</si>
  <si>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</si>
  <si>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</si>
  <si>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</si>
  <si>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</si>
  <si>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</si>
  <si>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</si>
  <si>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</si>
  <si>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</si>
  <si>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</si>
  <si>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</si>
  <si>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</si>
  <si>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</si>
  <si>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</si>
  <si>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</si>
  <si>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</si>
  <si>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</si>
  <si>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</si>
  <si>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</si>
  <si>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</si>
  <si>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</si>
  <si>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</si>
  <si>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</si>
  <si>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</si>
  <si>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</si>
  <si>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</si>
  <si>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</si>
  <si>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</si>
  <si>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</si>
  <si>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</si>
  <si>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</si>
  <si>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</si>
  <si>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</si>
  <si>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</si>
  <si>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</si>
  <si>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</si>
  <si>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</si>
  <si>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</si>
  <si>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</si>
  <si>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</si>
  <si>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</si>
  <si>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</si>
  <si>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</si>
  <si>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</si>
  <si>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</si>
  <si>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</si>
  <si>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</si>
  <si>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</si>
  <si>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</si>
  <si>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</si>
  <si>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</si>
  <si>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</si>
  <si>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</si>
  <si>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</si>
  <si>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</si>
  <si>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</si>
  <si>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</si>
  <si>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</si>
  <si>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</si>
  <si>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</si>
  <si>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</si>
  <si>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</si>
  <si>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</si>
  <si>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</si>
  <si>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</si>
  <si>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</si>
  <si>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</si>
  <si>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</si>
  <si>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</si>
  <si>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</si>
  <si>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</si>
  <si>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</si>
  <si>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</si>
  <si>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</si>
  <si>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</si>
  <si>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</si>
  <si>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</si>
  <si>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</si>
  <si>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</si>
  <si>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</si>
  <si>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</si>
  <si>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</si>
  <si>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</si>
  <si>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</si>
  <si>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</si>
  <si>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</si>
  <si>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</si>
  <si>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</si>
  <si>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</si>
  <si>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</si>
  <si>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</si>
  <si>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</si>
  <si>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</si>
  <si>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</si>
  <si>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</si>
  <si>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</si>
  <si>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</si>
  <si>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</si>
  <si>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</si>
  <si>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</si>
  <si>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</si>
  <si>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</si>
  <si>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</si>
  <si>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</si>
  <si>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</si>
  <si>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</si>
  <si>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</si>
  <si>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</si>
  <si>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</si>
  <si>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</si>
  <si>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</si>
  <si>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</si>
  <si>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</si>
  <si>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</si>
  <si>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</si>
  <si>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</si>
  <si>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</si>
  <si>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</si>
  <si>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</si>
  <si>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</si>
  <si>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</si>
  <si>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</si>
  <si>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</si>
  <si>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</si>
  <si>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</si>
  <si>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</si>
  <si>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</si>
  <si>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</si>
  <si>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</si>
  <si>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</si>
  <si>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</si>
  <si>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</si>
  <si>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</si>
  <si>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</si>
  <si>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</si>
  <si>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</si>
  <si>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</si>
  <si>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</si>
  <si>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</si>
  <si>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</si>
  <si>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</si>
  <si>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</si>
  <si>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</si>
  <si>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</si>
  <si>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</si>
  <si>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</si>
  <si>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</si>
  <si>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</si>
  <si>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</si>
  <si>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</si>
  <si>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</si>
  <si>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</si>
  <si>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</si>
  <si>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</si>
  <si>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</si>
  <si>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</si>
  <si>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</si>
  <si>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</si>
  <si>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</si>
  <si>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</si>
  <si>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</si>
  <si>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</si>
  <si>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</si>
  <si>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</si>
  <si>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</si>
  <si>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</si>
  <si>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</si>
  <si>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</si>
  <si>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</si>
  <si>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</si>
  <si>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</si>
  <si>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</si>
  <si>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</si>
  <si>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</si>
  <si>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</si>
  <si>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</si>
  <si>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</si>
  <si>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</si>
  <si>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</si>
  <si>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</si>
  <si>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</si>
  <si>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</si>
  <si>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</si>
  <si>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</si>
  <si>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</si>
  <si>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</si>
  <si>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</si>
  <si>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</si>
  <si>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</si>
  <si>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</si>
  <si>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</si>
  <si>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</si>
  <si>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</si>
  <si>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</si>
  <si>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</si>
  <si>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</si>
  <si>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</si>
  <si>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</si>
  <si>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</si>
  <si>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</si>
  <si>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</si>
  <si>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</si>
  <si>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</si>
  <si>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</si>
  <si>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</si>
  <si>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</si>
  <si>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</si>
  <si>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</si>
  <si>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</si>
  <si>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</si>
  <si>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</si>
  <si>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</si>
  <si>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</si>
  <si>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</si>
  <si>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</si>
  <si>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</si>
  <si>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</si>
  <si>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</si>
  <si>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</si>
  <si>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</si>
  <si>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</si>
  <si>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</si>
  <si>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</si>
  <si>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</si>
  <si>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</si>
  <si>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</si>
  <si>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</si>
  <si>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</si>
  <si>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</si>
  <si>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</si>
  <si>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</si>
  <si>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</si>
  <si>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</si>
  <si>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</si>
  <si>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</si>
  <si>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</si>
  <si>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</si>
  <si>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</si>
  <si>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</si>
  <si>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</si>
  <si>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</si>
  <si>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</si>
  <si>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</si>
  <si>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</si>
  <si>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</si>
  <si>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</si>
  <si>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</si>
  <si>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</si>
  <si>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</si>
  <si>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</si>
  <si>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</si>
  <si>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</si>
  <si>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</si>
  <si>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</si>
  <si>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</si>
  <si>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</si>
  <si>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</si>
  <si>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</si>
  <si>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</si>
  <si>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</si>
  <si>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</si>
  <si>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</si>
  <si>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</si>
  <si>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</si>
  <si>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</si>
  <si>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</si>
  <si>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</si>
  <si>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</si>
  <si>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</si>
  <si>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</si>
  <si>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</si>
  <si>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</si>
  <si>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</si>
  <si>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</si>
  <si>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</si>
  <si>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</si>
  <si>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</si>
  <si>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</si>
  <si>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</si>
  <si>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</si>
  <si>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</si>
  <si>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</si>
  <si>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</si>
  <si>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</si>
  <si>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</si>
  <si>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</si>
  <si>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</si>
  <si>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</si>
  <si>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</si>
  <si>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</si>
  <si>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</si>
  <si>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</si>
  <si>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</si>
  <si>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</si>
  <si>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</si>
  <si>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</si>
  <si>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</si>
  <si>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</si>
  <si>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</si>
  <si>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</si>
  <si>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</si>
  <si>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</si>
  <si>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</si>
  <si>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</si>
  <si>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</si>
  <si>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</si>
  <si>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</si>
  <si>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</si>
  <si>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</si>
  <si>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</si>
  <si>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</si>
  <si>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</si>
  <si>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</si>
  <si>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</si>
  <si>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</si>
  <si>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</si>
  <si>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</si>
  <si>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</si>
  <si>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</si>
  <si>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</si>
  <si>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</si>
  <si>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</si>
  <si>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</si>
  <si>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</si>
  <si>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</si>
  <si>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</si>
  <si>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</si>
  <si>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</si>
  <si>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</si>
  <si>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</si>
  <si>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</si>
  <si>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</si>
  <si>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</si>
  <si>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</si>
  <si>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</si>
  <si>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</si>
  <si>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</si>
  <si>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</si>
  <si>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</si>
  <si>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</si>
  <si>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</si>
  <si>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</si>
  <si>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</si>
  <si>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</si>
  <si>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</si>
  <si>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</si>
  <si>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</si>
  <si>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</si>
  <si>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</si>
  <si>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</si>
  <si>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</si>
  <si>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</si>
  <si>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</si>
  <si>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</si>
  <si>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</si>
  <si>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</si>
  <si>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</si>
  <si>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</si>
  <si>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</si>
  <si>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</si>
  <si>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</si>
  <si>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</si>
  <si>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</si>
  <si>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</si>
  <si>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</si>
  <si>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</si>
  <si>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</si>
  <si>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</si>
  <si>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</si>
  <si>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</si>
  <si>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</si>
  <si>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</si>
  <si>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</si>
  <si>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</si>
  <si>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</si>
  <si>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</si>
  <si>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</si>
  <si>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</si>
  <si>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</si>
  <si>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</si>
  <si>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</si>
  <si>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</si>
  <si>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</si>
  <si>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</si>
  <si>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</si>
  <si>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</si>
  <si>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</si>
  <si>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</si>
  <si>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</si>
  <si>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</si>
  <si>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</si>
  <si>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</si>
  <si>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</si>
  <si>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</si>
  <si>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</si>
  <si>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</si>
  <si>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</si>
  <si>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</si>
  <si>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</si>
  <si>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</si>
  <si>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</si>
  <si>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</si>
  <si>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</si>
  <si>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</si>
  <si>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</si>
  <si>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</si>
  <si>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</si>
  <si>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</si>
  <si>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</si>
  <si>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</si>
  <si>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</si>
  <si>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</si>
  <si>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</si>
  <si>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</si>
  <si>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</si>
  <si>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</si>
  <si>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</si>
  <si>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</si>
  <si>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</si>
  <si>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</si>
  <si>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</si>
  <si>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</si>
  <si>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</si>
  <si>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</si>
  <si>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</si>
  <si>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</si>
  <si>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</si>
  <si>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</si>
  <si>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</si>
  <si>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</si>
  <si>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</si>
  <si>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</si>
  <si>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</si>
  <si>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</si>
  <si>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</si>
  <si>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</si>
  <si>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</si>
  <si>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</si>
  <si>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</si>
  <si>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</si>
  <si>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</si>
  <si>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</si>
  <si>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</si>
  <si>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</si>
  <si>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</si>
  <si>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</si>
  <si>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</si>
  <si>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</si>
  <si>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</si>
  <si>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</si>
  <si>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</si>
  <si>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</si>
  <si>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</si>
  <si>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</si>
  <si>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</si>
  <si>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</si>
  <si>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</si>
  <si>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</si>
  <si>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</si>
  <si>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</si>
  <si>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</si>
  <si>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</si>
  <si>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</si>
  <si>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</si>
  <si>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</si>
  <si>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</si>
  <si>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</si>
  <si>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</si>
  <si>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</si>
  <si>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</si>
  <si>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</si>
  <si>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</si>
  <si>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</si>
  <si>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</si>
  <si>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</si>
  <si>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</si>
  <si>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</si>
  <si>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</si>
  <si>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</si>
  <si>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</si>
  <si>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</si>
  <si>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</si>
  <si>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</si>
  <si>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</si>
  <si>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</si>
  <si>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</si>
  <si>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</si>
  <si>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</si>
  <si>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</si>
  <si>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</si>
  <si>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</si>
  <si>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</si>
  <si>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</si>
  <si>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</si>
  <si>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</si>
  <si>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</si>
  <si>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</si>
  <si>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</si>
  <si>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</si>
  <si>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</si>
  <si>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</si>
  <si>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</si>
  <si>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</si>
  <si>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</si>
  <si>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</si>
  <si>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</si>
  <si>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</si>
  <si>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</si>
  <si>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</si>
  <si>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</si>
  <si>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</si>
  <si>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</si>
  <si>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</si>
  <si>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</si>
  <si>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</si>
  <si>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</si>
  <si>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</si>
  <si>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</si>
  <si>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</si>
  <si>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</si>
  <si>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</si>
  <si>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</si>
  <si>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</si>
  <si>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</si>
  <si>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</si>
  <si>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</si>
  <si>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</si>
  <si>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</si>
  <si>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</si>
  <si>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</si>
  <si>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</si>
  <si>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</si>
  <si>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</si>
  <si>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</si>
  <si>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</si>
  <si>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</si>
  <si>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</si>
  <si>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</si>
  <si>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</si>
  <si>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</si>
  <si>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</si>
  <si>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</si>
  <si>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</si>
  <si>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</si>
  <si>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</si>
  <si>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</si>
  <si>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</si>
  <si>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</si>
  <si>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</si>
  <si>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</si>
  <si>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</si>
  <si>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</si>
  <si>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</si>
  <si>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</si>
  <si>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</si>
  <si>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</si>
  <si>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</si>
  <si>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</si>
  <si>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</si>
  <si>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</si>
  <si>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</si>
  <si>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</si>
  <si>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</si>
  <si>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</si>
  <si>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</si>
  <si>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</si>
  <si>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</si>
  <si>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</si>
  <si>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</si>
  <si>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</si>
  <si>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</si>
  <si>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</si>
  <si>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</si>
  <si>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</si>
  <si>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</si>
  <si>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</si>
  <si>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</si>
  <si>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</si>
  <si>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</si>
  <si>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</si>
  <si>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</si>
  <si>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</si>
  <si>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</si>
  <si>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</si>
  <si>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</si>
  <si>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24.62</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</si>
  <si>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</si>
  <si>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</si>
  <si>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</si>
  <si>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</si>
  <si>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</si>
  <si>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</si>
  <si>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</si>
  <si>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</si>
  <si>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</si>
  <si>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</si>
  <si>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</si>
  <si>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</si>
  <si>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</si>
  <si>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</si>
  <si>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</si>
  <si>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</si>
  <si>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</si>
  <si>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</si>
  <si>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</si>
  <si>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</si>
  <si>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</si>
  <si>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</si>
  <si>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</si>
  <si>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</si>
  <si>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</si>
  <si>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</si>
  <si>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</si>
  <si>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</si>
  <si>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</si>
  <si>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</si>
  <si>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</si>
  <si>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</si>
  <si>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</si>
  <si>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</si>
  <si>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</si>
  <si>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</si>
  <si>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</si>
  <si>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</si>
  <si>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</si>
  <si>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</si>
  <si>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</si>
  <si>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</si>
  <si>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</si>
  <si>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</si>
  <si>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</si>
  <si>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</si>
  <si>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</si>
  <si>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</si>
  <si>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</si>
  <si>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</si>
  <si>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</si>
  <si>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</si>
  <si>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</si>
  <si>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</si>
  <si>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</si>
  <si>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</si>
  <si>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</si>
  <si>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</si>
  <si>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</si>
  <si>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</si>
  <si>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</si>
  <si>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</si>
  <si>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</si>
  <si>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</si>
  <si>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</si>
  <si>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</si>
  <si>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</si>
  <si>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</si>
  <si>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</si>
  <si>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</si>
  <si>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</si>
  <si>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</si>
  <si>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</si>
  <si>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</si>
  <si>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</si>
  <si>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</si>
  <si>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</si>
  <si>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</si>
  <si>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</si>
  <si>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</si>
  <si>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</si>
  <si>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</si>
  <si>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</si>
  <si>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</si>
  <si>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</si>
  <si>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</si>
  <si>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</si>
  <si>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</si>
  <si>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</si>
  <si>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</si>
  <si>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</si>
  <si>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</si>
  <si>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</si>
  <si>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</si>
  <si>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</si>
  <si>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</si>
  <si>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</si>
  <si>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</si>
  <si>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</si>
  <si>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</si>
  <si>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</si>
  <si>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</si>
  <si>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</si>
  <si>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</si>
  <si>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</si>
  <si>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</si>
  <si>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</si>
  <si>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</si>
  <si>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</si>
  <si>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</si>
  <si>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</si>
  <si>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</si>
  <si>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</si>
  <si>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</si>
  <si>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</si>
  <si>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</si>
  <si>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</si>
  <si>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</si>
  <si>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1114</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</si>
  <si>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</si>
  <si>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</si>
  <si>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</si>
  <si>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</si>
  <si>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</si>
  <si>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</si>
  <si>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</si>
  <si>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</si>
  <si>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</si>
  <si>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</si>
  <si>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</si>
  <si>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</si>
  <si>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</si>
  <si>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</si>
  <si>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</si>
  <si>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</si>
  <si>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</si>
  <si>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</si>
  <si>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</si>
  <si>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</si>
  <si>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</si>
  <si>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</si>
  <si>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</si>
  <si>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</si>
  <si>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</si>
  <si>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</si>
  <si>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</si>
  <si>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</si>
  <si>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</si>
  <si>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</si>
  <si>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</si>
  <si>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</si>
  <si>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</si>
  <si>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</si>
  <si>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</si>
  <si>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</si>
  <si>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</si>
  <si>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</si>
  <si>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</si>
  <si>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</si>
  <si>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</si>
  <si>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</si>
  <si>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</si>
  <si>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</si>
  <si>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</si>
  <si>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</si>
  <si>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</si>
  <si>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</si>
  <si>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</si>
  <si>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</si>
  <si>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</si>
  <si>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</si>
  <si>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</si>
  <si>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</si>
  <si>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</si>
  <si>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</si>
  <si>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</si>
  <si>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</si>
  <si>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</si>
  <si>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</si>
  <si>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</si>
  <si>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</si>
  <si>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</si>
  <si>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</si>
  <si>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</si>
  <si>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</si>
  <si>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</si>
  <si>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</si>
  <si>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</si>
  <si>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</si>
  <si>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</si>
  <si>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</si>
  <si>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</si>
  <si>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</si>
  <si>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</si>
  <si>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</si>
  <si>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</si>
  <si>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</si>
  <si>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</si>
  <si>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</si>
  <si>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</si>
  <si>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</si>
  <si>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</si>
  <si>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</si>
  <si>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</si>
  <si>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</si>
  <si>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</si>
  <si>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</si>
  <si>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</si>
  <si>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</si>
  <si>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</si>
  <si>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</si>
  <si>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</si>
  <si>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</si>
  <si>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</si>
  <si>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</si>
  <si>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</si>
  <si>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</si>
  <si>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</si>
  <si>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</si>
  <si>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</si>
  <si>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</si>
  <si>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</si>
  <si>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</si>
  <si>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</si>
  <si>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</si>
  <si>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</si>
  <si>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</si>
  <si>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</si>
  <si>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</si>
  <si>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</si>
  <si>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</si>
  <si>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</si>
  <si>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</si>
  <si>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</si>
  <si>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</si>
  <si>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</si>
  <si>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</si>
  <si>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</si>
  <si>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</si>
  <si>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</si>
  <si>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</si>
  <si>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</si>
  <si>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</si>
  <si>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</si>
  <si>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</si>
  <si>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</si>
  <si>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</si>
  <si>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</si>
  <si>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</si>
  <si>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</si>
  <si>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</si>
  <si>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</si>
  <si>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</si>
  <si>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</si>
  <si>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</si>
  <si>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</si>
  <si>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</si>
  <si>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</si>
  <si>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</si>
  <si>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</si>
  <si>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</si>
  <si>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</si>
  <si>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</si>
  <si>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</si>
  <si>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</si>
  <si>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</si>
  <si>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</si>
  <si>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</si>
  <si>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</si>
  <si>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</si>
  <si>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</si>
  <si>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</si>
  <si>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</si>
  <si>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</si>
  <si>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</si>
  <si>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</si>
  <si>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</si>
  <si>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</si>
  <si>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</si>
  <si>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</si>
  <si>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</si>
  <si>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</si>
  <si>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</si>
  <si>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</si>
  <si>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</si>
  <si>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</si>
  <si>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</si>
  <si>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</si>
  <si>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</si>
  <si>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</si>
  <si>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</si>
  <si>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</si>
  <si>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</si>
  <si>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</si>
  <si>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</si>
  <si>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</si>
  <si>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</si>
  <si>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</si>
  <si>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</si>
  <si>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</si>
  <si>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</si>
  <si>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</si>
  <si>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</si>
  <si>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</si>
  <si>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</si>
  <si>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</si>
  <si>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</si>
  <si>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</si>
  <si>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</si>
  <si>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</si>
  <si>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</si>
  <si>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</si>
  <si>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</si>
  <si>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</si>
  <si>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</si>
  <si>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</si>
  <si>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</si>
  <si>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</si>
  <si>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</si>
  <si>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</si>
  <si>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</si>
  <si>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</si>
  <si>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</si>
  <si>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</si>
  <si>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</si>
  <si>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</si>
  <si>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</si>
  <si>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</si>
  <si>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</si>
  <si>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</si>
  <si>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</si>
  <si>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</si>
  <si>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</si>
  <si>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</si>
  <si>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</si>
  <si>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</si>
  <si>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</si>
  <si>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</si>
  <si>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</si>
  <si>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</si>
  <si>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</si>
  <si>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</si>
  <si>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</si>
  <si>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</si>
  <si>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</si>
  <si>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</si>
  <si>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</si>
  <si>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</si>
  <si>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</si>
  <si>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</si>
  <si>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</si>
  <si>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</si>
  <si>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</si>
  <si>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</si>
  <si>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</si>
  <si>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</si>
  <si>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</si>
  <si>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</si>
  <si>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</si>
  <si>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</si>
  <si>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</si>
  <si>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</si>
  <si>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</si>
  <si>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</si>
  <si>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</si>
  <si>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</si>
  <si>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</si>
  <si>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</si>
  <si>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</si>
  <si>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</si>
  <si>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</si>
  <si>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</si>
  <si>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</si>
  <si>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</si>
  <si>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</si>
  <si>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</si>
  <si>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</si>
  <si>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</si>
  <si>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</si>
  <si>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</si>
  <si>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</si>
  <si>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</si>
  <si>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</si>
  <si>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</si>
  <si>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</si>
  <si>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</si>
  <si>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</si>
  <si>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</si>
  <si>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</si>
  <si>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</si>
  <si>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</si>
  <si>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</si>
  <si>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</si>
  <si>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</si>
  <si>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</si>
  <si>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</si>
  <si>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</si>
  <si>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</si>
  <si>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</si>
  <si>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</si>
  <si>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</si>
  <si>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</si>
  <si>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</si>
  <si>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</si>
  <si>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</si>
  <si>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</si>
  <si>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</si>
  <si>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</si>
  <si>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</si>
  <si>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</si>
  <si>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</si>
  <si>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</si>
  <si>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</si>
  <si>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</si>
  <si>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</si>
  <si>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</si>
  <si>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</si>
  <si>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</si>
  <si>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</si>
  <si>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</si>
  <si>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</si>
  <si>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</si>
  <si>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</si>
  <si>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</si>
  <si>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</si>
  <si>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</si>
  <si>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</si>
  <si>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</si>
  <si>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</si>
  <si>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</si>
  <si>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</si>
  <si>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</si>
  <si>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</si>
  <si>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</si>
  <si>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</si>
  <si>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</si>
  <si>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</si>
  <si>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</si>
  <si>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</si>
  <si>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</si>
  <si>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</si>
  <si>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</si>
  <si>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</si>
  <si>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</si>
  <si>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</si>
  <si>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</si>
  <si>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</si>
  <si>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</si>
  <si>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</si>
  <si>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</si>
  <si>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</si>
  <si>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</si>
  <si>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</si>
  <si>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</si>
  <si>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</si>
  <si>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</si>
  <si>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</si>
  <si>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</si>
  <si>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</si>
  <si>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</si>
  <si>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</si>
  <si>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</si>
  <si>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</si>
  <si>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</si>
  <si>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</si>
  <si>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</si>
  <si>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</si>
  <si>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</si>
  <si>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</si>
  <si>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</si>
  <si>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</si>
  <si>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</si>
  <si>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</si>
  <si>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</si>
  <si>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</si>
  <si>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</si>
  <si>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</si>
  <si>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</si>
  <si>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</si>
  <si>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</si>
  <si>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</si>
  <si>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</si>
  <si>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</si>
  <si>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</si>
  <si>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</si>
  <si>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</si>
  <si>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</si>
  <si>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</si>
  <si>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</si>
  <si>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</si>
  <si>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</si>
  <si>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</si>
  <si>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</si>
  <si>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</si>
  <si>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</si>
  <si>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</si>
  <si>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</si>
  <si>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</si>
  <si>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</si>
  <si>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</si>
  <si>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</si>
  <si>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</si>
  <si>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</si>
  <si>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</si>
  <si>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</si>
  <si>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</si>
  <si>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</si>
  <si>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</si>
  <si>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</si>
  <si>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</si>
  <si>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</si>
  <si>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</si>
  <si>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</si>
  <si>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</si>
  <si>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</si>
  <si>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</si>
  <si>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</si>
  <si>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</si>
  <si>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</si>
  <si>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</si>
  <si>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</si>
  <si>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</si>
  <si>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</si>
  <si>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</si>
  <si>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</si>
  <si>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</si>
  <si>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</si>
  <si>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</si>
  <si>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</si>
  <si>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</si>
  <si>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</si>
  <si>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</si>
  <si>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</si>
  <si>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</si>
  <si>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</si>
  <si>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</si>
  <si>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</si>
  <si>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</si>
  <si>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</si>
  <si>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</si>
  <si>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</si>
  <si>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</si>
  <si>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</si>
  <si>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</si>
  <si>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</si>
  <si>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</si>
  <si>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</si>
  <si>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</si>
  <si>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</si>
  <si>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</si>
  <si>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</si>
  <si>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</si>
  <si>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</si>
  <si>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</si>
  <si>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</si>
  <si>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</si>
  <si>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</si>
  <si>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</si>
  <si>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</si>
  <si>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</si>
  <si>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</si>
  <si>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</si>
  <si>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</si>
  <si>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</si>
  <si>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</si>
  <si>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</si>
  <si>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</si>
  <si>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</si>
  <si>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</si>
  <si>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</si>
  <si>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</si>
  <si>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</si>
  <si>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</si>
  <si>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</si>
  <si>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</si>
  <si>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</si>
  <si>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</si>
  <si>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</si>
  <si>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</si>
  <si>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</si>
  <si>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</si>
  <si>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</si>
  <si>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</si>
  <si>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</si>
  <si>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</si>
  <si>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</si>
  <si>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</si>
  <si>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</si>
  <si>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</si>
  <si>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</si>
  <si>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</si>
  <si>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</si>
  <si>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</si>
  <si>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</si>
  <si>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</si>
  <si>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</si>
  <si>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</si>
  <si>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</si>
  <si>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</si>
  <si>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</si>
  <si>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</si>
  <si>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</si>
  <si>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</si>
  <si>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</si>
  <si>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</si>
  <si>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</si>
  <si>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</si>
  <si>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</si>
  <si>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</si>
  <si>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</si>
  <si>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</si>
  <si>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</si>
  <si>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</si>
  <si>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</si>
  <si>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</si>
  <si>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</si>
  <si>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</si>
  <si>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</si>
  <si>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</si>
  <si>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</si>
  <si>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</si>
  <si>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</si>
  <si>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</si>
  <si>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</si>
  <si>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</si>
  <si>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</si>
  <si>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</si>
  <si>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</si>
  <si>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</si>
  <si>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</si>
  <si>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</si>
  <si>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</si>
  <si>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</si>
  <si>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</si>
  <si>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</si>
  <si>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</si>
  <si>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</si>
  <si>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</si>
  <si>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</si>
  <si>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</si>
  <si>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</si>
  <si>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</si>
  <si>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</si>
  <si>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</si>
  <si>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</si>
  <si>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</si>
  <si>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</si>
  <si>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</si>
  <si>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</si>
  <si>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</si>
  <si>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</si>
  <si>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</si>
  <si>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</si>
  <si>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</si>
  <si>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</si>
  <si>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</si>
  <si>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</si>
  <si>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</si>
  <si>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</si>
  <si>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</si>
  <si>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</si>
  <si>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</si>
  <si>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</si>
  <si>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</si>
  <si>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</si>
  <si>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</si>
  <si>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</si>
  <si>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</si>
  <si>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</si>
  <si>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</si>
  <si>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</si>
  <si>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</si>
  <si>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</si>
  <si>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</si>
  <si>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</si>
  <si>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</si>
  <si>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</si>
  <si>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</si>
  <si>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</si>
  <si>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</si>
  <si>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</si>
  <si>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</si>
  <si>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</si>
  <si>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</si>
  <si>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</si>
  <si>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</si>
  <si>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</si>
  <si>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</si>
  <si>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</si>
  <si>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</si>
  <si>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</si>
  <si>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</si>
  <si>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</si>
  <si>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</si>
  <si>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</si>
  <si>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</si>
  <si>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</si>
  <si>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</si>
  <si>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</si>
  <si>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</si>
  <si>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</si>
  <si>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</si>
  <si>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</si>
  <si>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</si>
  <si>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</si>
  <si>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</si>
  <si>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</si>
  <si>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</si>
  <si>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</si>
  <si>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</si>
  <si>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</si>
  <si>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</si>
  <si>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</si>
  <si>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</si>
  <si>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</si>
  <si>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</si>
  <si>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</si>
  <si>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</si>
  <si>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</si>
  <si>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</si>
  <si>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</si>
  <si>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</si>
  <si>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</si>
  <si>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</si>
  <si>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</si>
  <si>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</si>
  <si>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</si>
  <si>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</si>
  <si>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</si>
  <si>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</si>
  <si>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</si>
  <si>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</si>
  <si>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</si>
  <si>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</si>
  <si>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</si>
  <si>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</si>
  <si>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</si>
  <si>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</si>
  <si>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</si>
  <si>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</si>
  <si>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</si>
  <si>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</si>
  <si>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</si>
  <si>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</si>
  <si>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</si>
  <si>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</si>
  <si>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</si>
  <si>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</si>
  <si>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</si>
  <si>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</si>
  <si>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</si>
  <si>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</si>
  <si>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</si>
  <si>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</si>
  <si>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</si>
  <si>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</si>
  <si>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</si>
  <si>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</si>
  <si>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</si>
  <si>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</si>
  <si>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</si>
  <si>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</si>
  <si>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</si>
  <si>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</si>
  <si>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</si>
  <si>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</si>
  <si>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</si>
  <si>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</si>
  <si>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</si>
  <si>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</si>
  <si>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</si>
  <si>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</si>
  <si>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</si>
  <si>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</si>
  <si>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</si>
  <si>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</si>
  <si>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</si>
  <si>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</si>
  <si>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</si>
  <si>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</si>
  <si>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</si>
  <si>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</si>
  <si>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</si>
  <si>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</si>
  <si>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</si>
  <si>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</si>
  <si>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</si>
  <si>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</si>
  <si>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</si>
  <si>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</si>
  <si>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</si>
  <si>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</si>
  <si>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</si>
  <si>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</si>
  <si>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</si>
  <si>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</si>
  <si>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</si>
  <si>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</si>
  <si>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</si>
  <si>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</si>
  <si>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</si>
  <si>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</si>
  <si>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</si>
  <si>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</si>
  <si>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</si>
  <si>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</si>
  <si>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</si>
  <si>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</si>
  <si>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</si>
  <si>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</si>
  <si>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</si>
  <si>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</si>
  <si>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</si>
  <si>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</si>
  <si>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</si>
  <si>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</si>
  <si>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</si>
  <si>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</si>
  <si>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</si>
  <si>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</si>
  <si>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</si>
  <si>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</si>
  <si>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</si>
  <si>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</si>
  <si>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</si>
  <si>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</si>
  <si>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</si>
  <si>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</si>
  <si>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</si>
  <si>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</si>
  <si>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</si>
  <si>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</si>
  <si>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</si>
  <si>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</si>
  <si>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</si>
  <si>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</si>
  <si>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</si>
  <si>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</si>
  <si>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</si>
  <si>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</si>
  <si>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</si>
  <si>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</si>
  <si>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</si>
  <si>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</si>
  <si>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</si>
  <si>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</si>
  <si>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</si>
  <si>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</si>
  <si>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</si>
  <si>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</si>
  <si>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</si>
  <si>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</si>
  <si>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</si>
  <si>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</si>
  <si>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</si>
  <si>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</si>
  <si>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</si>
  <si>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</si>
  <si>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</si>
  <si>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</si>
  <si>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</si>
  <si>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</si>
  <si>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</si>
  <si>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</si>
  <si>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</si>
  <si>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</si>
  <si>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</si>
  <si>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</si>
  <si>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</si>
  <si>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</si>
  <si>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</si>
  <si>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</si>
  <si>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</si>
  <si>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</si>
  <si>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</si>
  <si>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</si>
  <si>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</si>
  <si>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</si>
  <si>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</si>
  <si>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</si>
  <si>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</si>
  <si>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</si>
  <si>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</si>
  <si>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</si>
  <si>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</si>
  <si>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</si>
  <si>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</si>
  <si>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</si>
  <si>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</si>
  <si>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</si>
  <si>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</si>
  <si>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</si>
  <si>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</si>
  <si>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</si>
  <si>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</si>
  <si>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</si>
  <si>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</si>
  <si>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</si>
  <si>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</si>
  <si>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</si>
  <si>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</si>
  <si>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</si>
  <si>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</si>
  <si>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</si>
  <si>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</si>
  <si>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</si>
  <si>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</si>
  <si>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</si>
  <si>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</si>
  <si>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</si>
  <si>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</si>
  <si>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</si>
  <si>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</si>
  <si>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</si>
  <si>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</si>
  <si>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</si>
  <si>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</si>
  <si>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</si>
  <si>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</si>
  <si>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</si>
  <si>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</si>
  <si>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</si>
  <si>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</si>
  <si>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</si>
  <si>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</si>
  <si>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</si>
  <si>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</si>
  <si>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</si>
  <si>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</si>
  <si>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</si>
  <si>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</si>
  <si>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</si>
  <si>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</si>
  <si>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</si>
  <si>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</si>
  <si>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</si>
  <si>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</si>
  <si>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</si>
  <si>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</si>
  <si>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</si>
  <si>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</si>
  <si>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</si>
  <si>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</si>
  <si>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</si>
  <si>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</si>
  <si>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</si>
  <si>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</si>
  <si>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</si>
  <si>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</si>
  <si>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</si>
  <si>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</si>
  <si>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</si>
  <si>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</si>
  <si>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</si>
  <si>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</si>
  <si>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</si>
  <si>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</si>
  <si>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</si>
  <si>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</si>
  <si>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</si>
  <si>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</si>
  <si>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</si>
  <si>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</si>
  <si>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</si>
  <si>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</si>
  <si>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</si>
  <si>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</si>
  <si>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</si>
  <si>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</si>
  <si>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</si>
  <si>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</si>
  <si>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</si>
  <si>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</si>
  <si>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</si>
  <si>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</si>
  <si>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</si>
  <si>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</si>
  <si>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</si>
  <si>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</si>
  <si>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</si>
  <si>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</si>
  <si>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</si>
  <si>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</si>
  <si>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</si>
  <si>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</si>
  <si>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</si>
  <si>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</si>
  <si>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</si>
  <si>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</si>
  <si>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</si>
  <si>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</si>
  <si>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</si>
  <si>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</si>
  <si>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</si>
  <si>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</si>
  <si>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</si>
  <si>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</si>
  <si>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</si>
  <si>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</si>
  <si>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</si>
  <si>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</si>
  <si>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</si>
  <si>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</si>
  <si>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</si>
  <si>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</si>
  <si>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</si>
  <si>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</si>
  <si>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</si>
  <si>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</si>
  <si>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</si>
  <si>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</si>
  <si>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</si>
  <si>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</si>
  <si>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</si>
  <si>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</si>
  <si>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</si>
  <si>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</si>
  <si>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</si>
  <si>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</si>
  <si>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</si>
  <si>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</si>
  <si>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</si>
  <si>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</si>
  <si>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</si>
  <si>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</si>
  <si>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</si>
  <si>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</si>
  <si>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</si>
  <si>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</si>
  <si>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</si>
  <si>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</si>
  <si>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</si>
  <si>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</si>
  <si>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</si>
  <si>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</si>
  <si>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</si>
  <si>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</si>
  <si>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</si>
  <si>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</si>
  <si>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</si>
  <si>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</si>
  <si>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</si>
  <si>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</si>
  <si>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</si>
  <si>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</si>
  <si>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</si>
  <si>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</si>
  <si>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</si>
  <si>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</si>
  <si>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</si>
  <si>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</si>
  <si>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</si>
  <si>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</si>
  <si>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</si>
  <si>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</si>
  <si>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</si>
  <si>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</si>
  <si>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</si>
  <si>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</si>
  <si>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</si>
  <si>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</si>
  <si>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</si>
  <si>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</si>
  <si>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</si>
  <si>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</si>
  <si>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</si>
  <si>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</si>
  <si>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</si>
  <si>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</si>
  <si>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</si>
  <si>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</si>
  <si>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</si>
  <si>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</si>
  <si>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</si>
  <si>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</si>
  <si>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</si>
  <si>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</si>
  <si>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</si>
  <si>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</si>
  <si>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</si>
  <si>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</si>
  <si>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</si>
  <si>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</si>
  <si>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</si>
  <si>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</si>
  <si>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</si>
  <si>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</si>
  <si>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</si>
  <si>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</si>
  <si>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</si>
  <si>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</si>
  <si>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</si>
  <si>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</si>
  <si>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</si>
  <si>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</si>
  <si>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</si>
  <si>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</si>
  <si>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</si>
  <si>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</si>
  <si>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</si>
  <si>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</si>
  <si>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</si>
  <si>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</si>
  <si>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</si>
  <si>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</si>
  <si>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</si>
  <si>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</si>
  <si>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</si>
  <si>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</si>
  <si>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</si>
  <si>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</si>
  <si>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</si>
  <si>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</si>
  <si>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</si>
  <si>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</si>
  <si>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</si>
  <si>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</si>
  <si>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</si>
  <si>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</si>
  <si>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</si>
  <si>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</si>
  <si>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</si>
  <si>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</si>
  <si>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</si>
  <si>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</si>
  <si>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</si>
  <si>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</si>
  <si>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</si>
  <si>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</si>
  <si>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</si>
  <si>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</si>
  <si>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</si>
  <si>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</si>
  <si>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</si>
  <si>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</si>
  <si>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</si>
  <si>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</si>
  <si>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</si>
  <si>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</si>
  <si>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</si>
  <si>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</si>
  <si>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</si>
  <si>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</si>
  <si>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</si>
  <si>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</si>
  <si>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</si>
  <si>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</si>
  <si>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</si>
  <si>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</si>
  <si>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</si>
  <si>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</si>
  <si>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</si>
  <si>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</si>
  <si>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</si>
  <si>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</si>
  <si>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</si>
  <si>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</si>
  <si>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</si>
  <si>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</si>
  <si>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</si>
  <si>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</si>
  <si>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</si>
  <si>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</si>
  <si>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</si>
  <si>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</si>
  <si>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</si>
  <si>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</si>
  <si>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</si>
  <si>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</si>
  <si>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</si>
  <si>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</si>
  <si>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</si>
  <si>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</si>
  <si>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</si>
  <si>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</si>
  <si>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</si>
  <si>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</si>
  <si>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</si>
  <si>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</si>
  <si>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</si>
  <si>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</si>
  <si>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</si>
  <si>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</si>
  <si>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</si>
  <si>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</si>
  <si>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</si>
  <si>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</si>
  <si>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</si>
  <si>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</si>
  <si>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</si>
  <si>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</si>
  <si>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</si>
  <si>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</si>
  <si>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</si>
  <si>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</si>
  <si>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</si>
  <si>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</si>
  <si>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</si>
  <si>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</si>
  <si>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</si>
  <si>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</si>
  <si>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</si>
  <si>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</si>
  <si>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</si>
  <si>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</si>
  <si>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</si>
  <si>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</si>
  <si>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</si>
  <si>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</si>
  <si>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</si>
  <si>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</si>
  <si>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</si>
  <si>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</si>
  <si>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</si>
  <si>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</si>
  <si>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</si>
  <si>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</si>
  <si>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</si>
  <si>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</si>
  <si>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</si>
  <si>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</si>
  <si>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</si>
  <si>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</si>
  <si>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</si>
  <si>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</si>
  <si>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</si>
  <si>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</si>
  <si>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</si>
  <si>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</si>
  <si>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</si>
  <si>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</si>
  <si>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</si>
  <si>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</si>
  <si>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</si>
  <si>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</si>
  <si>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</si>
  <si>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</si>
  <si>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</si>
  <si>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</si>
  <si>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</si>
  <si>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</si>
  <si>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</si>
  <si>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</si>
  <si>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</si>
  <si>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</si>
  <si>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</si>
  <si>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</si>
  <si>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</si>
  <si>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</si>
  <si>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</si>
  <si>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</si>
  <si>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</si>
  <si>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</si>
  <si>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</si>
  <si>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</si>
  <si>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</si>
  <si>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</si>
  <si>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</si>
  <si>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</si>
  <si>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</si>
  <si>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</si>
  <si>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</si>
  <si>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</si>
  <si>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</si>
  <si>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</si>
  <si>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</si>
  <si>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</si>
  <si>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</si>
  <si>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</si>
  <si>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</si>
  <si>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</si>
  <si>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</si>
  <si>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</si>
  <si>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</si>
  <si>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</si>
  <si>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</si>
  <si>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</si>
  <si>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</si>
  <si>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</si>
  <si>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</si>
  <si>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</si>
  <si>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</si>
  <si>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</si>
  <si>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</si>
  <si>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</si>
  <si>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</si>
  <si>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</si>
  <si>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</si>
  <si>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</si>
  <si>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</si>
  <si>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</si>
  <si>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</si>
  <si>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</si>
  <si>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</si>
  <si>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</si>
  <si>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</si>
  <si>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</si>
  <si>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</si>
  <si>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</si>
  <si>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</si>
  <si>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</si>
  <si>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</si>
  <si>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</si>
  <si>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</si>
  <si>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</si>
  <si>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</si>
  <si>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</si>
  <si>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</si>
  <si>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</si>
  <si>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</si>
  <si>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</si>
  <si>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</si>
  <si>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</si>
  <si>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</si>
  <si>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</si>
  <si>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</si>
  <si>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</si>
  <si>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</si>
  <si>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</si>
  <si>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</si>
  <si>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</si>
  <si>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</si>
  <si>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</si>
  <si>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</si>
  <si>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</si>
  <si>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</si>
  <si>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</si>
  <si>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</si>
  <si>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</si>
  <si>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</si>
  <si>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</si>
  <si>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</si>
  <si>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</si>
  <si>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</si>
  <si>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</si>
  <si>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</si>
  <si>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</si>
  <si>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</si>
  <si>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</si>
  <si>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</si>
  <si>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</si>
  <si>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</si>
  <si>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</si>
  <si>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</si>
  <si>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</si>
  <si>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</si>
  <si>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</si>
  <si>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</si>
  <si>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</si>
  <si>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</si>
  <si>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</si>
  <si>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</si>
  <si>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</si>
  <si>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</si>
  <si>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</si>
  <si>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</si>
  <si>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</si>
  <si>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</si>
  <si>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</si>
  <si>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</si>
  <si>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</si>
  <si>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</si>
  <si>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</si>
  <si>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</si>
  <si>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</si>
  <si>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</si>
  <si>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</si>
  <si>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</si>
  <si>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</si>
  <si>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</si>
  <si>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</si>
  <si>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</si>
  <si>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</si>
  <si>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</si>
  <si>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</si>
  <si>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</si>
  <si>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</si>
  <si>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</si>
  <si>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</si>
  <si>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</si>
  <si>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</si>
  <si>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</si>
  <si>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</si>
  <si>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</si>
  <si>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</si>
  <si>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</si>
  <si>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</si>
  <si>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</si>
  <si>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</si>
  <si>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</si>
  <si>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</si>
  <si>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</si>
  <si>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</si>
  <si>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</si>
  <si>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</si>
  <si>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</si>
  <si>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</si>
  <si>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</si>
  <si>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</si>
  <si>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</si>
  <si>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</si>
  <si>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</si>
  <si>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</si>
  <si>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</si>
  <si>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</si>
  <si>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</si>
  <si>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</si>
  <si>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</si>
  <si>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</si>
  <si>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</si>
  <si>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</si>
  <si>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</si>
  <si>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</si>
  <si>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</si>
  <si>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</si>
  <si>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</si>
  <si>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</si>
  <si>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</si>
  <si>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</si>
  <si>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</si>
  <si>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</si>
  <si>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</si>
  <si>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</si>
  <si>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</si>
  <si>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</si>
  <si>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</si>
  <si>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</si>
  <si>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</si>
  <si>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</si>
  <si>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</si>
  <si>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</si>
  <si>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</si>
  <si>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</si>
  <si>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</si>
  <si>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</si>
  <si>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</si>
  <si>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</si>
  <si>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</si>
  <si>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</si>
  <si>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</si>
  <si>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</si>
  <si>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</si>
  <si>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</si>
  <si>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</si>
  <si>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</si>
  <si>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</si>
  <si>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</si>
  <si>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</si>
  <si>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</si>
  <si>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</si>
  <si>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</si>
  <si>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</si>
  <si>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</si>
  <si>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</si>
  <si>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</si>
  <si>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</si>
  <si>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</si>
  <si>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</si>
  <si>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</si>
  <si>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</si>
  <si>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</si>
  <si>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</si>
  <si>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</si>
  <si>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</si>
  <si>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</si>
  <si>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</si>
  <si>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</si>
  <si>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</si>
  <si>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</si>
  <si>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</si>
  <si>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</si>
  <si>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</si>
  <si>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</si>
  <si>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</si>
  <si>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</si>
  <si>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</si>
  <si>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</si>
  <si>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</si>
  <si>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</si>
  <si>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</si>
  <si>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</si>
  <si>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</si>
  <si>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</si>
  <si>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</si>
  <si>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</si>
  <si>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</si>
  <si>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</si>
  <si>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</si>
  <si>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</si>
  <si>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</si>
  <si>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</si>
  <si>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</si>
  <si>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</si>
  <si>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</si>
  <si>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</si>
  <si>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</si>
  <si>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</si>
  <si>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</si>
  <si>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</si>
  <si>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</si>
  <si>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</si>
  <si>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</si>
  <si>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</si>
  <si>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</si>
  <si>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</si>
  <si>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</si>
  <si>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</si>
  <si>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</si>
  <si>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</si>
  <si>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</si>
  <si>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</si>
  <si>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</si>
  <si>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</si>
  <si>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</si>
  <si>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</si>
  <si>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</si>
  <si>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</si>
  <si>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</si>
  <si>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</si>
  <si>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</si>
  <si>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</si>
  <si>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</si>
  <si>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884</t>
  </si>
  <si>
    <t>2:43.49</t>
  </si>
  <si>
    <t>1:24.74</t>
  </si>
  <si>
    <t>2:55.36</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</si>
  <si>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</si>
  <si>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</si>
  <si>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</si>
  <si>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</si>
  <si>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</si>
  <si>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</si>
  <si>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</si>
  <si>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</si>
  <si>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</si>
  <si>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</si>
  <si>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</si>
  <si>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</si>
  <si>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</si>
  <si>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</si>
  <si>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</si>
  <si>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</si>
  <si>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</si>
  <si>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</si>
  <si>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</si>
  <si>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</si>
  <si>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</si>
  <si>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</si>
  <si>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</si>
  <si>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</si>
  <si>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</si>
  <si>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</si>
  <si>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</si>
  <si>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</si>
  <si>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</si>
  <si>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</si>
  <si>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</si>
  <si>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</si>
  <si>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</si>
  <si>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</si>
  <si>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</si>
  <si>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</si>
  <si>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</si>
  <si>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</si>
  <si>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</si>
  <si>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</si>
  <si>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</si>
  <si>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</si>
  <si>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</si>
  <si>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</si>
  <si>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</si>
  <si>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</si>
  <si>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</si>
  <si>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</si>
  <si>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</si>
  <si>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</si>
  <si>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</si>
  <si>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</si>
  <si>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</si>
  <si>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</si>
  <si>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</si>
  <si>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</si>
  <si>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</si>
  <si>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</si>
  <si>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</si>
  <si>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</si>
  <si>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</si>
  <si>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</si>
  <si>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</si>
  <si>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</si>
  <si>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</si>
  <si>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</si>
  <si>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</si>
  <si>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</si>
  <si>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</si>
  <si>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</si>
  <si>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</si>
  <si>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</si>
  <si>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</si>
  <si>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</si>
  <si>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</si>
  <si>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</si>
  <si>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</si>
  <si>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</si>
  <si>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</si>
  <si>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</si>
  <si>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</si>
  <si>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</si>
  <si>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</si>
  <si>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</si>
  <si>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</si>
  <si>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</si>
  <si>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</si>
  <si>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</si>
  <si>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</si>
  <si>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</si>
  <si>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</si>
  <si>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</si>
  <si>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</si>
  <si>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</si>
  <si>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</si>
  <si>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</si>
  <si>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</si>
  <si>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</si>
  <si>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</si>
  <si>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</si>
  <si>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</si>
  <si>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</si>
  <si>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</si>
  <si>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</si>
  <si>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</si>
  <si>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</si>
  <si>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</si>
  <si>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</si>
  <si>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</si>
  <si>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</si>
  <si>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</si>
  <si>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</si>
  <si>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</si>
  <si>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</si>
  <si>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</si>
  <si>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</si>
  <si>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</si>
  <si>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</si>
  <si>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</si>
  <si>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</si>
  <si>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</si>
  <si>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</si>
  <si>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</si>
  <si>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</si>
  <si>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</si>
  <si>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</si>
  <si>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</si>
  <si>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</si>
  <si>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</si>
  <si>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</si>
  <si>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</si>
  <si>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</si>
  <si>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</si>
  <si>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</si>
  <si>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</si>
  <si>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</si>
  <si>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</si>
  <si>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</si>
  <si>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</si>
  <si>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</si>
  <si>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</si>
  <si>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</si>
  <si>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</si>
  <si>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</si>
  <si>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</si>
  <si>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</si>
  <si>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</si>
  <si>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</si>
  <si>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</si>
  <si>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</si>
  <si>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</si>
  <si>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</si>
  <si>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</si>
  <si>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</si>
  <si>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</si>
  <si>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</si>
  <si>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</si>
  <si>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</si>
  <si>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</si>
  <si>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</si>
  <si>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</si>
  <si>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</si>
  <si>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</si>
  <si>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</si>
  <si>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</si>
  <si>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</si>
  <si>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</si>
  <si>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</si>
  <si>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</si>
  <si>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</si>
  <si>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</si>
  <si>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</si>
  <si>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</si>
  <si>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</si>
  <si>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</si>
  <si>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</si>
  <si>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</si>
  <si>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</si>
  <si>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</si>
  <si>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</si>
  <si>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</si>
  <si>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</si>
  <si>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</si>
  <si>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</si>
  <si>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</si>
  <si>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</si>
  <si>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</si>
  <si>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</si>
  <si>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</si>
  <si>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</si>
  <si>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</si>
  <si>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</si>
  <si>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</si>
  <si>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</si>
  <si>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</si>
  <si>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</si>
  <si>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</si>
  <si>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</si>
  <si>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</si>
  <si>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</si>
  <si>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</si>
  <si>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</si>
  <si>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</si>
  <si>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</si>
  <si>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</si>
  <si>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</si>
  <si>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</si>
  <si>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</si>
  <si>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</si>
  <si>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</si>
  <si>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</si>
  <si>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</si>
  <si>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</si>
  <si>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</si>
  <si>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</si>
  <si>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</si>
  <si>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</si>
  <si>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</si>
  <si>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</si>
  <si>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</si>
  <si>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</si>
  <si>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</si>
  <si>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</si>
  <si>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</si>
  <si>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</si>
  <si>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549</t>
  </si>
  <si>
    <t>1:22.89</t>
  </si>
  <si>
    <t>3:10.08</t>
  </si>
  <si>
    <t>1:13.14</t>
  </si>
  <si>
    <t>1:14.20</t>
  </si>
  <si>
    <t>41.80</t>
  </si>
  <si>
    <t>3:06.79</t>
  </si>
  <si>
    <t>1:53.14</t>
  </si>
  <si>
    <t>1:36.21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</si>
  <si>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</si>
  <si>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</si>
  <si>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</si>
  <si>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</si>
  <si>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</si>
  <si>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</si>
  <si>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</si>
  <si>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</si>
  <si>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</si>
  <si>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</si>
  <si>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</si>
  <si>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</si>
  <si>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</si>
  <si>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</si>
  <si>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</si>
  <si>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</si>
  <si>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</si>
  <si>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</si>
  <si>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</si>
  <si>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</si>
  <si>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</si>
  <si>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</si>
  <si>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</si>
  <si>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</si>
  <si>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</si>
  <si>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</si>
  <si>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</si>
  <si>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</si>
  <si>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</si>
  <si>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</si>
  <si>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</si>
  <si>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</si>
  <si>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</si>
  <si>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</si>
  <si>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</si>
  <si>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</si>
  <si>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</si>
  <si>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</si>
  <si>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</si>
  <si>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</si>
  <si>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</si>
  <si>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</si>
  <si>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</si>
  <si>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</si>
  <si>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</si>
  <si>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</si>
  <si>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</si>
  <si>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</si>
  <si>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</si>
  <si>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</si>
  <si>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</si>
  <si>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</si>
  <si>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</si>
  <si>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</si>
  <si>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</si>
  <si>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</si>
  <si>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</si>
  <si>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</si>
  <si>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</si>
  <si>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</si>
  <si>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</si>
  <si>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</si>
  <si>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</si>
  <si>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</si>
  <si>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</si>
  <si>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</si>
  <si>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</si>
  <si>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</si>
  <si>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</si>
  <si>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</si>
  <si>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</si>
  <si>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</si>
  <si>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</si>
  <si>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</si>
  <si>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</si>
  <si>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</si>
  <si>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</si>
  <si>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</si>
  <si>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</si>
  <si>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</si>
  <si>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</si>
  <si>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</si>
  <si>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</si>
  <si>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</si>
  <si>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</si>
  <si>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</si>
  <si>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</si>
  <si>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</si>
  <si>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</si>
  <si>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</si>
  <si>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</si>
  <si>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</si>
  <si>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</si>
  <si>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</si>
  <si>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</si>
  <si>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</si>
  <si>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</si>
  <si>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</si>
  <si>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</si>
  <si>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</si>
  <si>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</si>
  <si>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</si>
  <si>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</si>
  <si>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</si>
  <si>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</si>
  <si>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</si>
  <si>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</si>
  <si>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</si>
  <si>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</si>
  <si>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</si>
  <si>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</si>
  <si>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</si>
  <si>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</si>
  <si>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</si>
  <si>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</si>
  <si>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</si>
  <si>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</si>
  <si>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</si>
  <si>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</si>
  <si>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</si>
  <si>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</si>
  <si>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</si>
  <si>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</si>
  <si>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</si>
  <si>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</si>
  <si>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</si>
  <si>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</si>
  <si>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</si>
  <si>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</si>
  <si>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</si>
  <si>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</si>
  <si>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</si>
  <si>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</si>
  <si>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</si>
  <si>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</si>
  <si>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</si>
  <si>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</si>
  <si>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</si>
  <si>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</si>
  <si>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</si>
  <si>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</si>
  <si>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</si>
  <si>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</si>
  <si>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</si>
  <si>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</si>
  <si>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</si>
  <si>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</si>
  <si>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</si>
  <si>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</si>
  <si>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</si>
  <si>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</si>
  <si>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</si>
  <si>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</si>
  <si>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</si>
  <si>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</si>
  <si>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</si>
  <si>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</si>
  <si>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</si>
  <si>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</si>
  <si>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</si>
  <si>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</si>
  <si>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</si>
  <si>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</si>
  <si>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</si>
  <si>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</si>
  <si>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</si>
  <si>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</si>
  <si>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</si>
  <si>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</si>
  <si>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</si>
  <si>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</si>
  <si>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</si>
  <si>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</si>
  <si>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</si>
  <si>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</si>
  <si>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</si>
  <si>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</si>
  <si>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</si>
  <si>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</si>
  <si>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</si>
  <si>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</si>
  <si>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</si>
  <si>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</si>
  <si>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</si>
  <si>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</si>
  <si>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</si>
  <si>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</si>
  <si>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</si>
  <si>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</si>
  <si>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</si>
  <si>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</si>
  <si>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</si>
  <si>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</si>
  <si>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</si>
  <si>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</si>
  <si>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</si>
  <si>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</si>
  <si>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</si>
  <si>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</si>
  <si>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</si>
  <si>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</si>
  <si>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</si>
  <si>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</si>
  <si>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</si>
  <si>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</si>
  <si>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</si>
  <si>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</si>
  <si>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</si>
  <si>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</si>
  <si>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</si>
  <si>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</si>
  <si>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</si>
  <si>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</si>
  <si>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</si>
  <si>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</si>
  <si>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</si>
  <si>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</si>
  <si>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</si>
  <si>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</si>
  <si>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</si>
  <si>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</si>
  <si>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</si>
  <si>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</si>
  <si>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</si>
  <si>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</si>
  <si>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</si>
  <si>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</si>
  <si>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</si>
  <si>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</si>
  <si>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</si>
  <si>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</si>
  <si>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</si>
  <si>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</si>
  <si>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</si>
  <si>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</si>
  <si>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</si>
  <si>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</si>
  <si>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</si>
  <si>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</si>
  <si>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</si>
  <si>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</si>
  <si>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</si>
  <si>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</si>
  <si>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</si>
  <si>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</si>
  <si>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</si>
  <si>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</si>
  <si>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</si>
  <si>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</si>
  <si>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</si>
  <si>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</si>
  <si>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</si>
  <si>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216</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</si>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</sst>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V-x_jgSeh0M" TargetMode="External"/><Relationship Id="rId3738" Type="http://schemas.openxmlformats.org/officeDocument/2006/relationships/hyperlink" Target="https://youtu.be/pTOrGSUJHWI" TargetMode="External"/><Relationship Id="rId2409" Type="http://schemas.openxmlformats.org/officeDocument/2006/relationships/hyperlink" Target="https://youtu.be/06D7QFhkGHU"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eCJBXmoNawE"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youtu.be/k776xWFq-Z4"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videos/2126277596"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3VT120o91Mg"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EuPHAugnvU"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lURSmO_AyEw"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streamable.com/fsx42y"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ece2zm" TargetMode="External"/><Relationship Id="rId2605" Type="http://schemas.openxmlformats.org/officeDocument/2006/relationships/hyperlink" Target="https://youtu.be/wjtk5aQl9rA"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3tyzNFoalX8"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IZtnv1QUIi0"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htKV7SAmVTg"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BwT0G0Js7bA" TargetMode="External"/><Relationship Id="rId3955" Type="http://schemas.openxmlformats.org/officeDocument/2006/relationships/hyperlink" Target="https://youtu.be/3irK5q5_xDA" TargetMode="External"/><Relationship Id="rId2624" Type="http://schemas.openxmlformats.org/officeDocument/2006/relationships/hyperlink" Target="https://youtu.be/pawyESzE27Q" TargetMode="External"/><Relationship Id="rId3954" Type="http://schemas.openxmlformats.org/officeDocument/2006/relationships/hyperlink" Target="https://youtu.be/-qhwA36z0Tg" TargetMode="External"/><Relationship Id="rId2625" Type="http://schemas.openxmlformats.org/officeDocument/2006/relationships/hyperlink" Target="https://youtu.be/evt6rjp33-s" TargetMode="External"/><Relationship Id="rId3957" Type="http://schemas.openxmlformats.org/officeDocument/2006/relationships/hyperlink" Target="https://youtu.be/pWR1aBoKX_k" TargetMode="External"/><Relationship Id="rId2626" Type="http://schemas.openxmlformats.org/officeDocument/2006/relationships/hyperlink" Target="https://youtu.be/iuuLyEqTcAk" TargetMode="External"/><Relationship Id="rId3956" Type="http://schemas.openxmlformats.org/officeDocument/2006/relationships/hyperlink" Target="https://youtu.be/SJLwy4WdsQw" TargetMode="External"/><Relationship Id="rId2627" Type="http://schemas.openxmlformats.org/officeDocument/2006/relationships/hyperlink" Target="https://youtu.be/mFUfW8oMw4Q" TargetMode="External"/><Relationship Id="rId3959" Type="http://schemas.openxmlformats.org/officeDocument/2006/relationships/hyperlink" Target="https://youtu.be/-fI8sHQdy14" TargetMode="External"/><Relationship Id="rId2628" Type="http://schemas.openxmlformats.org/officeDocument/2006/relationships/hyperlink" Target="https://youtu.be/poD_AfiGwrg"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youtu.be/ebTMHKAw-uM" TargetMode="External"/><Relationship Id="rId2615" Type="http://schemas.openxmlformats.org/officeDocument/2006/relationships/hyperlink" Target="https://youtu.be/Q4m0sL4iBh0" TargetMode="External"/><Relationship Id="rId3945" Type="http://schemas.openxmlformats.org/officeDocument/2006/relationships/hyperlink" Target="https://youtu.be/H2EFLjh19V8"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ohMgslKKLzg"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bSNMjwz7kZ8"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nZpw5LrXRWs" TargetMode="External"/><Relationship Id="rId391" Type="http://schemas.openxmlformats.org/officeDocument/2006/relationships/hyperlink" Target="https://youtu.be/DpVAYIVNZ-A" TargetMode="External"/><Relationship Id="rId390" Type="http://schemas.openxmlformats.org/officeDocument/2006/relationships/hyperlink" Target="https://youtu.be/1WUqOV964Bc" TargetMode="External"/><Relationship Id="rId385" Type="http://schemas.openxmlformats.org/officeDocument/2006/relationships/hyperlink" Target="https://youtu.be/dA5ME2yiDaQ" TargetMode="External"/><Relationship Id="rId384" Type="http://schemas.openxmlformats.org/officeDocument/2006/relationships/hyperlink" Target="https://youtu.be/Rxp26i7COLE" TargetMode="External"/><Relationship Id="rId383" Type="http://schemas.openxmlformats.org/officeDocument/2006/relationships/hyperlink" Target="https://www.twitch.tv/videos/1086897061" TargetMode="External"/><Relationship Id="rId382" Type="http://schemas.openxmlformats.org/officeDocument/2006/relationships/hyperlink" Target="https://youtu.be/ErpGWKRxyno" TargetMode="External"/><Relationship Id="rId389" Type="http://schemas.openxmlformats.org/officeDocument/2006/relationships/hyperlink" Target="https://youtu.be/yPvt3CA817g" TargetMode="External"/><Relationship Id="rId388" Type="http://schemas.openxmlformats.org/officeDocument/2006/relationships/hyperlink" Target="https://youtu.be/4mjUgVa1H8A" TargetMode="External"/><Relationship Id="rId387" Type="http://schemas.openxmlformats.org/officeDocument/2006/relationships/hyperlink" Target="https://youtu.be/3_MCoy2VNN0" TargetMode="External"/><Relationship Id="rId386" Type="http://schemas.openxmlformats.org/officeDocument/2006/relationships/hyperlink" Target="https://youtu.be/KKhzz8jl2eo" TargetMode="External"/><Relationship Id="rId381" Type="http://schemas.openxmlformats.org/officeDocument/2006/relationships/hyperlink" Target="https://www.twitch.tv/videos/1148939636" TargetMode="External"/><Relationship Id="rId380" Type="http://schemas.openxmlformats.org/officeDocument/2006/relationships/hyperlink" Target="https://www.twitch.tv/videos/1148929754" TargetMode="External"/><Relationship Id="rId379" Type="http://schemas.openxmlformats.org/officeDocument/2006/relationships/hyperlink" Target="https://youtu.be/qO8cM21al0Y" TargetMode="External"/><Relationship Id="rId374" Type="http://schemas.openxmlformats.org/officeDocument/2006/relationships/hyperlink" Target="https://youtu.be/e5CSFEP76og" TargetMode="External"/><Relationship Id="rId373" Type="http://schemas.openxmlformats.org/officeDocument/2006/relationships/hyperlink" Target="https://www.twitch.tv/videos/1088163189" TargetMode="External"/><Relationship Id="rId372" Type="http://schemas.openxmlformats.org/officeDocument/2006/relationships/hyperlink" Target="https://www.youtube.com/watch?v=Jf8EA_GPhvM" TargetMode="External"/><Relationship Id="rId371" Type="http://schemas.openxmlformats.org/officeDocument/2006/relationships/hyperlink" Target="https://youtu.be/HASLBJhf4Lw" TargetMode="External"/><Relationship Id="rId378" Type="http://schemas.openxmlformats.org/officeDocument/2006/relationships/hyperlink" Target="https://www.twitch.tv/videos/1148803940" TargetMode="External"/><Relationship Id="rId377" Type="http://schemas.openxmlformats.org/officeDocument/2006/relationships/hyperlink" Target="https://www.twitch.tv/videos/1086904127" TargetMode="External"/><Relationship Id="rId376" Type="http://schemas.openxmlformats.org/officeDocument/2006/relationships/hyperlink" Target="https://youtu.be/9l6hnPszMn0" TargetMode="External"/><Relationship Id="rId375" Type="http://schemas.openxmlformats.org/officeDocument/2006/relationships/hyperlink" Target="https://youtu.be/aWsieX6BNKc" TargetMode="External"/><Relationship Id="rId396" Type="http://schemas.openxmlformats.org/officeDocument/2006/relationships/hyperlink" Target="https://www.youtube.com/watch?v=OyVW73URuGY&amp;ab_channel=Corginess" TargetMode="External"/><Relationship Id="rId395" Type="http://schemas.openxmlformats.org/officeDocument/2006/relationships/hyperlink" Target="https://www.youtube.com/watch?v=zyv51HqGwag&amp;ab_channel=Corginess" TargetMode="External"/><Relationship Id="rId394" Type="http://schemas.openxmlformats.org/officeDocument/2006/relationships/hyperlink" Target="https://www.twitch.tv/videos/681110651" TargetMode="External"/><Relationship Id="rId393" Type="http://schemas.openxmlformats.org/officeDocument/2006/relationships/hyperlink" Target="https://www.youtube.com/watch?v=z_mf_5IanZU" TargetMode="External"/><Relationship Id="rId399" Type="http://schemas.openxmlformats.org/officeDocument/2006/relationships/hyperlink" Target="https://youtu.be/glQvGT5hhv4" TargetMode="External"/><Relationship Id="rId398" Type="http://schemas.openxmlformats.org/officeDocument/2006/relationships/hyperlink" Target="https://youtu.be/ZQIpEltG4b8" TargetMode="External"/><Relationship Id="rId397" Type="http://schemas.openxmlformats.org/officeDocument/2006/relationships/hyperlink" Target="https://www.youtube.com/watch?v=x3L7wyP_r7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YwBJO1XIEmQ?si=jAst35ZDD7XsCD49"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6eknxjcNn8s" TargetMode="External"/><Relationship Id="rId348" Type="http://schemas.openxmlformats.org/officeDocument/2006/relationships/hyperlink" Target="https://youtu.be/NOvdveeHuPo" TargetMode="External"/><Relationship Id="rId347" Type="http://schemas.openxmlformats.org/officeDocument/2006/relationships/hyperlink" Target="https://youtu.be/QVVVluQ19zU" TargetMode="External"/><Relationship Id="rId346" Type="http://schemas.openxmlformats.org/officeDocument/2006/relationships/hyperlink" Target="https://youtu.be/4VdtR-Lv0as" TargetMode="External"/><Relationship Id="rId341" Type="http://schemas.openxmlformats.org/officeDocument/2006/relationships/hyperlink" Target="https://youtu.be/ZOFNidm6s-g" TargetMode="External"/><Relationship Id="rId340" Type="http://schemas.openxmlformats.org/officeDocument/2006/relationships/hyperlink" Target="https://youtu.be/WnWs04kawSw" TargetMode="External"/><Relationship Id="rId345" Type="http://schemas.openxmlformats.org/officeDocument/2006/relationships/hyperlink" Target="https://youtu.be/TH1o50knPxs" TargetMode="External"/><Relationship Id="rId344" Type="http://schemas.openxmlformats.org/officeDocument/2006/relationships/hyperlink" Target="https://youtu.be/sAd0b2EDuNI" TargetMode="External"/><Relationship Id="rId343" Type="http://schemas.openxmlformats.org/officeDocument/2006/relationships/hyperlink" Target="https://youtu.be/6iOxYY-DAns" TargetMode="External"/><Relationship Id="rId342" Type="http://schemas.openxmlformats.org/officeDocument/2006/relationships/hyperlink" Target="https://www.youtube.com/watch?v=jun1Hm7ck3w" TargetMode="External"/><Relationship Id="rId338" Type="http://schemas.openxmlformats.org/officeDocument/2006/relationships/hyperlink" Target="https://youtu.be/VF-RKyB7j5M" TargetMode="External"/><Relationship Id="rId337" Type="http://schemas.openxmlformats.org/officeDocument/2006/relationships/hyperlink" Target="https://youtu.be/ZjYkK3T4E3g" TargetMode="External"/><Relationship Id="rId336" Type="http://schemas.openxmlformats.org/officeDocument/2006/relationships/hyperlink" Target="https://youtu.be/xxLRyN7-xHA" TargetMode="External"/><Relationship Id="rId335" Type="http://schemas.openxmlformats.org/officeDocument/2006/relationships/hyperlink" Target="https://youtu.be/dg-EdfjuW0k" TargetMode="External"/><Relationship Id="rId339" Type="http://schemas.openxmlformats.org/officeDocument/2006/relationships/hyperlink" Target="https://youtu.be/blxMHpUwLWU" TargetMode="External"/><Relationship Id="rId330" Type="http://schemas.openxmlformats.org/officeDocument/2006/relationships/hyperlink" Target="https://www.youtube.com/watch?v=-cFyR-1UETs" TargetMode="External"/><Relationship Id="rId334" Type="http://schemas.openxmlformats.org/officeDocument/2006/relationships/hyperlink" Target="https://www.youtube.com/watch?v=8ES5McXInsc" TargetMode="External"/><Relationship Id="rId333" Type="http://schemas.openxmlformats.org/officeDocument/2006/relationships/hyperlink" Target="https://youtu.be/F4VHRtqDYCU" TargetMode="External"/><Relationship Id="rId332" Type="http://schemas.openxmlformats.org/officeDocument/2006/relationships/hyperlink" Target="https://youtu.be/p-5jgniWrWI" TargetMode="External"/><Relationship Id="rId331" Type="http://schemas.openxmlformats.org/officeDocument/2006/relationships/hyperlink" Target="https://youtu.be/_CpOb3C-qp4" TargetMode="External"/><Relationship Id="rId370" Type="http://schemas.openxmlformats.org/officeDocument/2006/relationships/hyperlink" Target="https://youtu.be/JEsHL_PJSko" TargetMode="External"/><Relationship Id="rId369" Type="http://schemas.openxmlformats.org/officeDocument/2006/relationships/hyperlink" Target="https://youtu.be/RagUZ0FVafU" TargetMode="External"/><Relationship Id="rId368" Type="http://schemas.openxmlformats.org/officeDocument/2006/relationships/hyperlink" Target="https://www.youtube.com/watch?v=VI_rokmNcf4" TargetMode="External"/><Relationship Id="rId363" Type="http://schemas.openxmlformats.org/officeDocument/2006/relationships/hyperlink" Target="https://youtu.be/mnKuR1y1kKE" TargetMode="External"/><Relationship Id="rId362" Type="http://schemas.openxmlformats.org/officeDocument/2006/relationships/hyperlink" Target="https://youtu.be/sJBlSQc1lfs" TargetMode="External"/><Relationship Id="rId361" Type="http://schemas.openxmlformats.org/officeDocument/2006/relationships/hyperlink" Target="https://youtu.be/EXHiGmPqTzM" TargetMode="External"/><Relationship Id="rId360" Type="http://schemas.openxmlformats.org/officeDocument/2006/relationships/hyperlink" Target="https://youtu.be/Q12CKPUZJJM" TargetMode="External"/><Relationship Id="rId367" Type="http://schemas.openxmlformats.org/officeDocument/2006/relationships/hyperlink" Target="https://youtu.be/RExDzneoaL8" TargetMode="External"/><Relationship Id="rId366" Type="http://schemas.openxmlformats.org/officeDocument/2006/relationships/hyperlink" Target="https://youtu.be/I4FclzH8BFk" TargetMode="External"/><Relationship Id="rId365" Type="http://schemas.openxmlformats.org/officeDocument/2006/relationships/hyperlink" Target="https://www.youtube.com/watch?v=fSltGMZTKEo" TargetMode="External"/><Relationship Id="rId364" Type="http://schemas.openxmlformats.org/officeDocument/2006/relationships/hyperlink" Target="https://www.youtube.com/watch?v=En8K75IO6X4"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t-JiV8Y60OI" TargetMode="External"/><Relationship Id="rId358" Type="http://schemas.openxmlformats.org/officeDocument/2006/relationships/hyperlink" Target="https://youtu.be/GHtQZalhLK4" TargetMode="External"/><Relationship Id="rId357" Type="http://schemas.openxmlformats.org/officeDocument/2006/relationships/hyperlink" Target="https://youtu.be/2GBAWXJCDj4" TargetMode="External"/><Relationship Id="rId352" Type="http://schemas.openxmlformats.org/officeDocument/2006/relationships/hyperlink" Target="https://youtu.be/E-V4z3QdoKg" TargetMode="External"/><Relationship Id="rId351" Type="http://schemas.openxmlformats.org/officeDocument/2006/relationships/hyperlink" Target="https://youtu.be/Gc6Edb-27Vc" TargetMode="External"/><Relationship Id="rId350" Type="http://schemas.openxmlformats.org/officeDocument/2006/relationships/hyperlink" Target="https://youtu.be/UdJqKYSajz8" TargetMode="External"/><Relationship Id="rId356" Type="http://schemas.openxmlformats.org/officeDocument/2006/relationships/hyperlink" Target="https://youtu.be/rczyCGBG9Vo" TargetMode="External"/><Relationship Id="rId355" Type="http://schemas.openxmlformats.org/officeDocument/2006/relationships/hyperlink" Target="https://youtu.be/DJrj-s45v38" TargetMode="External"/><Relationship Id="rId354" Type="http://schemas.openxmlformats.org/officeDocument/2006/relationships/hyperlink" Target="https://youtu.be/vqGTCFvxk8o" TargetMode="External"/><Relationship Id="rId353" Type="http://schemas.openxmlformats.org/officeDocument/2006/relationships/hyperlink" Target="https://youtu.be/7ervRRkT8W4"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FvTKoZyzXJs" TargetMode="External"/><Relationship Id="rId326" Type="http://schemas.openxmlformats.org/officeDocument/2006/relationships/hyperlink" Target="https://youtu.be/gEq0l-ixE7M" TargetMode="External"/><Relationship Id="rId325" Type="http://schemas.openxmlformats.org/officeDocument/2006/relationships/hyperlink" Target="https://youtu.be/bMnP00yptKc" TargetMode="External"/><Relationship Id="rId324" Type="http://schemas.openxmlformats.org/officeDocument/2006/relationships/hyperlink" Target="https://youtu.be/Gzge2SYGHUg" TargetMode="External"/><Relationship Id="rId329" Type="http://schemas.openxmlformats.org/officeDocument/2006/relationships/hyperlink" Target="https://youtu.be/XNeUYbFhleQ?t=21" TargetMode="External"/><Relationship Id="rId328" Type="http://schemas.openxmlformats.org/officeDocument/2006/relationships/hyperlink" Target="https://youtu.be/wHunBo6Vjy8" TargetMode="External"/><Relationship Id="rId323" Type="http://schemas.openxmlformats.org/officeDocument/2006/relationships/hyperlink" Target="https://youtu.be/P5U382BHW3I" TargetMode="External"/><Relationship Id="rId322" Type="http://schemas.openxmlformats.org/officeDocument/2006/relationships/hyperlink" Target="https://www.youtube.com/watch?v=5i-Ww7kwlpo" TargetMode="External"/><Relationship Id="rId321" Type="http://schemas.openxmlformats.org/officeDocument/2006/relationships/hyperlink" Target="https://youtu.be/uJ3H32JcqmM" TargetMode="External"/><Relationship Id="rId320" Type="http://schemas.openxmlformats.org/officeDocument/2006/relationships/hyperlink" Target="https://www.twitch.tv/videos/1485767503" TargetMode="External"/><Relationship Id="rId316" Type="http://schemas.openxmlformats.org/officeDocument/2006/relationships/hyperlink" Target="https://youtu.be/RH_cCMBw54Q" TargetMode="External"/><Relationship Id="rId315" Type="http://schemas.openxmlformats.org/officeDocument/2006/relationships/hyperlink" Target="https://x.com/inkstarLum/status/1734458852492656986?s=20" TargetMode="External"/><Relationship Id="rId314" Type="http://schemas.openxmlformats.org/officeDocument/2006/relationships/hyperlink" Target="https://youtu.be/DMzCtloVXgU" TargetMode="External"/><Relationship Id="rId313" Type="http://schemas.openxmlformats.org/officeDocument/2006/relationships/hyperlink" Target="https://clips.twitch.tv/InventiveHappyBaboonBleedPurple-GMxVSYvTNj0PIEYi" TargetMode="External"/><Relationship Id="rId319" Type="http://schemas.openxmlformats.org/officeDocument/2006/relationships/hyperlink" Target="https://youtu.be/x9C3Vksljgg" TargetMode="External"/><Relationship Id="rId318" Type="http://schemas.openxmlformats.org/officeDocument/2006/relationships/hyperlink" Target="https://clips.twitch.tv/CrowdedSpinelessWoodpeckerBibleThump-6-kqFgxCbZQXtBPl" TargetMode="External"/><Relationship Id="rId317" Type="http://schemas.openxmlformats.org/officeDocument/2006/relationships/hyperlink" Target="https://www.twitch.tv/videos/1519927614" TargetMode="External"/><Relationship Id="rId312" Type="http://schemas.openxmlformats.org/officeDocument/2006/relationships/hyperlink" Target="https://www.twitch.tv/videos/2494475431" TargetMode="External"/><Relationship Id="rId311" Type="http://schemas.openxmlformats.org/officeDocument/2006/relationships/hyperlink" Target="https://clips.twitch.tv/BusyVictoriousLarkDoggo-9etI2dmX9sNjvUP6"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smdQJpzQy9U" TargetMode="External"/><Relationship Id="rId404" Type="http://schemas.openxmlformats.org/officeDocument/2006/relationships/hyperlink" Target="https://youtu.be/O6DGzRyVpcQ" TargetMode="External"/><Relationship Id="rId403" Type="http://schemas.openxmlformats.org/officeDocument/2006/relationships/hyperlink" Target="https://youtu.be/JxoWH4BBvUY" TargetMode="External"/><Relationship Id="rId402" Type="http://schemas.openxmlformats.org/officeDocument/2006/relationships/hyperlink" Target="https://youtu.be/__9KhtMPdg8" TargetMode="External"/><Relationship Id="rId401" Type="http://schemas.openxmlformats.org/officeDocument/2006/relationships/hyperlink" Target="https://youtu.be/WVkE4pQva-c" TargetMode="External"/><Relationship Id="rId408" Type="http://schemas.openxmlformats.org/officeDocument/2006/relationships/hyperlink" Target="https://youtu.be/IkMKPV09QTE?t=72" TargetMode="External"/><Relationship Id="rId407" Type="http://schemas.openxmlformats.org/officeDocument/2006/relationships/hyperlink" Target="https://youtu.be/pJzioiMoCq8?t=94" TargetMode="External"/><Relationship Id="rId406" Type="http://schemas.openxmlformats.org/officeDocument/2006/relationships/hyperlink" Target="https://www.youtube.com/watch?v=PrSIe5_o9Hw&amp;ab_channel=BlazeRol" TargetMode="External"/><Relationship Id="rId405" Type="http://schemas.openxmlformats.org/officeDocument/2006/relationships/hyperlink" Target="https://www.youtube.com/watch?v=hgCmXs3sxJA&amp;feature=youtu.be&amp;ab_channel=BlazeRolSpeedruns" TargetMode="External"/><Relationship Id="rId400" Type="http://schemas.openxmlformats.org/officeDocument/2006/relationships/hyperlink" Target="https://youtu.be/0KpSbfXjhG8" TargetMode="External"/><Relationship Id="rId462" Type="http://schemas.openxmlformats.org/officeDocument/2006/relationships/drawing" Target="../drawings/drawing4.xml"/><Relationship Id="rId461" Type="http://schemas.openxmlformats.org/officeDocument/2006/relationships/hyperlink" Target="https://youtu.be/Lk6RSOSNXnU" TargetMode="External"/><Relationship Id="rId460" Type="http://schemas.openxmlformats.org/officeDocument/2006/relationships/hyperlink" Target="https://youtu.be/OBc4-Sw5tBE" TargetMode="External"/><Relationship Id="rId463" Type="http://schemas.openxmlformats.org/officeDocument/2006/relationships/vmlDrawing" Target="../drawings/vmlDrawing3.vml"/><Relationship Id="rId459" Type="http://schemas.openxmlformats.org/officeDocument/2006/relationships/hyperlink" Target="https://youtu.be/aXxNNhtEggI" TargetMode="External"/><Relationship Id="rId458" Type="http://schemas.openxmlformats.org/officeDocument/2006/relationships/hyperlink" Target="https://youtu.be/-R-qzARMwdk?si=hfb5Yxg9BuJcm-7O" TargetMode="External"/><Relationship Id="rId457" Type="http://schemas.openxmlformats.org/officeDocument/2006/relationships/hyperlink" Target="https://youtu.be/3Ni75mhVtLA" TargetMode="External"/><Relationship Id="rId456" Type="http://schemas.openxmlformats.org/officeDocument/2006/relationships/hyperlink" Target="https://youtu.be/mv6_XoJTZ70" TargetMode="External"/><Relationship Id="rId451" Type="http://schemas.openxmlformats.org/officeDocument/2006/relationships/hyperlink" Target="https://www.twitch.tv/videos/1719814772" TargetMode="External"/><Relationship Id="rId450" Type="http://schemas.openxmlformats.org/officeDocument/2006/relationships/hyperlink" Target="https://www.youtube.com/watch?v=cGEEp-McMu4" TargetMode="External"/><Relationship Id="rId455" Type="http://schemas.openxmlformats.org/officeDocument/2006/relationships/hyperlink" Target="https://www.twitch.tv/videos/1490084959" TargetMode="External"/><Relationship Id="rId454" Type="http://schemas.openxmlformats.org/officeDocument/2006/relationships/hyperlink" Target="https://www.twitch.tv/videos/1072696365" TargetMode="External"/><Relationship Id="rId453" Type="http://schemas.openxmlformats.org/officeDocument/2006/relationships/hyperlink" Target="https://www.twitch.tv/videos/1073704294" TargetMode="External"/><Relationship Id="rId452" Type="http://schemas.openxmlformats.org/officeDocument/2006/relationships/hyperlink" Target="https://www.twitch.tv/darkman_/clip/EphemeralDirtySlothKappaPride-yazu4wG_mUZ2eW_b" TargetMode="External"/><Relationship Id="rId483" Type="http://schemas.openxmlformats.org/officeDocument/2006/relationships/table" Target="../tables/table23.xml"/><Relationship Id="rId482" Type="http://schemas.openxmlformats.org/officeDocument/2006/relationships/table" Target="../tables/table22.xml"/><Relationship Id="rId481" Type="http://schemas.openxmlformats.org/officeDocument/2006/relationships/table" Target="../tables/table21.xml"/><Relationship Id="rId480" Type="http://schemas.openxmlformats.org/officeDocument/2006/relationships/table" Target="../tables/table20.xml"/><Relationship Id="rId479" Type="http://schemas.openxmlformats.org/officeDocument/2006/relationships/table" Target="../tables/table19.xml"/><Relationship Id="rId478" Type="http://schemas.openxmlformats.org/officeDocument/2006/relationships/table" Target="../tables/table18.xml"/><Relationship Id="rId477" Type="http://schemas.openxmlformats.org/officeDocument/2006/relationships/table" Target="../tables/table17.xml"/><Relationship Id="rId476" Type="http://schemas.openxmlformats.org/officeDocument/2006/relationships/table" Target="../tables/table16.xml"/><Relationship Id="rId475" Type="http://schemas.openxmlformats.org/officeDocument/2006/relationships/table" Target="../tables/table15.xml"/><Relationship Id="rId474" Type="http://schemas.openxmlformats.org/officeDocument/2006/relationships/table" Target="../tables/table14.xml"/><Relationship Id="rId426" Type="http://schemas.openxmlformats.org/officeDocument/2006/relationships/hyperlink" Target="https://www.youtube.com/watch?v=jjRGwZiNTVE" TargetMode="External"/><Relationship Id="rId425" Type="http://schemas.openxmlformats.org/officeDocument/2006/relationships/hyperlink" Target="https://www.youtube.com/watch?v=qqas5vdQvvQ" TargetMode="External"/><Relationship Id="rId424" Type="http://schemas.openxmlformats.org/officeDocument/2006/relationships/hyperlink" Target="https://www.youtube.com/watch?v=ZXBHLYydDIY" TargetMode="External"/><Relationship Id="rId423" Type="http://schemas.openxmlformats.org/officeDocument/2006/relationships/hyperlink" Target="https://www.youtube.com/watch?v=5waaqsFWljU" TargetMode="External"/><Relationship Id="rId429" Type="http://schemas.openxmlformats.org/officeDocument/2006/relationships/hyperlink" Target="https://youtu.be/zYgQIWh_Qfo" TargetMode="External"/><Relationship Id="rId428" Type="http://schemas.openxmlformats.org/officeDocument/2006/relationships/hyperlink" Target="https://youtu.be/XBfAw2Rk7IQ" TargetMode="External"/><Relationship Id="rId427" Type="http://schemas.openxmlformats.org/officeDocument/2006/relationships/hyperlink" Target="https://youtu.be/ed3cHtG2Iv4" TargetMode="External"/><Relationship Id="rId422" Type="http://schemas.openxmlformats.org/officeDocument/2006/relationships/hyperlink" Target="https://www.twitch.tv/videos/1496772282" TargetMode="External"/><Relationship Id="rId421" Type="http://schemas.openxmlformats.org/officeDocument/2006/relationships/hyperlink" Target="https://www.twitch.tv/videos/1756689496" TargetMode="External"/><Relationship Id="rId420" Type="http://schemas.openxmlformats.org/officeDocument/2006/relationships/hyperlink" Target="https://www.twitch.tv/videos/1629886440" TargetMode="External"/><Relationship Id="rId415" Type="http://schemas.openxmlformats.org/officeDocument/2006/relationships/hyperlink" Target="https://www.twitch.tv/videos/1478947603" TargetMode="External"/><Relationship Id="rId414" Type="http://schemas.openxmlformats.org/officeDocument/2006/relationships/hyperlink" Target="https://www.twitch.tv/videos/2027555883" TargetMode="External"/><Relationship Id="rId413" Type="http://schemas.openxmlformats.org/officeDocument/2006/relationships/hyperlink" Target="https://www.twitch.tv/videos/2038085324" TargetMode="External"/><Relationship Id="rId412" Type="http://schemas.openxmlformats.org/officeDocument/2006/relationships/hyperlink" Target="https://www.twitch.tv/videos/2026549344" TargetMode="External"/><Relationship Id="rId419" Type="http://schemas.openxmlformats.org/officeDocument/2006/relationships/hyperlink" Target="https://youtu.be/Zp-dfmn5A4E" TargetMode="External"/><Relationship Id="rId418" Type="http://schemas.openxmlformats.org/officeDocument/2006/relationships/hyperlink" Target="https://www.twitch.tv/videos/1773827910" TargetMode="External"/><Relationship Id="rId417" Type="http://schemas.openxmlformats.org/officeDocument/2006/relationships/hyperlink" Target="https://clips.twitch.tv/LivelySpineyPigeonSuperVinlin-LWLJ_9gi8pqJ0iN4" TargetMode="External"/><Relationship Id="rId416" Type="http://schemas.openxmlformats.org/officeDocument/2006/relationships/hyperlink" Target="https://clips.twitch.tv/TangibleRichMeatloafFunRun--NgqadUbWttLHwe3" TargetMode="External"/><Relationship Id="rId411" Type="http://schemas.openxmlformats.org/officeDocument/2006/relationships/hyperlink" Target="https://www.twitch.tv/videos/2027420493" TargetMode="External"/><Relationship Id="rId410" Type="http://schemas.openxmlformats.org/officeDocument/2006/relationships/hyperlink" Target="https://www.youtube.com/watch?v=b9R5LIO4Bbo" TargetMode="External"/><Relationship Id="rId448" Type="http://schemas.openxmlformats.org/officeDocument/2006/relationships/hyperlink" Target="https://www.youtube.com/watch?v=L3tW60x852c" TargetMode="External"/><Relationship Id="rId447" Type="http://schemas.openxmlformats.org/officeDocument/2006/relationships/hyperlink" Target="https://www.youtube.com/watch?v=8jyW1y-XKwk" TargetMode="External"/><Relationship Id="rId446" Type="http://schemas.openxmlformats.org/officeDocument/2006/relationships/hyperlink" Target="https://youtu.be/PzEEpxYFDUM" TargetMode="External"/><Relationship Id="rId445" Type="http://schemas.openxmlformats.org/officeDocument/2006/relationships/hyperlink" Target="https://youtu.be/6IGl0mAv8wQ" TargetMode="External"/><Relationship Id="rId449" Type="http://schemas.openxmlformats.org/officeDocument/2006/relationships/hyperlink" Target="https://www.youtube.com/watch?v=qDh7JdUxZAc" TargetMode="External"/><Relationship Id="rId440" Type="http://schemas.openxmlformats.org/officeDocument/2006/relationships/hyperlink" Target="https://youtu.be/WP5LcO1a4qc" TargetMode="External"/><Relationship Id="rId444" Type="http://schemas.openxmlformats.org/officeDocument/2006/relationships/hyperlink" Target="https://youtu.be/MNRyewVs4L0" TargetMode="External"/><Relationship Id="rId443" Type="http://schemas.openxmlformats.org/officeDocument/2006/relationships/hyperlink" Target="https://www.twitch.tv/videos/1104516174" TargetMode="External"/><Relationship Id="rId442" Type="http://schemas.openxmlformats.org/officeDocument/2006/relationships/hyperlink" Target="https://www.youtube.com/watch?v=pnZueKgkcEw" TargetMode="External"/><Relationship Id="rId441" Type="http://schemas.openxmlformats.org/officeDocument/2006/relationships/hyperlink" Target="https://www.youtube.com/watch?v=poAHtxaE0-U" TargetMode="External"/><Relationship Id="rId437" Type="http://schemas.openxmlformats.org/officeDocument/2006/relationships/hyperlink" Target="https://www.youtube.com/watch?v=GL-X42EXGow" TargetMode="External"/><Relationship Id="rId436" Type="http://schemas.openxmlformats.org/officeDocument/2006/relationships/hyperlink" Target="https://www.youtube.com/watch?v=fDpcqPs7B1w" TargetMode="External"/><Relationship Id="rId435" Type="http://schemas.openxmlformats.org/officeDocument/2006/relationships/hyperlink" Target="https://www.youtube.com/watch?v=_MsfaSj0obw" TargetMode="External"/><Relationship Id="rId434" Type="http://schemas.openxmlformats.org/officeDocument/2006/relationships/hyperlink" Target="https://www.youtube.com/watch?v=hmc2h7fpRsw" TargetMode="External"/><Relationship Id="rId439" Type="http://schemas.openxmlformats.org/officeDocument/2006/relationships/hyperlink" Target="https://www.youtube.com/watch?v=fOg9hUvWRlY" TargetMode="External"/><Relationship Id="rId438" Type="http://schemas.openxmlformats.org/officeDocument/2006/relationships/hyperlink" Target="https://www.youtube.com/watch?v=4KG6kmn4XoE" TargetMode="External"/><Relationship Id="rId433" Type="http://schemas.openxmlformats.org/officeDocument/2006/relationships/hyperlink" Target="https://clips.twitch.tv/EnjoyableUnusualTaroYee-V-4uF0FOsl6_5gMy" TargetMode="External"/><Relationship Id="rId432" Type="http://schemas.openxmlformats.org/officeDocument/2006/relationships/hyperlink" Target="https://youtu.be/mGyuqX6J_jg" TargetMode="External"/><Relationship Id="rId431" Type="http://schemas.openxmlformats.org/officeDocument/2006/relationships/hyperlink" Target="https://youtu.be/TMbITKemGYY" TargetMode="External"/><Relationship Id="rId430" Type="http://schemas.openxmlformats.org/officeDocument/2006/relationships/hyperlink" Target="https://youtu.be/HtPMXq04V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2375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88" t="s">
        <v>3077</v>
      </c>
      <c r="BU69" s="88" t="s">
        <v>4070</v>
      </c>
      <c r="BV69" s="88" t="s">
        <v>1313</v>
      </c>
      <c r="BW69" s="93" t="s">
        <v>4071</v>
      </c>
      <c r="BX69" s="93" t="s">
        <v>4072</v>
      </c>
      <c r="BY69" s="93" t="s">
        <v>4073</v>
      </c>
      <c r="BZ69" s="88" t="s">
        <v>4074</v>
      </c>
      <c r="CA69" s="93" t="s">
        <v>4075</v>
      </c>
      <c r="CB69" s="93" t="s">
        <v>4076</v>
      </c>
      <c r="CC69" s="88" t="s">
        <v>4077</v>
      </c>
      <c r="CD69" s="98"/>
      <c r="CE69" s="235"/>
      <c r="CF69" s="93" t="s">
        <v>4078</v>
      </c>
      <c r="CG69" s="88" t="s">
        <v>2767</v>
      </c>
      <c r="CH69" s="93" t="s">
        <v>4079</v>
      </c>
      <c r="CI69" s="93" t="s">
        <v>4080</v>
      </c>
      <c r="CJ69" s="93"/>
      <c r="CK69" s="93" t="s">
        <v>2736</v>
      </c>
      <c r="CL69" s="93" t="s">
        <v>4081</v>
      </c>
      <c r="CM69" s="264" t="s">
        <v>3567</v>
      </c>
      <c r="CN69" s="93" t="s">
        <v>4082</v>
      </c>
      <c r="CO69" s="98"/>
      <c r="CP69" s="88" t="s">
        <v>4083</v>
      </c>
      <c r="CQ69" s="98"/>
      <c r="CR69" s="88" t="s">
        <v>4084</v>
      </c>
      <c r="CS69" s="98"/>
      <c r="CT69" s="92"/>
      <c r="CU69" s="93" t="s">
        <v>1288</v>
      </c>
      <c r="CV69" s="88" t="s">
        <v>1695</v>
      </c>
      <c r="CW69" s="264" t="s">
        <v>2883</v>
      </c>
      <c r="CX69" s="88" t="s">
        <v>2592</v>
      </c>
      <c r="CY69" s="93" t="s">
        <v>4085</v>
      </c>
      <c r="CZ69" s="88" t="s">
        <v>2522</v>
      </c>
      <c r="DA69" s="160" t="s">
        <v>4086</v>
      </c>
      <c r="DB69" s="88" t="s">
        <v>1752</v>
      </c>
      <c r="DC69" s="98"/>
      <c r="DD69" s="88" t="s">
        <v>4087</v>
      </c>
      <c r="DE69" s="93" t="s">
        <v>4088</v>
      </c>
      <c r="DF69" s="98"/>
      <c r="DG69" s="235"/>
      <c r="DH69" s="93" t="s">
        <v>859</v>
      </c>
      <c r="DI69" s="98"/>
      <c r="DJ69" s="98"/>
      <c r="DK69" s="98"/>
      <c r="DL69" s="88" t="s">
        <v>512</v>
      </c>
      <c r="DM69" s="93" t="s">
        <v>2020</v>
      </c>
      <c r="DN69" s="88" t="s">
        <v>1951</v>
      </c>
      <c r="DO69" s="93" t="s">
        <v>965</v>
      </c>
      <c r="DP69" s="98"/>
      <c r="DQ69" s="93" t="s">
        <v>4089</v>
      </c>
      <c r="DR69" s="98"/>
      <c r="DS69" s="93" t="s">
        <v>423</v>
      </c>
      <c r="DT69" s="88" t="s">
        <v>4090</v>
      </c>
      <c r="DU69" s="93" t="s">
        <v>1796</v>
      </c>
      <c r="DV69" s="160" t="s">
        <v>3467</v>
      </c>
      <c r="DW69" s="98"/>
      <c r="DX69" s="160" t="s">
        <v>301</v>
      </c>
      <c r="DY69" s="93" t="s">
        <v>4091</v>
      </c>
      <c r="DZ69" s="93" t="s">
        <v>4092</v>
      </c>
      <c r="EA69" s="88" t="s">
        <v>4093</v>
      </c>
      <c r="EB69" s="88" t="s">
        <v>1959</v>
      </c>
      <c r="EC69" s="97" t="s">
        <v>3079</v>
      </c>
    </row>
    <row r="70">
      <c r="A70" s="103" t="s">
        <v>4094</v>
      </c>
      <c r="B70" s="442" t="s">
        <v>4095</v>
      </c>
      <c r="C70" s="443" t="s">
        <v>1262</v>
      </c>
      <c r="D70" s="444" t="s">
        <v>547</v>
      </c>
      <c r="E70" s="445" t="s">
        <v>547</v>
      </c>
      <c r="F70" s="446" t="s">
        <v>1063</v>
      </c>
      <c r="G70" s="442" t="s">
        <v>1507</v>
      </c>
      <c r="H70" s="447" t="s">
        <v>4096</v>
      </c>
      <c r="I70" s="447" t="s">
        <v>3045</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2326</v>
      </c>
      <c r="BD70" s="456" t="s">
        <v>585</v>
      </c>
      <c r="BE70" s="455" t="s">
        <v>2657</v>
      </c>
      <c r="BF70" s="456"/>
      <c r="BG70" s="456"/>
      <c r="BH70" s="456" t="s">
        <v>2337</v>
      </c>
      <c r="BI70" s="456"/>
      <c r="BJ70" s="456" t="s">
        <v>4109</v>
      </c>
      <c r="BK70" s="456" t="s">
        <v>1435</v>
      </c>
      <c r="BL70" s="456"/>
      <c r="BM70" s="456"/>
      <c r="BN70" s="456"/>
      <c r="BO70" s="456"/>
      <c r="BP70" s="456"/>
      <c r="BQ70" s="457"/>
      <c r="BR70" s="457" t="s">
        <v>4110</v>
      </c>
      <c r="BS70" s="458" t="s">
        <v>2630</v>
      </c>
      <c r="BT70" s="457"/>
      <c r="BU70" s="457"/>
      <c r="BV70" s="457" t="s">
        <v>2020</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2122</v>
      </c>
      <c r="P71" s="88" t="s">
        <v>108</v>
      </c>
      <c r="Q71" s="98"/>
      <c r="R71" s="98"/>
      <c r="S71" s="98"/>
      <c r="T71" s="98"/>
      <c r="U71" s="98"/>
      <c r="V71" s="98"/>
      <c r="W71" s="92"/>
      <c r="X71" s="88" t="s">
        <v>3609</v>
      </c>
      <c r="Y71" s="88" t="s">
        <v>2735</v>
      </c>
      <c r="Z71" s="88" t="s">
        <v>4120</v>
      </c>
      <c r="AA71" s="88" t="s">
        <v>4121</v>
      </c>
      <c r="AB71" s="88" t="s">
        <v>4122</v>
      </c>
      <c r="AC71" s="88" t="s">
        <v>4123</v>
      </c>
      <c r="AD71" s="98"/>
      <c r="AE71" s="88" t="s">
        <v>4124</v>
      </c>
      <c r="AF71" s="88" t="s">
        <v>4125</v>
      </c>
      <c r="AG71" s="88" t="s">
        <v>4126</v>
      </c>
      <c r="AH71" s="98"/>
      <c r="AI71" s="98"/>
      <c r="AJ71" s="98"/>
      <c r="AK71" s="96"/>
      <c r="AL71" s="88" t="s">
        <v>1913</v>
      </c>
      <c r="AM71" s="88" t="s">
        <v>4127</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4128</v>
      </c>
      <c r="BF71" s="88" t="s">
        <v>3162</v>
      </c>
      <c r="BG71" s="88" t="s">
        <v>4129</v>
      </c>
      <c r="BH71" s="88" t="s">
        <v>2318</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2607</v>
      </c>
      <c r="CA71" s="98"/>
      <c r="CB71" s="98"/>
      <c r="CC71" s="88" t="s">
        <v>2648</v>
      </c>
      <c r="CD71" s="98"/>
      <c r="CE71" s="235"/>
      <c r="CF71" s="88" t="s">
        <v>4136</v>
      </c>
      <c r="CG71" s="88" t="s">
        <v>4137</v>
      </c>
      <c r="CH71" s="88" t="s">
        <v>2216</v>
      </c>
      <c r="CI71" s="88" t="s">
        <v>4138</v>
      </c>
      <c r="CJ71" s="101"/>
      <c r="CK71" s="88" t="s">
        <v>3148</v>
      </c>
      <c r="CL71" s="88" t="s">
        <v>369</v>
      </c>
      <c r="CM71" s="88" t="s">
        <v>1616</v>
      </c>
      <c r="CN71" s="88" t="s">
        <v>4139</v>
      </c>
      <c r="CO71" s="98"/>
      <c r="CP71" s="98"/>
      <c r="CQ71" s="98"/>
      <c r="CR71" s="98"/>
      <c r="CS71" s="98"/>
      <c r="CT71" s="92"/>
      <c r="CU71" s="88" t="s">
        <v>1943</v>
      </c>
      <c r="CV71" s="88" t="s">
        <v>552</v>
      </c>
      <c r="CW71" s="88" t="s">
        <v>4140</v>
      </c>
      <c r="CX71" s="88" t="s">
        <v>4141</v>
      </c>
      <c r="CY71" s="88" t="s">
        <v>4142</v>
      </c>
      <c r="CZ71" s="88" t="s">
        <v>1909</v>
      </c>
      <c r="DA71" s="88" t="s">
        <v>4143</v>
      </c>
      <c r="DB71" s="88" t="s">
        <v>4144</v>
      </c>
      <c r="DC71" s="98"/>
      <c r="DD71" s="98"/>
      <c r="DE71" s="88" t="s">
        <v>2383</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1958</v>
      </c>
      <c r="DU71" s="93" t="s">
        <v>4149</v>
      </c>
      <c r="DV71" s="88" t="s">
        <v>1718</v>
      </c>
      <c r="DW71" s="93" t="s">
        <v>3540</v>
      </c>
      <c r="DX71" s="93" t="s">
        <v>1557</v>
      </c>
      <c r="DY71" s="88" t="s">
        <v>4150</v>
      </c>
      <c r="DZ71" s="88" t="s">
        <v>2179</v>
      </c>
      <c r="EA71" s="93" t="s">
        <v>4151</v>
      </c>
      <c r="EB71" s="93" t="s">
        <v>1611</v>
      </c>
      <c r="EC71" s="342" t="s">
        <v>4152</v>
      </c>
    </row>
    <row r="72">
      <c r="A72" s="164" t="s">
        <v>4153</v>
      </c>
      <c r="B72" s="104" t="s">
        <v>4154</v>
      </c>
      <c r="C72" s="105" t="s">
        <v>1262</v>
      </c>
      <c r="D72" s="106" t="s">
        <v>1262</v>
      </c>
      <c r="E72" s="107" t="s">
        <v>1262</v>
      </c>
      <c r="F72" s="108" t="s">
        <v>1262</v>
      </c>
      <c r="G72" s="104" t="s">
        <v>2920</v>
      </c>
      <c r="H72" s="165" t="s">
        <v>1374</v>
      </c>
      <c r="I72" s="165" t="s">
        <v>4155</v>
      </c>
      <c r="J72" s="165" t="s">
        <v>4156</v>
      </c>
      <c r="K72" s="165" t="s">
        <v>3163</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2352</v>
      </c>
      <c r="AH72" s="195"/>
      <c r="AI72" s="195" t="s">
        <v>4166</v>
      </c>
      <c r="AJ72" s="195" t="s">
        <v>2581</v>
      </c>
      <c r="AK72" s="96"/>
      <c r="AL72" s="166" t="s">
        <v>3778</v>
      </c>
      <c r="AM72" s="166" t="s">
        <v>3487</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2777</v>
      </c>
      <c r="BC72" s="172" t="s">
        <v>2635</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2467</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1604</v>
      </c>
      <c r="DO72" s="203" t="s">
        <v>1014</v>
      </c>
      <c r="DP72" s="203" t="s">
        <v>4202</v>
      </c>
      <c r="DQ72" s="203" t="s">
        <v>2217</v>
      </c>
      <c r="DR72" s="203" t="s">
        <v>3192</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2375</v>
      </c>
      <c r="H73" s="97" t="str">
        <f>HYPERLINK("https://clips.twitch.tv/LachrymoseCourteousDelicataSeemsGood","51.28")</f>
        <v>51.28</v>
      </c>
      <c r="I73" s="101" t="s">
        <v>4211</v>
      </c>
      <c r="J73" s="101" t="s">
        <v>725</v>
      </c>
      <c r="K73" s="93" t="s">
        <v>1426</v>
      </c>
      <c r="L73" s="101" t="s">
        <v>3120</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4070</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3224</v>
      </c>
      <c r="CG73" s="97" t="str">
        <f>HYPERLINK("https://youtu.be/AR9q0_E3gEQ","28.75")</f>
        <v>28.75</v>
      </c>
      <c r="CH73" s="93" t="s">
        <v>4225</v>
      </c>
      <c r="CI73" s="93"/>
      <c r="CJ73" s="93"/>
      <c r="CK73" s="93"/>
      <c r="CL73" s="93" t="s">
        <v>2492</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2611</v>
      </c>
      <c r="H74" s="112" t="s">
        <v>4096</v>
      </c>
      <c r="I74" s="242"/>
      <c r="J74" s="242"/>
      <c r="K74" s="242"/>
      <c r="L74" s="165" t="s">
        <v>345</v>
      </c>
      <c r="M74" s="242"/>
      <c r="N74" s="242"/>
      <c r="O74" s="165" t="s">
        <v>4232</v>
      </c>
      <c r="P74" s="165" t="s">
        <v>2649</v>
      </c>
      <c r="Q74" s="110" t="s">
        <v>233</v>
      </c>
      <c r="R74" s="242"/>
      <c r="S74" s="242"/>
      <c r="T74" s="165" t="s">
        <v>2275</v>
      </c>
      <c r="U74" s="165" t="s">
        <v>3592</v>
      </c>
      <c r="V74" s="239" t="s">
        <v>4233</v>
      </c>
      <c r="W74" s="92"/>
      <c r="X74" s="244"/>
      <c r="Y74" s="195" t="s">
        <v>3126</v>
      </c>
      <c r="Z74" s="114" t="str">
        <f>HYPERLINK("https://youtu.be/esd_xoh2Wlk","14.77")</f>
        <v>14.77</v>
      </c>
      <c r="AA74" s="244"/>
      <c r="AB74" s="115" t="s">
        <v>3667</v>
      </c>
      <c r="AC74" s="195" t="s">
        <v>4234</v>
      </c>
      <c r="AD74" s="244"/>
      <c r="AE74" s="244"/>
      <c r="AF74" s="195" t="s">
        <v>3692</v>
      </c>
      <c r="AG74" s="195" t="s">
        <v>3208</v>
      </c>
      <c r="AH74" s="195"/>
      <c r="AI74" s="195" t="s">
        <v>4235</v>
      </c>
      <c r="AJ74" s="243" t="s">
        <v>4236</v>
      </c>
      <c r="AK74" s="96"/>
      <c r="AL74" s="245"/>
      <c r="AM74" s="245"/>
      <c r="AN74" s="120" t="s">
        <v>4237</v>
      </c>
      <c r="AO74" s="245"/>
      <c r="AP74" s="197" t="s">
        <v>374</v>
      </c>
      <c r="AQ74" s="120" t="s">
        <v>2367</v>
      </c>
      <c r="AR74" s="245"/>
      <c r="AS74" s="166" t="s">
        <v>3690</v>
      </c>
      <c r="AT74" s="166" t="s">
        <v>4238</v>
      </c>
      <c r="AU74" s="120" t="s">
        <v>137</v>
      </c>
      <c r="AV74" s="120" t="s">
        <v>1787</v>
      </c>
      <c r="AW74" s="245"/>
      <c r="AX74" s="245"/>
      <c r="AY74" s="169" t="s">
        <v>4239</v>
      </c>
      <c r="AZ74" s="245"/>
      <c r="BA74" s="171"/>
      <c r="BB74" s="171"/>
      <c r="BC74" s="172"/>
      <c r="BD74" s="125" t="s">
        <v>3637</v>
      </c>
      <c r="BE74" s="171"/>
      <c r="BF74" s="125" t="s">
        <v>2006</v>
      </c>
      <c r="BG74" s="171"/>
      <c r="BH74" s="125" t="s">
        <v>2536</v>
      </c>
      <c r="BI74" s="171"/>
      <c r="BJ74" s="171"/>
      <c r="BK74" s="172" t="s">
        <v>2752</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3093</v>
      </c>
      <c r="CG74" s="134" t="s">
        <v>3317</v>
      </c>
      <c r="CH74" s="280" t="s">
        <v>3914</v>
      </c>
      <c r="CI74" s="175" t="s">
        <v>184</v>
      </c>
      <c r="CJ74" s="175"/>
      <c r="CK74" s="175" t="s">
        <v>3320</v>
      </c>
      <c r="CL74" s="175" t="s">
        <v>1160</v>
      </c>
      <c r="CM74" s="175" t="s">
        <v>4245</v>
      </c>
      <c r="CN74" s="253"/>
      <c r="CO74" s="253"/>
      <c r="CP74" s="386" t="s">
        <v>1897</v>
      </c>
      <c r="CQ74" s="253"/>
      <c r="CR74" s="253"/>
      <c r="CS74" s="229" t="s">
        <v>4229</v>
      </c>
      <c r="CT74" s="92"/>
      <c r="CU74" s="254"/>
      <c r="CV74" s="254"/>
      <c r="CW74" s="254"/>
      <c r="CX74" s="254"/>
      <c r="CY74" s="254"/>
      <c r="CZ74" s="202" t="s">
        <v>2206</v>
      </c>
      <c r="DA74" s="202" t="s">
        <v>2110</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2206</v>
      </c>
      <c r="DS74" s="256"/>
      <c r="DT74" s="256"/>
      <c r="DU74" s="203" t="s">
        <v>2747</v>
      </c>
      <c r="DV74" s="256"/>
      <c r="DW74" s="256"/>
      <c r="DX74" s="203" t="s">
        <v>4249</v>
      </c>
      <c r="DY74" s="141" t="s">
        <v>3036</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3156</v>
      </c>
      <c r="P75" s="93" t="s">
        <v>3283</v>
      </c>
      <c r="Q75" s="93" t="s">
        <v>4260</v>
      </c>
      <c r="R75" s="93" t="s">
        <v>625</v>
      </c>
      <c r="S75" s="93" t="s">
        <v>4261</v>
      </c>
      <c r="T75" s="98"/>
      <c r="U75" s="98"/>
      <c r="V75" s="93" t="s">
        <v>4262</v>
      </c>
      <c r="W75" s="92"/>
      <c r="X75" s="93" t="s">
        <v>4263</v>
      </c>
      <c r="Y75" s="93" t="s">
        <v>4264</v>
      </c>
      <c r="Z75" s="93" t="s">
        <v>2905</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2998</v>
      </c>
      <c r="BD75" s="93" t="s">
        <v>264</v>
      </c>
      <c r="BE75" s="93" t="s">
        <v>3960</v>
      </c>
      <c r="BF75" s="93" t="s">
        <v>1224</v>
      </c>
      <c r="BG75" s="93" t="s">
        <v>2874</v>
      </c>
      <c r="BH75" s="93" t="s">
        <v>519</v>
      </c>
      <c r="BI75" s="98"/>
      <c r="BJ75" s="93" t="s">
        <v>4281</v>
      </c>
      <c r="BK75" s="93" t="s">
        <v>2843</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3210</v>
      </c>
      <c r="CN75" s="93" t="s">
        <v>3618</v>
      </c>
      <c r="CO75" s="98"/>
      <c r="CP75" s="93" t="s">
        <v>1390</v>
      </c>
      <c r="CQ75" s="93"/>
      <c r="CR75" s="93" t="s">
        <v>4299</v>
      </c>
      <c r="CS75" s="93" t="s">
        <v>4300</v>
      </c>
      <c r="CT75" s="92"/>
      <c r="CU75" s="93" t="s">
        <v>3025</v>
      </c>
      <c r="CV75" s="93" t="s">
        <v>4301</v>
      </c>
      <c r="CW75" s="93" t="s">
        <v>4302</v>
      </c>
      <c r="CX75" s="93" t="s">
        <v>1556</v>
      </c>
      <c r="CY75" s="93" t="s">
        <v>4303</v>
      </c>
      <c r="CZ75" s="93" t="s">
        <v>4304</v>
      </c>
      <c r="DA75" s="93" t="s">
        <v>4305</v>
      </c>
      <c r="DB75" s="93" t="s">
        <v>4306</v>
      </c>
      <c r="DC75" s="93" t="s">
        <v>727</v>
      </c>
      <c r="DD75" s="93" t="s">
        <v>4307</v>
      </c>
      <c r="DE75" s="93" t="s">
        <v>3112</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2224</v>
      </c>
      <c r="DY75" s="93" t="s">
        <v>3348</v>
      </c>
      <c r="DZ75" s="93" t="s">
        <v>1098</v>
      </c>
      <c r="EA75" s="93" t="s">
        <v>4315</v>
      </c>
      <c r="EB75" s="93" t="s">
        <v>2416</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4051</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2230</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4335</v>
      </c>
      <c r="BC77" s="93" t="s">
        <v>2807</v>
      </c>
      <c r="BD77" s="93" t="s">
        <v>4336</v>
      </c>
      <c r="BE77" s="93" t="s">
        <v>4337</v>
      </c>
      <c r="BF77" s="93" t="s">
        <v>4338</v>
      </c>
      <c r="BG77" s="98"/>
      <c r="BH77" s="93" t="s">
        <v>2784</v>
      </c>
      <c r="BI77" s="93" t="s">
        <v>4339</v>
      </c>
      <c r="BJ77" s="93" t="s">
        <v>4340</v>
      </c>
      <c r="BK77" s="93" t="s">
        <v>3708</v>
      </c>
      <c r="BL77" s="98"/>
      <c r="BM77" s="98"/>
      <c r="BN77" s="98"/>
      <c r="BO77" s="98"/>
      <c r="BP77" s="235"/>
      <c r="BQ77" s="93" t="s">
        <v>4341</v>
      </c>
      <c r="BR77" s="93" t="s">
        <v>4342</v>
      </c>
      <c r="BS77" s="93" t="s">
        <v>3979</v>
      </c>
      <c r="BT77" s="93" t="s">
        <v>3062</v>
      </c>
      <c r="BU77" s="93" t="s">
        <v>925</v>
      </c>
      <c r="BV77" s="93" t="s">
        <v>4343</v>
      </c>
      <c r="BW77" s="93" t="s">
        <v>4344</v>
      </c>
      <c r="BX77" s="93" t="s">
        <v>4345</v>
      </c>
      <c r="BY77" s="93" t="s">
        <v>4346</v>
      </c>
      <c r="BZ77" s="93" t="s">
        <v>3611</v>
      </c>
      <c r="CA77" s="98"/>
      <c r="CB77" s="98"/>
      <c r="CC77" s="98"/>
      <c r="CD77" s="98"/>
      <c r="CE77" s="235"/>
      <c r="CF77" s="93" t="s">
        <v>2167</v>
      </c>
      <c r="CG77" s="93" t="s">
        <v>2805</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2726</v>
      </c>
      <c r="L78" s="224" t="s">
        <v>4360</v>
      </c>
      <c r="M78" s="242"/>
      <c r="N78" s="224" t="s">
        <v>4361</v>
      </c>
      <c r="O78" s="224" t="s">
        <v>3219</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2622</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3144</v>
      </c>
      <c r="BD78" s="299" t="s">
        <v>4370</v>
      </c>
      <c r="BE78" s="172" t="s">
        <v>1610</v>
      </c>
      <c r="BF78" s="171"/>
      <c r="BG78" s="171"/>
      <c r="BH78" s="172" t="s">
        <v>1331</v>
      </c>
      <c r="BI78" s="172"/>
      <c r="BJ78" s="172"/>
      <c r="BK78" s="172" t="s">
        <v>1991</v>
      </c>
      <c r="BL78" s="171"/>
      <c r="BM78" s="172" t="s">
        <v>3098</v>
      </c>
      <c r="BN78" s="172" t="s">
        <v>4282</v>
      </c>
      <c r="BO78" s="171"/>
      <c r="BP78" s="247"/>
      <c r="BQ78" s="173"/>
      <c r="BR78" s="174" t="s">
        <v>4371</v>
      </c>
      <c r="BS78" s="173" t="s">
        <v>3979</v>
      </c>
      <c r="BT78" s="173" t="s">
        <v>4372</v>
      </c>
      <c r="BU78" s="173" t="s">
        <v>4373</v>
      </c>
      <c r="BV78" s="173" t="s">
        <v>740</v>
      </c>
      <c r="BW78" s="249" t="s">
        <v>4374</v>
      </c>
      <c r="BX78" s="250"/>
      <c r="BY78" s="173" t="s">
        <v>4375</v>
      </c>
      <c r="BZ78" s="173" t="s">
        <v>2416</v>
      </c>
      <c r="CA78" s="174" t="s">
        <v>4376</v>
      </c>
      <c r="CB78" s="173" t="s">
        <v>4377</v>
      </c>
      <c r="CC78" s="173" t="s">
        <v>690</v>
      </c>
      <c r="CD78" s="250"/>
      <c r="CE78" s="251"/>
      <c r="CF78" s="261" t="s">
        <v>4378</v>
      </c>
      <c r="CG78" s="175" t="s">
        <v>4379</v>
      </c>
      <c r="CH78" s="261"/>
      <c r="CI78" s="134" t="s">
        <v>4380</v>
      </c>
      <c r="CJ78" s="135"/>
      <c r="CK78" s="135"/>
      <c r="CL78" s="175" t="s">
        <v>2755</v>
      </c>
      <c r="CM78" s="175" t="s">
        <v>1557</v>
      </c>
      <c r="CN78" s="175" t="s">
        <v>2649</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1974</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2124</v>
      </c>
      <c r="I79" s="93" t="s">
        <v>4386</v>
      </c>
      <c r="J79" s="93" t="s">
        <v>3526</v>
      </c>
      <c r="K79" s="93" t="s">
        <v>2279</v>
      </c>
      <c r="L79" s="93" t="s">
        <v>1116</v>
      </c>
      <c r="M79" s="93" t="s">
        <v>4387</v>
      </c>
      <c r="N79" s="93" t="s">
        <v>4388</v>
      </c>
      <c r="O79" s="93" t="s">
        <v>4389</v>
      </c>
      <c r="P79" s="93" t="s">
        <v>2649</v>
      </c>
      <c r="Q79" s="98"/>
      <c r="R79" s="98"/>
      <c r="S79" s="93" t="s">
        <v>1344</v>
      </c>
      <c r="T79" s="98"/>
      <c r="U79" s="93" t="s">
        <v>4390</v>
      </c>
      <c r="V79" s="98"/>
      <c r="W79" s="92"/>
      <c r="X79" s="93" t="s">
        <v>4391</v>
      </c>
      <c r="Y79" s="93" t="s">
        <v>4392</v>
      </c>
      <c r="Z79" s="93" t="s">
        <v>512</v>
      </c>
      <c r="AA79" s="93" t="s">
        <v>4393</v>
      </c>
      <c r="AB79" s="93" t="s">
        <v>3821</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4397</v>
      </c>
      <c r="BE79" s="93" t="s">
        <v>4398</v>
      </c>
      <c r="BF79" s="93" t="s">
        <v>1298</v>
      </c>
      <c r="BG79" s="98"/>
      <c r="BH79" s="93" t="s">
        <v>2178</v>
      </c>
      <c r="BI79" s="93" t="s">
        <v>4399</v>
      </c>
      <c r="BJ79" s="98"/>
      <c r="BK79" s="93" t="s">
        <v>2495</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2479</v>
      </c>
      <c r="CO79" s="98"/>
      <c r="CP79" s="98"/>
      <c r="CQ79" s="98"/>
      <c r="CR79" s="98"/>
      <c r="CS79" s="98"/>
      <c r="CT79" s="92"/>
      <c r="CU79" s="352" t="s">
        <v>4411</v>
      </c>
      <c r="CV79" s="351" t="s">
        <v>2545</v>
      </c>
      <c r="CW79" s="352" t="s">
        <v>1656</v>
      </c>
      <c r="CX79" s="352" t="s">
        <v>3132</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3119</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1965</v>
      </c>
      <c r="H80" s="112" t="s">
        <v>2815</v>
      </c>
      <c r="I80" s="402" t="s">
        <v>4421</v>
      </c>
      <c r="J80" s="165" t="s">
        <v>107</v>
      </c>
      <c r="K80" s="165" t="s">
        <v>4422</v>
      </c>
      <c r="L80" s="165" t="s">
        <v>4423</v>
      </c>
      <c r="M80" s="165" t="s">
        <v>4424</v>
      </c>
      <c r="N80" s="165" t="s">
        <v>4425</v>
      </c>
      <c r="O80" s="165" t="s">
        <v>372</v>
      </c>
      <c r="P80" s="165" t="s">
        <v>2905</v>
      </c>
      <c r="Q80" s="112" t="s">
        <v>4426</v>
      </c>
      <c r="R80" s="165" t="s">
        <v>2510</v>
      </c>
      <c r="S80" s="271" t="s">
        <v>2999</v>
      </c>
      <c r="T80" s="165" t="s">
        <v>2990</v>
      </c>
      <c r="U80" s="165" t="s">
        <v>2051</v>
      </c>
      <c r="V80" s="165" t="s">
        <v>4427</v>
      </c>
      <c r="W80" s="92"/>
      <c r="X80" s="356" t="s">
        <v>4428</v>
      </c>
      <c r="Y80" s="195" t="s">
        <v>3076</v>
      </c>
      <c r="Z80" s="274" t="s">
        <v>3455</v>
      </c>
      <c r="AA80" s="194" t="s">
        <v>3688</v>
      </c>
      <c r="AB80" s="194" t="s">
        <v>4429</v>
      </c>
      <c r="AC80" s="115" t="s">
        <v>4430</v>
      </c>
      <c r="AD80" s="244"/>
      <c r="AE80" s="115" t="s">
        <v>3290</v>
      </c>
      <c r="AF80" s="274" t="s">
        <v>1746</v>
      </c>
      <c r="AG80" s="195" t="s">
        <v>1915</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2714</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2752</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4078</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2987</v>
      </c>
      <c r="DE80" s="202" t="s">
        <v>147</v>
      </c>
      <c r="DF80" s="139" t="s">
        <v>4468</v>
      </c>
      <c r="DG80" s="202"/>
      <c r="DH80" s="256"/>
      <c r="DI80" s="256"/>
      <c r="DJ80" s="203" t="s">
        <v>4469</v>
      </c>
      <c r="DK80" s="256"/>
      <c r="DL80" s="144" t="s">
        <v>3209</v>
      </c>
      <c r="DM80" s="203" t="s">
        <v>1934</v>
      </c>
      <c r="DN80" s="203" t="s">
        <v>3923</v>
      </c>
      <c r="DO80" s="203" t="s">
        <v>4470</v>
      </c>
      <c r="DP80" s="203" t="s">
        <v>4471</v>
      </c>
      <c r="DQ80" s="203" t="s">
        <v>4237</v>
      </c>
      <c r="DR80" s="203" t="s">
        <v>4472</v>
      </c>
      <c r="DS80" s="203" t="s">
        <v>3777</v>
      </c>
      <c r="DT80" s="203" t="s">
        <v>1809</v>
      </c>
      <c r="DU80" s="203" t="s">
        <v>2679</v>
      </c>
      <c r="DV80" s="203" t="s">
        <v>4473</v>
      </c>
      <c r="DW80" s="203" t="s">
        <v>4474</v>
      </c>
      <c r="DX80" s="203" t="s">
        <v>4475</v>
      </c>
      <c r="DY80" s="203" t="s">
        <v>4476</v>
      </c>
      <c r="DZ80" s="203" t="s">
        <v>4477</v>
      </c>
      <c r="EA80" s="144" t="s">
        <v>4478</v>
      </c>
      <c r="EB80" s="144" t="s">
        <v>4041</v>
      </c>
      <c r="EC80" s="141" t="s">
        <v>3042</v>
      </c>
    </row>
    <row r="81">
      <c r="A81" s="81" t="s">
        <v>4479</v>
      </c>
      <c r="B81" s="82" t="s">
        <v>4480</v>
      </c>
      <c r="C81" s="83" t="s">
        <v>1262</v>
      </c>
      <c r="D81" s="84" t="s">
        <v>1262</v>
      </c>
      <c r="E81" s="85" t="s">
        <v>1262</v>
      </c>
      <c r="F81" s="86" t="s">
        <v>333</v>
      </c>
      <c r="G81" s="82" t="s">
        <v>3082</v>
      </c>
      <c r="H81" s="93"/>
      <c r="I81" s="88" t="s">
        <v>4481</v>
      </c>
      <c r="J81" s="98" t="s">
        <v>1646</v>
      </c>
      <c r="K81" s="160" t="s">
        <v>4482</v>
      </c>
      <c r="L81" s="88" t="s">
        <v>104</v>
      </c>
      <c r="M81" s="258" t="s">
        <v>1735</v>
      </c>
      <c r="N81" s="98"/>
      <c r="O81" s="101" t="s">
        <v>4483</v>
      </c>
      <c r="P81" s="88" t="s">
        <v>2649</v>
      </c>
      <c r="Q81" s="98"/>
      <c r="R81" s="93"/>
      <c r="S81" s="93"/>
      <c r="T81" s="98"/>
      <c r="U81" s="98"/>
      <c r="V81" s="98"/>
      <c r="W81" s="92"/>
      <c r="X81" s="88" t="s">
        <v>1666</v>
      </c>
      <c r="Y81" s="93" t="s">
        <v>4392</v>
      </c>
      <c r="Z81" s="88" t="s">
        <v>1435</v>
      </c>
      <c r="AA81" s="93" t="s">
        <v>4484</v>
      </c>
      <c r="AB81" s="88" t="s">
        <v>3322</v>
      </c>
      <c r="AC81" s="93" t="s">
        <v>2821</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4342</v>
      </c>
      <c r="BS81" s="93" t="s">
        <v>2756</v>
      </c>
      <c r="BT81" s="88" t="s">
        <v>3613</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3189</v>
      </c>
      <c r="CY81" s="93" t="s">
        <v>1937</v>
      </c>
      <c r="CZ81" s="93" t="s">
        <v>476</v>
      </c>
      <c r="DA81" s="88" t="s">
        <v>4413</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2229</v>
      </c>
      <c r="H82" s="402"/>
      <c r="I82" s="343" t="s">
        <v>4495</v>
      </c>
      <c r="J82" s="402" t="s">
        <v>3048</v>
      </c>
      <c r="K82" s="402" t="s">
        <v>4496</v>
      </c>
      <c r="L82" s="402" t="s">
        <v>2872</v>
      </c>
      <c r="M82" s="112" t="s">
        <v>4497</v>
      </c>
      <c r="N82" s="402" t="s">
        <v>4498</v>
      </c>
      <c r="O82" s="402" t="s">
        <v>3936</v>
      </c>
      <c r="P82" s="402" t="s">
        <v>3088</v>
      </c>
      <c r="Q82" s="484"/>
      <c r="R82" s="484"/>
      <c r="S82" s="484"/>
      <c r="T82" s="484"/>
      <c r="U82" s="484"/>
      <c r="V82" s="484"/>
      <c r="W82" s="485"/>
      <c r="X82" s="356" t="s">
        <v>158</v>
      </c>
      <c r="Y82" s="356" t="s">
        <v>3054</v>
      </c>
      <c r="Z82" s="356" t="s">
        <v>2165</v>
      </c>
      <c r="AA82" s="356" t="s">
        <v>4499</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2942</v>
      </c>
      <c r="BB82" s="300" t="s">
        <v>810</v>
      </c>
      <c r="BC82" s="300" t="s">
        <v>296</v>
      </c>
      <c r="BD82" s="300" t="s">
        <v>4501</v>
      </c>
      <c r="BE82" s="300" t="s">
        <v>4438</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2193</v>
      </c>
      <c r="BV82" s="292" t="s">
        <v>823</v>
      </c>
      <c r="BW82" s="128" t="s">
        <v>4507</v>
      </c>
      <c r="BX82" s="292"/>
      <c r="BY82" s="292" t="s">
        <v>4508</v>
      </c>
      <c r="BZ82" s="292" t="s">
        <v>4509</v>
      </c>
      <c r="CA82" s="492"/>
      <c r="CB82" s="492"/>
      <c r="CC82" s="492"/>
      <c r="CD82" s="492"/>
      <c r="CE82" s="493"/>
      <c r="CF82" s="294" t="s">
        <v>4510</v>
      </c>
      <c r="CG82" s="294" t="s">
        <v>187</v>
      </c>
      <c r="CH82" s="294" t="s">
        <v>3540</v>
      </c>
      <c r="CI82" s="294" t="s">
        <v>4511</v>
      </c>
      <c r="CJ82" s="294"/>
      <c r="CK82" s="294" t="s">
        <v>4512</v>
      </c>
      <c r="CL82" s="294" t="s">
        <v>4513</v>
      </c>
      <c r="CM82" s="294" t="s">
        <v>1638</v>
      </c>
      <c r="CN82" s="294" t="s">
        <v>4514</v>
      </c>
      <c r="CO82" s="494"/>
      <c r="CP82" s="495"/>
      <c r="CQ82" s="495"/>
      <c r="CR82" s="495"/>
      <c r="CS82" s="495"/>
      <c r="CT82" s="485"/>
      <c r="CU82" s="373" t="s">
        <v>4515</v>
      </c>
      <c r="CV82" s="373" t="s">
        <v>4516</v>
      </c>
      <c r="CW82" s="373" t="s">
        <v>1006</v>
      </c>
      <c r="CX82" s="373" t="s">
        <v>3688</v>
      </c>
      <c r="CY82" s="373" t="s">
        <v>2159</v>
      </c>
      <c r="CZ82" s="373" t="s">
        <v>3792</v>
      </c>
      <c r="DA82" s="373" t="s">
        <v>4517</v>
      </c>
      <c r="DB82" s="373" t="s">
        <v>4144</v>
      </c>
      <c r="DC82" s="496"/>
      <c r="DD82" s="496"/>
      <c r="DE82" s="496"/>
      <c r="DF82" s="496"/>
      <c r="DG82" s="497"/>
      <c r="DH82" s="414" t="s">
        <v>4518</v>
      </c>
      <c r="DI82" s="498"/>
      <c r="DJ82" s="498"/>
      <c r="DK82" s="414"/>
      <c r="DL82" s="414"/>
      <c r="DM82" s="414"/>
      <c r="DN82" s="498"/>
      <c r="DO82" s="498"/>
      <c r="DP82" s="498"/>
      <c r="DQ82" s="414" t="s">
        <v>4519</v>
      </c>
      <c r="DR82" s="414" t="s">
        <v>4520</v>
      </c>
      <c r="DS82" s="498"/>
      <c r="DT82" s="414"/>
      <c r="DU82" s="498"/>
      <c r="DV82" s="498"/>
      <c r="DW82" s="498"/>
      <c r="DX82" s="498"/>
      <c r="DY82" s="498"/>
      <c r="DZ82" s="414"/>
      <c r="EA82" s="498"/>
      <c r="EB82" s="498"/>
      <c r="EC82" s="285"/>
    </row>
    <row r="83">
      <c r="A83" s="81" t="s">
        <v>4521</v>
      </c>
      <c r="B83" s="82" t="s">
        <v>4522</v>
      </c>
      <c r="C83" s="83" t="s">
        <v>1262</v>
      </c>
      <c r="D83" s="84" t="s">
        <v>1262</v>
      </c>
      <c r="E83" s="85" t="s">
        <v>1262</v>
      </c>
      <c r="F83" s="86" t="s">
        <v>2375</v>
      </c>
      <c r="G83" s="82" t="s">
        <v>744</v>
      </c>
      <c r="H83" s="88" t="s">
        <v>4523</v>
      </c>
      <c r="I83" s="88" t="s">
        <v>4524</v>
      </c>
      <c r="J83" s="264" t="s">
        <v>750</v>
      </c>
      <c r="K83" s="88" t="s">
        <v>4525</v>
      </c>
      <c r="L83" s="88" t="s">
        <v>208</v>
      </c>
      <c r="M83" s="88" t="s">
        <v>4526</v>
      </c>
      <c r="N83" s="88" t="s">
        <v>4527</v>
      </c>
      <c r="O83" s="88" t="s">
        <v>4528</v>
      </c>
      <c r="P83" s="88" t="s">
        <v>240</v>
      </c>
      <c r="Q83" s="88" t="s">
        <v>4529</v>
      </c>
      <c r="R83" s="93" t="s">
        <v>1990</v>
      </c>
      <c r="S83" s="93" t="s">
        <v>4220</v>
      </c>
      <c r="T83" s="93" t="s">
        <v>2145</v>
      </c>
      <c r="U83" s="93" t="s">
        <v>4530</v>
      </c>
      <c r="V83" s="93" t="s">
        <v>4531</v>
      </c>
      <c r="W83" s="92"/>
      <c r="X83" s="88" t="s">
        <v>1475</v>
      </c>
      <c r="Y83" s="88" t="s">
        <v>469</v>
      </c>
      <c r="Z83" s="88" t="s">
        <v>294</v>
      </c>
      <c r="AA83" s="93" t="s">
        <v>4532</v>
      </c>
      <c r="AB83" s="93" t="s">
        <v>3140</v>
      </c>
      <c r="AC83" s="88" t="s">
        <v>2776</v>
      </c>
      <c r="AD83" s="88" t="s">
        <v>4533</v>
      </c>
      <c r="AE83" s="88" t="s">
        <v>4534</v>
      </c>
      <c r="AF83" s="88" t="s">
        <v>1572</v>
      </c>
      <c r="AG83" s="93" t="s">
        <v>4535</v>
      </c>
      <c r="AH83" s="93" t="s">
        <v>4536</v>
      </c>
      <c r="AI83" s="93" t="s">
        <v>3533</v>
      </c>
      <c r="AJ83" s="93" t="s">
        <v>4537</v>
      </c>
      <c r="AK83" s="96"/>
      <c r="AL83" s="93" t="s">
        <v>716</v>
      </c>
      <c r="AM83" s="93" t="s">
        <v>4538</v>
      </c>
      <c r="AN83" s="93" t="s">
        <v>4539</v>
      </c>
      <c r="AO83" s="93" t="s">
        <v>4540</v>
      </c>
      <c r="AP83" s="93" t="s">
        <v>4541</v>
      </c>
      <c r="AQ83" s="93"/>
      <c r="AR83" s="93" t="s">
        <v>3538</v>
      </c>
      <c r="AS83" s="93" t="s">
        <v>3006</v>
      </c>
      <c r="AT83" s="88" t="s">
        <v>2774</v>
      </c>
      <c r="AU83" s="88" t="s">
        <v>181</v>
      </c>
      <c r="AV83" s="88" t="s">
        <v>637</v>
      </c>
      <c r="AW83" s="93" t="s">
        <v>4091</v>
      </c>
      <c r="AX83" s="93" t="s">
        <v>3294</v>
      </c>
      <c r="AY83" s="93" t="s">
        <v>4542</v>
      </c>
      <c r="AZ83" s="93"/>
      <c r="BA83" s="88" t="s">
        <v>288</v>
      </c>
      <c r="BB83" s="88" t="s">
        <v>4280</v>
      </c>
      <c r="BC83" s="88" t="s">
        <v>4543</v>
      </c>
      <c r="BD83" s="88" t="s">
        <v>3459</v>
      </c>
      <c r="BE83" s="93" t="s">
        <v>4544</v>
      </c>
      <c r="BF83" s="93" t="s">
        <v>4545</v>
      </c>
      <c r="BG83" s="93" t="s">
        <v>4546</v>
      </c>
      <c r="BH83" s="88" t="s">
        <v>296</v>
      </c>
      <c r="BI83" s="93" t="s">
        <v>4547</v>
      </c>
      <c r="BJ83" s="93"/>
      <c r="BK83" s="88" t="s">
        <v>4548</v>
      </c>
      <c r="BL83" s="93" t="s">
        <v>4549</v>
      </c>
      <c r="BM83" s="93" t="s">
        <v>195</v>
      </c>
      <c r="BN83" s="88" t="s">
        <v>2946</v>
      </c>
      <c r="BO83" s="93" t="s">
        <v>4550</v>
      </c>
      <c r="BP83" s="93"/>
      <c r="BQ83" s="98"/>
      <c r="BR83" s="93" t="s">
        <v>4551</v>
      </c>
      <c r="BS83" s="88" t="s">
        <v>3933</v>
      </c>
      <c r="BT83" s="88" t="s">
        <v>1049</v>
      </c>
      <c r="BU83" s="88" t="s">
        <v>4552</v>
      </c>
      <c r="BV83" s="88" t="s">
        <v>2132</v>
      </c>
      <c r="BW83" s="93" t="s">
        <v>701</v>
      </c>
      <c r="BX83" s="93" t="s">
        <v>4553</v>
      </c>
      <c r="BY83" s="98"/>
      <c r="BZ83" s="88" t="s">
        <v>4554</v>
      </c>
      <c r="CA83" s="88" t="s">
        <v>4555</v>
      </c>
      <c r="CB83" s="88" t="s">
        <v>1141</v>
      </c>
      <c r="CC83" s="93" t="s">
        <v>140</v>
      </c>
      <c r="CD83" s="93" t="s">
        <v>4556</v>
      </c>
      <c r="CE83" s="93"/>
      <c r="CF83" s="264" t="s">
        <v>4557</v>
      </c>
      <c r="CG83" s="88" t="s">
        <v>1744</v>
      </c>
      <c r="CH83" s="88" t="s">
        <v>4558</v>
      </c>
      <c r="CI83" s="93" t="s">
        <v>3313</v>
      </c>
      <c r="CJ83" s="93"/>
      <c r="CK83" s="375" t="s">
        <v>4193</v>
      </c>
      <c r="CL83" s="88" t="s">
        <v>4559</v>
      </c>
      <c r="CM83" s="88" t="s">
        <v>4457</v>
      </c>
      <c r="CN83" s="88" t="s">
        <v>1785</v>
      </c>
      <c r="CO83" s="93" t="s">
        <v>4560</v>
      </c>
      <c r="CP83" s="93" t="s">
        <v>777</v>
      </c>
      <c r="CQ83" s="93" t="s">
        <v>2301</v>
      </c>
      <c r="CR83" s="93" t="s">
        <v>4561</v>
      </c>
      <c r="CS83" s="93" t="s">
        <v>948</v>
      </c>
      <c r="CT83" s="92"/>
      <c r="CU83" s="264" t="s">
        <v>4562</v>
      </c>
      <c r="CV83" s="88" t="s">
        <v>2002</v>
      </c>
      <c r="CW83" s="93" t="s">
        <v>2501</v>
      </c>
      <c r="CX83" s="93" t="s">
        <v>3498</v>
      </c>
      <c r="CY83" s="93" t="s">
        <v>550</v>
      </c>
      <c r="CZ83" s="93" t="s">
        <v>3925</v>
      </c>
      <c r="DA83" s="88" t="s">
        <v>4563</v>
      </c>
      <c r="DB83" s="93" t="s">
        <v>363</v>
      </c>
      <c r="DC83" s="93" t="s">
        <v>4564</v>
      </c>
      <c r="DD83" s="93" t="s">
        <v>2060</v>
      </c>
      <c r="DE83" s="93" t="s">
        <v>4565</v>
      </c>
      <c r="DF83" s="93" t="s">
        <v>4566</v>
      </c>
      <c r="DG83" s="93"/>
      <c r="DH83" s="93" t="s">
        <v>4567</v>
      </c>
      <c r="DI83" s="93" t="s">
        <v>4568</v>
      </c>
      <c r="DJ83" s="93" t="s">
        <v>4569</v>
      </c>
      <c r="DK83" s="88" t="s">
        <v>1473</v>
      </c>
      <c r="DL83" s="88" t="s">
        <v>3910</v>
      </c>
      <c r="DM83" s="93" t="s">
        <v>4570</v>
      </c>
      <c r="DN83" s="93" t="s">
        <v>4571</v>
      </c>
      <c r="DO83" s="93" t="s">
        <v>3076</v>
      </c>
      <c r="DP83" s="93" t="s">
        <v>4202</v>
      </c>
      <c r="DQ83" s="88" t="s">
        <v>4572</v>
      </c>
      <c r="DR83" s="88" t="s">
        <v>3444</v>
      </c>
      <c r="DS83" s="88" t="s">
        <v>3722</v>
      </c>
      <c r="DT83" s="93" t="s">
        <v>2113</v>
      </c>
      <c r="DU83" s="93" t="s">
        <v>4573</v>
      </c>
      <c r="DV83" s="88" t="s">
        <v>2783</v>
      </c>
      <c r="DW83" s="93" t="s">
        <v>2191</v>
      </c>
      <c r="DX83" s="93" t="s">
        <v>1909</v>
      </c>
      <c r="DY83" s="93" t="s">
        <v>2487</v>
      </c>
      <c r="DZ83" s="93" t="s">
        <v>1461</v>
      </c>
      <c r="EA83" s="93" t="s">
        <v>2045</v>
      </c>
      <c r="EB83" s="93" t="s">
        <v>4574</v>
      </c>
      <c r="EC83" s="97" t="s">
        <v>4575</v>
      </c>
    </row>
    <row r="84">
      <c r="A84" s="164" t="s">
        <v>4576</v>
      </c>
      <c r="B84" s="104" t="s">
        <v>4577</v>
      </c>
      <c r="C84" s="105" t="s">
        <v>1262</v>
      </c>
      <c r="D84" s="106" t="s">
        <v>1262</v>
      </c>
      <c r="E84" s="107" t="s">
        <v>1262</v>
      </c>
      <c r="F84" s="108" t="s">
        <v>1262</v>
      </c>
      <c r="G84" s="104" t="s">
        <v>4578</v>
      </c>
      <c r="H84" s="242"/>
      <c r="I84" s="165" t="s">
        <v>4579</v>
      </c>
      <c r="J84" s="165" t="s">
        <v>4580</v>
      </c>
      <c r="K84" s="165" t="s">
        <v>4581</v>
      </c>
      <c r="L84" s="165" t="s">
        <v>2301</v>
      </c>
      <c r="M84" s="165" t="s">
        <v>4582</v>
      </c>
      <c r="N84" s="165" t="s">
        <v>4583</v>
      </c>
      <c r="O84" s="165" t="s">
        <v>850</v>
      </c>
      <c r="P84" s="165" t="s">
        <v>3994</v>
      </c>
      <c r="Q84" s="242"/>
      <c r="R84" s="165" t="s">
        <v>3684</v>
      </c>
      <c r="S84" s="165" t="s">
        <v>1513</v>
      </c>
      <c r="T84" s="242"/>
      <c r="U84" s="242"/>
      <c r="V84" s="242"/>
      <c r="W84" s="92"/>
      <c r="X84" s="195" t="s">
        <v>4584</v>
      </c>
      <c r="Y84" s="195" t="s">
        <v>363</v>
      </c>
      <c r="Z84" s="195" t="s">
        <v>2649</v>
      </c>
      <c r="AA84" s="298" t="s">
        <v>4585</v>
      </c>
      <c r="AB84" s="499" t="s">
        <v>4023</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4591</v>
      </c>
      <c r="BE84" s="172" t="s">
        <v>1610</v>
      </c>
      <c r="BF84" s="171"/>
      <c r="BG84" s="171"/>
      <c r="BH84" s="172" t="s">
        <v>2326</v>
      </c>
      <c r="BI84" s="172" t="s">
        <v>4592</v>
      </c>
      <c r="BJ84" s="172"/>
      <c r="BK84" s="171"/>
      <c r="BL84" s="171"/>
      <c r="BM84" s="172" t="s">
        <v>4593</v>
      </c>
      <c r="BN84" s="171"/>
      <c r="BO84" s="171"/>
      <c r="BP84" s="247"/>
      <c r="BQ84" s="173" t="s">
        <v>4594</v>
      </c>
      <c r="BR84" s="173" t="s">
        <v>3578</v>
      </c>
      <c r="BS84" s="173" t="s">
        <v>3246</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1754</v>
      </c>
      <c r="CM84" s="175" t="s">
        <v>2925</v>
      </c>
      <c r="CN84" s="175" t="s">
        <v>433</v>
      </c>
      <c r="CO84" s="253"/>
      <c r="CP84" s="253"/>
      <c r="CQ84" s="253"/>
      <c r="CR84" s="253"/>
      <c r="CS84" s="175" t="s">
        <v>4602</v>
      </c>
      <c r="CT84" s="92"/>
      <c r="CU84" s="202" t="s">
        <v>4603</v>
      </c>
      <c r="CV84" s="254"/>
      <c r="CW84" s="202" t="s">
        <v>3887</v>
      </c>
      <c r="CX84" s="202" t="s">
        <v>4604</v>
      </c>
      <c r="CY84" s="202" t="s">
        <v>4605</v>
      </c>
      <c r="CZ84" s="202" t="s">
        <v>932</v>
      </c>
      <c r="DA84" s="202" t="s">
        <v>4606</v>
      </c>
      <c r="DB84" s="202" t="s">
        <v>2664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1262</v>
      </c>
      <c r="D85" s="84" t="s">
        <v>1262</v>
      </c>
      <c r="E85" s="85" t="s">
        <v>1262</v>
      </c>
      <c r="F85" s="86" t="s">
        <v>438</v>
      </c>
      <c r="G85" s="82" t="s">
        <v>4611</v>
      </c>
      <c r="H85" s="93"/>
      <c r="I85" s="93" t="s">
        <v>4612</v>
      </c>
      <c r="J85" s="93" t="s">
        <v>2725</v>
      </c>
      <c r="K85" s="93" t="s">
        <v>3801</v>
      </c>
      <c r="L85" s="93" t="s">
        <v>4613</v>
      </c>
      <c r="M85" s="98"/>
      <c r="N85" s="93" t="s">
        <v>1230</v>
      </c>
      <c r="O85" s="93" t="s">
        <v>4614</v>
      </c>
      <c r="P85" s="93" t="s">
        <v>240</v>
      </c>
      <c r="Q85" s="98"/>
      <c r="R85" s="98"/>
      <c r="S85" s="98"/>
      <c r="T85" s="98"/>
      <c r="U85" s="98"/>
      <c r="V85" s="98"/>
      <c r="W85" s="92"/>
      <c r="X85" s="93" t="s">
        <v>4615</v>
      </c>
      <c r="Y85" s="93" t="s">
        <v>579</v>
      </c>
      <c r="Z85" s="93" t="s">
        <v>3527</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4402</v>
      </c>
      <c r="BE85" s="93" t="s">
        <v>854</v>
      </c>
      <c r="BF85" s="98"/>
      <c r="BG85" s="98"/>
      <c r="BH85" s="93" t="s">
        <v>771</v>
      </c>
      <c r="BI85" s="98"/>
      <c r="BJ85" s="93" t="s">
        <v>4618</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4619</v>
      </c>
      <c r="CI85" s="93" t="s">
        <v>4620</v>
      </c>
      <c r="CJ85" s="93"/>
      <c r="CK85" s="93"/>
      <c r="CL85" s="93" t="s">
        <v>4621</v>
      </c>
      <c r="CM85" s="93" t="s">
        <v>2247</v>
      </c>
      <c r="CN85" s="93" t="s">
        <v>4514</v>
      </c>
      <c r="CO85" s="98"/>
      <c r="CP85" s="98"/>
      <c r="CQ85" s="98"/>
      <c r="CR85" s="98"/>
      <c r="CS85" s="98"/>
      <c r="CT85" s="92"/>
      <c r="CU85" s="93" t="s">
        <v>4622</v>
      </c>
      <c r="CV85" s="98"/>
      <c r="CW85" s="93" t="s">
        <v>1909</v>
      </c>
      <c r="CX85" s="88" t="s">
        <v>4623</v>
      </c>
      <c r="CY85" s="93" t="s">
        <v>4624</v>
      </c>
      <c r="CZ85" s="93" t="s">
        <v>3370</v>
      </c>
      <c r="DA85" s="93" t="s">
        <v>4625</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4626</v>
      </c>
      <c r="B86" s="104" t="s">
        <v>4627</v>
      </c>
      <c r="C86" s="105" t="s">
        <v>1262</v>
      </c>
      <c r="D86" s="106" t="s">
        <v>1262</v>
      </c>
      <c r="E86" s="107" t="s">
        <v>1262</v>
      </c>
      <c r="F86" s="108" t="s">
        <v>3082</v>
      </c>
      <c r="G86" s="104" t="s">
        <v>2375</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4630</v>
      </c>
      <c r="CH86" s="131" t="str">
        <f>HYPERLINK("https://clips.twitch.tv/VenomousSavoryOtterPeteZaroll","36.77")</f>
        <v>36.77</v>
      </c>
      <c r="CI86" s="502" t="str">
        <f>HYPERLINK("https://www.twitch.tv/videos/203127903","1:35.90")</f>
        <v>1:35.90</v>
      </c>
      <c r="CJ86" s="503"/>
      <c r="CK86" s="503"/>
      <c r="CL86" s="261" t="s">
        <v>4631</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4632</v>
      </c>
      <c r="B87" s="82" t="s">
        <v>4633</v>
      </c>
      <c r="C87" s="83" t="s">
        <v>1262</v>
      </c>
      <c r="D87" s="84" t="s">
        <v>1262</v>
      </c>
      <c r="E87" s="85" t="s">
        <v>1262</v>
      </c>
      <c r="F87" s="86" t="s">
        <v>1262</v>
      </c>
      <c r="G87" s="82" t="s">
        <v>4578</v>
      </c>
      <c r="H87" s="93"/>
      <c r="I87" s="93" t="s">
        <v>3571</v>
      </c>
      <c r="J87" s="93" t="s">
        <v>4634</v>
      </c>
      <c r="K87" s="93" t="s">
        <v>4635</v>
      </c>
      <c r="L87" s="93" t="s">
        <v>4636</v>
      </c>
      <c r="M87" s="98"/>
      <c r="N87" s="93" t="s">
        <v>4637</v>
      </c>
      <c r="O87" s="93" t="s">
        <v>4232</v>
      </c>
      <c r="P87" s="93" t="s">
        <v>4638</v>
      </c>
      <c r="Q87" s="98"/>
      <c r="R87" s="98"/>
      <c r="S87" s="93" t="s">
        <v>1210</v>
      </c>
      <c r="T87" s="98"/>
      <c r="U87" s="93" t="s">
        <v>1865</v>
      </c>
      <c r="V87" s="98"/>
      <c r="W87" s="92"/>
      <c r="X87" s="93" t="s">
        <v>1321</v>
      </c>
      <c r="Y87" s="93" t="s">
        <v>722</v>
      </c>
      <c r="Z87" s="93" t="s">
        <v>4639</v>
      </c>
      <c r="AA87" s="93" t="s">
        <v>4640</v>
      </c>
      <c r="AB87" s="93" t="s">
        <v>1700</v>
      </c>
      <c r="AC87" s="93" t="s">
        <v>1651</v>
      </c>
      <c r="AD87" s="98"/>
      <c r="AE87" s="93" t="s">
        <v>3130</v>
      </c>
      <c r="AF87" s="98"/>
      <c r="AG87" s="98"/>
      <c r="AH87" s="93"/>
      <c r="AI87" s="93" t="s">
        <v>3124</v>
      </c>
      <c r="AJ87" s="98"/>
      <c r="AK87" s="96"/>
      <c r="AL87" s="98"/>
      <c r="AM87" s="93" t="s">
        <v>4217</v>
      </c>
      <c r="AN87" s="98"/>
      <c r="AO87" s="93" t="s">
        <v>4641</v>
      </c>
      <c r="AP87" s="98"/>
      <c r="AQ87" s="98"/>
      <c r="AR87" s="98"/>
      <c r="AS87" s="98"/>
      <c r="AT87" s="93" t="s">
        <v>1879</v>
      </c>
      <c r="AU87" s="93" t="s">
        <v>1877</v>
      </c>
      <c r="AV87" s="98"/>
      <c r="AW87" s="93"/>
      <c r="AX87" s="93" t="s">
        <v>4642</v>
      </c>
      <c r="AY87" s="98"/>
      <c r="AZ87" s="98"/>
      <c r="BA87" s="93" t="s">
        <v>4643</v>
      </c>
      <c r="BB87" s="93" t="s">
        <v>4360</v>
      </c>
      <c r="BC87" s="98"/>
      <c r="BD87" s="93" t="s">
        <v>1430</v>
      </c>
      <c r="BE87" s="93" t="s">
        <v>1518</v>
      </c>
      <c r="BF87" s="98"/>
      <c r="BG87" s="98"/>
      <c r="BH87" s="93" t="s">
        <v>1180</v>
      </c>
      <c r="BI87" s="93" t="s">
        <v>4644</v>
      </c>
      <c r="BJ87" s="93"/>
      <c r="BK87" s="98"/>
      <c r="BL87" s="98"/>
      <c r="BM87" s="93" t="s">
        <v>3583</v>
      </c>
      <c r="BN87" s="98"/>
      <c r="BO87" s="98"/>
      <c r="BP87" s="235"/>
      <c r="BQ87" s="93" t="s">
        <v>4645</v>
      </c>
      <c r="BR87" s="93" t="s">
        <v>3578</v>
      </c>
      <c r="BS87" s="93" t="s">
        <v>2307</v>
      </c>
      <c r="BT87" s="93" t="s">
        <v>4646</v>
      </c>
      <c r="BU87" s="93" t="s">
        <v>244</v>
      </c>
      <c r="BV87" s="93" t="s">
        <v>3786</v>
      </c>
      <c r="BW87" s="98"/>
      <c r="BX87" s="93" t="s">
        <v>2449</v>
      </c>
      <c r="BY87" s="93" t="s">
        <v>4647</v>
      </c>
      <c r="BZ87" s="93"/>
      <c r="CA87" s="98"/>
      <c r="CB87" s="93" t="s">
        <v>1489</v>
      </c>
      <c r="CC87" s="93" t="s">
        <v>235</v>
      </c>
      <c r="CD87" s="98"/>
      <c r="CE87" s="235"/>
      <c r="CF87" s="93" t="s">
        <v>3999</v>
      </c>
      <c r="CG87" s="93" t="s">
        <v>511</v>
      </c>
      <c r="CH87" s="505"/>
      <c r="CI87" s="93" t="s">
        <v>4648</v>
      </c>
      <c r="CJ87" s="93"/>
      <c r="CK87" s="93"/>
      <c r="CL87" s="93" t="s">
        <v>4649</v>
      </c>
      <c r="CM87" s="93" t="s">
        <v>205</v>
      </c>
      <c r="CN87" s="98"/>
      <c r="CO87" s="98"/>
      <c r="CP87" s="98"/>
      <c r="CQ87" s="93"/>
      <c r="CR87" s="93" t="s">
        <v>4650</v>
      </c>
      <c r="CS87" s="98"/>
      <c r="CT87" s="92"/>
      <c r="CU87" s="93" t="s">
        <v>3791</v>
      </c>
      <c r="CV87" s="98"/>
      <c r="CW87" s="93" t="s">
        <v>4599</v>
      </c>
      <c r="CX87" s="93" t="s">
        <v>4651</v>
      </c>
      <c r="CY87" s="93" t="s">
        <v>4366</v>
      </c>
      <c r="CZ87" s="98"/>
      <c r="DA87" s="93" t="s">
        <v>4652</v>
      </c>
      <c r="DB87" s="93" t="s">
        <v>4653</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4654</v>
      </c>
      <c r="DW87" s="98"/>
      <c r="DX87" s="98"/>
      <c r="DY87" s="93" t="s">
        <v>1764</v>
      </c>
      <c r="DZ87" s="93" t="s">
        <v>4655</v>
      </c>
      <c r="EA87" s="98"/>
      <c r="EB87" s="98"/>
      <c r="EC87" s="258"/>
    </row>
    <row r="88">
      <c r="A88" s="506" t="s">
        <v>4656</v>
      </c>
      <c r="B88" s="104" t="s">
        <v>4657</v>
      </c>
      <c r="C88" s="105" t="s">
        <v>1262</v>
      </c>
      <c r="D88" s="106" t="s">
        <v>438</v>
      </c>
      <c r="E88" s="107" t="s">
        <v>1262</v>
      </c>
      <c r="F88" s="108" t="s">
        <v>4658</v>
      </c>
      <c r="G88" s="104" t="s">
        <v>2025</v>
      </c>
      <c r="H88" s="112" t="s">
        <v>3578</v>
      </c>
      <c r="I88" s="507"/>
      <c r="J88" s="508" t="s">
        <v>4659</v>
      </c>
      <c r="K88" s="112" t="s">
        <v>993</v>
      </c>
      <c r="L88" s="112" t="s">
        <v>2162</v>
      </c>
      <c r="M88" s="112" t="s">
        <v>4660</v>
      </c>
      <c r="N88" s="508"/>
      <c r="O88" s="508" t="s">
        <v>107</v>
      </c>
      <c r="P88" s="112" t="s">
        <v>557</v>
      </c>
      <c r="Q88" s="112" t="s">
        <v>4661</v>
      </c>
      <c r="R88" s="112" t="s">
        <v>3904</v>
      </c>
      <c r="S88" s="242"/>
      <c r="T88" s="112" t="s">
        <v>4662</v>
      </c>
      <c r="U88" s="242"/>
      <c r="V88" s="112" t="s">
        <v>4663</v>
      </c>
      <c r="W88" s="92"/>
      <c r="X88" s="116"/>
      <c r="Y88" s="116" t="s">
        <v>2966</v>
      </c>
      <c r="Z88" s="115" t="s">
        <v>322</v>
      </c>
      <c r="AA88" s="356"/>
      <c r="AB88" s="116" t="s">
        <v>1056</v>
      </c>
      <c r="AC88" s="115" t="s">
        <v>4087</v>
      </c>
      <c r="AD88" s="195" t="s">
        <v>4664</v>
      </c>
      <c r="AE88" s="115" t="s">
        <v>2282</v>
      </c>
      <c r="AF88" s="115" t="s">
        <v>1282</v>
      </c>
      <c r="AG88" s="115" t="s">
        <v>4665</v>
      </c>
      <c r="AH88" s="115" t="s">
        <v>1832</v>
      </c>
      <c r="AI88" s="115" t="s">
        <v>1832</v>
      </c>
      <c r="AJ88" s="115" t="s">
        <v>4666</v>
      </c>
      <c r="AK88" s="96"/>
      <c r="AL88" s="123"/>
      <c r="AM88" s="123"/>
      <c r="AN88" s="245"/>
      <c r="AO88" s="245"/>
      <c r="AP88" s="166"/>
      <c r="AQ88" s="166"/>
      <c r="AR88" s="245"/>
      <c r="AS88" s="245"/>
      <c r="AT88" s="123" t="s">
        <v>363</v>
      </c>
      <c r="AU88" s="120" t="s">
        <v>4667</v>
      </c>
      <c r="AV88" s="123"/>
      <c r="AW88" s="120" t="s">
        <v>1671</v>
      </c>
      <c r="AX88" s="120" t="s">
        <v>1671</v>
      </c>
      <c r="AY88" s="168"/>
      <c r="AZ88" s="245"/>
      <c r="BA88" s="509"/>
      <c r="BB88" s="509"/>
      <c r="BC88" s="509"/>
      <c r="BD88" s="125" t="s">
        <v>1461</v>
      </c>
      <c r="BE88" s="509"/>
      <c r="BF88" s="125" t="s">
        <v>4668</v>
      </c>
      <c r="BG88" s="171"/>
      <c r="BH88" s="509"/>
      <c r="BI88" s="171"/>
      <c r="BJ88" s="509" t="s">
        <v>4669</v>
      </c>
      <c r="BK88" s="126" t="s">
        <v>4670</v>
      </c>
      <c r="BL88" s="171"/>
      <c r="BM88" s="125" t="s">
        <v>3936</v>
      </c>
      <c r="BN88" s="125" t="s">
        <v>4671</v>
      </c>
      <c r="BO88" s="171"/>
      <c r="BP88" s="247"/>
      <c r="BQ88" s="130"/>
      <c r="BR88" s="130"/>
      <c r="BS88" s="128" t="s">
        <v>4672</v>
      </c>
      <c r="BT88" s="130"/>
      <c r="BU88" s="130"/>
      <c r="BV88" s="130"/>
      <c r="BW88" s="250"/>
      <c r="BX88" s="130" t="s">
        <v>4673</v>
      </c>
      <c r="BY88" s="130" t="s">
        <v>4135</v>
      </c>
      <c r="BZ88" s="130"/>
      <c r="CA88" s="250"/>
      <c r="CB88" s="128" t="s">
        <v>4674</v>
      </c>
      <c r="CC88" s="250"/>
      <c r="CD88" s="250"/>
      <c r="CE88" s="251"/>
      <c r="CF88" s="134" t="s">
        <v>1396</v>
      </c>
      <c r="CG88" s="134" t="s">
        <v>2355</v>
      </c>
      <c r="CH88" s="134" t="s">
        <v>1751</v>
      </c>
      <c r="CI88" s="135"/>
      <c r="CJ88" s="135"/>
      <c r="CK88" s="135"/>
      <c r="CL88" s="135"/>
      <c r="CM88" s="134" t="s">
        <v>1787</v>
      </c>
      <c r="CN88" s="134" t="s">
        <v>3842</v>
      </c>
      <c r="CO88" s="510"/>
      <c r="CP88" s="253"/>
      <c r="CQ88" s="230" t="s">
        <v>4675</v>
      </c>
      <c r="CR88" s="134" t="s">
        <v>2005</v>
      </c>
      <c r="CS88" s="253"/>
      <c r="CT88" s="92"/>
      <c r="CU88" s="283"/>
      <c r="CV88" s="283"/>
      <c r="CW88" s="139" t="s">
        <v>4676</v>
      </c>
      <c r="CX88" s="139" t="s">
        <v>2170</v>
      </c>
      <c r="CY88" s="283"/>
      <c r="CZ88" s="283"/>
      <c r="DA88" s="139" t="s">
        <v>4197</v>
      </c>
      <c r="DB88" s="139" t="s">
        <v>3765</v>
      </c>
      <c r="DC88" s="139" t="s">
        <v>4677</v>
      </c>
      <c r="DD88" s="139" t="s">
        <v>4678</v>
      </c>
      <c r="DE88" s="254"/>
      <c r="DF88" s="254"/>
      <c r="DG88" s="255"/>
      <c r="DH88" s="204"/>
      <c r="DI88" s="256"/>
      <c r="DJ88" s="256"/>
      <c r="DK88" s="204"/>
      <c r="DL88" s="204"/>
      <c r="DM88" s="204"/>
      <c r="DN88" s="256"/>
      <c r="DO88" s="256"/>
      <c r="DP88" s="256"/>
      <c r="DQ88" s="204"/>
      <c r="DR88" s="204"/>
      <c r="DS88" s="256"/>
      <c r="DT88" s="204"/>
      <c r="DU88" s="256"/>
      <c r="DV88" s="256"/>
      <c r="DW88" s="144" t="s">
        <v>4679</v>
      </c>
      <c r="DX88" s="256"/>
      <c r="DY88" s="256"/>
      <c r="DZ88" s="204"/>
      <c r="EA88" s="256"/>
      <c r="EB88" s="256"/>
      <c r="EC88" s="285"/>
    </row>
    <row r="89">
      <c r="A89" s="511" t="s">
        <v>4680</v>
      </c>
      <c r="B89" s="512" t="s">
        <v>4681</v>
      </c>
      <c r="C89" s="513" t="s">
        <v>1262</v>
      </c>
      <c r="D89" s="514" t="s">
        <v>1262</v>
      </c>
      <c r="E89" s="515" t="s">
        <v>1262</v>
      </c>
      <c r="F89" s="516" t="s">
        <v>2977</v>
      </c>
      <c r="G89" s="512" t="s">
        <v>1354</v>
      </c>
      <c r="H89" s="517" t="s">
        <v>4682</v>
      </c>
      <c r="I89" s="518" t="s">
        <v>4683</v>
      </c>
      <c r="J89" s="517" t="s">
        <v>4684</v>
      </c>
      <c r="K89" s="517" t="s">
        <v>2237</v>
      </c>
      <c r="L89" s="517" t="s">
        <v>2868</v>
      </c>
      <c r="M89" s="517" t="s">
        <v>4685</v>
      </c>
      <c r="N89" s="518" t="s">
        <v>4686</v>
      </c>
      <c r="O89" s="517" t="s">
        <v>372</v>
      </c>
      <c r="P89" s="519" t="s">
        <v>4687</v>
      </c>
      <c r="Q89" s="519" t="s">
        <v>4688</v>
      </c>
      <c r="R89" s="519" t="s">
        <v>2519</v>
      </c>
      <c r="S89" s="519" t="s">
        <v>4083</v>
      </c>
      <c r="T89" s="519" t="s">
        <v>1271</v>
      </c>
      <c r="U89" s="519" t="s">
        <v>4689</v>
      </c>
      <c r="V89" s="517" t="s">
        <v>4690</v>
      </c>
      <c r="W89" s="520"/>
      <c r="X89" s="517" t="s">
        <v>2893</v>
      </c>
      <c r="Y89" s="517" t="s">
        <v>4691</v>
      </c>
      <c r="Z89" s="518" t="s">
        <v>512</v>
      </c>
      <c r="AA89" s="518" t="s">
        <v>630</v>
      </c>
      <c r="AB89" s="517" t="s">
        <v>2299</v>
      </c>
      <c r="AC89" s="518" t="s">
        <v>4692</v>
      </c>
      <c r="AD89" s="517"/>
      <c r="AE89" s="517" t="s">
        <v>4693</v>
      </c>
      <c r="AF89" s="297" t="s">
        <v>4694</v>
      </c>
      <c r="AG89" s="517" t="s">
        <v>3521</v>
      </c>
      <c r="AH89" s="519" t="s">
        <v>1407</v>
      </c>
      <c r="AI89" s="88" t="s">
        <v>2171</v>
      </c>
      <c r="AJ89" s="519" t="s">
        <v>4695</v>
      </c>
      <c r="AK89" s="521"/>
      <c r="AL89" s="517" t="s">
        <v>3420</v>
      </c>
      <c r="AM89" s="517" t="s">
        <v>1310</v>
      </c>
      <c r="AN89" s="517" t="s">
        <v>4696</v>
      </c>
      <c r="AO89" s="519" t="s">
        <v>2982</v>
      </c>
      <c r="AP89" s="519" t="s">
        <v>132</v>
      </c>
      <c r="AQ89" s="519" t="s">
        <v>2070</v>
      </c>
      <c r="AR89" s="517" t="s">
        <v>4697</v>
      </c>
      <c r="AS89" s="519" t="s">
        <v>4698</v>
      </c>
      <c r="AT89" s="519" t="s">
        <v>3138</v>
      </c>
      <c r="AU89" s="297" t="s">
        <v>2533</v>
      </c>
      <c r="AV89" s="517" t="s">
        <v>3192</v>
      </c>
      <c r="AW89" s="519" t="s">
        <v>261</v>
      </c>
      <c r="AX89" s="519" t="s">
        <v>752</v>
      </c>
      <c r="AY89" s="519" t="s">
        <v>4699</v>
      </c>
      <c r="AZ89" s="522"/>
      <c r="BA89" s="517" t="s">
        <v>4700</v>
      </c>
      <c r="BB89" s="297" t="s">
        <v>418</v>
      </c>
      <c r="BC89" s="517" t="s">
        <v>617</v>
      </c>
      <c r="BD89" s="518" t="s">
        <v>139</v>
      </c>
      <c r="BE89" s="517" t="s">
        <v>4701</v>
      </c>
      <c r="BF89" s="517" t="s">
        <v>840</v>
      </c>
      <c r="BG89" s="517" t="s">
        <v>4337</v>
      </c>
      <c r="BH89" s="517" t="s">
        <v>2470</v>
      </c>
      <c r="BI89" s="517" t="s">
        <v>4702</v>
      </c>
      <c r="BJ89" s="93"/>
      <c r="BK89" s="518" t="s">
        <v>2495</v>
      </c>
      <c r="BL89" s="523"/>
      <c r="BM89" s="523"/>
      <c r="BN89" s="523"/>
      <c r="BO89" s="523"/>
      <c r="BP89" s="524"/>
      <c r="BQ89" s="523"/>
      <c r="BR89" s="297" t="s">
        <v>4703</v>
      </c>
      <c r="BS89" s="517" t="s">
        <v>4704</v>
      </c>
      <c r="BT89" s="297" t="s">
        <v>2816</v>
      </c>
      <c r="BU89" s="517" t="s">
        <v>4337</v>
      </c>
      <c r="BV89" s="517" t="s">
        <v>4705</v>
      </c>
      <c r="BW89" s="517" t="s">
        <v>4706</v>
      </c>
      <c r="BX89" s="525" t="s">
        <v>4707</v>
      </c>
      <c r="BY89" s="523"/>
      <c r="BZ89" s="519" t="s">
        <v>4708</v>
      </c>
      <c r="CA89" s="523"/>
      <c r="CB89" s="523"/>
      <c r="CC89" s="523"/>
      <c r="CD89" s="523"/>
      <c r="CE89" s="524"/>
      <c r="CF89" s="518" t="s">
        <v>4709</v>
      </c>
      <c r="CG89" s="517" t="s">
        <v>820</v>
      </c>
      <c r="CH89" s="519" t="s">
        <v>4665</v>
      </c>
      <c r="CI89" s="517" t="s">
        <v>4710</v>
      </c>
      <c r="CJ89" s="517"/>
      <c r="CK89" s="517" t="s">
        <v>4711</v>
      </c>
      <c r="CL89" s="517" t="s">
        <v>4712</v>
      </c>
      <c r="CM89" s="517" t="s">
        <v>1068</v>
      </c>
      <c r="CN89" s="519" t="s">
        <v>4082</v>
      </c>
      <c r="CO89" s="517"/>
      <c r="CP89" s="519" t="s">
        <v>3199</v>
      </c>
      <c r="CQ89" s="519" t="s">
        <v>4713</v>
      </c>
      <c r="CR89" s="523"/>
      <c r="CS89" s="523"/>
      <c r="CT89" s="520"/>
      <c r="CU89" s="517" t="s">
        <v>4545</v>
      </c>
      <c r="CV89" s="518" t="s">
        <v>2142</v>
      </c>
      <c r="CW89" s="519" t="s">
        <v>4714</v>
      </c>
      <c r="CX89" s="518" t="s">
        <v>4715</v>
      </c>
      <c r="CY89" s="519" t="s">
        <v>4716</v>
      </c>
      <c r="CZ89" s="517" t="s">
        <v>2131</v>
      </c>
      <c r="DA89" s="526" t="s">
        <v>4717</v>
      </c>
      <c r="DB89" s="297" t="s">
        <v>1060</v>
      </c>
      <c r="DC89" s="523"/>
      <c r="DD89" s="523"/>
      <c r="DE89" s="523"/>
      <c r="DF89" s="523"/>
      <c r="DG89" s="524"/>
      <c r="DH89" s="517" t="s">
        <v>3802</v>
      </c>
      <c r="DI89" s="523"/>
      <c r="DJ89" s="517" t="s">
        <v>4718</v>
      </c>
      <c r="DK89" s="517"/>
      <c r="DL89" s="518" t="s">
        <v>4719</v>
      </c>
      <c r="DM89" s="517" t="s">
        <v>4720</v>
      </c>
      <c r="DN89" s="517" t="s">
        <v>4721</v>
      </c>
      <c r="DO89" s="517" t="s">
        <v>1951</v>
      </c>
      <c r="DP89" s="517" t="s">
        <v>4722</v>
      </c>
      <c r="DQ89" s="517" t="s">
        <v>4723</v>
      </c>
      <c r="DR89" s="519" t="s">
        <v>4724</v>
      </c>
      <c r="DS89" s="517" t="s">
        <v>3334</v>
      </c>
      <c r="DT89" s="517" t="s">
        <v>4725</v>
      </c>
      <c r="DU89" s="522"/>
      <c r="DV89" s="518" t="s">
        <v>1635</v>
      </c>
      <c r="DW89" s="523"/>
      <c r="DX89" s="518" t="s">
        <v>3110</v>
      </c>
      <c r="DY89" s="517" t="s">
        <v>2792</v>
      </c>
      <c r="DZ89" s="522"/>
      <c r="EA89" s="517" t="s">
        <v>1032</v>
      </c>
      <c r="EB89" s="522"/>
      <c r="EC89" s="97" t="s">
        <v>4726</v>
      </c>
    </row>
    <row r="90">
      <c r="A90" s="164" t="s">
        <v>4727</v>
      </c>
      <c r="B90" s="104" t="s">
        <v>4728</v>
      </c>
      <c r="C90" s="105" t="s">
        <v>1262</v>
      </c>
      <c r="D90" s="106" t="s">
        <v>1262</v>
      </c>
      <c r="E90" s="107" t="s">
        <v>1262</v>
      </c>
      <c r="F90" s="108" t="s">
        <v>332</v>
      </c>
      <c r="G90" s="104" t="s">
        <v>4729</v>
      </c>
      <c r="H90" s="165" t="s">
        <v>4730</v>
      </c>
      <c r="I90" s="165" t="s">
        <v>4116</v>
      </c>
      <c r="J90" s="165" t="s">
        <v>4296</v>
      </c>
      <c r="K90" s="165" t="s">
        <v>2726</v>
      </c>
      <c r="L90" s="165" t="s">
        <v>1087</v>
      </c>
      <c r="M90" s="165" t="s">
        <v>4731</v>
      </c>
      <c r="N90" s="165" t="s">
        <v>4732</v>
      </c>
      <c r="O90" s="165" t="s">
        <v>928</v>
      </c>
      <c r="P90" s="165" t="s">
        <v>4733</v>
      </c>
      <c r="Q90" s="242"/>
      <c r="R90" s="242"/>
      <c r="S90" s="165" t="s">
        <v>3246</v>
      </c>
      <c r="T90" s="165"/>
      <c r="U90" s="165" t="s">
        <v>4734</v>
      </c>
      <c r="V90" s="242"/>
      <c r="W90" s="92"/>
      <c r="X90" s="195" t="s">
        <v>4735</v>
      </c>
      <c r="Y90" s="195" t="s">
        <v>3808</v>
      </c>
      <c r="Z90" s="195" t="s">
        <v>4736</v>
      </c>
      <c r="AA90" s="195" t="s">
        <v>4737</v>
      </c>
      <c r="AB90" s="195" t="s">
        <v>4140</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4738</v>
      </c>
      <c r="BB90" s="172" t="s">
        <v>3196</v>
      </c>
      <c r="BC90" s="172" t="s">
        <v>2635</v>
      </c>
      <c r="BD90" s="172" t="s">
        <v>4739</v>
      </c>
      <c r="BE90" s="172" t="s">
        <v>3371</v>
      </c>
      <c r="BF90" s="172"/>
      <c r="BG90" s="171"/>
      <c r="BH90" s="172" t="s">
        <v>2046</v>
      </c>
      <c r="BI90" s="172" t="s">
        <v>4740</v>
      </c>
      <c r="BJ90" s="172"/>
      <c r="BK90" s="172" t="s">
        <v>2532</v>
      </c>
      <c r="BL90" s="172" t="s">
        <v>4741</v>
      </c>
      <c r="BM90" s="172" t="s">
        <v>4742</v>
      </c>
      <c r="BN90" s="171"/>
      <c r="BO90" s="171"/>
      <c r="BP90" s="247"/>
      <c r="BQ90" s="173"/>
      <c r="BR90" s="173" t="s">
        <v>2176</v>
      </c>
      <c r="BS90" s="173" t="s">
        <v>4448</v>
      </c>
      <c r="BT90" s="128" t="s">
        <v>892</v>
      </c>
      <c r="BU90" s="173" t="s">
        <v>4743</v>
      </c>
      <c r="BV90" s="128" t="s">
        <v>162</v>
      </c>
      <c r="BW90" s="173" t="s">
        <v>3392</v>
      </c>
      <c r="BX90" s="173" t="s">
        <v>4744</v>
      </c>
      <c r="BY90" s="250"/>
      <c r="BZ90" s="128" t="s">
        <v>1243</v>
      </c>
      <c r="CA90" s="173" t="s">
        <v>4745</v>
      </c>
      <c r="CB90" s="173" t="s">
        <v>4746</v>
      </c>
      <c r="CC90" s="173" t="s">
        <v>2566</v>
      </c>
      <c r="CD90" s="250"/>
      <c r="CE90" s="251"/>
      <c r="CF90" s="175" t="s">
        <v>4747</v>
      </c>
      <c r="CG90" s="175" t="s">
        <v>3322</v>
      </c>
      <c r="CH90" s="175" t="s">
        <v>3427</v>
      </c>
      <c r="CI90" s="175" t="s">
        <v>4748</v>
      </c>
      <c r="CJ90" s="175"/>
      <c r="CK90" s="175"/>
      <c r="CL90" s="175" t="s">
        <v>4749</v>
      </c>
      <c r="CM90" s="175" t="s">
        <v>3770</v>
      </c>
      <c r="CN90" s="175" t="s">
        <v>108</v>
      </c>
      <c r="CO90" s="253"/>
      <c r="CP90" s="253"/>
      <c r="CQ90" s="253"/>
      <c r="CR90" s="253"/>
      <c r="CS90" s="253"/>
      <c r="CT90" s="92"/>
      <c r="CU90" s="202" t="s">
        <v>4750</v>
      </c>
      <c r="CV90" s="202" t="s">
        <v>4751</v>
      </c>
      <c r="CW90" s="202" t="s">
        <v>4752</v>
      </c>
      <c r="CX90" s="202" t="s">
        <v>510</v>
      </c>
      <c r="CY90" s="202" t="s">
        <v>4753</v>
      </c>
      <c r="CZ90" s="202" t="s">
        <v>1089</v>
      </c>
      <c r="DA90" s="202" t="s">
        <v>4754</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4755</v>
      </c>
      <c r="DU90" s="203" t="s">
        <v>4756</v>
      </c>
      <c r="DV90" s="203" t="s">
        <v>3412</v>
      </c>
      <c r="DW90" s="256"/>
      <c r="DX90" s="256"/>
      <c r="DY90" s="203" t="s">
        <v>810</v>
      </c>
      <c r="DZ90" s="203" t="s">
        <v>1324</v>
      </c>
      <c r="EA90" s="256"/>
      <c r="EB90" s="256"/>
      <c r="EC90" s="285"/>
    </row>
    <row r="91">
      <c r="A91" s="527" t="s">
        <v>4757</v>
      </c>
      <c r="B91" s="82" t="s">
        <v>4758</v>
      </c>
      <c r="C91" s="83" t="s">
        <v>1262</v>
      </c>
      <c r="D91" s="84" t="s">
        <v>1262</v>
      </c>
      <c r="E91" s="85" t="s">
        <v>1262</v>
      </c>
      <c r="F91" s="86" t="s">
        <v>4759</v>
      </c>
      <c r="G91" s="82" t="s">
        <v>4760</v>
      </c>
      <c r="H91" s="98"/>
      <c r="I91" s="88" t="s">
        <v>2514</v>
      </c>
      <c r="J91" s="88" t="s">
        <v>2180</v>
      </c>
      <c r="K91" s="88" t="s">
        <v>1888</v>
      </c>
      <c r="L91" s="88" t="s">
        <v>1100</v>
      </c>
      <c r="M91" s="88" t="s">
        <v>4761</v>
      </c>
      <c r="N91" s="88" t="s">
        <v>4762</v>
      </c>
      <c r="O91" s="88" t="s">
        <v>1452</v>
      </c>
      <c r="P91" s="88" t="s">
        <v>557</v>
      </c>
      <c r="Q91" s="98"/>
      <c r="R91" s="98"/>
      <c r="S91" s="98"/>
      <c r="T91" s="98"/>
      <c r="U91" s="98"/>
      <c r="V91" s="98"/>
      <c r="W91" s="92"/>
      <c r="X91" s="88" t="s">
        <v>4763</v>
      </c>
      <c r="Y91" s="98"/>
      <c r="Z91" s="88" t="s">
        <v>4764</v>
      </c>
      <c r="AA91" s="88" t="s">
        <v>4765</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4766</v>
      </c>
      <c r="BC91" s="88" t="s">
        <v>2179</v>
      </c>
      <c r="BD91" s="88" t="s">
        <v>4767</v>
      </c>
      <c r="BE91" s="88" t="s">
        <v>2240</v>
      </c>
      <c r="BF91" s="98"/>
      <c r="BG91" s="98"/>
      <c r="BH91" s="88" t="s">
        <v>611</v>
      </c>
      <c r="BI91" s="98"/>
      <c r="BJ91" s="88" t="s">
        <v>4768</v>
      </c>
      <c r="BK91" s="88" t="s">
        <v>2571</v>
      </c>
      <c r="BL91" s="98"/>
      <c r="BM91" s="98"/>
      <c r="BN91" s="98"/>
      <c r="BO91" s="98"/>
      <c r="BP91" s="235"/>
      <c r="BQ91" s="88" t="s">
        <v>4769</v>
      </c>
      <c r="BR91" s="88" t="s">
        <v>2203</v>
      </c>
      <c r="BS91" s="88" t="s">
        <v>3540</v>
      </c>
      <c r="BT91" s="88" t="s">
        <v>4770</v>
      </c>
      <c r="BU91" s="98"/>
      <c r="BV91" s="88" t="s">
        <v>984</v>
      </c>
      <c r="BW91" s="93" t="s">
        <v>4771</v>
      </c>
      <c r="BX91" s="98"/>
      <c r="BY91" s="88" t="s">
        <v>4772</v>
      </c>
      <c r="BZ91" s="88" t="s">
        <v>1346</v>
      </c>
      <c r="CA91" s="98"/>
      <c r="CB91" s="98"/>
      <c r="CC91" s="98"/>
      <c r="CD91" s="98"/>
      <c r="CE91" s="235"/>
      <c r="CF91" s="98"/>
      <c r="CG91" s="88" t="s">
        <v>757</v>
      </c>
      <c r="CH91" s="98"/>
      <c r="CI91" s="93" t="s">
        <v>4773</v>
      </c>
      <c r="CJ91" s="93"/>
      <c r="CK91" s="93"/>
      <c r="CL91" s="98"/>
      <c r="CM91" s="88" t="s">
        <v>3454</v>
      </c>
      <c r="CN91" s="88" t="s">
        <v>2856</v>
      </c>
      <c r="CO91" s="98"/>
      <c r="CP91" s="98"/>
      <c r="CQ91" s="98"/>
      <c r="CR91" s="98"/>
      <c r="CS91" s="98"/>
      <c r="CT91" s="92"/>
      <c r="CU91" s="88" t="s">
        <v>4774</v>
      </c>
      <c r="CV91" s="375" t="str">
        <f>HYPERLINK("https://youtu.be/E3G9EWGMU-8?t=986", "14.55")</f>
        <v>14.55</v>
      </c>
      <c r="CW91" s="88" t="s">
        <v>3677</v>
      </c>
      <c r="CX91" s="88" t="s">
        <v>4775</v>
      </c>
      <c r="CY91" s="88" t="s">
        <v>624</v>
      </c>
      <c r="CZ91" s="98"/>
      <c r="DA91" s="88" t="s">
        <v>4776</v>
      </c>
      <c r="DB91" s="88" t="s">
        <v>3851</v>
      </c>
      <c r="DC91" s="98"/>
      <c r="DD91" s="98"/>
      <c r="DE91" s="98"/>
      <c r="DF91" s="98"/>
      <c r="DG91" s="235"/>
      <c r="DH91" s="88" t="s">
        <v>2380</v>
      </c>
      <c r="DI91" s="98"/>
      <c r="DJ91" s="98"/>
      <c r="DK91" s="98"/>
      <c r="DL91" s="88" t="s">
        <v>530</v>
      </c>
      <c r="DM91" s="98"/>
      <c r="DN91" s="98"/>
      <c r="DO91" s="98"/>
      <c r="DP91" s="98"/>
      <c r="DQ91" s="88" t="s">
        <v>4777</v>
      </c>
      <c r="DR91" s="88" t="s">
        <v>2424</v>
      </c>
      <c r="DS91" s="98"/>
      <c r="DT91" s="98"/>
      <c r="DU91" s="98"/>
      <c r="DV91" s="98"/>
      <c r="DW91" s="98"/>
      <c r="DX91" s="98"/>
      <c r="DY91" s="98"/>
      <c r="DZ91" s="93" t="s">
        <v>4778</v>
      </c>
      <c r="EA91" s="88" t="s">
        <v>2698</v>
      </c>
      <c r="EB91" s="98"/>
      <c r="EC91" s="97" t="s">
        <v>1813</v>
      </c>
    </row>
    <row r="92">
      <c r="A92" s="164" t="s">
        <v>4779</v>
      </c>
      <c r="B92" s="104" t="s">
        <v>4780</v>
      </c>
      <c r="C92" s="105" t="s">
        <v>1262</v>
      </c>
      <c r="D92" s="106" t="s">
        <v>1262</v>
      </c>
      <c r="E92" s="107" t="s">
        <v>1262</v>
      </c>
      <c r="F92" s="108" t="s">
        <v>1065</v>
      </c>
      <c r="G92" s="104" t="s">
        <v>1132</v>
      </c>
      <c r="H92" s="165" t="s">
        <v>3495</v>
      </c>
      <c r="I92" s="165" t="s">
        <v>4781</v>
      </c>
      <c r="J92" s="165" t="s">
        <v>1370</v>
      </c>
      <c r="K92" s="165" t="s">
        <v>4581</v>
      </c>
      <c r="L92" s="165" t="s">
        <v>4782</v>
      </c>
      <c r="M92" s="242"/>
      <c r="N92" s="165" t="s">
        <v>2205</v>
      </c>
      <c r="O92" s="165" t="s">
        <v>4397</v>
      </c>
      <c r="P92" s="165" t="s">
        <v>4050</v>
      </c>
      <c r="Q92" s="165" t="s">
        <v>2715</v>
      </c>
      <c r="R92" s="242"/>
      <c r="S92" s="165" t="s">
        <v>195</v>
      </c>
      <c r="T92" s="242"/>
      <c r="U92" s="242"/>
      <c r="V92" s="165" t="s">
        <v>4783</v>
      </c>
      <c r="W92" s="92"/>
      <c r="X92" s="195" t="s">
        <v>4784</v>
      </c>
      <c r="Y92" s="195" t="s">
        <v>4785</v>
      </c>
      <c r="Z92" s="195" t="s">
        <v>240</v>
      </c>
      <c r="AA92" s="195" t="s">
        <v>4786</v>
      </c>
      <c r="AB92" s="195" t="s">
        <v>4787</v>
      </c>
      <c r="AC92" s="195" t="s">
        <v>2993</v>
      </c>
      <c r="AD92" s="195" t="s">
        <v>4461</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2479</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2241</v>
      </c>
      <c r="BU92" s="173" t="s">
        <v>4800</v>
      </c>
      <c r="BV92" s="173" t="s">
        <v>2917</v>
      </c>
      <c r="BW92" s="250"/>
      <c r="BX92" s="173" t="s">
        <v>4801</v>
      </c>
      <c r="BY92" s="250"/>
      <c r="BZ92" s="173" t="s">
        <v>1118</v>
      </c>
      <c r="CA92" s="173" t="s">
        <v>4802</v>
      </c>
      <c r="CB92" s="173" t="s">
        <v>668</v>
      </c>
      <c r="CC92" s="173" t="s">
        <v>2956</v>
      </c>
      <c r="CD92" s="128" t="s">
        <v>4803</v>
      </c>
      <c r="CE92" s="293"/>
      <c r="CF92" s="175" t="s">
        <v>4804</v>
      </c>
      <c r="CG92" s="175" t="s">
        <v>1900</v>
      </c>
      <c r="CH92" s="253"/>
      <c r="CI92" s="253"/>
      <c r="CJ92" s="253"/>
      <c r="CK92" s="253" t="s">
        <v>3255</v>
      </c>
      <c r="CL92" s="253"/>
      <c r="CM92" s="175" t="s">
        <v>4805</v>
      </c>
      <c r="CN92" s="175" t="s">
        <v>3401</v>
      </c>
      <c r="CO92" s="253"/>
      <c r="CP92" s="175" t="s">
        <v>4009</v>
      </c>
      <c r="CQ92" s="253"/>
      <c r="CR92" s="253"/>
      <c r="CS92" s="134" t="s">
        <v>4806</v>
      </c>
      <c r="CT92" s="92"/>
      <c r="CU92" s="202" t="s">
        <v>2592</v>
      </c>
      <c r="CV92" s="139" t="s">
        <v>2210</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4638</v>
      </c>
      <c r="DM92" s="203" t="s">
        <v>4812</v>
      </c>
      <c r="DN92" s="144" t="s">
        <v>3857</v>
      </c>
      <c r="DO92" s="203" t="s">
        <v>3170</v>
      </c>
      <c r="DP92" s="203" t="s">
        <v>2294</v>
      </c>
      <c r="DQ92" s="203" t="s">
        <v>1039</v>
      </c>
      <c r="DR92" s="256"/>
      <c r="DS92" s="203" t="s">
        <v>4813</v>
      </c>
      <c r="DT92" s="203" t="s">
        <v>4814</v>
      </c>
      <c r="DU92" s="203" t="s">
        <v>4815</v>
      </c>
      <c r="DV92" s="203" t="s">
        <v>4816</v>
      </c>
      <c r="DW92" s="203" t="s">
        <v>1851</v>
      </c>
      <c r="DX92" s="203" t="s">
        <v>1318</v>
      </c>
      <c r="DY92" s="203" t="s">
        <v>4046</v>
      </c>
      <c r="DZ92" s="203" t="s">
        <v>3600</v>
      </c>
      <c r="EA92" s="203" t="s">
        <v>4817</v>
      </c>
      <c r="EB92" s="203" t="s">
        <v>1596</v>
      </c>
      <c r="EC92" s="285" t="s">
        <v>4818</v>
      </c>
    </row>
    <row r="93">
      <c r="A93" s="528" t="s">
        <v>4819</v>
      </c>
      <c r="B93" s="82" t="s">
        <v>4820</v>
      </c>
      <c r="C93" s="83" t="s">
        <v>1262</v>
      </c>
      <c r="D93" s="84" t="s">
        <v>1262</v>
      </c>
      <c r="E93" s="85" t="s">
        <v>1262</v>
      </c>
      <c r="F93" s="86" t="s">
        <v>220</v>
      </c>
      <c r="G93" s="82" t="s">
        <v>2344</v>
      </c>
      <c r="H93" s="98"/>
      <c r="I93" s="98"/>
      <c r="J93" s="93" t="s">
        <v>4821</v>
      </c>
      <c r="K93" s="93" t="s">
        <v>1001</v>
      </c>
      <c r="L93" s="93" t="s">
        <v>4822</v>
      </c>
      <c r="M93" s="93" t="s">
        <v>4823</v>
      </c>
      <c r="N93" s="93" t="s">
        <v>4824</v>
      </c>
      <c r="O93" s="93" t="s">
        <v>2693</v>
      </c>
      <c r="P93" s="88" t="s">
        <v>3088</v>
      </c>
      <c r="Q93" s="98"/>
      <c r="R93" s="98"/>
      <c r="S93" s="98"/>
      <c r="T93" s="98"/>
      <c r="U93" s="98"/>
      <c r="V93" s="93" t="s">
        <v>4825</v>
      </c>
      <c r="W93" s="92"/>
      <c r="X93" s="264" t="s">
        <v>2849</v>
      </c>
      <c r="Y93" s="93" t="s">
        <v>1010</v>
      </c>
      <c r="Z93" s="88" t="s">
        <v>1746</v>
      </c>
      <c r="AA93" s="88" t="s">
        <v>4826</v>
      </c>
      <c r="AB93" s="88" t="s">
        <v>2336</v>
      </c>
      <c r="AC93" s="264" t="s">
        <v>4307</v>
      </c>
      <c r="AD93" s="93"/>
      <c r="AE93" s="160" t="s">
        <v>3651</v>
      </c>
      <c r="AF93" s="88" t="s">
        <v>1831</v>
      </c>
      <c r="AG93" s="98"/>
      <c r="AH93" s="98"/>
      <c r="AI93" s="93" t="s">
        <v>2036</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4078</v>
      </c>
      <c r="BB93" s="93" t="s">
        <v>1950</v>
      </c>
      <c r="BC93" s="93" t="s">
        <v>2179</v>
      </c>
      <c r="BD93" s="88" t="s">
        <v>379</v>
      </c>
      <c r="BE93" s="93" t="s">
        <v>1233</v>
      </c>
      <c r="BF93" s="98"/>
      <c r="BG93" s="98"/>
      <c r="BH93" s="264" t="s">
        <v>2625</v>
      </c>
      <c r="BI93" s="98"/>
      <c r="BJ93" s="93" t="s">
        <v>4830</v>
      </c>
      <c r="BK93" s="98"/>
      <c r="BL93" s="93"/>
      <c r="BM93" s="93" t="s">
        <v>3199</v>
      </c>
      <c r="BN93" s="93" t="s">
        <v>4469</v>
      </c>
      <c r="BO93" s="98"/>
      <c r="BP93" s="235"/>
      <c r="BQ93" s="98"/>
      <c r="BR93" s="93" t="s">
        <v>2199</v>
      </c>
      <c r="BS93" s="97" t="s">
        <v>3409</v>
      </c>
      <c r="BT93" s="93" t="s">
        <v>2021</v>
      </c>
      <c r="BU93" s="93" t="s">
        <v>4831</v>
      </c>
      <c r="BV93" s="93" t="s">
        <v>2917</v>
      </c>
      <c r="BW93" s="98"/>
      <c r="BX93" s="98"/>
      <c r="BY93" s="98"/>
      <c r="BZ93" s="88" t="s">
        <v>4708</v>
      </c>
      <c r="CA93" s="88" t="s">
        <v>4832</v>
      </c>
      <c r="CB93" s="98"/>
      <c r="CC93" s="88" t="s">
        <v>3156</v>
      </c>
      <c r="CD93" s="93" t="s">
        <v>4833</v>
      </c>
      <c r="CE93" s="93"/>
      <c r="CF93" s="93" t="s">
        <v>4834</v>
      </c>
      <c r="CG93" s="88" t="s">
        <v>296</v>
      </c>
      <c r="CH93" s="93" t="s">
        <v>4835</v>
      </c>
      <c r="CI93" s="93" t="s">
        <v>4836</v>
      </c>
      <c r="CJ93" s="93"/>
      <c r="CK93" s="93"/>
      <c r="CL93" s="98"/>
      <c r="CM93" s="93" t="s">
        <v>4659</v>
      </c>
      <c r="CN93" s="88" t="s">
        <v>2856</v>
      </c>
      <c r="CO93" s="98"/>
      <c r="CP93" s="93"/>
      <c r="CQ93" s="98"/>
      <c r="CR93" s="98"/>
      <c r="CS93" s="93" t="s">
        <v>4837</v>
      </c>
      <c r="CT93" s="92"/>
      <c r="CU93" s="93" t="s">
        <v>4689</v>
      </c>
      <c r="CV93" s="98"/>
      <c r="CW93" s="264" t="s">
        <v>1612</v>
      </c>
      <c r="CX93" s="93" t="s">
        <v>4411</v>
      </c>
      <c r="CY93" s="93" t="s">
        <v>4838</v>
      </c>
      <c r="CZ93" s="93" t="s">
        <v>4839</v>
      </c>
      <c r="DA93" s="264" t="s">
        <v>4652</v>
      </c>
      <c r="DB93" s="93" t="s">
        <v>2664</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2726</v>
      </c>
      <c r="L94" s="165" t="s">
        <v>4623</v>
      </c>
      <c r="M94" s="112" t="s">
        <v>4849</v>
      </c>
      <c r="N94" s="242"/>
      <c r="O94" s="165" t="s">
        <v>931</v>
      </c>
      <c r="P94" s="165" t="s">
        <v>2649</v>
      </c>
      <c r="Q94" s="242"/>
      <c r="R94" s="242"/>
      <c r="S94" s="242"/>
      <c r="T94" s="242"/>
      <c r="U94" s="242"/>
      <c r="V94" s="242"/>
      <c r="W94" s="92"/>
      <c r="X94" s="195" t="s">
        <v>4850</v>
      </c>
      <c r="Y94" s="195" t="s">
        <v>2710</v>
      </c>
      <c r="Z94" s="244"/>
      <c r="AA94" s="195" t="s">
        <v>3072</v>
      </c>
      <c r="AB94" s="195" t="s">
        <v>4724</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2247</v>
      </c>
      <c r="CX94" s="254"/>
      <c r="CY94" s="202" t="s">
        <v>4859</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4862</v>
      </c>
      <c r="C95" s="83" t="s">
        <v>1262</v>
      </c>
      <c r="D95" s="84" t="s">
        <v>547</v>
      </c>
      <c r="E95" s="85" t="s">
        <v>1262</v>
      </c>
      <c r="F95" s="86" t="s">
        <v>4863</v>
      </c>
      <c r="G95" s="82" t="s">
        <v>2087</v>
      </c>
      <c r="H95" s="93" t="s">
        <v>793</v>
      </c>
      <c r="I95" s="88" t="s">
        <v>4864</v>
      </c>
      <c r="J95" s="88" t="s">
        <v>4865</v>
      </c>
      <c r="K95" s="88" t="s">
        <v>3801</v>
      </c>
      <c r="L95" s="88" t="s">
        <v>2876</v>
      </c>
      <c r="M95" s="88" t="s">
        <v>3473</v>
      </c>
      <c r="N95" s="88" t="s">
        <v>4866</v>
      </c>
      <c r="O95" s="88" t="s">
        <v>4232</v>
      </c>
      <c r="P95" s="88" t="s">
        <v>4867</v>
      </c>
      <c r="Q95" s="88" t="s">
        <v>4868</v>
      </c>
      <c r="R95" s="98"/>
      <c r="S95" s="88" t="s">
        <v>3057</v>
      </c>
      <c r="T95" s="88" t="s">
        <v>4869</v>
      </c>
      <c r="U95" s="98"/>
      <c r="V95" s="93" t="s">
        <v>4870</v>
      </c>
      <c r="W95" s="92"/>
      <c r="X95" s="88" t="s">
        <v>1754</v>
      </c>
      <c r="Y95" s="98"/>
      <c r="Z95" s="88" t="s">
        <v>1075</v>
      </c>
      <c r="AA95" s="160" t="s">
        <v>4871</v>
      </c>
      <c r="AB95" s="88" t="s">
        <v>1490</v>
      </c>
      <c r="AC95" s="93" t="s">
        <v>2731</v>
      </c>
      <c r="AD95" s="98"/>
      <c r="AE95" s="88" t="s">
        <v>3651</v>
      </c>
      <c r="AF95" s="88" t="s">
        <v>116</v>
      </c>
      <c r="AG95" s="98"/>
      <c r="AH95" s="93" t="s">
        <v>2782</v>
      </c>
      <c r="AI95" s="93" t="s">
        <v>758</v>
      </c>
      <c r="AJ95" s="98"/>
      <c r="AK95" s="96"/>
      <c r="AL95" s="93" t="s">
        <v>4872</v>
      </c>
      <c r="AM95" s="93" t="s">
        <v>4873</v>
      </c>
      <c r="AN95" s="98"/>
      <c r="AO95" s="93" t="s">
        <v>4874</v>
      </c>
      <c r="AP95" s="98"/>
      <c r="AQ95" s="98"/>
      <c r="AR95" s="98"/>
      <c r="AS95" s="93" t="s">
        <v>3242</v>
      </c>
      <c r="AT95" s="88" t="s">
        <v>3508</v>
      </c>
      <c r="AU95" s="88" t="s">
        <v>3164</v>
      </c>
      <c r="AV95" s="88" t="s">
        <v>4875</v>
      </c>
      <c r="AW95" s="98"/>
      <c r="AX95" s="88" t="s">
        <v>4261</v>
      </c>
      <c r="AY95" s="98"/>
      <c r="AZ95" s="98"/>
      <c r="BA95" s="93" t="s">
        <v>2088</v>
      </c>
      <c r="BB95" s="93" t="s">
        <v>2793</v>
      </c>
      <c r="BC95" s="93" t="s">
        <v>2046</v>
      </c>
      <c r="BD95" s="88" t="s">
        <v>4876</v>
      </c>
      <c r="BE95" s="88" t="s">
        <v>4617</v>
      </c>
      <c r="BF95" s="98"/>
      <c r="BG95" s="98"/>
      <c r="BH95" s="88" t="s">
        <v>2784</v>
      </c>
      <c r="BI95" s="98"/>
      <c r="BJ95" s="88" t="s">
        <v>4877</v>
      </c>
      <c r="BK95" s="88" t="s">
        <v>2973</v>
      </c>
      <c r="BL95" s="98"/>
      <c r="BM95" s="88" t="s">
        <v>2487</v>
      </c>
      <c r="BN95" s="98"/>
      <c r="BO95" s="98"/>
      <c r="BP95" s="235"/>
      <c r="BQ95" s="88" t="s">
        <v>4878</v>
      </c>
      <c r="BR95" s="98"/>
      <c r="BS95" s="93" t="s">
        <v>4879</v>
      </c>
      <c r="BT95" s="88" t="s">
        <v>4509</v>
      </c>
      <c r="BU95" s="98"/>
      <c r="BV95" s="98"/>
      <c r="BW95" s="98"/>
      <c r="BX95" s="93" t="s">
        <v>4880</v>
      </c>
      <c r="BY95" s="160" t="s">
        <v>804</v>
      </c>
      <c r="BZ95" s="88" t="s">
        <v>4881</v>
      </c>
      <c r="CA95" s="88" t="s">
        <v>4882</v>
      </c>
      <c r="CB95" s="93" t="s">
        <v>4678</v>
      </c>
      <c r="CC95" s="88" t="s">
        <v>4003</v>
      </c>
      <c r="CD95" s="98"/>
      <c r="CE95" s="235"/>
      <c r="CF95" s="88" t="s">
        <v>4883</v>
      </c>
      <c r="CG95" s="88" t="s">
        <v>1401</v>
      </c>
      <c r="CH95" s="93" t="s">
        <v>4884</v>
      </c>
      <c r="CI95" s="88" t="s">
        <v>4885</v>
      </c>
      <c r="CJ95" s="102"/>
      <c r="CK95" s="88" t="s">
        <v>4886</v>
      </c>
      <c r="CL95" s="88" t="s">
        <v>4487</v>
      </c>
      <c r="CM95" s="93" t="s">
        <v>4887</v>
      </c>
      <c r="CN95" s="88" t="s">
        <v>232</v>
      </c>
      <c r="CO95" s="98"/>
      <c r="CP95" s="98"/>
      <c r="CQ95" s="102"/>
      <c r="CR95" s="88" t="s">
        <v>1271</v>
      </c>
      <c r="CS95" s="98"/>
      <c r="CT95" s="92"/>
      <c r="CU95" s="160" t="s">
        <v>1865</v>
      </c>
      <c r="CV95" s="98"/>
      <c r="CW95" s="93" t="s">
        <v>1612</v>
      </c>
      <c r="CX95" s="88" t="s">
        <v>4888</v>
      </c>
      <c r="CY95" s="98"/>
      <c r="CZ95" s="93" t="s">
        <v>4889</v>
      </c>
      <c r="DA95" s="93" t="s">
        <v>4890</v>
      </c>
      <c r="DB95" s="88" t="s">
        <v>2327</v>
      </c>
      <c r="DC95" s="98"/>
      <c r="DD95" s="93" t="s">
        <v>4891</v>
      </c>
      <c r="DE95" s="88" t="s">
        <v>4892</v>
      </c>
      <c r="DF95" s="98"/>
      <c r="DG95" s="235"/>
      <c r="DH95" s="98"/>
      <c r="DI95" s="98"/>
      <c r="DJ95" s="98"/>
      <c r="DK95" s="98"/>
      <c r="DL95" s="98"/>
      <c r="DM95" s="98"/>
      <c r="DN95" s="88" t="s">
        <v>1196</v>
      </c>
      <c r="DO95" s="93" t="s">
        <v>3360</v>
      </c>
      <c r="DP95" s="93" t="s">
        <v>4893</v>
      </c>
      <c r="DQ95" s="98"/>
      <c r="DR95" s="98"/>
      <c r="DS95" s="93" t="s">
        <v>2779</v>
      </c>
      <c r="DT95" s="93" t="s">
        <v>4894</v>
      </c>
      <c r="DU95" s="98"/>
      <c r="DV95" s="93" t="s">
        <v>4816</v>
      </c>
      <c r="DW95" s="98"/>
      <c r="DX95" s="98"/>
      <c r="DY95" s="98"/>
      <c r="DZ95" s="90" t="s">
        <v>4895</v>
      </c>
      <c r="EA95" s="98"/>
      <c r="EB95" s="98"/>
      <c r="EC95" s="258"/>
    </row>
    <row r="96">
      <c r="A96" s="530" t="s">
        <v>4896</v>
      </c>
      <c r="B96" s="104" t="s">
        <v>4897</v>
      </c>
      <c r="C96" s="105" t="s">
        <v>1262</v>
      </c>
      <c r="D96" s="106" t="s">
        <v>547</v>
      </c>
      <c r="E96" s="107" t="s">
        <v>547</v>
      </c>
      <c r="F96" s="108" t="s">
        <v>2977</v>
      </c>
      <c r="G96" s="104" t="s">
        <v>4759</v>
      </c>
      <c r="H96" s="165" t="s">
        <v>2961</v>
      </c>
      <c r="I96" s="165" t="s">
        <v>4898</v>
      </c>
      <c r="J96" s="165" t="s">
        <v>4899</v>
      </c>
      <c r="K96" s="402" t="s">
        <v>2726</v>
      </c>
      <c r="L96" s="112" t="s">
        <v>4900</v>
      </c>
      <c r="M96" s="242"/>
      <c r="N96" s="242"/>
      <c r="O96" s="242"/>
      <c r="P96" s="112" t="s">
        <v>2649</v>
      </c>
      <c r="Q96" s="242"/>
      <c r="R96" s="242"/>
      <c r="S96" s="112" t="s">
        <v>111</v>
      </c>
      <c r="T96" s="242"/>
      <c r="U96" s="242"/>
      <c r="V96" s="112" t="s">
        <v>4901</v>
      </c>
      <c r="W96" s="92"/>
      <c r="X96" s="115" t="s">
        <v>4615</v>
      </c>
      <c r="Y96" s="115" t="s">
        <v>2164</v>
      </c>
      <c r="Z96" s="115" t="s">
        <v>4334</v>
      </c>
      <c r="AA96" s="115" t="s">
        <v>4902</v>
      </c>
      <c r="AB96" s="115" t="s">
        <v>2247</v>
      </c>
      <c r="AC96" s="244"/>
      <c r="AD96" s="244"/>
      <c r="AE96" s="244"/>
      <c r="AF96" s="115" t="s">
        <v>3781</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4439</v>
      </c>
      <c r="BC96" s="125" t="s">
        <v>2184</v>
      </c>
      <c r="BD96" s="125" t="s">
        <v>4097</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4291</v>
      </c>
      <c r="CB96" s="250"/>
      <c r="CC96" s="250"/>
      <c r="CD96" s="128" t="s">
        <v>839</v>
      </c>
      <c r="CE96" s="251"/>
      <c r="CF96" s="253"/>
      <c r="CG96" s="134" t="s">
        <v>404</v>
      </c>
      <c r="CH96" s="253"/>
      <c r="CI96" s="253"/>
      <c r="CJ96" s="253"/>
      <c r="CK96" s="253"/>
      <c r="CL96" s="253"/>
      <c r="CM96" s="253"/>
      <c r="CN96" s="134" t="s">
        <v>2601</v>
      </c>
      <c r="CO96" s="253"/>
      <c r="CP96" s="253"/>
      <c r="CQ96" s="253"/>
      <c r="CR96" s="253"/>
      <c r="CS96" s="134" t="s">
        <v>4910</v>
      </c>
      <c r="CT96" s="92"/>
      <c r="CU96" s="202" t="s">
        <v>378</v>
      </c>
      <c r="CV96" s="202" t="s">
        <v>4911</v>
      </c>
      <c r="CW96" s="202" t="s">
        <v>4912</v>
      </c>
      <c r="CX96" s="254"/>
      <c r="CY96" s="202" t="s">
        <v>4913</v>
      </c>
      <c r="CZ96" s="254"/>
      <c r="DA96" s="139" t="s">
        <v>4606</v>
      </c>
      <c r="DB96" s="254"/>
      <c r="DC96" s="254"/>
      <c r="DD96" s="254"/>
      <c r="DE96" s="202" t="s">
        <v>372</v>
      </c>
      <c r="DF96" s="254"/>
      <c r="DG96" s="255"/>
      <c r="DH96" s="256"/>
      <c r="DI96" s="256"/>
      <c r="DJ96" s="256"/>
      <c r="DK96" s="144" t="s">
        <v>4536</v>
      </c>
      <c r="DL96" s="143" t="s">
        <v>179</v>
      </c>
      <c r="DM96" s="256"/>
      <c r="DN96" s="144" t="s">
        <v>422</v>
      </c>
      <c r="DO96" s="177" t="s">
        <v>4914</v>
      </c>
      <c r="DP96" s="144" t="s">
        <v>4915</v>
      </c>
      <c r="DQ96" s="256"/>
      <c r="DR96" s="256"/>
      <c r="DS96" s="256"/>
      <c r="DT96" s="203" t="s">
        <v>4448</v>
      </c>
      <c r="DU96" s="256"/>
      <c r="DV96" s="203" t="s">
        <v>1876</v>
      </c>
      <c r="DW96" s="256"/>
      <c r="DX96" s="256"/>
      <c r="DY96" s="256"/>
      <c r="DZ96" s="256"/>
      <c r="EA96" s="256"/>
      <c r="EB96" s="256"/>
      <c r="EC96" s="285"/>
    </row>
    <row r="97">
      <c r="A97" s="531" t="s">
        <v>4916</v>
      </c>
      <c r="B97" s="82" t="s">
        <v>4917</v>
      </c>
      <c r="C97" s="83" t="s">
        <v>1262</v>
      </c>
      <c r="D97" s="84" t="s">
        <v>547</v>
      </c>
      <c r="E97" s="85" t="s">
        <v>1262</v>
      </c>
      <c r="F97" s="86" t="s">
        <v>1731</v>
      </c>
      <c r="G97" s="82" t="s">
        <v>904</v>
      </c>
      <c r="H97" s="88" t="s">
        <v>3609</v>
      </c>
      <c r="I97" s="264" t="s">
        <v>3546</v>
      </c>
      <c r="J97" s="264" t="s">
        <v>2113</v>
      </c>
      <c r="K97" s="88" t="s">
        <v>1888</v>
      </c>
      <c r="L97" s="264" t="s">
        <v>1097</v>
      </c>
      <c r="M97" s="88" t="s">
        <v>4918</v>
      </c>
      <c r="N97" s="264" t="s">
        <v>4919</v>
      </c>
      <c r="O97" s="264" t="s">
        <v>4876</v>
      </c>
      <c r="P97" s="264" t="s">
        <v>3088</v>
      </c>
      <c r="Q97" s="264" t="s">
        <v>4920</v>
      </c>
      <c r="R97" s="88" t="s">
        <v>3270</v>
      </c>
      <c r="S97" s="88" t="s">
        <v>4792</v>
      </c>
      <c r="T97" s="98"/>
      <c r="U97" s="88" t="s">
        <v>678</v>
      </c>
      <c r="V97" s="88" t="s">
        <v>4921</v>
      </c>
      <c r="W97" s="92"/>
      <c r="X97" s="264" t="s">
        <v>3008</v>
      </c>
      <c r="Y97" s="264" t="s">
        <v>4922</v>
      </c>
      <c r="Z97" s="264" t="s">
        <v>405</v>
      </c>
      <c r="AA97" s="264" t="s">
        <v>4923</v>
      </c>
      <c r="AB97" s="264" t="s">
        <v>4924</v>
      </c>
      <c r="AC97" s="264" t="s">
        <v>4925</v>
      </c>
      <c r="AD97" s="93"/>
      <c r="AE97" s="88" t="s">
        <v>961</v>
      </c>
      <c r="AF97" s="88" t="s">
        <v>4926</v>
      </c>
      <c r="AG97" s="88" t="s">
        <v>4927</v>
      </c>
      <c r="AH97" s="93"/>
      <c r="AI97" s="88" t="s">
        <v>4643</v>
      </c>
      <c r="AJ97" s="88" t="s">
        <v>4928</v>
      </c>
      <c r="AK97" s="96"/>
      <c r="AL97" s="88" t="s">
        <v>4929</v>
      </c>
      <c r="AM97" s="88" t="s">
        <v>4930</v>
      </c>
      <c r="AN97" s="98"/>
      <c r="AO97" s="98"/>
      <c r="AP97" s="98"/>
      <c r="AQ97" s="98"/>
      <c r="AR97" s="98"/>
      <c r="AS97" s="98"/>
      <c r="AT97" s="264" t="s">
        <v>3095</v>
      </c>
      <c r="AU97" s="88" t="s">
        <v>4931</v>
      </c>
      <c r="AV97" s="88" t="s">
        <v>4932</v>
      </c>
      <c r="AW97" s="88" t="s">
        <v>4933</v>
      </c>
      <c r="AX97" s="88" t="s">
        <v>1510</v>
      </c>
      <c r="AY97" s="98"/>
      <c r="AZ97" s="98"/>
      <c r="BA97" s="264" t="s">
        <v>365</v>
      </c>
      <c r="BB97" s="88" t="s">
        <v>4934</v>
      </c>
      <c r="BC97" s="264" t="s">
        <v>2688</v>
      </c>
      <c r="BD97" s="264" t="s">
        <v>4935</v>
      </c>
      <c r="BE97" s="88" t="s">
        <v>3292</v>
      </c>
      <c r="BF97" s="88" t="s">
        <v>4936</v>
      </c>
      <c r="BG97" s="88" t="s">
        <v>2471</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3753</v>
      </c>
      <c r="CI97" s="93" t="s">
        <v>4950</v>
      </c>
      <c r="CJ97" s="93"/>
      <c r="CK97" s="375" t="s">
        <v>4951</v>
      </c>
      <c r="CL97" s="93" t="s">
        <v>4952</v>
      </c>
      <c r="CM97" s="88" t="s">
        <v>1442</v>
      </c>
      <c r="CN97" s="88" t="s">
        <v>4082</v>
      </c>
      <c r="CO97" s="98"/>
      <c r="CP97" s="98"/>
      <c r="CQ97" s="98"/>
      <c r="CR97" s="98"/>
      <c r="CS97" s="88" t="s">
        <v>4953</v>
      </c>
      <c r="CT97" s="92"/>
      <c r="CU97" s="88" t="s">
        <v>4954</v>
      </c>
      <c r="CV97" s="264" t="s">
        <v>3913</v>
      </c>
      <c r="CW97" s="264" t="s">
        <v>4370</v>
      </c>
      <c r="CX97" s="264" t="s">
        <v>2870</v>
      </c>
      <c r="CY97" s="88" t="s">
        <v>4955</v>
      </c>
      <c r="CZ97" s="264" t="s">
        <v>2236</v>
      </c>
      <c r="DA97" s="264" t="s">
        <v>4956</v>
      </c>
      <c r="DB97" s="264" t="s">
        <v>2743</v>
      </c>
      <c r="DC97" s="98"/>
      <c r="DD97" s="98"/>
      <c r="DE97" s="98"/>
      <c r="DF97" s="88" t="s">
        <v>479</v>
      </c>
      <c r="DG97" s="88"/>
      <c r="DH97" s="93" t="s">
        <v>2035</v>
      </c>
      <c r="DI97" s="98"/>
      <c r="DJ97" s="98"/>
      <c r="DK97" s="98"/>
      <c r="DL97" s="90" t="s">
        <v>179</v>
      </c>
      <c r="DM97" s="88" t="s">
        <v>4201</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4957</v>
      </c>
      <c r="B98" s="532" t="s">
        <v>4958</v>
      </c>
      <c r="C98" s="533" t="s">
        <v>1262</v>
      </c>
      <c r="D98" s="534" t="s">
        <v>1262</v>
      </c>
      <c r="E98" s="535" t="s">
        <v>1262</v>
      </c>
      <c r="F98" s="536" t="s">
        <v>1065</v>
      </c>
      <c r="G98" s="532" t="s">
        <v>3364</v>
      </c>
      <c r="H98" s="309"/>
      <c r="I98" s="309"/>
      <c r="J98" s="309"/>
      <c r="K98" s="537" t="s">
        <v>103</v>
      </c>
      <c r="L98" s="538"/>
      <c r="M98" s="309"/>
      <c r="N98" s="539" t="s">
        <v>4959</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4960</v>
      </c>
      <c r="AA98" s="311" t="s">
        <v>4961</v>
      </c>
      <c r="AB98" s="542" t="s">
        <v>4962</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4963</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4964</v>
      </c>
      <c r="B99" s="82" t="s">
        <v>4965</v>
      </c>
      <c r="C99" s="83" t="s">
        <v>1262</v>
      </c>
      <c r="D99" s="84" t="s">
        <v>1262</v>
      </c>
      <c r="E99" s="85" t="s">
        <v>1262</v>
      </c>
      <c r="F99" s="86" t="s">
        <v>547</v>
      </c>
      <c r="G99" s="82" t="s">
        <v>4759</v>
      </c>
      <c r="H99" s="258"/>
      <c r="I99" s="258" t="s">
        <v>1301</v>
      </c>
      <c r="J99" s="258" t="s">
        <v>2180</v>
      </c>
      <c r="K99" s="258" t="s">
        <v>3426</v>
      </c>
      <c r="L99" s="258" t="s">
        <v>4966</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4429</v>
      </c>
      <c r="AC99" s="258" t="s">
        <v>4967</v>
      </c>
      <c r="AD99" s="558"/>
      <c r="AE99" s="258" t="s">
        <v>4968</v>
      </c>
      <c r="AF99" s="258" t="s">
        <v>4969</v>
      </c>
      <c r="AG99" s="558"/>
      <c r="AH99" s="558"/>
      <c r="AI99" s="258"/>
      <c r="AJ99" s="558"/>
      <c r="AK99" s="559"/>
      <c r="AL99" s="258"/>
      <c r="AM99" s="258"/>
      <c r="AN99" s="558"/>
      <c r="AO99" s="558"/>
      <c r="AP99" s="305"/>
      <c r="AQ99" s="305"/>
      <c r="AR99" s="558"/>
      <c r="AS99" s="558"/>
      <c r="AT99" s="258" t="s">
        <v>3344</v>
      </c>
      <c r="AU99" s="258" t="s">
        <v>4970</v>
      </c>
      <c r="AV99" s="258"/>
      <c r="AW99" s="558"/>
      <c r="AX99" s="558"/>
      <c r="AY99" s="558"/>
      <c r="AZ99" s="558"/>
      <c r="BA99" s="258" t="s">
        <v>3986</v>
      </c>
      <c r="BB99" s="258" t="s">
        <v>2665</v>
      </c>
      <c r="BC99" s="258" t="s">
        <v>617</v>
      </c>
      <c r="BD99" s="258" t="s">
        <v>4934</v>
      </c>
      <c r="BE99" s="258"/>
      <c r="BF99" s="258"/>
      <c r="BG99" s="558"/>
      <c r="BH99" s="560" t="s">
        <v>849</v>
      </c>
      <c r="BI99" s="305" t="s">
        <v>1713</v>
      </c>
      <c r="BJ99" s="258"/>
      <c r="BK99" s="258"/>
      <c r="BL99" s="558"/>
      <c r="BM99" s="558"/>
      <c r="BN99" s="258"/>
      <c r="BO99" s="558"/>
      <c r="BP99" s="561"/>
      <c r="BQ99" s="258" t="s">
        <v>4971</v>
      </c>
      <c r="BR99" s="258" t="s">
        <v>4972</v>
      </c>
      <c r="BS99" s="258" t="s">
        <v>4973</v>
      </c>
      <c r="BT99" s="258" t="s">
        <v>4842</v>
      </c>
      <c r="BU99" s="258" t="s">
        <v>3408</v>
      </c>
      <c r="BV99" s="258" t="s">
        <v>4974</v>
      </c>
      <c r="BW99" s="558"/>
      <c r="BX99" s="258" t="s">
        <v>4975</v>
      </c>
      <c r="BY99" s="258"/>
      <c r="BZ99" s="258" t="s">
        <v>4976</v>
      </c>
      <c r="CA99" s="558"/>
      <c r="CB99" s="558"/>
      <c r="CC99" s="558"/>
      <c r="CD99" s="558"/>
      <c r="CE99" s="561"/>
      <c r="CF99" s="258" t="s">
        <v>4977</v>
      </c>
      <c r="CG99" s="258" t="s">
        <v>4978</v>
      </c>
      <c r="CH99" s="258"/>
      <c r="CI99" s="97" t="s">
        <v>4979</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4304</v>
      </c>
      <c r="DA99" s="258" t="s">
        <v>4980</v>
      </c>
      <c r="DB99" s="258" t="s">
        <v>4355</v>
      </c>
      <c r="DC99" s="558"/>
      <c r="DD99" s="558"/>
      <c r="DE99" s="558"/>
      <c r="DF99" s="558"/>
      <c r="DG99" s="561"/>
      <c r="DH99" s="258"/>
      <c r="DI99" s="558"/>
      <c r="DJ99" s="558"/>
      <c r="DK99" s="258"/>
      <c r="DL99" s="258"/>
      <c r="DM99" s="258"/>
      <c r="DN99" s="558"/>
      <c r="DO99" s="558"/>
      <c r="DP99" s="558"/>
      <c r="DQ99" s="258" t="s">
        <v>3266</v>
      </c>
      <c r="DR99" s="258" t="s">
        <v>4474</v>
      </c>
      <c r="DS99" s="558"/>
      <c r="DT99" s="258"/>
      <c r="DU99" s="558"/>
      <c r="DV99" s="558"/>
      <c r="DW99" s="558"/>
      <c r="DX99" s="558"/>
      <c r="DY99" s="558"/>
      <c r="DZ99" s="258"/>
      <c r="EA99" s="558"/>
      <c r="EB99" s="558"/>
      <c r="EC99" s="258"/>
    </row>
    <row r="100">
      <c r="A100" s="164" t="s">
        <v>4981</v>
      </c>
      <c r="B100" s="104" t="s">
        <v>4982</v>
      </c>
      <c r="C100" s="105" t="s">
        <v>1262</v>
      </c>
      <c r="D100" s="106" t="s">
        <v>1262</v>
      </c>
      <c r="E100" s="107" t="s">
        <v>1262</v>
      </c>
      <c r="F100" s="108" t="s">
        <v>334</v>
      </c>
      <c r="G100" s="104" t="s">
        <v>4983</v>
      </c>
      <c r="H100" s="242"/>
      <c r="I100" s="165" t="s">
        <v>2864</v>
      </c>
      <c r="J100" s="165" t="s">
        <v>3390</v>
      </c>
      <c r="K100" s="165" t="s">
        <v>1567</v>
      </c>
      <c r="L100" s="369" t="s">
        <v>4984</v>
      </c>
      <c r="M100" s="242"/>
      <c r="N100" s="165" t="s">
        <v>4985</v>
      </c>
      <c r="O100" s="165" t="s">
        <v>4986</v>
      </c>
      <c r="P100" s="165" t="s">
        <v>3088</v>
      </c>
      <c r="Q100" s="242"/>
      <c r="R100" s="242"/>
      <c r="S100" s="242"/>
      <c r="T100" s="242"/>
      <c r="U100" s="242"/>
      <c r="V100" s="242"/>
      <c r="W100" s="92"/>
      <c r="X100" s="195" t="s">
        <v>4987</v>
      </c>
      <c r="Y100" s="195" t="s">
        <v>1434</v>
      </c>
      <c r="Z100" s="195" t="s">
        <v>2034</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4973</v>
      </c>
      <c r="BT100" s="173" t="s">
        <v>3502</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2824</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4996</v>
      </c>
      <c r="B101" s="82" t="s">
        <v>4997</v>
      </c>
      <c r="C101" s="83" t="s">
        <v>1262</v>
      </c>
      <c r="D101" s="84" t="s">
        <v>1262</v>
      </c>
      <c r="E101" s="85" t="s">
        <v>1262</v>
      </c>
      <c r="F101" s="86" t="s">
        <v>547</v>
      </c>
      <c r="G101" s="82" t="s">
        <v>2344</v>
      </c>
      <c r="H101" s="93" t="s">
        <v>683</v>
      </c>
      <c r="I101" s="93" t="s">
        <v>4998</v>
      </c>
      <c r="J101" s="93" t="s">
        <v>4999</v>
      </c>
      <c r="K101" s="93" t="s">
        <v>3216</v>
      </c>
      <c r="L101" s="93" t="s">
        <v>2876</v>
      </c>
      <c r="M101" s="93" t="s">
        <v>5000</v>
      </c>
      <c r="N101" s="93" t="s">
        <v>5001</v>
      </c>
      <c r="O101" s="93" t="s">
        <v>1903</v>
      </c>
      <c r="P101" s="93" t="s">
        <v>5002</v>
      </c>
      <c r="Q101" s="98"/>
      <c r="R101" s="98"/>
      <c r="S101" s="93" t="s">
        <v>4039</v>
      </c>
      <c r="T101" s="98"/>
      <c r="U101" s="93" t="s">
        <v>638</v>
      </c>
      <c r="V101" s="98"/>
      <c r="W101" s="92"/>
      <c r="X101" s="93" t="s">
        <v>2008</v>
      </c>
      <c r="Y101" s="93" t="s">
        <v>1904</v>
      </c>
      <c r="Z101" s="93" t="s">
        <v>5003</v>
      </c>
      <c r="AA101" s="93" t="s">
        <v>3584</v>
      </c>
      <c r="AB101" s="418" t="s">
        <v>4245</v>
      </c>
      <c r="AC101" s="93" t="s">
        <v>4454</v>
      </c>
      <c r="AD101" s="98"/>
      <c r="AE101" s="98"/>
      <c r="AF101" s="93" t="s">
        <v>5004</v>
      </c>
      <c r="AG101" s="98"/>
      <c r="AH101" s="98"/>
      <c r="AI101" s="98"/>
      <c r="AJ101" s="98"/>
      <c r="AK101" s="96"/>
      <c r="AL101" s="93" t="s">
        <v>2398</v>
      </c>
      <c r="AM101" s="93" t="s">
        <v>5005</v>
      </c>
      <c r="AN101" s="98"/>
      <c r="AO101" s="98"/>
      <c r="AP101" s="98"/>
      <c r="AQ101" s="98"/>
      <c r="AR101" s="93" t="s">
        <v>1145</v>
      </c>
      <c r="AS101" s="98"/>
      <c r="AT101" s="93" t="s">
        <v>2562</v>
      </c>
      <c r="AU101" s="93" t="s">
        <v>145</v>
      </c>
      <c r="AV101" s="93" t="s">
        <v>4191</v>
      </c>
      <c r="AW101" s="98"/>
      <c r="AX101" s="93" t="s">
        <v>5006</v>
      </c>
      <c r="AY101" s="93" t="s">
        <v>5007</v>
      </c>
      <c r="AZ101" s="93"/>
      <c r="BA101" s="93" t="s">
        <v>5008</v>
      </c>
      <c r="BB101" s="93" t="s">
        <v>5009</v>
      </c>
      <c r="BC101" s="93" t="s">
        <v>1046</v>
      </c>
      <c r="BD101" s="93" t="s">
        <v>1025</v>
      </c>
      <c r="BE101" s="93" t="s">
        <v>3026</v>
      </c>
      <c r="BF101" s="93" t="s">
        <v>2806</v>
      </c>
      <c r="BG101" s="93" t="s">
        <v>5010</v>
      </c>
      <c r="BH101" s="93" t="s">
        <v>5011</v>
      </c>
      <c r="BI101" s="98"/>
      <c r="BJ101" s="93" t="s">
        <v>5012</v>
      </c>
      <c r="BK101" s="93" t="s">
        <v>2823</v>
      </c>
      <c r="BL101" s="98"/>
      <c r="BM101" s="98"/>
      <c r="BN101" s="93"/>
      <c r="BO101" s="98"/>
      <c r="BP101" s="235"/>
      <c r="BQ101" s="98"/>
      <c r="BR101" s="98"/>
      <c r="BS101" s="93" t="s">
        <v>5013</v>
      </c>
      <c r="BT101" s="93" t="s">
        <v>2200</v>
      </c>
      <c r="BU101" s="98"/>
      <c r="BV101" s="93" t="s">
        <v>3664</v>
      </c>
      <c r="BW101" s="98"/>
      <c r="BX101" s="98"/>
      <c r="BY101" s="98"/>
      <c r="BZ101" s="93" t="s">
        <v>2607</v>
      </c>
      <c r="CA101" s="98"/>
      <c r="CB101" s="93" t="s">
        <v>5014</v>
      </c>
      <c r="CC101" s="98"/>
      <c r="CD101" s="98"/>
      <c r="CE101" s="235"/>
      <c r="CF101" s="93" t="s">
        <v>5015</v>
      </c>
      <c r="CG101" s="93" t="s">
        <v>5016</v>
      </c>
      <c r="CH101" s="93" t="s">
        <v>111</v>
      </c>
      <c r="CI101" s="93"/>
      <c r="CJ101" s="93"/>
      <c r="CK101" s="93" t="s">
        <v>5017</v>
      </c>
      <c r="CL101" s="93" t="s">
        <v>4605</v>
      </c>
      <c r="CM101" s="351" t="s">
        <v>1412</v>
      </c>
      <c r="CN101" s="93" t="s">
        <v>3134</v>
      </c>
      <c r="CO101" s="98"/>
      <c r="CP101" s="98"/>
      <c r="CQ101" s="93"/>
      <c r="CR101" s="93" t="s">
        <v>5018</v>
      </c>
      <c r="CS101" s="98"/>
      <c r="CT101" s="92"/>
      <c r="CU101" s="93" t="s">
        <v>5019</v>
      </c>
      <c r="CV101" s="93" t="s">
        <v>2545</v>
      </c>
      <c r="CW101" s="93" t="s">
        <v>5020</v>
      </c>
      <c r="CX101" s="93" t="s">
        <v>4394</v>
      </c>
      <c r="CY101" s="98"/>
      <c r="CZ101" s="93" t="s">
        <v>389</v>
      </c>
      <c r="DA101" s="93" t="s">
        <v>5021</v>
      </c>
      <c r="DB101" s="93" t="s">
        <v>4238</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6" t="s">
        <v>5025</v>
      </c>
      <c r="B102" s="104" t="s">
        <v>5026</v>
      </c>
      <c r="C102" s="105" t="s">
        <v>1262</v>
      </c>
      <c r="D102" s="106" t="s">
        <v>1262</v>
      </c>
      <c r="E102" s="107" t="s">
        <v>1262</v>
      </c>
      <c r="F102" s="108" t="s">
        <v>830</v>
      </c>
      <c r="G102" s="104" t="s">
        <v>5027</v>
      </c>
      <c r="H102" s="112" t="s">
        <v>5028</v>
      </c>
      <c r="I102" s="112" t="s">
        <v>3005</v>
      </c>
      <c r="J102" s="112" t="s">
        <v>3904</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3618</v>
      </c>
      <c r="Z102" s="195" t="s">
        <v>5035</v>
      </c>
      <c r="AA102" s="195" t="s">
        <v>5036</v>
      </c>
      <c r="AB102" s="195" t="s">
        <v>2221</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3696</v>
      </c>
      <c r="AQ102" s="166" t="s">
        <v>1360</v>
      </c>
      <c r="AR102" s="245"/>
      <c r="AS102" s="166" t="s">
        <v>5044</v>
      </c>
      <c r="AT102" s="120" t="s">
        <v>5045</v>
      </c>
      <c r="AU102" s="166" t="s">
        <v>3194</v>
      </c>
      <c r="AV102" s="166" t="s">
        <v>4140</v>
      </c>
      <c r="AW102" s="245"/>
      <c r="AX102" s="119" t="str">
        <f>HYPERLINK("https://clips.twitch.tv/PeppyAbstruseSmoothieCurseLit","39.09")</f>
        <v>39.09</v>
      </c>
      <c r="AY102" s="166" t="s">
        <v>5046</v>
      </c>
      <c r="AZ102" s="166"/>
      <c r="BA102" s="172" t="s">
        <v>5047</v>
      </c>
      <c r="BB102" s="172" t="s">
        <v>5048</v>
      </c>
      <c r="BC102" s="172" t="s">
        <v>476</v>
      </c>
      <c r="BD102" s="172" t="s">
        <v>2605</v>
      </c>
      <c r="BE102" s="172" t="s">
        <v>5037</v>
      </c>
      <c r="BF102" s="172" t="s">
        <v>3604</v>
      </c>
      <c r="BG102" s="171"/>
      <c r="BH102" s="124" t="str">
        <f>HYPERLINK("https://clips.twitch.tv/SavagePeacefulEagleWOOP","29.65")</f>
        <v>29.65</v>
      </c>
      <c r="BI102" s="171"/>
      <c r="BJ102" s="171"/>
      <c r="BK102" s="125" t="s">
        <v>2109</v>
      </c>
      <c r="BL102" s="172" t="s">
        <v>5049</v>
      </c>
      <c r="BM102" s="124" t="str">
        <f>HYPERLINK("https://clips.twitch.tv/PeacefulSavoryAlfalfa4Head","35.58")</f>
        <v>35.58</v>
      </c>
      <c r="BN102" s="171"/>
      <c r="BO102" s="172" t="s">
        <v>5050</v>
      </c>
      <c r="BP102" s="247"/>
      <c r="BQ102" s="173" t="s">
        <v>5051</v>
      </c>
      <c r="BR102" s="173"/>
      <c r="BS102" s="173" t="s">
        <v>4448</v>
      </c>
      <c r="BT102" s="173" t="s">
        <v>2048</v>
      </c>
      <c r="BU102" s="250"/>
      <c r="BV102" s="174" t="s">
        <v>431</v>
      </c>
      <c r="BW102" s="250"/>
      <c r="BX102" s="250"/>
      <c r="BY102" s="173" t="s">
        <v>3750</v>
      </c>
      <c r="BZ102" s="173" t="s">
        <v>641</v>
      </c>
      <c r="CA102" s="128" t="s">
        <v>5052</v>
      </c>
      <c r="CB102" s="173" t="s">
        <v>5053</v>
      </c>
      <c r="CC102" s="173" t="s">
        <v>3557</v>
      </c>
      <c r="CD102" s="173" t="s">
        <v>5054</v>
      </c>
      <c r="CE102" s="293"/>
      <c r="CF102" s="175" t="s">
        <v>1334</v>
      </c>
      <c r="CG102" s="175" t="s">
        <v>5055</v>
      </c>
      <c r="CH102" s="175" t="s">
        <v>3141</v>
      </c>
      <c r="CI102" s="175" t="s">
        <v>5056</v>
      </c>
      <c r="CJ102" s="175"/>
      <c r="CK102" s="175" t="s">
        <v>5057</v>
      </c>
      <c r="CL102" s="253"/>
      <c r="CM102" s="175" t="s">
        <v>2915</v>
      </c>
      <c r="CN102" s="175" t="s">
        <v>1553</v>
      </c>
      <c r="CO102" s="175" t="s">
        <v>5058</v>
      </c>
      <c r="CP102" s="175" t="s">
        <v>5059</v>
      </c>
      <c r="CQ102" s="175"/>
      <c r="CR102" s="175" t="s">
        <v>5060</v>
      </c>
      <c r="CS102" s="175" t="s">
        <v>5061</v>
      </c>
      <c r="CT102" s="92"/>
      <c r="CU102" s="202" t="s">
        <v>5062</v>
      </c>
      <c r="CV102" s="202" t="s">
        <v>3809</v>
      </c>
      <c r="CW102" s="139" t="s">
        <v>5063</v>
      </c>
      <c r="CX102" s="202" t="s">
        <v>5064</v>
      </c>
      <c r="CY102" s="254"/>
      <c r="CZ102" s="202" t="s">
        <v>4296</v>
      </c>
      <c r="DA102" s="202" t="s">
        <v>5065</v>
      </c>
      <c r="DB102" s="202" t="s">
        <v>4082</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4653</v>
      </c>
      <c r="DT102" s="203" t="s">
        <v>5071</v>
      </c>
      <c r="DU102" s="203" t="s">
        <v>5072</v>
      </c>
      <c r="DV102" s="203" t="s">
        <v>5073</v>
      </c>
      <c r="DW102" s="203" t="s">
        <v>5074</v>
      </c>
      <c r="DX102" s="203" t="s">
        <v>1324</v>
      </c>
      <c r="DY102" s="203" t="s">
        <v>5075</v>
      </c>
      <c r="DZ102" s="203" t="s">
        <v>4963</v>
      </c>
      <c r="EA102" s="203" t="s">
        <v>641</v>
      </c>
      <c r="EB102" s="203" t="s">
        <v>2772</v>
      </c>
      <c r="EC102" s="285" t="s">
        <v>5076</v>
      </c>
    </row>
    <row r="103">
      <c r="A103" s="81" t="s">
        <v>5077</v>
      </c>
      <c r="B103" s="82" t="s">
        <v>5078</v>
      </c>
      <c r="C103" s="83" t="s">
        <v>1262</v>
      </c>
      <c r="D103" s="84" t="s">
        <v>1262</v>
      </c>
      <c r="E103" s="85" t="s">
        <v>1262</v>
      </c>
      <c r="F103" s="86" t="s">
        <v>438</v>
      </c>
      <c r="G103" s="82" t="s">
        <v>3082</v>
      </c>
      <c r="H103" s="93" t="s">
        <v>997</v>
      </c>
      <c r="I103" s="98"/>
      <c r="J103" s="93" t="s">
        <v>5079</v>
      </c>
      <c r="K103" s="93" t="s">
        <v>3216</v>
      </c>
      <c r="L103" s="93" t="s">
        <v>1623</v>
      </c>
      <c r="M103" s="93" t="s">
        <v>5080</v>
      </c>
      <c r="N103" s="93" t="s">
        <v>1587</v>
      </c>
      <c r="O103" s="93" t="s">
        <v>5081</v>
      </c>
      <c r="P103" s="93" t="s">
        <v>1082</v>
      </c>
      <c r="Q103" s="98"/>
      <c r="R103" s="98"/>
      <c r="S103" s="98"/>
      <c r="T103" s="98"/>
      <c r="U103" s="98"/>
      <c r="V103" s="98"/>
      <c r="W103" s="92"/>
      <c r="X103" s="98"/>
      <c r="Y103" s="93" t="s">
        <v>3090</v>
      </c>
      <c r="Z103" s="93" t="s">
        <v>1785</v>
      </c>
      <c r="AA103" s="101" t="s">
        <v>2007</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5083</v>
      </c>
      <c r="BG103" s="98"/>
      <c r="BH103" s="97" t="str">
        <f>HYPERLINK("https://www.youtube.com/watch?v=D3qit_yrtB8&amp;feature=youtu.be","27.76")</f>
        <v>27.76</v>
      </c>
      <c r="BI103" s="93" t="s">
        <v>4421</v>
      </c>
      <c r="BJ103" s="93"/>
      <c r="BK103" s="93" t="s">
        <v>5084</v>
      </c>
      <c r="BL103" s="98"/>
      <c r="BM103" s="93" t="s">
        <v>1602</v>
      </c>
      <c r="BN103" s="98"/>
      <c r="BO103" s="98"/>
      <c r="BP103" s="235"/>
      <c r="BQ103" s="98"/>
      <c r="BR103" s="93" t="s">
        <v>5085</v>
      </c>
      <c r="BS103" s="93" t="s">
        <v>5086</v>
      </c>
      <c r="BT103" s="93" t="s">
        <v>4343</v>
      </c>
      <c r="BU103" s="98"/>
      <c r="BV103" s="93" t="s">
        <v>3063</v>
      </c>
      <c r="BW103" s="98"/>
      <c r="BX103" s="93" t="s">
        <v>5087</v>
      </c>
      <c r="BY103" s="98"/>
      <c r="BZ103" s="93" t="s">
        <v>2950</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2651</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4658</v>
      </c>
      <c r="H104" s="165" t="s">
        <v>2951</v>
      </c>
      <c r="I104" s="165" t="s">
        <v>3921</v>
      </c>
      <c r="J104" s="165" t="s">
        <v>5096</v>
      </c>
      <c r="K104" s="165" t="s">
        <v>3647</v>
      </c>
      <c r="L104" s="165" t="s">
        <v>5097</v>
      </c>
      <c r="M104" s="165" t="s">
        <v>5098</v>
      </c>
      <c r="N104" s="165" t="s">
        <v>5099</v>
      </c>
      <c r="O104" s="165" t="s">
        <v>5100</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4687</v>
      </c>
      <c r="AG104" s="244"/>
      <c r="AH104" s="244"/>
      <c r="AI104" s="244"/>
      <c r="AJ104" s="244"/>
      <c r="AK104" s="96"/>
      <c r="AL104" s="245"/>
      <c r="AM104" s="245"/>
      <c r="AN104" s="245"/>
      <c r="AO104" s="245"/>
      <c r="AP104" s="245"/>
      <c r="AQ104" s="245"/>
      <c r="AR104" s="245"/>
      <c r="AS104" s="245"/>
      <c r="AT104" s="166" t="s">
        <v>4500</v>
      </c>
      <c r="AU104" s="166" t="s">
        <v>2781</v>
      </c>
      <c r="AV104" s="245"/>
      <c r="AW104" s="245"/>
      <c r="AX104" s="245"/>
      <c r="AY104" s="245"/>
      <c r="AZ104" s="245"/>
      <c r="BA104" s="172"/>
      <c r="BB104" s="172" t="s">
        <v>1436</v>
      </c>
      <c r="BC104" s="124" t="str">
        <f>HYPERLINK("https://youtu.be/jzNyA3Lqtt4","28.84")</f>
        <v>28.84</v>
      </c>
      <c r="BD104" s="172" t="s">
        <v>4079</v>
      </c>
      <c r="BE104" s="172" t="s">
        <v>5101</v>
      </c>
      <c r="BF104" s="171"/>
      <c r="BG104" s="171"/>
      <c r="BH104" s="172" t="s">
        <v>1857</v>
      </c>
      <c r="BI104" s="171"/>
      <c r="BJ104" s="172" t="s">
        <v>5102</v>
      </c>
      <c r="BK104" s="172" t="s">
        <v>2079</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4078</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2689</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2766</v>
      </c>
      <c r="I105" s="93" t="s">
        <v>5114</v>
      </c>
      <c r="J105" s="93" t="s">
        <v>5115</v>
      </c>
      <c r="K105" s="93" t="s">
        <v>4256</v>
      </c>
      <c r="L105" s="93" t="s">
        <v>2324</v>
      </c>
      <c r="M105" s="98"/>
      <c r="N105" s="93" t="s">
        <v>4361</v>
      </c>
      <c r="O105" s="93" t="s">
        <v>5116</v>
      </c>
      <c r="P105" s="93" t="s">
        <v>3994</v>
      </c>
      <c r="Q105" s="98"/>
      <c r="R105" s="98"/>
      <c r="S105" s="98"/>
      <c r="T105" s="98"/>
      <c r="U105" s="98"/>
      <c r="V105" s="98"/>
      <c r="W105" s="92"/>
      <c r="X105" s="93" t="s">
        <v>4788</v>
      </c>
      <c r="Y105" s="93" t="s">
        <v>3344</v>
      </c>
      <c r="Z105" s="93" t="s">
        <v>5117</v>
      </c>
      <c r="AA105" s="93" t="s">
        <v>4871</v>
      </c>
      <c r="AB105" s="98"/>
      <c r="AC105" s="93" t="s">
        <v>4166</v>
      </c>
      <c r="AD105" s="98"/>
      <c r="AE105" s="93" t="s">
        <v>3290</v>
      </c>
      <c r="AF105" s="93" t="s">
        <v>5118</v>
      </c>
      <c r="AG105" s="98"/>
      <c r="AH105" s="98"/>
      <c r="AI105" s="98"/>
      <c r="AJ105" s="98"/>
      <c r="AK105" s="96"/>
      <c r="AL105" s="93" t="s">
        <v>4036</v>
      </c>
      <c r="AM105" s="98"/>
      <c r="AN105" s="98"/>
      <c r="AO105" s="98"/>
      <c r="AP105" s="98"/>
      <c r="AQ105" s="98"/>
      <c r="AR105" s="98"/>
      <c r="AS105" s="98"/>
      <c r="AT105" s="98"/>
      <c r="AU105" s="93" t="s">
        <v>5119</v>
      </c>
      <c r="AV105" s="93" t="s">
        <v>4792</v>
      </c>
      <c r="AW105" s="98"/>
      <c r="AX105" s="98"/>
      <c r="AY105" s="98"/>
      <c r="AZ105" s="98"/>
      <c r="BA105" s="93" t="s">
        <v>2003</v>
      </c>
      <c r="BB105" s="98"/>
      <c r="BC105" s="93" t="s">
        <v>5120</v>
      </c>
      <c r="BD105" s="93" t="s">
        <v>4973</v>
      </c>
      <c r="BE105" s="88" t="s">
        <v>4128</v>
      </c>
      <c r="BF105" s="93" t="s">
        <v>1345</v>
      </c>
      <c r="BG105" s="98"/>
      <c r="BH105" s="93" t="s">
        <v>2635</v>
      </c>
      <c r="BI105" s="93" t="s">
        <v>5121</v>
      </c>
      <c r="BJ105" s="93"/>
      <c r="BK105" s="98"/>
      <c r="BL105" s="98"/>
      <c r="BM105" s="98"/>
      <c r="BN105" s="98"/>
      <c r="BO105" s="98"/>
      <c r="BP105" s="235"/>
      <c r="BQ105" s="93" t="s">
        <v>3721</v>
      </c>
      <c r="BR105" s="98"/>
      <c r="BS105" s="93" t="s">
        <v>2606</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4764</v>
      </c>
      <c r="CW105" s="93" t="s">
        <v>3677</v>
      </c>
      <c r="CX105" s="93" t="s">
        <v>2876</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2465</v>
      </c>
      <c r="K106" s="224" t="s">
        <v>4348</v>
      </c>
      <c r="L106" s="165" t="s">
        <v>5131</v>
      </c>
      <c r="M106" s="242"/>
      <c r="N106" s="165" t="s">
        <v>673</v>
      </c>
      <c r="O106" s="165" t="s">
        <v>3776</v>
      </c>
      <c r="P106" s="165" t="s">
        <v>4364</v>
      </c>
      <c r="Q106" s="165" t="s">
        <v>5132</v>
      </c>
      <c r="R106" s="165"/>
      <c r="S106" s="165" t="s">
        <v>231</v>
      </c>
      <c r="T106" s="242"/>
      <c r="U106" s="165" t="s">
        <v>2407</v>
      </c>
      <c r="V106" s="165" t="s">
        <v>5133</v>
      </c>
      <c r="W106" s="92"/>
      <c r="X106" s="195" t="s">
        <v>5134</v>
      </c>
      <c r="Y106" s="274" t="s">
        <v>2678</v>
      </c>
      <c r="Z106" s="195" t="s">
        <v>2875</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5138</v>
      </c>
      <c r="BE106" s="171"/>
      <c r="BF106" s="171"/>
      <c r="BG106" s="171"/>
      <c r="BH106" s="172" t="s">
        <v>5139</v>
      </c>
      <c r="BI106" s="171"/>
      <c r="BJ106" s="171"/>
      <c r="BK106" s="171"/>
      <c r="BL106" s="171"/>
      <c r="BM106" s="172" t="s">
        <v>5140</v>
      </c>
      <c r="BN106" s="172" t="s">
        <v>2891</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2496</v>
      </c>
      <c r="J107" s="93" t="s">
        <v>5146</v>
      </c>
      <c r="K107" s="93" t="s">
        <v>1001</v>
      </c>
      <c r="L107" s="93" t="s">
        <v>5147</v>
      </c>
      <c r="M107" s="98"/>
      <c r="N107" s="93" t="s">
        <v>4952</v>
      </c>
      <c r="O107" s="93" t="s">
        <v>4876</v>
      </c>
      <c r="P107" s="93" t="s">
        <v>457</v>
      </c>
      <c r="Q107" s="98"/>
      <c r="R107" s="98"/>
      <c r="S107" s="98"/>
      <c r="T107" s="98"/>
      <c r="U107" s="98"/>
      <c r="V107" s="98"/>
      <c r="W107" s="92"/>
      <c r="X107" s="93" t="s">
        <v>3302</v>
      </c>
      <c r="Y107" s="93" t="s">
        <v>4392</v>
      </c>
      <c r="Z107" s="93" t="s">
        <v>4028</v>
      </c>
      <c r="AA107" s="93" t="s">
        <v>4900</v>
      </c>
      <c r="AB107" s="93" t="s">
        <v>4295</v>
      </c>
      <c r="AC107" s="93" t="s">
        <v>5148</v>
      </c>
      <c r="AD107" s="98"/>
      <c r="AE107" s="93" t="s">
        <v>2739</v>
      </c>
      <c r="AF107" s="93" t="s">
        <v>5149</v>
      </c>
      <c r="AG107" s="98"/>
      <c r="AH107" s="98"/>
      <c r="AI107" s="98"/>
      <c r="AJ107" s="98"/>
      <c r="AK107" s="96"/>
      <c r="AL107" s="98"/>
      <c r="AM107" s="98"/>
      <c r="AN107" s="98"/>
      <c r="AO107" s="98"/>
      <c r="AP107" s="98"/>
      <c r="AQ107" s="98"/>
      <c r="AR107" s="98"/>
      <c r="AS107" s="98"/>
      <c r="AT107" s="93" t="s">
        <v>4367</v>
      </c>
      <c r="AU107" s="93" t="s">
        <v>2247</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2943</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3425</v>
      </c>
      <c r="J108" s="193" t="s">
        <v>5167</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4482</v>
      </c>
      <c r="L109" s="264" t="s">
        <v>566</v>
      </c>
      <c r="M109" s="98"/>
      <c r="N109" s="93" t="s">
        <v>5173</v>
      </c>
      <c r="O109" s="93" t="s">
        <v>1025</v>
      </c>
      <c r="P109" s="93" t="s">
        <v>3527</v>
      </c>
      <c r="Q109" s="98"/>
      <c r="R109" s="98"/>
      <c r="S109" s="98"/>
      <c r="T109" s="98"/>
      <c r="U109" s="98"/>
      <c r="V109" s="98"/>
      <c r="W109" s="92"/>
      <c r="X109" s="93" t="s">
        <v>2600</v>
      </c>
      <c r="Y109" s="93" t="s">
        <v>1010</v>
      </c>
      <c r="Z109" s="93" t="s">
        <v>3186</v>
      </c>
      <c r="AA109" s="93" t="s">
        <v>5174</v>
      </c>
      <c r="AB109" s="93" t="s">
        <v>426</v>
      </c>
      <c r="AC109" s="93" t="s">
        <v>5175</v>
      </c>
      <c r="AD109" s="98"/>
      <c r="AE109" s="98"/>
      <c r="AF109" s="93" t="s">
        <v>4867</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4655</v>
      </c>
      <c r="BD109" s="93" t="s">
        <v>4876</v>
      </c>
      <c r="BE109" s="93" t="s">
        <v>1748</v>
      </c>
      <c r="BF109" s="98"/>
      <c r="BG109" s="98"/>
      <c r="BH109" s="93" t="s">
        <v>1986</v>
      </c>
      <c r="BI109" s="93" t="s">
        <v>5177</v>
      </c>
      <c r="BJ109" s="93" t="s">
        <v>691</v>
      </c>
      <c r="BK109" s="93" t="s">
        <v>4548</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2763</v>
      </c>
      <c r="CH109" s="98"/>
      <c r="CI109" s="98"/>
      <c r="CJ109" s="98"/>
      <c r="CK109" s="98"/>
      <c r="CL109" s="93" t="s">
        <v>5182</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2842</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4869</v>
      </c>
      <c r="BB110" s="172" t="s">
        <v>3305</v>
      </c>
      <c r="BC110" s="172" t="s">
        <v>2258</v>
      </c>
      <c r="BD110" s="172" t="s">
        <v>4483</v>
      </c>
      <c r="BE110" s="172" t="s">
        <v>4398</v>
      </c>
      <c r="BF110" s="172"/>
      <c r="BG110" s="172"/>
      <c r="BH110" s="172" t="s">
        <v>4992</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2985</v>
      </c>
      <c r="CW110" s="202" t="s">
        <v>4970</v>
      </c>
      <c r="CX110" s="202" t="s">
        <v>1150</v>
      </c>
      <c r="CY110" s="202" t="s">
        <v>5197</v>
      </c>
      <c r="CZ110" s="202"/>
      <c r="DA110" s="202" t="s">
        <v>5198</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2726</v>
      </c>
      <c r="L111" s="93" t="s">
        <v>5203</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2724</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4729</v>
      </c>
      <c r="H112" s="112" t="s">
        <v>5214</v>
      </c>
      <c r="I112" s="112" t="s">
        <v>5215</v>
      </c>
      <c r="J112" s="112" t="s">
        <v>4899</v>
      </c>
      <c r="K112" s="112" t="s">
        <v>3987</v>
      </c>
      <c r="L112" s="112" t="s">
        <v>4096</v>
      </c>
      <c r="M112" s="165" t="s">
        <v>868</v>
      </c>
      <c r="N112" s="165" t="s">
        <v>5216</v>
      </c>
      <c r="O112" s="402" t="s">
        <v>154</v>
      </c>
      <c r="P112" s="112" t="s">
        <v>2676</v>
      </c>
      <c r="Q112" s="242"/>
      <c r="R112" s="242"/>
      <c r="S112" s="165" t="s">
        <v>3210</v>
      </c>
      <c r="T112" s="242"/>
      <c r="U112" s="165" t="s">
        <v>1461</v>
      </c>
      <c r="V112" s="242"/>
      <c r="W112" s="92"/>
      <c r="X112" s="356" t="s">
        <v>4788</v>
      </c>
      <c r="Y112" s="356" t="s">
        <v>3754</v>
      </c>
      <c r="Z112" s="115" t="s">
        <v>5217</v>
      </c>
      <c r="AA112" s="195" t="s">
        <v>5218</v>
      </c>
      <c r="AB112" s="115" t="s">
        <v>2588</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4655</v>
      </c>
      <c r="BD112" s="172" t="s">
        <v>3097</v>
      </c>
      <c r="BE112" s="172" t="s">
        <v>4366</v>
      </c>
      <c r="BF112" s="172" t="s">
        <v>2534</v>
      </c>
      <c r="BG112" s="172" t="s">
        <v>5227</v>
      </c>
      <c r="BH112" s="172" t="s">
        <v>3454</v>
      </c>
      <c r="BI112" s="172" t="s">
        <v>5228</v>
      </c>
      <c r="BJ112" s="171"/>
      <c r="BK112" s="172" t="s">
        <v>3334</v>
      </c>
      <c r="BL112" s="171"/>
      <c r="BM112" s="172" t="s">
        <v>4460</v>
      </c>
      <c r="BN112" s="171"/>
      <c r="BO112" s="172" t="s">
        <v>5229</v>
      </c>
      <c r="BP112" s="247"/>
      <c r="BQ112" s="250"/>
      <c r="BR112" s="250"/>
      <c r="BS112" s="173" t="s">
        <v>5115</v>
      </c>
      <c r="BT112" s="173" t="s">
        <v>5230</v>
      </c>
      <c r="BU112" s="173" t="s">
        <v>5231</v>
      </c>
      <c r="BV112" s="173" t="s">
        <v>5232</v>
      </c>
      <c r="BW112" s="250"/>
      <c r="BX112" s="173" t="s">
        <v>4995</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2063</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2245</v>
      </c>
      <c r="DR112" s="203" t="s">
        <v>5236</v>
      </c>
      <c r="DS112" s="203" t="s">
        <v>5244</v>
      </c>
      <c r="DT112" s="256"/>
      <c r="DU112" s="203" t="s">
        <v>3190</v>
      </c>
      <c r="DV112" s="144" t="s">
        <v>2851</v>
      </c>
      <c r="DW112" s="256"/>
      <c r="DX112" s="256"/>
      <c r="DY112" s="256"/>
      <c r="DZ112" s="256"/>
      <c r="EA112" s="256"/>
      <c r="EB112" s="256"/>
      <c r="EC112" s="285"/>
    </row>
    <row r="113">
      <c r="A113" s="81" t="s">
        <v>5245</v>
      </c>
      <c r="B113" s="82" t="s">
        <v>5246</v>
      </c>
      <c r="C113" s="83" t="s">
        <v>1262</v>
      </c>
      <c r="D113" s="84" t="s">
        <v>1262</v>
      </c>
      <c r="E113" s="85" t="s">
        <v>1262</v>
      </c>
      <c r="F113" s="86" t="s">
        <v>1262</v>
      </c>
      <c r="G113" s="82" t="s">
        <v>2152</v>
      </c>
      <c r="H113" s="93" t="s">
        <v>4703</v>
      </c>
      <c r="I113" s="93" t="s">
        <v>2320</v>
      </c>
      <c r="J113" s="93" t="s">
        <v>1890</v>
      </c>
      <c r="K113" s="93" t="s">
        <v>1145</v>
      </c>
      <c r="L113" s="93" t="s">
        <v>2579</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2031</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2474</v>
      </c>
      <c r="BE113" s="93" t="s">
        <v>5261</v>
      </c>
      <c r="BF113" s="93" t="s">
        <v>4221</v>
      </c>
      <c r="BG113" s="93" t="s">
        <v>4544</v>
      </c>
      <c r="BH113" s="93" t="s">
        <v>5262</v>
      </c>
      <c r="BI113" s="93" t="s">
        <v>970</v>
      </c>
      <c r="BJ113" s="93"/>
      <c r="BK113" s="93" t="s">
        <v>5263</v>
      </c>
      <c r="BL113" s="98"/>
      <c r="BM113" s="93" t="s">
        <v>1851</v>
      </c>
      <c r="BN113" s="93" t="s">
        <v>2912</v>
      </c>
      <c r="BO113" s="98"/>
      <c r="BP113" s="235"/>
      <c r="BQ113" s="93"/>
      <c r="BR113" s="93" t="s">
        <v>2933</v>
      </c>
      <c r="BS113" s="93" t="s">
        <v>2785</v>
      </c>
      <c r="BT113" s="93" t="s">
        <v>2453</v>
      </c>
      <c r="BU113" s="93" t="s">
        <v>5264</v>
      </c>
      <c r="BV113" s="93" t="s">
        <v>211</v>
      </c>
      <c r="BW113" s="93" t="s">
        <v>5265</v>
      </c>
      <c r="BX113" s="98"/>
      <c r="BY113" s="93" t="s">
        <v>5266</v>
      </c>
      <c r="BZ113" s="93" t="s">
        <v>5267</v>
      </c>
      <c r="CA113" s="98"/>
      <c r="CB113" s="93" t="s">
        <v>5268</v>
      </c>
      <c r="CC113" s="93" t="s">
        <v>1510</v>
      </c>
      <c r="CD113" s="98"/>
      <c r="CE113" s="235"/>
      <c r="CF113" s="93" t="s">
        <v>4834</v>
      </c>
      <c r="CG113" s="93" t="s">
        <v>1900</v>
      </c>
      <c r="CH113" s="93" t="s">
        <v>5269</v>
      </c>
      <c r="CI113" s="93" t="s">
        <v>5270</v>
      </c>
      <c r="CJ113" s="93"/>
      <c r="CK113" s="93" t="s">
        <v>5271</v>
      </c>
      <c r="CL113" s="93" t="s">
        <v>5272</v>
      </c>
      <c r="CM113" s="93" t="s">
        <v>1450</v>
      </c>
      <c r="CN113" s="93" t="s">
        <v>3095</v>
      </c>
      <c r="CO113" s="93" t="s">
        <v>5273</v>
      </c>
      <c r="CP113" s="93" t="s">
        <v>551</v>
      </c>
      <c r="CQ113" s="93"/>
      <c r="CR113" s="93" t="s">
        <v>5235</v>
      </c>
      <c r="CS113" s="98"/>
      <c r="CT113" s="92"/>
      <c r="CU113" s="93" t="s">
        <v>5274</v>
      </c>
      <c r="CV113" s="93" t="s">
        <v>5275</v>
      </c>
      <c r="CW113" s="93" t="s">
        <v>3381</v>
      </c>
      <c r="CX113" s="93" t="s">
        <v>2967</v>
      </c>
      <c r="CY113" s="93" t="s">
        <v>5276</v>
      </c>
      <c r="CZ113" s="93" t="s">
        <v>3926</v>
      </c>
      <c r="DA113" s="93" t="s">
        <v>5277</v>
      </c>
      <c r="DB113" s="93" t="s">
        <v>2562</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2439</v>
      </c>
      <c r="R114" s="242"/>
      <c r="S114" s="112" t="s">
        <v>2630</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2004</v>
      </c>
      <c r="AG114" s="195" t="s">
        <v>168</v>
      </c>
      <c r="AH114" s="116"/>
      <c r="AI114" s="115" t="s">
        <v>3052</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2238</v>
      </c>
      <c r="BC114" s="172" t="s">
        <v>3650</v>
      </c>
      <c r="BD114" s="172" t="s">
        <v>5295</v>
      </c>
      <c r="BE114" s="172" t="s">
        <v>2569</v>
      </c>
      <c r="BF114" s="172" t="s">
        <v>3195</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3106</v>
      </c>
      <c r="BY114" s="250"/>
      <c r="BZ114" s="128" t="s">
        <v>3761</v>
      </c>
      <c r="CA114" s="128" t="s">
        <v>5303</v>
      </c>
      <c r="CB114" s="128" t="s">
        <v>5304</v>
      </c>
      <c r="CC114" s="173" t="s">
        <v>2756</v>
      </c>
      <c r="CD114" s="173" t="s">
        <v>5305</v>
      </c>
      <c r="CE114" s="173"/>
      <c r="CF114" s="175" t="s">
        <v>2955</v>
      </c>
      <c r="CG114" s="175" t="s">
        <v>3486</v>
      </c>
      <c r="CH114" s="175" t="s">
        <v>483</v>
      </c>
      <c r="CI114" s="175" t="s">
        <v>5306</v>
      </c>
      <c r="CJ114" s="175"/>
      <c r="CK114" s="175"/>
      <c r="CL114" s="175" t="s">
        <v>5307</v>
      </c>
      <c r="CM114" s="294" t="s">
        <v>5308</v>
      </c>
      <c r="CN114" s="134" t="s">
        <v>3527</v>
      </c>
      <c r="CO114" s="253"/>
      <c r="CP114" s="175" t="s">
        <v>5309</v>
      </c>
      <c r="CQ114" s="253"/>
      <c r="CR114" s="253"/>
      <c r="CS114" s="175" t="s">
        <v>3448</v>
      </c>
      <c r="CT114" s="92"/>
      <c r="CU114" s="202" t="s">
        <v>2579</v>
      </c>
      <c r="CV114" s="202" t="s">
        <v>4751</v>
      </c>
      <c r="CW114" s="202" t="s">
        <v>3310</v>
      </c>
      <c r="CX114" s="202" t="s">
        <v>659</v>
      </c>
      <c r="CY114" s="254"/>
      <c r="CZ114" s="254"/>
      <c r="DA114" s="139" t="s">
        <v>5310</v>
      </c>
      <c r="DB114" s="139" t="s">
        <v>2418</v>
      </c>
      <c r="DC114" s="202" t="s">
        <v>5311</v>
      </c>
      <c r="DD114" s="202" t="s">
        <v>5187</v>
      </c>
      <c r="DE114" s="202" t="s">
        <v>5312</v>
      </c>
      <c r="DF114" s="202" t="s">
        <v>5313</v>
      </c>
      <c r="DG114" s="202"/>
      <c r="DH114" s="203" t="s">
        <v>4121</v>
      </c>
      <c r="DI114" s="203"/>
      <c r="DJ114" s="203" t="s">
        <v>5314</v>
      </c>
      <c r="DK114" s="203"/>
      <c r="DL114" s="203" t="s">
        <v>5315</v>
      </c>
      <c r="DM114" s="203" t="s">
        <v>2772</v>
      </c>
      <c r="DN114" s="205" t="s">
        <v>5316</v>
      </c>
      <c r="DO114" s="203" t="s">
        <v>4101</v>
      </c>
      <c r="DP114" s="256"/>
      <c r="DQ114" s="203" t="s">
        <v>2959</v>
      </c>
      <c r="DR114" s="203" t="s">
        <v>5317</v>
      </c>
      <c r="DS114" s="203" t="s">
        <v>3698</v>
      </c>
      <c r="DT114" s="203" t="s">
        <v>3649</v>
      </c>
      <c r="DU114" s="203" t="s">
        <v>1083</v>
      </c>
      <c r="DV114" s="203" t="s">
        <v>1347</v>
      </c>
      <c r="DW114" s="203" t="s">
        <v>4150</v>
      </c>
      <c r="DX114" s="203" t="s">
        <v>1019</v>
      </c>
      <c r="DY114" s="203" t="s">
        <v>2827</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4760</v>
      </c>
      <c r="H115" s="93" t="s">
        <v>664</v>
      </c>
      <c r="I115" s="93" t="s">
        <v>2497</v>
      </c>
      <c r="J115" s="93" t="s">
        <v>1671</v>
      </c>
      <c r="K115" s="93" t="s">
        <v>3987</v>
      </c>
      <c r="L115" s="93" t="s">
        <v>4603</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3090</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4930</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4557</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2441</v>
      </c>
      <c r="CN115" s="93" t="s">
        <v>5208</v>
      </c>
      <c r="CO115" s="98"/>
      <c r="CP115" s="98"/>
      <c r="CQ115" s="98"/>
      <c r="CR115" s="98"/>
      <c r="CS115" s="98"/>
      <c r="CT115" s="92"/>
      <c r="CU115" s="93" t="s">
        <v>5062</v>
      </c>
      <c r="CV115" s="93" t="s">
        <v>3018</v>
      </c>
      <c r="CW115" s="93" t="s">
        <v>4205</v>
      </c>
      <c r="CX115" s="93" t="s">
        <v>5187</v>
      </c>
      <c r="CY115" s="93" t="s">
        <v>4747</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2513</v>
      </c>
      <c r="I116" s="165" t="s">
        <v>5350</v>
      </c>
      <c r="J116" s="165" t="s">
        <v>5351</v>
      </c>
      <c r="K116" s="165" t="s">
        <v>5352</v>
      </c>
      <c r="L116" s="165" t="s">
        <v>785</v>
      </c>
      <c r="M116" s="242"/>
      <c r="N116" s="165" t="s">
        <v>5353</v>
      </c>
      <c r="O116" s="165" t="s">
        <v>481</v>
      </c>
      <c r="P116" s="165" t="s">
        <v>5354</v>
      </c>
      <c r="Q116" s="242"/>
      <c r="R116" s="242"/>
      <c r="S116" s="165" t="s">
        <v>3022</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2113</v>
      </c>
      <c r="AV116" s="166" t="s">
        <v>2027</v>
      </c>
      <c r="AW116" s="245"/>
      <c r="AX116" s="166" t="s">
        <v>5357</v>
      </c>
      <c r="AY116" s="245"/>
      <c r="AZ116" s="245"/>
      <c r="BA116" s="172" t="s">
        <v>5362</v>
      </c>
      <c r="BB116" s="172" t="s">
        <v>2638</v>
      </c>
      <c r="BC116" s="172" t="s">
        <v>5363</v>
      </c>
      <c r="BD116" s="172" t="s">
        <v>4515</v>
      </c>
      <c r="BE116" s="172" t="s">
        <v>5364</v>
      </c>
      <c r="BF116" s="172" t="s">
        <v>5365</v>
      </c>
      <c r="BG116" s="172" t="s">
        <v>4662</v>
      </c>
      <c r="BH116" s="172" t="s">
        <v>2326</v>
      </c>
      <c r="BI116" s="172" t="s">
        <v>5366</v>
      </c>
      <c r="BJ116" s="172" t="s">
        <v>5367</v>
      </c>
      <c r="BK116" s="172" t="s">
        <v>5368</v>
      </c>
      <c r="BL116" s="171"/>
      <c r="BM116" s="172" t="s">
        <v>2326</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5074</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1916</v>
      </c>
      <c r="DA116" s="202" t="s">
        <v>5385</v>
      </c>
      <c r="DB116" s="202" t="s">
        <v>5386</v>
      </c>
      <c r="DC116" s="254"/>
      <c r="DD116" s="254"/>
      <c r="DE116" s="202" t="s">
        <v>355</v>
      </c>
      <c r="DF116" s="254"/>
      <c r="DG116" s="255"/>
      <c r="DH116" s="203" t="s">
        <v>2491</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2645</v>
      </c>
      <c r="H117" s="98"/>
      <c r="I117" s="578" t="s">
        <v>5398</v>
      </c>
      <c r="J117" s="93" t="s">
        <v>5399</v>
      </c>
      <c r="K117" s="579" t="s">
        <v>5400</v>
      </c>
      <c r="L117" s="578" t="s">
        <v>5401</v>
      </c>
      <c r="M117" s="93" t="s">
        <v>5402</v>
      </c>
      <c r="N117" s="93" t="s">
        <v>4669</v>
      </c>
      <c r="O117" s="99" t="s">
        <v>3098</v>
      </c>
      <c r="P117" s="99" t="s">
        <v>4893</v>
      </c>
      <c r="Q117" s="98"/>
      <c r="R117" s="98"/>
      <c r="S117" s="99" t="s">
        <v>5403</v>
      </c>
      <c r="T117" s="98"/>
      <c r="U117" s="98"/>
      <c r="V117" s="98"/>
      <c r="W117" s="92"/>
      <c r="X117" s="580" t="s">
        <v>1915</v>
      </c>
      <c r="Y117" s="578" t="s">
        <v>2950</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5159</v>
      </c>
      <c r="AU117" s="99" t="s">
        <v>5407</v>
      </c>
      <c r="AV117" s="98"/>
      <c r="AW117" s="98"/>
      <c r="AX117" s="99" t="s">
        <v>5408</v>
      </c>
      <c r="AY117" s="98"/>
      <c r="AZ117" s="98"/>
      <c r="BA117" s="99" t="s">
        <v>5409</v>
      </c>
      <c r="BB117" s="99" t="s">
        <v>2125</v>
      </c>
      <c r="BC117" s="99" t="s">
        <v>4655</v>
      </c>
      <c r="BD117" s="580" t="s">
        <v>2143</v>
      </c>
      <c r="BE117" s="93" t="s">
        <v>4263</v>
      </c>
      <c r="BF117" s="98"/>
      <c r="BG117" s="98"/>
      <c r="BH117" s="99" t="s">
        <v>1900</v>
      </c>
      <c r="BI117" s="581"/>
      <c r="BJ117" s="99" t="s">
        <v>5410</v>
      </c>
      <c r="BK117" s="99" t="s">
        <v>5297</v>
      </c>
      <c r="BL117" s="93"/>
      <c r="BM117" s="98"/>
      <c r="BN117" s="98"/>
      <c r="BO117" s="98"/>
      <c r="BP117" s="235"/>
      <c r="BQ117" s="99" t="s">
        <v>5411</v>
      </c>
      <c r="BR117" s="98"/>
      <c r="BS117" s="99" t="s">
        <v>996</v>
      </c>
      <c r="BT117" s="98"/>
      <c r="BU117" s="93" t="s">
        <v>4544</v>
      </c>
      <c r="BV117" s="578" t="s">
        <v>5412</v>
      </c>
      <c r="BW117" s="99" t="s">
        <v>5413</v>
      </c>
      <c r="BX117" s="580" t="s">
        <v>447</v>
      </c>
      <c r="BY117" s="580" t="s">
        <v>5414</v>
      </c>
      <c r="BZ117" s="98"/>
      <c r="CA117" s="98"/>
      <c r="CB117" s="98"/>
      <c r="CC117" s="99" t="s">
        <v>2617</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3444</v>
      </c>
      <c r="DZ117" s="99" t="s">
        <v>3099</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1906</v>
      </c>
      <c r="O118" s="402" t="s">
        <v>1461</v>
      </c>
      <c r="P118" s="112" t="s">
        <v>1010</v>
      </c>
      <c r="Q118" s="112" t="s">
        <v>5428</v>
      </c>
      <c r="R118" s="242"/>
      <c r="S118" s="242"/>
      <c r="T118" s="242"/>
      <c r="U118" s="242"/>
      <c r="V118" s="242"/>
      <c r="W118" s="92"/>
      <c r="X118" s="356" t="s">
        <v>5429</v>
      </c>
      <c r="Y118" s="356" t="s">
        <v>3858</v>
      </c>
      <c r="Z118" s="356" t="s">
        <v>5430</v>
      </c>
      <c r="AA118" s="356" t="s">
        <v>3438</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2943</v>
      </c>
      <c r="AV118" s="245"/>
      <c r="AW118" s="245"/>
      <c r="AX118" s="245"/>
      <c r="AY118" s="245"/>
      <c r="AZ118" s="245"/>
      <c r="BA118" s="172" t="s">
        <v>5439</v>
      </c>
      <c r="BB118" s="300" t="s">
        <v>927</v>
      </c>
      <c r="BC118" s="300" t="s">
        <v>617</v>
      </c>
      <c r="BD118" s="172" t="s">
        <v>659</v>
      </c>
      <c r="BE118" s="172" t="s">
        <v>2993</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4059</v>
      </c>
      <c r="CI118" s="175" t="s">
        <v>5451</v>
      </c>
      <c r="CJ118" s="175"/>
      <c r="CK118" s="175" t="s">
        <v>4159</v>
      </c>
      <c r="CL118" s="175" t="s">
        <v>5452</v>
      </c>
      <c r="CM118" s="175" t="s">
        <v>5453</v>
      </c>
      <c r="CN118" s="175" t="s">
        <v>5454</v>
      </c>
      <c r="CO118" s="253"/>
      <c r="CP118" s="253"/>
      <c r="CQ118" s="253"/>
      <c r="CR118" s="253"/>
      <c r="CS118" s="253"/>
      <c r="CT118" s="92"/>
      <c r="CU118" s="202" t="s">
        <v>5455</v>
      </c>
      <c r="CV118" s="202" t="s">
        <v>3163</v>
      </c>
      <c r="CW118" s="202" t="s">
        <v>5456</v>
      </c>
      <c r="CX118" s="202" t="s">
        <v>5457</v>
      </c>
      <c r="CY118" s="202" t="s">
        <v>5458</v>
      </c>
      <c r="CZ118" s="202" t="s">
        <v>1900</v>
      </c>
      <c r="DA118" s="202" t="s">
        <v>5459</v>
      </c>
      <c r="DB118" s="202" t="s">
        <v>4106</v>
      </c>
      <c r="DC118" s="254"/>
      <c r="DD118" s="254"/>
      <c r="DE118" s="254"/>
      <c r="DF118" s="202" t="s">
        <v>5460</v>
      </c>
      <c r="DG118" s="295"/>
      <c r="DH118" s="203" t="s">
        <v>2415</v>
      </c>
      <c r="DI118" s="256"/>
      <c r="DJ118" s="256"/>
      <c r="DK118" s="203"/>
      <c r="DL118" s="256"/>
      <c r="DM118" s="203" t="s">
        <v>5461</v>
      </c>
      <c r="DN118" s="203" t="s">
        <v>3734</v>
      </c>
      <c r="DO118" s="203" t="s">
        <v>1190</v>
      </c>
      <c r="DP118" s="256"/>
      <c r="DQ118" s="203" t="s">
        <v>5462</v>
      </c>
      <c r="DR118" s="203"/>
      <c r="DS118" s="256"/>
      <c r="DT118" s="256"/>
      <c r="DU118" s="203" t="s">
        <v>3071</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2105</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2990</v>
      </c>
      <c r="Y120" s="195" t="s">
        <v>5471</v>
      </c>
      <c r="Z120" s="195" t="s">
        <v>4691</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2046</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3093</v>
      </c>
      <c r="BS120" s="173" t="s">
        <v>4879</v>
      </c>
      <c r="BT120" s="173" t="s">
        <v>5230</v>
      </c>
      <c r="BU120" s="173" t="s">
        <v>5483</v>
      </c>
      <c r="BV120" s="173" t="s">
        <v>4646</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4976</v>
      </c>
      <c r="CO120" s="253"/>
      <c r="CP120" s="253"/>
      <c r="CQ120" s="253"/>
      <c r="CR120" s="253"/>
      <c r="CS120" s="253"/>
      <c r="CT120" s="92"/>
      <c r="CU120" s="202" t="s">
        <v>5489</v>
      </c>
      <c r="CV120" s="202" t="s">
        <v>4028</v>
      </c>
      <c r="CW120" s="202" t="s">
        <v>3199</v>
      </c>
      <c r="CX120" s="202" t="s">
        <v>5490</v>
      </c>
      <c r="CY120" s="202" t="s">
        <v>5491</v>
      </c>
      <c r="CZ120" s="202" t="s">
        <v>5492</v>
      </c>
      <c r="DA120" s="202" t="s">
        <v>4717</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4578</v>
      </c>
      <c r="H121" s="93" t="s">
        <v>4682</v>
      </c>
      <c r="I121" s="93" t="s">
        <v>5497</v>
      </c>
      <c r="J121" s="93" t="s">
        <v>5202</v>
      </c>
      <c r="K121" s="93" t="s">
        <v>352</v>
      </c>
      <c r="L121" s="93" t="s">
        <v>4923</v>
      </c>
      <c r="M121" s="93" t="s">
        <v>5498</v>
      </c>
      <c r="N121" s="93" t="s">
        <v>5499</v>
      </c>
      <c r="O121" s="93" t="s">
        <v>3060</v>
      </c>
      <c r="P121" s="93" t="s">
        <v>5500</v>
      </c>
      <c r="Q121" s="98"/>
      <c r="R121" s="98"/>
      <c r="S121" s="98"/>
      <c r="T121" s="98"/>
      <c r="U121" s="98"/>
      <c r="V121" s="98"/>
      <c r="W121" s="92"/>
      <c r="X121" s="93" t="s">
        <v>3406</v>
      </c>
      <c r="Y121" s="93" t="s">
        <v>574</v>
      </c>
      <c r="Z121" s="93" t="s">
        <v>4694</v>
      </c>
      <c r="AA121" s="93" t="s">
        <v>619</v>
      </c>
      <c r="AB121" s="93" t="s">
        <v>4724</v>
      </c>
      <c r="AC121" s="93" t="s">
        <v>2159</v>
      </c>
      <c r="AD121" s="93"/>
      <c r="AE121" s="93" t="s">
        <v>5501</v>
      </c>
      <c r="AF121" s="93" t="s">
        <v>5502</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3119</v>
      </c>
      <c r="BI121" s="98"/>
      <c r="BJ121" s="93" t="s">
        <v>5508</v>
      </c>
      <c r="BK121" s="93" t="s">
        <v>5509</v>
      </c>
      <c r="BL121" s="98"/>
      <c r="BM121" s="98"/>
      <c r="BN121" s="98"/>
      <c r="BO121" s="98"/>
      <c r="BP121" s="235"/>
      <c r="BQ121" s="93" t="s">
        <v>5510</v>
      </c>
      <c r="BR121" s="93" t="s">
        <v>5101</v>
      </c>
      <c r="BS121" s="93" t="s">
        <v>2378</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2263</v>
      </c>
      <c r="CI121" s="93" t="s">
        <v>5517</v>
      </c>
      <c r="CJ121" s="93"/>
      <c r="CK121" s="93" t="s">
        <v>5518</v>
      </c>
      <c r="CL121" s="93" t="s">
        <v>5519</v>
      </c>
      <c r="CM121" s="93" t="s">
        <v>4879</v>
      </c>
      <c r="CN121" s="93" t="s">
        <v>5502</v>
      </c>
      <c r="CO121" s="98"/>
      <c r="CP121" s="98"/>
      <c r="CQ121" s="98"/>
      <c r="CR121" s="98"/>
      <c r="CS121" s="98"/>
      <c r="CT121" s="92"/>
      <c r="CU121" s="93" t="s">
        <v>1013</v>
      </c>
      <c r="CV121" s="93" t="s">
        <v>5003</v>
      </c>
      <c r="CW121" s="93" t="s">
        <v>3271</v>
      </c>
      <c r="CX121" s="93" t="s">
        <v>4530</v>
      </c>
      <c r="CY121" s="93" t="s">
        <v>5177</v>
      </c>
      <c r="CZ121" s="93" t="s">
        <v>4763</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2375</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5047</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2380</v>
      </c>
      <c r="BC122" s="172" t="s">
        <v>278</v>
      </c>
      <c r="BD122" s="172" t="s">
        <v>4515</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4770</v>
      </c>
      <c r="BU122" s="250"/>
      <c r="BV122" s="173" t="s">
        <v>5536</v>
      </c>
      <c r="BW122" s="250"/>
      <c r="BX122" s="250"/>
      <c r="BY122" s="250"/>
      <c r="BZ122" s="173" t="s">
        <v>2786</v>
      </c>
      <c r="CA122" s="250"/>
      <c r="CB122" s="250"/>
      <c r="CC122" s="250"/>
      <c r="CD122" s="250"/>
      <c r="CE122" s="251"/>
      <c r="CF122" s="175" t="s">
        <v>2275</v>
      </c>
      <c r="CG122" s="134" t="s">
        <v>879</v>
      </c>
      <c r="CH122" s="175" t="s">
        <v>5537</v>
      </c>
      <c r="CI122" s="175" t="s">
        <v>5538</v>
      </c>
      <c r="CJ122" s="175"/>
      <c r="CK122" s="175" t="s">
        <v>1357</v>
      </c>
      <c r="CL122" s="175" t="s">
        <v>5539</v>
      </c>
      <c r="CM122" s="175" t="s">
        <v>2378</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2467</v>
      </c>
      <c r="M123" s="88" t="s">
        <v>1470</v>
      </c>
      <c r="N123" s="88" t="s">
        <v>5554</v>
      </c>
      <c r="O123" s="88" t="s">
        <v>1303</v>
      </c>
      <c r="P123" s="93" t="s">
        <v>5328</v>
      </c>
      <c r="Q123" s="98"/>
      <c r="R123" s="98"/>
      <c r="S123" s="98"/>
      <c r="T123" s="98"/>
      <c r="U123" s="98"/>
      <c r="V123" s="98"/>
      <c r="W123" s="92"/>
      <c r="X123" s="88" t="s">
        <v>3173</v>
      </c>
      <c r="Y123" s="88" t="s">
        <v>2479</v>
      </c>
      <c r="Z123" s="264" t="s">
        <v>5555</v>
      </c>
      <c r="AA123" s="93" t="s">
        <v>5556</v>
      </c>
      <c r="AB123" s="88" t="s">
        <v>3832</v>
      </c>
      <c r="AC123" s="264" t="s">
        <v>3511</v>
      </c>
      <c r="AD123" s="98"/>
      <c r="AE123" s="264" t="s">
        <v>5557</v>
      </c>
      <c r="AF123" s="88" t="s">
        <v>4694</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4051</v>
      </c>
      <c r="CL123" s="93" t="s">
        <v>5570</v>
      </c>
      <c r="CM123" s="88" t="s">
        <v>1980</v>
      </c>
      <c r="CN123" s="93" t="s">
        <v>1926</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2922</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4760</v>
      </c>
      <c r="H124" s="165" t="s">
        <v>5582</v>
      </c>
      <c r="I124" s="165" t="s">
        <v>5583</v>
      </c>
      <c r="J124" s="165" t="s">
        <v>5584</v>
      </c>
      <c r="K124" s="165" t="s">
        <v>5352</v>
      </c>
      <c r="L124" s="165" t="s">
        <v>2618</v>
      </c>
      <c r="M124" s="242"/>
      <c r="N124" s="165" t="s">
        <v>5585</v>
      </c>
      <c r="O124" s="165" t="s">
        <v>690</v>
      </c>
      <c r="P124" s="165" t="s">
        <v>1276</v>
      </c>
      <c r="Q124" s="242"/>
      <c r="R124" s="242"/>
      <c r="S124" s="242"/>
      <c r="T124" s="242"/>
      <c r="U124" s="242"/>
      <c r="V124" s="242"/>
      <c r="W124" s="92"/>
      <c r="X124" s="195" t="s">
        <v>2481</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4512</v>
      </c>
      <c r="BL124" s="171"/>
      <c r="BM124" s="171"/>
      <c r="BN124" s="171"/>
      <c r="BO124" s="171"/>
      <c r="BP124" s="247"/>
      <c r="BQ124" s="173" t="s">
        <v>5366</v>
      </c>
      <c r="BR124" s="173" t="s">
        <v>4426</v>
      </c>
      <c r="BS124" s="173" t="s">
        <v>4865</v>
      </c>
      <c r="BT124" s="173" t="s">
        <v>1857</v>
      </c>
      <c r="BU124" s="173" t="s">
        <v>1007</v>
      </c>
      <c r="BV124" s="173" t="s">
        <v>5592</v>
      </c>
      <c r="BW124" s="173"/>
      <c r="BX124" s="173" t="s">
        <v>5593</v>
      </c>
      <c r="BY124" s="250"/>
      <c r="BZ124" s="173" t="s">
        <v>2225</v>
      </c>
      <c r="CA124" s="250"/>
      <c r="CB124" s="250"/>
      <c r="CC124" s="250"/>
      <c r="CD124" s="250"/>
      <c r="CE124" s="251"/>
      <c r="CF124" s="175" t="s">
        <v>5594</v>
      </c>
      <c r="CG124" s="175" t="s">
        <v>2338</v>
      </c>
      <c r="CH124" s="253"/>
      <c r="CI124" s="253"/>
      <c r="CJ124" s="253"/>
      <c r="CK124" s="253"/>
      <c r="CL124" s="175" t="s">
        <v>5595</v>
      </c>
      <c r="CM124" s="175" t="s">
        <v>846</v>
      </c>
      <c r="CN124" s="175" t="s">
        <v>3095</v>
      </c>
      <c r="CO124" s="253"/>
      <c r="CP124" s="253"/>
      <c r="CQ124" s="253"/>
      <c r="CR124" s="253"/>
      <c r="CS124" s="253"/>
      <c r="CT124" s="92"/>
      <c r="CU124" s="202" t="s">
        <v>3545</v>
      </c>
      <c r="CV124" s="202" t="s">
        <v>2801</v>
      </c>
      <c r="CW124" s="202" t="s">
        <v>5074</v>
      </c>
      <c r="CX124" s="202" t="s">
        <v>913</v>
      </c>
      <c r="CY124" s="202" t="s">
        <v>1769</v>
      </c>
      <c r="CZ124" s="254"/>
      <c r="DA124" s="202" t="s">
        <v>4980</v>
      </c>
      <c r="DB124" s="202" t="s">
        <v>4238</v>
      </c>
      <c r="DC124" s="254"/>
      <c r="DD124" s="254"/>
      <c r="DE124" s="254"/>
      <c r="DF124" s="254"/>
      <c r="DG124" s="255"/>
      <c r="DH124" s="256"/>
      <c r="DI124" s="256"/>
      <c r="DJ124" s="256"/>
      <c r="DK124" s="256"/>
      <c r="DL124" s="256"/>
      <c r="DM124" s="256"/>
      <c r="DN124" s="256"/>
      <c r="DO124" s="256"/>
      <c r="DP124" s="256"/>
      <c r="DQ124" s="203" t="s">
        <v>5596</v>
      </c>
      <c r="DR124" s="203" t="s">
        <v>2433</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4684</v>
      </c>
      <c r="K125" s="88" t="s">
        <v>2279</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1925</v>
      </c>
      <c r="AB125" s="88" t="s">
        <v>2915</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5605</v>
      </c>
      <c r="BB125" s="102" t="s">
        <v>884</v>
      </c>
      <c r="BC125" s="102" t="s">
        <v>738</v>
      </c>
      <c r="BD125" s="102" t="s">
        <v>5606</v>
      </c>
      <c r="BE125" s="102" t="s">
        <v>5607</v>
      </c>
      <c r="BF125" s="102" t="s">
        <v>707</v>
      </c>
      <c r="BG125" s="93"/>
      <c r="BH125" s="102" t="s">
        <v>3051</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2712</v>
      </c>
      <c r="CK125" s="102" t="s">
        <v>5620</v>
      </c>
      <c r="CL125" s="102" t="s">
        <v>3297</v>
      </c>
      <c r="CM125" s="102" t="s">
        <v>1592</v>
      </c>
      <c r="CN125" s="102" t="s">
        <v>3344</v>
      </c>
      <c r="CO125" s="220"/>
      <c r="CP125" s="98"/>
      <c r="CQ125" s="98"/>
      <c r="CR125" s="98"/>
      <c r="CS125" s="98"/>
      <c r="CT125" s="92"/>
      <c r="CU125" s="102" t="s">
        <v>4269</v>
      </c>
      <c r="CV125" s="102" t="s">
        <v>5621</v>
      </c>
      <c r="CW125" s="102" t="s">
        <v>2597</v>
      </c>
      <c r="CX125" s="102" t="s">
        <v>5622</v>
      </c>
      <c r="CY125" s="102" t="s">
        <v>1093</v>
      </c>
      <c r="CZ125" s="102" t="s">
        <v>3712</v>
      </c>
      <c r="DA125" s="102" t="s">
        <v>5623</v>
      </c>
      <c r="DB125" s="102" t="s">
        <v>5002</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4581</v>
      </c>
      <c r="L126" s="165" t="s">
        <v>5295</v>
      </c>
      <c r="M126" s="242"/>
      <c r="N126" s="165" t="s">
        <v>4919</v>
      </c>
      <c r="O126" s="165" t="s">
        <v>2857</v>
      </c>
      <c r="P126" s="165" t="s">
        <v>3724</v>
      </c>
      <c r="Q126" s="242"/>
      <c r="R126" s="242"/>
      <c r="S126" s="242"/>
      <c r="T126" s="242"/>
      <c r="U126" s="242"/>
      <c r="V126" s="242"/>
      <c r="W126" s="92"/>
      <c r="X126" s="195" t="s">
        <v>4562</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4653</v>
      </c>
      <c r="AU126" s="166" t="s">
        <v>2763</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4770</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2229</v>
      </c>
      <c r="G127" s="82" t="s">
        <v>2230</v>
      </c>
      <c r="H127" s="102"/>
      <c r="I127" s="97" t="s">
        <v>592</v>
      </c>
      <c r="J127" s="88" t="s">
        <v>5636</v>
      </c>
      <c r="K127" s="88" t="s">
        <v>2115</v>
      </c>
      <c r="L127" s="88" t="s">
        <v>2967</v>
      </c>
      <c r="M127" s="88" t="s">
        <v>5637</v>
      </c>
      <c r="N127" s="88" t="s">
        <v>3181</v>
      </c>
      <c r="O127" s="88" t="s">
        <v>1117</v>
      </c>
      <c r="P127" s="88" t="s">
        <v>1082</v>
      </c>
      <c r="Q127" s="98"/>
      <c r="R127" s="98"/>
      <c r="S127" s="98"/>
      <c r="T127" s="98"/>
      <c r="U127" s="98"/>
      <c r="V127" s="98"/>
      <c r="W127" s="92"/>
      <c r="X127" s="88" t="s">
        <v>5372</v>
      </c>
      <c r="Y127" s="88" t="s">
        <v>3344</v>
      </c>
      <c r="Z127" s="88" t="s">
        <v>5638</v>
      </c>
      <c r="AA127" s="88" t="s">
        <v>1841</v>
      </c>
      <c r="AB127" s="88" t="s">
        <v>5055</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2987</v>
      </c>
      <c r="BB127" s="88" t="s">
        <v>2035</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3429</v>
      </c>
      <c r="BV127" s="88" t="s">
        <v>1200</v>
      </c>
      <c r="BW127" s="88" t="s">
        <v>5644</v>
      </c>
      <c r="BX127" s="102"/>
      <c r="BY127" s="88" t="s">
        <v>5645</v>
      </c>
      <c r="BZ127" s="88" t="s">
        <v>5180</v>
      </c>
      <c r="CA127" s="98"/>
      <c r="CB127" s="98"/>
      <c r="CC127" s="93"/>
      <c r="CD127" s="98"/>
      <c r="CE127" s="235"/>
      <c r="CF127" s="88" t="s">
        <v>5646</v>
      </c>
      <c r="CG127" s="88" t="s">
        <v>3439</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3456</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2721</v>
      </c>
      <c r="H128" s="508"/>
      <c r="I128" s="507"/>
      <c r="J128" s="508"/>
      <c r="K128" s="112" t="s">
        <v>2237</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3458</v>
      </c>
      <c r="M129" s="98"/>
      <c r="N129" s="93" t="s">
        <v>5322</v>
      </c>
      <c r="O129" s="93" t="s">
        <v>855</v>
      </c>
      <c r="P129" s="93" t="s">
        <v>3186</v>
      </c>
      <c r="Q129" s="98"/>
      <c r="R129" s="98"/>
      <c r="S129" s="98"/>
      <c r="T129" s="98"/>
      <c r="U129" s="93" t="s">
        <v>3231</v>
      </c>
      <c r="V129" s="98"/>
      <c r="W129" s="92"/>
      <c r="X129" s="98"/>
      <c r="Y129" s="93" t="s">
        <v>579</v>
      </c>
      <c r="Z129" s="93" t="s">
        <v>1541</v>
      </c>
      <c r="AA129" s="98"/>
      <c r="AB129" s="93" t="s">
        <v>4875</v>
      </c>
      <c r="AC129" s="98"/>
      <c r="AD129" s="98"/>
      <c r="AE129" s="93" t="s">
        <v>2129</v>
      </c>
      <c r="AF129" s="98"/>
      <c r="AG129" s="98"/>
      <c r="AH129" s="98"/>
      <c r="AI129" s="98"/>
      <c r="AJ129" s="98"/>
      <c r="AK129" s="96"/>
      <c r="AL129" s="93"/>
      <c r="AM129" s="93" t="s">
        <v>5668</v>
      </c>
      <c r="AN129" s="98"/>
      <c r="AO129" s="98"/>
      <c r="AP129" s="98"/>
      <c r="AQ129" s="98"/>
      <c r="AR129" s="98"/>
      <c r="AS129" s="98"/>
      <c r="AT129" s="93" t="s">
        <v>3171</v>
      </c>
      <c r="AU129" s="98"/>
      <c r="AV129" s="98"/>
      <c r="AW129" s="98"/>
      <c r="AX129" s="93" t="s">
        <v>5329</v>
      </c>
      <c r="AY129" s="98"/>
      <c r="AZ129" s="98"/>
      <c r="BA129" s="98"/>
      <c r="BB129" s="98"/>
      <c r="BC129" s="98"/>
      <c r="BD129" s="93" t="s">
        <v>5032</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4775</v>
      </c>
      <c r="CV129" s="98"/>
      <c r="CW129" s="93" t="s">
        <v>2651</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4642</v>
      </c>
      <c r="K130" s="242"/>
      <c r="L130" s="112" t="s">
        <v>5678</v>
      </c>
      <c r="M130" s="112" t="s">
        <v>5679</v>
      </c>
      <c r="N130" s="242"/>
      <c r="O130" s="242"/>
      <c r="P130" s="112" t="s">
        <v>3527</v>
      </c>
      <c r="Q130" s="242"/>
      <c r="R130" s="242"/>
      <c r="S130" s="242"/>
      <c r="T130" s="242"/>
      <c r="U130" s="242"/>
      <c r="V130" s="242"/>
      <c r="W130" s="92"/>
      <c r="X130" s="115" t="s">
        <v>2302</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2370</v>
      </c>
      <c r="CH130" s="253"/>
      <c r="CI130" s="134" t="s">
        <v>4648</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2977</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2383</v>
      </c>
      <c r="AB131" s="93" t="s">
        <v>5016</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3145</v>
      </c>
      <c r="BB131" s="93" t="s">
        <v>5697</v>
      </c>
      <c r="BC131" s="93" t="s">
        <v>4137</v>
      </c>
      <c r="BD131" s="98"/>
      <c r="BE131" s="98"/>
      <c r="BF131" s="98"/>
      <c r="BG131" s="98"/>
      <c r="BH131" s="93" t="s">
        <v>916</v>
      </c>
      <c r="BI131" s="98"/>
      <c r="BJ131" s="98"/>
      <c r="BK131" s="98"/>
      <c r="BL131" s="98"/>
      <c r="BM131" s="98"/>
      <c r="BN131" s="98"/>
      <c r="BO131" s="98"/>
      <c r="BP131" s="235"/>
      <c r="BQ131" s="93"/>
      <c r="BR131" s="93" t="s">
        <v>3193</v>
      </c>
      <c r="BS131" s="93" t="s">
        <v>4799</v>
      </c>
      <c r="BT131" s="93" t="s">
        <v>2251</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4649</v>
      </c>
      <c r="CV131" s="93" t="s">
        <v>5699</v>
      </c>
      <c r="CW131" s="93" t="s">
        <v>2606</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3082</v>
      </c>
      <c r="H132" s="165" t="s">
        <v>4186</v>
      </c>
      <c r="I132" s="165" t="s">
        <v>5704</v>
      </c>
      <c r="J132" s="165" t="s">
        <v>3345</v>
      </c>
      <c r="K132" s="165" t="s">
        <v>2279</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2004</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4797</v>
      </c>
      <c r="BL132" s="171"/>
      <c r="BM132" s="171"/>
      <c r="BN132" s="171"/>
      <c r="BO132" s="171"/>
      <c r="BP132" s="247"/>
      <c r="BQ132" s="173"/>
      <c r="BR132" s="250"/>
      <c r="BS132" s="250"/>
      <c r="BT132" s="173" t="s">
        <v>2486</v>
      </c>
      <c r="BU132" s="250"/>
      <c r="BV132" s="173" t="s">
        <v>5713</v>
      </c>
      <c r="BW132" s="250"/>
      <c r="BX132" s="250"/>
      <c r="BY132" s="250"/>
      <c r="BZ132" s="173" t="s">
        <v>825</v>
      </c>
      <c r="CA132" s="250"/>
      <c r="CB132" s="250"/>
      <c r="CC132" s="250"/>
      <c r="CD132" s="250"/>
      <c r="CE132" s="251"/>
      <c r="CF132" s="175" t="s">
        <v>5714</v>
      </c>
      <c r="CG132" s="175" t="s">
        <v>4247</v>
      </c>
      <c r="CH132" s="175" t="s">
        <v>2568</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5019</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4600</v>
      </c>
      <c r="EB132" s="203" t="s">
        <v>2630</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3091</v>
      </c>
      <c r="L133" s="212" t="s">
        <v>5160</v>
      </c>
      <c r="M133" s="593"/>
      <c r="N133" s="594" t="s">
        <v>5724</v>
      </c>
      <c r="O133" s="594" t="s">
        <v>5660</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4477</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2560</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3070</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2836</v>
      </c>
      <c r="H134" s="508"/>
      <c r="I134" s="507"/>
      <c r="J134" s="508" t="s">
        <v>2478</v>
      </c>
      <c r="K134" s="508" t="s">
        <v>5525</v>
      </c>
      <c r="L134" s="508" t="s">
        <v>5742</v>
      </c>
      <c r="M134" s="508"/>
      <c r="N134" s="508" t="s">
        <v>5743</v>
      </c>
      <c r="O134" s="508" t="s">
        <v>998</v>
      </c>
      <c r="P134" s="508" t="s">
        <v>3131</v>
      </c>
      <c r="Q134" s="242"/>
      <c r="R134" s="242"/>
      <c r="S134" s="242"/>
      <c r="T134" s="242"/>
      <c r="U134" s="242"/>
      <c r="V134" s="242"/>
      <c r="W134" s="92"/>
      <c r="X134" s="116" t="s">
        <v>5744</v>
      </c>
      <c r="Y134" s="116" t="s">
        <v>3126</v>
      </c>
      <c r="Z134" s="116" t="s">
        <v>5068</v>
      </c>
      <c r="AA134" s="356" t="s">
        <v>5745</v>
      </c>
      <c r="AB134" s="116" t="s">
        <v>5746</v>
      </c>
      <c r="AC134" s="116" t="s">
        <v>360</v>
      </c>
      <c r="AD134" s="244"/>
      <c r="AE134" s="116"/>
      <c r="AF134" s="116" t="s">
        <v>5747</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5748</v>
      </c>
      <c r="BL134" s="171"/>
      <c r="BM134" s="171"/>
      <c r="BN134" s="509"/>
      <c r="BO134" s="171"/>
      <c r="BP134" s="247"/>
      <c r="BQ134" s="130"/>
      <c r="BR134" s="130" t="s">
        <v>4991</v>
      </c>
      <c r="BS134" s="130" t="s">
        <v>5749</v>
      </c>
      <c r="BT134" s="130"/>
      <c r="BU134" s="130"/>
      <c r="BV134" s="130" t="s">
        <v>5750</v>
      </c>
      <c r="BW134" s="250"/>
      <c r="BX134" s="130" t="s">
        <v>5751</v>
      </c>
      <c r="BY134" s="130"/>
      <c r="BZ134" s="130"/>
      <c r="CA134" s="250"/>
      <c r="CB134" s="250"/>
      <c r="CC134" s="173" t="s">
        <v>5167</v>
      </c>
      <c r="CD134" s="250"/>
      <c r="CE134" s="251"/>
      <c r="CF134" s="135"/>
      <c r="CG134" s="135" t="s">
        <v>5752</v>
      </c>
      <c r="CH134" s="135" t="s">
        <v>5202</v>
      </c>
      <c r="CI134" s="135"/>
      <c r="CJ134" s="135"/>
      <c r="CK134" s="135"/>
      <c r="CL134" s="135"/>
      <c r="CM134" s="135" t="s">
        <v>2221</v>
      </c>
      <c r="CN134" s="135" t="s">
        <v>4127</v>
      </c>
      <c r="CO134" s="510"/>
      <c r="CP134" s="253"/>
      <c r="CQ134" s="253"/>
      <c r="CR134" s="253"/>
      <c r="CS134" s="253"/>
      <c r="CT134" s="92"/>
      <c r="CU134" s="283"/>
      <c r="CV134" s="283"/>
      <c r="CW134" s="283"/>
      <c r="CX134" s="283" t="s">
        <v>5753</v>
      </c>
      <c r="CY134" s="283"/>
      <c r="CZ134" s="283" t="s">
        <v>694</v>
      </c>
      <c r="DA134" s="283" t="s">
        <v>5754</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5755</v>
      </c>
      <c r="B135" s="82" t="s">
        <v>5756</v>
      </c>
      <c r="C135" s="83" t="s">
        <v>1262</v>
      </c>
      <c r="D135" s="84" t="s">
        <v>1262</v>
      </c>
      <c r="E135" s="85" t="s">
        <v>1262</v>
      </c>
      <c r="F135" s="86" t="s">
        <v>438</v>
      </c>
      <c r="G135" s="82" t="s">
        <v>3364</v>
      </c>
      <c r="H135" s="93" t="s">
        <v>3764</v>
      </c>
      <c r="I135" s="93" t="s">
        <v>2127</v>
      </c>
      <c r="J135" s="93" t="s">
        <v>5757</v>
      </c>
      <c r="K135" s="93" t="s">
        <v>3647</v>
      </c>
      <c r="L135" s="101" t="s">
        <v>5758</v>
      </c>
      <c r="M135" s="98"/>
      <c r="N135" s="98"/>
      <c r="O135" s="101" t="s">
        <v>1377</v>
      </c>
      <c r="P135" s="98"/>
      <c r="Q135" s="98"/>
      <c r="R135" s="93"/>
      <c r="S135" s="93"/>
      <c r="T135" s="98"/>
      <c r="U135" s="98"/>
      <c r="V135" s="98"/>
      <c r="W135" s="92"/>
      <c r="X135" s="93" t="s">
        <v>3145</v>
      </c>
      <c r="Y135" s="98"/>
      <c r="Z135" s="93" t="s">
        <v>5759</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5760</v>
      </c>
      <c r="BJ135" s="93"/>
      <c r="BK135" s="98"/>
      <c r="BL135" s="98"/>
      <c r="BM135" s="98"/>
      <c r="BN135" s="98"/>
      <c r="BO135" s="98"/>
      <c r="BP135" s="235"/>
      <c r="BQ135" s="98"/>
      <c r="BR135" s="101" t="s">
        <v>3812</v>
      </c>
      <c r="BS135" s="93" t="s">
        <v>4742</v>
      </c>
      <c r="BT135" s="98"/>
      <c r="BU135" s="98"/>
      <c r="BV135" s="93" t="s">
        <v>5761</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5762</v>
      </c>
      <c r="B136" s="104" t="s">
        <v>5763</v>
      </c>
      <c r="C136" s="105" t="s">
        <v>1262</v>
      </c>
      <c r="D136" s="106" t="s">
        <v>1262</v>
      </c>
      <c r="E136" s="107" t="s">
        <v>1262</v>
      </c>
      <c r="F136" s="108" t="s">
        <v>332</v>
      </c>
      <c r="G136" s="104" t="s">
        <v>5764</v>
      </c>
      <c r="H136" s="343" t="s">
        <v>3712</v>
      </c>
      <c r="I136" s="402" t="s">
        <v>5765</v>
      </c>
      <c r="J136" s="402" t="s">
        <v>1650</v>
      </c>
      <c r="K136" s="343" t="s">
        <v>352</v>
      </c>
      <c r="L136" s="343" t="s">
        <v>610</v>
      </c>
      <c r="M136" s="343" t="s">
        <v>5766</v>
      </c>
      <c r="N136" s="343" t="s">
        <v>5767</v>
      </c>
      <c r="O136" s="224" t="s">
        <v>242</v>
      </c>
      <c r="P136" s="343" t="s">
        <v>4893</v>
      </c>
      <c r="Q136" s="165" t="s">
        <v>5768</v>
      </c>
      <c r="R136" s="242"/>
      <c r="S136" s="165" t="s">
        <v>4031</v>
      </c>
      <c r="T136" s="242"/>
      <c r="U136" s="165" t="s">
        <v>2095</v>
      </c>
      <c r="V136" s="165" t="s">
        <v>5769</v>
      </c>
      <c r="W136" s="92"/>
      <c r="X136" s="598" t="s">
        <v>4991</v>
      </c>
      <c r="Y136" s="194" t="s">
        <v>5386</v>
      </c>
      <c r="Z136" s="115" t="s">
        <v>415</v>
      </c>
      <c r="AA136" s="356" t="s">
        <v>4142</v>
      </c>
      <c r="AB136" s="356" t="s">
        <v>3942</v>
      </c>
      <c r="AC136" s="298" t="s">
        <v>1582</v>
      </c>
      <c r="AD136" s="244"/>
      <c r="AE136" s="274" t="s">
        <v>5770</v>
      </c>
      <c r="AF136" s="298" t="s">
        <v>5771</v>
      </c>
      <c r="AG136" s="244"/>
      <c r="AH136" s="244"/>
      <c r="AI136" s="116"/>
      <c r="AJ136" s="244"/>
      <c r="AK136" s="96"/>
      <c r="AL136" s="420" t="s">
        <v>3459</v>
      </c>
      <c r="AM136" s="420" t="s">
        <v>5772</v>
      </c>
      <c r="AN136" s="166" t="s">
        <v>5773</v>
      </c>
      <c r="AO136" s="166" t="s">
        <v>101</v>
      </c>
      <c r="AP136" s="166" t="s">
        <v>5774</v>
      </c>
      <c r="AQ136" s="166" t="s">
        <v>5079</v>
      </c>
      <c r="AR136" s="166" t="s">
        <v>5775</v>
      </c>
      <c r="AS136" s="166" t="s">
        <v>5776</v>
      </c>
      <c r="AT136" s="420" t="s">
        <v>4272</v>
      </c>
      <c r="AU136" s="420" t="s">
        <v>3649</v>
      </c>
      <c r="AV136" s="420" t="s">
        <v>4170</v>
      </c>
      <c r="AW136" s="245"/>
      <c r="AX136" s="245"/>
      <c r="AY136" s="245"/>
      <c r="AZ136" s="245"/>
      <c r="BA136" s="199" t="s">
        <v>5777</v>
      </c>
      <c r="BB136" s="199" t="s">
        <v>1998</v>
      </c>
      <c r="BC136" s="199" t="s">
        <v>1080</v>
      </c>
      <c r="BD136" s="199" t="s">
        <v>5778</v>
      </c>
      <c r="BE136" s="509"/>
      <c r="BF136" s="199" t="s">
        <v>5779</v>
      </c>
      <c r="BG136" s="171"/>
      <c r="BH136" s="199" t="s">
        <v>1089</v>
      </c>
      <c r="BI136" s="171"/>
      <c r="BJ136" s="509"/>
      <c r="BK136" s="199" t="s">
        <v>5780</v>
      </c>
      <c r="BL136" s="171"/>
      <c r="BM136" s="171"/>
      <c r="BN136" s="509"/>
      <c r="BO136" s="171"/>
      <c r="BP136" s="247"/>
      <c r="BQ136" s="372" t="s">
        <v>5781</v>
      </c>
      <c r="BR136" s="372" t="s">
        <v>5782</v>
      </c>
      <c r="BS136" s="372" t="s">
        <v>3797</v>
      </c>
      <c r="BT136" s="372" t="s">
        <v>5783</v>
      </c>
      <c r="BU136" s="372" t="s">
        <v>5784</v>
      </c>
      <c r="BV136" s="372" t="s">
        <v>4570</v>
      </c>
      <c r="BW136" s="250"/>
      <c r="BX136" s="372" t="s">
        <v>5785</v>
      </c>
      <c r="BY136" s="130"/>
      <c r="BZ136" s="372" t="s">
        <v>981</v>
      </c>
      <c r="CA136" s="250"/>
      <c r="CB136" s="250"/>
      <c r="CC136" s="250"/>
      <c r="CD136" s="250"/>
      <c r="CE136" s="251"/>
      <c r="CF136" s="365" t="s">
        <v>5786</v>
      </c>
      <c r="CG136" s="365" t="s">
        <v>5787</v>
      </c>
      <c r="CH136" s="365" t="s">
        <v>4397</v>
      </c>
      <c r="CI136" s="135"/>
      <c r="CJ136" s="135"/>
      <c r="CK136" s="365" t="s">
        <v>2141</v>
      </c>
      <c r="CL136" s="135"/>
      <c r="CM136" s="135"/>
      <c r="CN136" s="135"/>
      <c r="CO136" s="510"/>
      <c r="CP136" s="253"/>
      <c r="CQ136" s="253"/>
      <c r="CR136" s="253"/>
      <c r="CS136" s="253"/>
      <c r="CT136" s="92"/>
      <c r="CU136" s="282" t="s">
        <v>5788</v>
      </c>
      <c r="CV136" s="282" t="s">
        <v>5789</v>
      </c>
      <c r="CW136" s="599" t="s">
        <v>4056</v>
      </c>
      <c r="CX136" s="139" t="s">
        <v>4487</v>
      </c>
      <c r="CY136" s="282" t="s">
        <v>3385</v>
      </c>
      <c r="CZ136" s="282" t="s">
        <v>3928</v>
      </c>
      <c r="DA136" s="282" t="s">
        <v>5790</v>
      </c>
      <c r="DB136" s="139" t="s">
        <v>5791</v>
      </c>
      <c r="DC136" s="254"/>
      <c r="DD136" s="254"/>
      <c r="DE136" s="254"/>
      <c r="DF136" s="254"/>
      <c r="DG136" s="255"/>
      <c r="DH136" s="285" t="s">
        <v>5792</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5793</v>
      </c>
      <c r="B137" s="82" t="s">
        <v>5794</v>
      </c>
      <c r="C137" s="83" t="s">
        <v>1262</v>
      </c>
      <c r="D137" s="84" t="s">
        <v>1262</v>
      </c>
      <c r="E137" s="85" t="s">
        <v>1262</v>
      </c>
      <c r="F137" s="86" t="s">
        <v>332</v>
      </c>
      <c r="G137" s="82" t="s">
        <v>2721</v>
      </c>
      <c r="H137" s="102"/>
      <c r="I137" s="94"/>
      <c r="J137" s="102"/>
      <c r="K137" s="264" t="s">
        <v>4581</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5795</v>
      </c>
      <c r="BD137" s="102"/>
      <c r="BE137" s="102"/>
      <c r="BF137" s="102"/>
      <c r="BG137" s="98"/>
      <c r="BH137" s="102" t="s">
        <v>2355</v>
      </c>
      <c r="BI137" s="98"/>
      <c r="BJ137" s="102"/>
      <c r="BK137" s="102"/>
      <c r="BL137" s="98"/>
      <c r="BM137" s="98"/>
      <c r="BN137" s="102"/>
      <c r="BO137" s="98"/>
      <c r="BP137" s="235"/>
      <c r="BQ137" s="102" t="s">
        <v>5796</v>
      </c>
      <c r="BR137" s="102"/>
      <c r="BS137" s="102" t="s">
        <v>4402</v>
      </c>
      <c r="BT137" s="102"/>
      <c r="BU137" s="102"/>
      <c r="BV137" s="102" t="s">
        <v>202</v>
      </c>
      <c r="BW137" s="98"/>
      <c r="BX137" s="102"/>
      <c r="BY137" s="102" t="s">
        <v>5797</v>
      </c>
      <c r="BZ137" s="102" t="s">
        <v>5798</v>
      </c>
      <c r="CA137" s="93" t="s">
        <v>5799</v>
      </c>
      <c r="CB137" s="88" t="s">
        <v>5800</v>
      </c>
      <c r="CC137" s="88" t="s">
        <v>197</v>
      </c>
      <c r="CD137" s="98"/>
      <c r="CE137" s="235"/>
      <c r="CF137" s="102"/>
      <c r="CG137" s="102"/>
      <c r="CH137" s="102"/>
      <c r="CI137" s="102"/>
      <c r="CJ137" s="102"/>
      <c r="CK137" s="102"/>
      <c r="CL137" s="102"/>
      <c r="CM137" s="102"/>
      <c r="CN137" s="102" t="s">
        <v>4893</v>
      </c>
      <c r="CO137" s="220"/>
      <c r="CP137" s="98"/>
      <c r="CQ137" s="98"/>
      <c r="CR137" s="98"/>
      <c r="CS137" s="98"/>
      <c r="CT137" s="92"/>
      <c r="CU137" s="102"/>
      <c r="CV137" s="102"/>
      <c r="CW137" s="600" t="s">
        <v>5801</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5802</v>
      </c>
      <c r="B138" s="104" t="s">
        <v>5803</v>
      </c>
      <c r="C138" s="105" t="s">
        <v>1262</v>
      </c>
      <c r="D138" s="106" t="s">
        <v>1262</v>
      </c>
      <c r="E138" s="107" t="s">
        <v>1262</v>
      </c>
      <c r="F138" s="108" t="s">
        <v>1262</v>
      </c>
      <c r="G138" s="104" t="s">
        <v>333</v>
      </c>
      <c r="H138" s="224" t="s">
        <v>5804</v>
      </c>
      <c r="I138" s="369" t="s">
        <v>5805</v>
      </c>
      <c r="J138" s="224" t="s">
        <v>2792</v>
      </c>
      <c r="K138" s="224" t="s">
        <v>4482</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2525</v>
      </c>
      <c r="BC138" s="299"/>
      <c r="BD138" s="299"/>
      <c r="BE138" s="417" t="s">
        <v>4275</v>
      </c>
      <c r="BF138" s="171"/>
      <c r="BG138" s="171"/>
      <c r="BH138" s="299"/>
      <c r="BI138" s="299"/>
      <c r="BJ138" s="299"/>
      <c r="BK138" s="299"/>
      <c r="BL138" s="171"/>
      <c r="BM138" s="171"/>
      <c r="BN138" s="171"/>
      <c r="BO138" s="171"/>
      <c r="BP138" s="247"/>
      <c r="BQ138" s="174"/>
      <c r="BR138" s="174"/>
      <c r="BS138" s="174"/>
      <c r="BT138" s="412" t="s">
        <v>4974</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5806</v>
      </c>
      <c r="B139" s="82" t="s">
        <v>5807</v>
      </c>
      <c r="C139" s="83" t="s">
        <v>1262</v>
      </c>
      <c r="D139" s="84" t="s">
        <v>1262</v>
      </c>
      <c r="E139" s="85" t="s">
        <v>1262</v>
      </c>
      <c r="F139" s="86" t="s">
        <v>1262</v>
      </c>
      <c r="G139" s="82" t="s">
        <v>1508</v>
      </c>
      <c r="H139" s="604" t="s">
        <v>4551</v>
      </c>
      <c r="I139" s="258" t="s">
        <v>5808</v>
      </c>
      <c r="J139" s="258" t="s">
        <v>5809</v>
      </c>
      <c r="K139" s="258" t="s">
        <v>2843</v>
      </c>
      <c r="L139" s="258" t="s">
        <v>2097</v>
      </c>
      <c r="M139" s="258" t="s">
        <v>5810</v>
      </c>
      <c r="N139" s="258" t="s">
        <v>5811</v>
      </c>
      <c r="O139" s="258" t="s">
        <v>3853</v>
      </c>
      <c r="P139" s="258" t="s">
        <v>2177</v>
      </c>
      <c r="Q139" s="93" t="s">
        <v>5812</v>
      </c>
      <c r="R139" s="98"/>
      <c r="S139" s="93" t="s">
        <v>3739</v>
      </c>
      <c r="T139" s="98"/>
      <c r="U139" s="93" t="s">
        <v>1270</v>
      </c>
      <c r="V139" s="93" t="s">
        <v>5813</v>
      </c>
      <c r="W139" s="92"/>
      <c r="X139" s="258" t="s">
        <v>4994</v>
      </c>
      <c r="Y139" s="258" t="s">
        <v>5814</v>
      </c>
      <c r="Z139" s="258" t="s">
        <v>5109</v>
      </c>
      <c r="AA139" s="264" t="s">
        <v>5815</v>
      </c>
      <c r="AB139" s="258" t="s">
        <v>4472</v>
      </c>
      <c r="AC139" s="258" t="s">
        <v>4949</v>
      </c>
      <c r="AD139" s="98"/>
      <c r="AE139" s="258" t="s">
        <v>4830</v>
      </c>
      <c r="AF139" s="258" t="s">
        <v>5328</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4755</v>
      </c>
      <c r="AV139" s="102"/>
      <c r="AW139" s="98"/>
      <c r="AX139" s="93" t="s">
        <v>956</v>
      </c>
      <c r="AY139" s="93" t="s">
        <v>5819</v>
      </c>
      <c r="AZ139" s="98"/>
      <c r="BA139" s="258" t="s">
        <v>5820</v>
      </c>
      <c r="BB139" s="258" t="s">
        <v>5821</v>
      </c>
      <c r="BC139" s="258" t="s">
        <v>3454</v>
      </c>
      <c r="BD139" s="258" t="s">
        <v>3093</v>
      </c>
      <c r="BE139" s="258" t="s">
        <v>5822</v>
      </c>
      <c r="BF139" s="258" t="s">
        <v>4307</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5330</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4500</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5670</v>
      </c>
      <c r="BF140" s="171"/>
      <c r="BG140" s="171"/>
      <c r="BH140" s="172" t="s">
        <v>3917</v>
      </c>
      <c r="BI140" s="172" t="s">
        <v>5864</v>
      </c>
      <c r="BJ140" s="172"/>
      <c r="BK140" s="172" t="s">
        <v>2587</v>
      </c>
      <c r="BL140" s="171"/>
      <c r="BM140" s="172" t="s">
        <v>4207</v>
      </c>
      <c r="BN140" s="171"/>
      <c r="BO140" s="171"/>
      <c r="BP140" s="247"/>
      <c r="BQ140" s="173" t="s">
        <v>5865</v>
      </c>
      <c r="BR140" s="173" t="s">
        <v>4213</v>
      </c>
      <c r="BS140" s="173" t="s">
        <v>3390</v>
      </c>
      <c r="BT140" s="173" t="s">
        <v>5866</v>
      </c>
      <c r="BU140" s="173" t="s">
        <v>5867</v>
      </c>
      <c r="BV140" s="173" t="s">
        <v>5153</v>
      </c>
      <c r="BW140" s="250"/>
      <c r="BX140" s="173" t="s">
        <v>2728</v>
      </c>
      <c r="BY140" s="250"/>
      <c r="BZ140" s="173" t="s">
        <v>5868</v>
      </c>
      <c r="CA140" s="250"/>
      <c r="CB140" s="250"/>
      <c r="CC140" s="250"/>
      <c r="CD140" s="250"/>
      <c r="CE140" s="251"/>
      <c r="CF140" s="175" t="s">
        <v>5869</v>
      </c>
      <c r="CG140" s="175" t="s">
        <v>4460</v>
      </c>
      <c r="CH140" s="175" t="s">
        <v>2181</v>
      </c>
      <c r="CI140" s="175" t="s">
        <v>5870</v>
      </c>
      <c r="CJ140" s="175"/>
      <c r="CK140" s="175" t="s">
        <v>5871</v>
      </c>
      <c r="CL140" s="175" t="s">
        <v>5872</v>
      </c>
      <c r="CM140" s="175" t="s">
        <v>1650</v>
      </c>
      <c r="CN140" s="175" t="s">
        <v>4272</v>
      </c>
      <c r="CO140" s="253"/>
      <c r="CP140" s="253"/>
      <c r="CQ140" s="253"/>
      <c r="CR140" s="253"/>
      <c r="CS140" s="253"/>
      <c r="CT140" s="92"/>
      <c r="CU140" s="202" t="s">
        <v>5873</v>
      </c>
      <c r="CV140" s="202" t="s">
        <v>2801</v>
      </c>
      <c r="CW140" s="202" t="s">
        <v>3684</v>
      </c>
      <c r="CX140" s="202" t="s">
        <v>5874</v>
      </c>
      <c r="CY140" s="254"/>
      <c r="CZ140" s="202" t="s">
        <v>5875</v>
      </c>
      <c r="DA140" s="139" t="s">
        <v>5876</v>
      </c>
      <c r="DB140" s="202" t="s">
        <v>4458</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4760</v>
      </c>
      <c r="H141" s="93"/>
      <c r="I141" s="93" t="s">
        <v>5884</v>
      </c>
      <c r="J141" s="93" t="s">
        <v>2956</v>
      </c>
      <c r="K141" s="88" t="s">
        <v>2279</v>
      </c>
      <c r="L141" s="93" t="s">
        <v>2474</v>
      </c>
      <c r="M141" s="93" t="s">
        <v>5885</v>
      </c>
      <c r="N141" s="93" t="s">
        <v>5886</v>
      </c>
      <c r="O141" s="93" t="s">
        <v>5101</v>
      </c>
      <c r="P141" s="93" t="s">
        <v>564</v>
      </c>
      <c r="Q141" s="98"/>
      <c r="R141" s="98"/>
      <c r="S141" s="98"/>
      <c r="T141" s="98"/>
      <c r="U141" s="98"/>
      <c r="V141" s="98"/>
      <c r="W141" s="92"/>
      <c r="X141" s="93" t="s">
        <v>4598</v>
      </c>
      <c r="Y141" s="93" t="s">
        <v>5696</v>
      </c>
      <c r="Z141" s="93" t="s">
        <v>2204</v>
      </c>
      <c r="AA141" s="93" t="s">
        <v>5887</v>
      </c>
      <c r="AB141" s="93" t="s">
        <v>4931</v>
      </c>
      <c r="AC141" s="93" t="s">
        <v>5888</v>
      </c>
      <c r="AD141" s="98"/>
      <c r="AE141" s="93" t="s">
        <v>5889</v>
      </c>
      <c r="AF141" s="264" t="s">
        <v>4969</v>
      </c>
      <c r="AG141" s="98"/>
      <c r="AH141" s="98"/>
      <c r="AI141" s="98"/>
      <c r="AJ141" s="98"/>
      <c r="AK141" s="96"/>
      <c r="AL141" s="98"/>
      <c r="AM141" s="98"/>
      <c r="AN141" s="98"/>
      <c r="AO141" s="98"/>
      <c r="AP141" s="98"/>
      <c r="AQ141" s="98"/>
      <c r="AR141" s="98"/>
      <c r="AS141" s="98"/>
      <c r="AT141" s="93" t="s">
        <v>4590</v>
      </c>
      <c r="AU141" s="93" t="s">
        <v>4704</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5696</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5461</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4518</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4079</v>
      </c>
      <c r="K144" s="343" t="s">
        <v>4911</v>
      </c>
      <c r="L144" s="343" t="s">
        <v>239</v>
      </c>
      <c r="M144" s="343" t="s">
        <v>5935</v>
      </c>
      <c r="N144" s="343" t="s">
        <v>5936</v>
      </c>
      <c r="O144" s="343" t="s">
        <v>969</v>
      </c>
      <c r="P144" s="343"/>
      <c r="Q144" s="622"/>
      <c r="R144" s="622"/>
      <c r="S144" s="622"/>
      <c r="T144" s="622"/>
      <c r="U144" s="272" t="s">
        <v>678</v>
      </c>
      <c r="V144" s="622"/>
      <c r="W144" s="564"/>
      <c r="X144" s="298" t="s">
        <v>5937</v>
      </c>
      <c r="Y144" s="298"/>
      <c r="Z144" s="298" t="s">
        <v>5091</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5476</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5006</v>
      </c>
      <c r="CN144" s="631">
        <v>19.7</v>
      </c>
      <c r="CO144" s="632"/>
      <c r="CP144" s="633"/>
      <c r="CQ144" s="633"/>
      <c r="CR144" s="633"/>
      <c r="CS144" s="633"/>
      <c r="CT144" s="564"/>
      <c r="CU144" s="282" t="s">
        <v>4110</v>
      </c>
      <c r="CV144" s="282" t="s">
        <v>4525</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5722</v>
      </c>
      <c r="H145" s="93" t="s">
        <v>2060</v>
      </c>
      <c r="I145" s="93" t="s">
        <v>3608</v>
      </c>
      <c r="J145" s="93" t="s">
        <v>573</v>
      </c>
      <c r="K145" s="93" t="s">
        <v>2843</v>
      </c>
      <c r="L145" s="93" t="s">
        <v>4096</v>
      </c>
      <c r="M145" s="93" t="s">
        <v>5947</v>
      </c>
      <c r="N145" s="93" t="s">
        <v>5940</v>
      </c>
      <c r="O145" s="93" t="s">
        <v>446</v>
      </c>
      <c r="P145" s="93" t="s">
        <v>3851</v>
      </c>
      <c r="Q145" s="98"/>
      <c r="R145" s="98"/>
      <c r="S145" s="98"/>
      <c r="T145" s="98"/>
      <c r="U145" s="98"/>
      <c r="V145" s="98"/>
      <c r="W145" s="92"/>
      <c r="X145" s="93" t="s">
        <v>4994</v>
      </c>
      <c r="Y145" s="93" t="s">
        <v>4217</v>
      </c>
      <c r="Z145" s="93" t="s">
        <v>5655</v>
      </c>
      <c r="AA145" s="93" t="s">
        <v>787</v>
      </c>
      <c r="AB145" s="93" t="s">
        <v>4302</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4999</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5057</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5599</v>
      </c>
      <c r="J148" s="165" t="s">
        <v>5972</v>
      </c>
      <c r="K148" s="165" t="s">
        <v>5789</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4491</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4139</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4739</v>
      </c>
      <c r="AJ149" s="93" t="s">
        <v>5994</v>
      </c>
      <c r="AK149" s="96"/>
      <c r="AL149" s="93" t="s">
        <v>5995</v>
      </c>
      <c r="AM149" s="93" t="s">
        <v>4976</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4249</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5003</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4195</v>
      </c>
      <c r="DA149" s="93" t="s">
        <v>6027</v>
      </c>
      <c r="DB149" s="93" t="s">
        <v>6028</v>
      </c>
      <c r="DC149" s="93" t="s">
        <v>6029</v>
      </c>
      <c r="DD149" s="93" t="s">
        <v>4158</v>
      </c>
      <c r="DE149" s="93" t="s">
        <v>1826</v>
      </c>
      <c r="DF149" s="93" t="s">
        <v>6030</v>
      </c>
      <c r="DG149" s="235"/>
      <c r="DH149" s="93" t="s">
        <v>3975</v>
      </c>
      <c r="DI149" s="98"/>
      <c r="DJ149" s="93" t="s">
        <v>2692</v>
      </c>
      <c r="DK149" s="93" t="s">
        <v>2111</v>
      </c>
      <c r="DL149" s="93" t="s">
        <v>3268</v>
      </c>
      <c r="DM149" s="93" t="s">
        <v>2416</v>
      </c>
      <c r="DN149" s="93" t="s">
        <v>4112</v>
      </c>
      <c r="DO149" s="93" t="s">
        <v>6031</v>
      </c>
      <c r="DP149" s="93" t="s">
        <v>179</v>
      </c>
      <c r="DQ149" s="93" t="s">
        <v>5643</v>
      </c>
      <c r="DR149" s="93" t="s">
        <v>3119</v>
      </c>
      <c r="DS149" s="93" t="s">
        <v>4809</v>
      </c>
      <c r="DT149" s="93" t="s">
        <v>6032</v>
      </c>
      <c r="DU149" s="93" t="s">
        <v>6033</v>
      </c>
      <c r="DV149" s="93" t="s">
        <v>1126</v>
      </c>
      <c r="DW149" s="93" t="s">
        <v>3943</v>
      </c>
      <c r="DX149" s="93" t="s">
        <v>6034</v>
      </c>
      <c r="DY149" s="93" t="s">
        <v>4439</v>
      </c>
      <c r="DZ149" s="93" t="s">
        <v>2543</v>
      </c>
      <c r="EA149" s="93" t="s">
        <v>4970</v>
      </c>
      <c r="EB149" s="93" t="s">
        <v>2319</v>
      </c>
      <c r="EC149" s="305" t="s">
        <v>4418</v>
      </c>
    </row>
    <row r="150">
      <c r="A150" s="641" t="s">
        <v>6035</v>
      </c>
      <c r="B150" s="104" t="s">
        <v>6036</v>
      </c>
      <c r="C150" s="105" t="s">
        <v>1262</v>
      </c>
      <c r="D150" s="106" t="s">
        <v>547</v>
      </c>
      <c r="E150" s="107" t="s">
        <v>1262</v>
      </c>
      <c r="F150" s="108" t="s">
        <v>221</v>
      </c>
      <c r="G150" s="104" t="s">
        <v>4983</v>
      </c>
      <c r="H150" s="242"/>
      <c r="I150" s="165" t="s">
        <v>6037</v>
      </c>
      <c r="J150" s="165" t="s">
        <v>4365</v>
      </c>
      <c r="K150" s="112" t="s">
        <v>662</v>
      </c>
      <c r="L150" s="112" t="s">
        <v>6038</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2740</v>
      </c>
      <c r="AG150" s="244"/>
      <c r="AH150" s="244"/>
      <c r="AI150" s="244"/>
      <c r="AJ150" s="244"/>
      <c r="AK150" s="96"/>
      <c r="AL150" s="245"/>
      <c r="AM150" s="120" t="s">
        <v>4217</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4812</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5722</v>
      </c>
      <c r="H151" s="101"/>
      <c r="I151" s="97" t="s">
        <v>6046</v>
      </c>
      <c r="J151" s="88" t="s">
        <v>4684</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4544</v>
      </c>
      <c r="BF151" s="102"/>
      <c r="BG151" s="98"/>
      <c r="BH151" s="88" t="s">
        <v>3040</v>
      </c>
      <c r="BI151" s="264" t="s">
        <v>5811</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5218</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4128</v>
      </c>
      <c r="M153" s="102" t="s">
        <v>6076</v>
      </c>
      <c r="N153" s="102" t="s">
        <v>5681</v>
      </c>
      <c r="O153" s="102" t="s">
        <v>6077</v>
      </c>
      <c r="P153" s="102" t="s">
        <v>3088</v>
      </c>
      <c r="Q153" s="98"/>
      <c r="R153" s="98"/>
      <c r="S153" s="98"/>
      <c r="T153" s="98"/>
      <c r="U153" s="98"/>
      <c r="V153" s="98"/>
      <c r="W153" s="92"/>
      <c r="X153" s="102"/>
      <c r="Y153" s="88" t="s">
        <v>2804</v>
      </c>
      <c r="Z153" s="102" t="s">
        <v>5091</v>
      </c>
      <c r="AA153" s="264"/>
      <c r="AB153" s="102" t="s">
        <v>4370</v>
      </c>
      <c r="AC153" s="102"/>
      <c r="AD153" s="98"/>
      <c r="AE153" s="102" t="s">
        <v>6078</v>
      </c>
      <c r="AF153" s="102" t="s">
        <v>5004</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3480</v>
      </c>
      <c r="BB153" s="102"/>
      <c r="BC153" s="102"/>
      <c r="BD153" s="102" t="s">
        <v>4530</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5335</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5722</v>
      </c>
      <c r="H154" s="165"/>
      <c r="I154" s="112" t="s">
        <v>6087</v>
      </c>
      <c r="J154" s="112" t="s">
        <v>1662</v>
      </c>
      <c r="K154" s="112" t="s">
        <v>1831</v>
      </c>
      <c r="L154" s="112" t="s">
        <v>6088</v>
      </c>
      <c r="M154" s="165" t="s">
        <v>6089</v>
      </c>
      <c r="N154" s="165" t="s">
        <v>3636</v>
      </c>
      <c r="O154" s="165" t="s">
        <v>5734</v>
      </c>
      <c r="P154" s="165" t="s">
        <v>3851</v>
      </c>
      <c r="Q154" s="242"/>
      <c r="R154" s="242"/>
      <c r="S154" s="242"/>
      <c r="T154" s="242"/>
      <c r="U154" s="242"/>
      <c r="V154" s="242"/>
      <c r="W154" s="92"/>
      <c r="X154" s="195" t="s">
        <v>6090</v>
      </c>
      <c r="Y154" s="244"/>
      <c r="Z154" s="195" t="s">
        <v>675</v>
      </c>
      <c r="AA154" s="195" t="s">
        <v>5937</v>
      </c>
      <c r="AB154" s="115" t="s">
        <v>5431</v>
      </c>
      <c r="AC154" s="244"/>
      <c r="AD154" s="244"/>
      <c r="AE154" s="195" t="s">
        <v>6091</v>
      </c>
      <c r="AF154" s="195" t="s">
        <v>305</v>
      </c>
      <c r="AG154" s="244"/>
      <c r="AH154" s="244"/>
      <c r="AI154" s="244"/>
      <c r="AJ154" s="244"/>
      <c r="AK154" s="96"/>
      <c r="AL154" s="166"/>
      <c r="AM154" s="166" t="s">
        <v>5454</v>
      </c>
      <c r="AN154" s="245"/>
      <c r="AO154" s="245"/>
      <c r="AP154" s="245"/>
      <c r="AQ154" s="245"/>
      <c r="AR154" s="245"/>
      <c r="AS154" s="245"/>
      <c r="AT154" s="166" t="s">
        <v>6092</v>
      </c>
      <c r="AU154" s="245"/>
      <c r="AV154" s="166" t="s">
        <v>197</v>
      </c>
      <c r="AW154" s="245"/>
      <c r="AX154" s="245"/>
      <c r="AY154" s="245"/>
      <c r="AZ154" s="245"/>
      <c r="BA154" s="171"/>
      <c r="BB154" s="172" t="s">
        <v>5718</v>
      </c>
      <c r="BC154" s="171"/>
      <c r="BD154" s="172" t="s">
        <v>6093</v>
      </c>
      <c r="BE154" s="172" t="s">
        <v>1463</v>
      </c>
      <c r="BF154" s="172" t="s">
        <v>4713</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5699</v>
      </c>
      <c r="CL154" s="253"/>
      <c r="CM154" s="253"/>
      <c r="CN154" s="253"/>
      <c r="CO154" s="253"/>
      <c r="CP154" s="253"/>
      <c r="CQ154" s="253"/>
      <c r="CR154" s="253"/>
      <c r="CS154" s="253"/>
      <c r="CT154" s="92"/>
      <c r="CU154" s="254"/>
      <c r="CV154" s="202" t="s">
        <v>5572</v>
      </c>
      <c r="CW154" s="202" t="s">
        <v>6100</v>
      </c>
      <c r="CX154" s="254"/>
      <c r="CY154" s="254"/>
      <c r="CZ154" s="202" t="s">
        <v>5371</v>
      </c>
      <c r="DA154" s="231" t="s">
        <v>5514</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5124</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4369</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6006</v>
      </c>
      <c r="BB155" s="102" t="s">
        <v>4929</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5506</v>
      </c>
      <c r="BT155" s="102" t="s">
        <v>6117</v>
      </c>
      <c r="BU155" s="102" t="s">
        <v>6118</v>
      </c>
      <c r="BV155" s="102" t="s">
        <v>1527</v>
      </c>
      <c r="BW155" s="93" t="s">
        <v>4184</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4204</v>
      </c>
      <c r="CY155" s="102" t="s">
        <v>6126</v>
      </c>
      <c r="CZ155" s="102" t="s">
        <v>5685</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4349</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5549</v>
      </c>
      <c r="H157" s="98"/>
      <c r="I157" s="93" t="s">
        <v>1918</v>
      </c>
      <c r="J157" s="93" t="s">
        <v>2557</v>
      </c>
      <c r="K157" s="93" t="s">
        <v>3091</v>
      </c>
      <c r="L157" s="93" t="s">
        <v>146</v>
      </c>
      <c r="M157" s="93" t="s">
        <v>6132</v>
      </c>
      <c r="N157" s="93" t="s">
        <v>6133</v>
      </c>
      <c r="O157" s="93" t="s">
        <v>6134</v>
      </c>
      <c r="P157" s="93" t="s">
        <v>4139</v>
      </c>
      <c r="Q157" s="98"/>
      <c r="R157" s="98"/>
      <c r="S157" s="98"/>
      <c r="T157" s="98"/>
      <c r="U157" s="98"/>
      <c r="V157" s="98"/>
      <c r="W157" s="92"/>
      <c r="X157" s="93" t="s">
        <v>5249</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5748</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4219</v>
      </c>
      <c r="EC157" s="258"/>
    </row>
    <row r="158">
      <c r="A158" s="164" t="s">
        <v>6141</v>
      </c>
      <c r="B158" s="104" t="s">
        <v>6142</v>
      </c>
      <c r="C158" s="105" t="s">
        <v>1262</v>
      </c>
      <c r="D158" s="106" t="s">
        <v>1262</v>
      </c>
      <c r="E158" s="107" t="s">
        <v>1262</v>
      </c>
      <c r="F158" s="108" t="s">
        <v>1262</v>
      </c>
      <c r="G158" s="104" t="s">
        <v>2863</v>
      </c>
      <c r="H158" s="165" t="s">
        <v>2690</v>
      </c>
      <c r="I158" s="165" t="s">
        <v>6143</v>
      </c>
      <c r="J158" s="165" t="s">
        <v>4821</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4875</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4251</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4905</v>
      </c>
      <c r="J160" s="165" t="s">
        <v>2392</v>
      </c>
      <c r="K160" s="165" t="s">
        <v>1435</v>
      </c>
      <c r="L160" s="165" t="s">
        <v>3853</v>
      </c>
      <c r="M160" s="165" t="s">
        <v>3835</v>
      </c>
      <c r="N160" s="165" t="s">
        <v>5058</v>
      </c>
      <c r="O160" s="242"/>
      <c r="P160" s="242"/>
      <c r="Q160" s="242"/>
      <c r="R160" s="242"/>
      <c r="S160" s="242"/>
      <c r="T160" s="242"/>
      <c r="U160" s="242"/>
      <c r="V160" s="242"/>
      <c r="W160" s="92"/>
      <c r="X160" s="114" t="str">
        <f>HYPERLINK("https://www.youtube.com/watch?v=F9HuyJ73joE","56.96")</f>
        <v>56.96</v>
      </c>
      <c r="Y160" s="195" t="s">
        <v>4024</v>
      </c>
      <c r="Z160" s="195" t="s">
        <v>6162</v>
      </c>
      <c r="AA160" s="195" t="s">
        <v>4523</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4848</v>
      </c>
      <c r="H161" s="650"/>
      <c r="I161" s="258"/>
      <c r="J161" s="258" t="s">
        <v>1186</v>
      </c>
      <c r="K161" s="258" t="s">
        <v>352</v>
      </c>
      <c r="L161" s="258" t="s">
        <v>2815</v>
      </c>
      <c r="M161" s="258"/>
      <c r="N161" s="258"/>
      <c r="O161" s="258" t="s">
        <v>6169</v>
      </c>
      <c r="P161" s="258" t="s">
        <v>4922</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4694</v>
      </c>
      <c r="AG161" s="558"/>
      <c r="AH161" s="558"/>
      <c r="AI161" s="258"/>
      <c r="AJ161" s="305" t="s">
        <v>6173</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4193</v>
      </c>
      <c r="BL161" s="558"/>
      <c r="BM161" s="558"/>
      <c r="BN161" s="258"/>
      <c r="BO161" s="558"/>
      <c r="BP161" s="561"/>
      <c r="BQ161" s="258"/>
      <c r="BR161" s="258" t="s">
        <v>6177</v>
      </c>
      <c r="BS161" s="258" t="s">
        <v>4318</v>
      </c>
      <c r="BT161" s="258" t="s">
        <v>6178</v>
      </c>
      <c r="BU161" s="258" t="s">
        <v>6179</v>
      </c>
      <c r="BV161" s="258" t="s">
        <v>1404</v>
      </c>
      <c r="BW161" s="558"/>
      <c r="BX161" s="258"/>
      <c r="BY161" s="258"/>
      <c r="BZ161" s="258" t="s">
        <v>6180</v>
      </c>
      <c r="CA161" s="305"/>
      <c r="CB161" s="558"/>
      <c r="CC161" s="558"/>
      <c r="CD161" s="558"/>
      <c r="CE161" s="561"/>
      <c r="CF161" s="258" t="s">
        <v>6181</v>
      </c>
      <c r="CG161" s="258" t="s">
        <v>4455</v>
      </c>
      <c r="CH161" s="258"/>
      <c r="CI161" s="258"/>
      <c r="CJ161" s="258"/>
      <c r="CK161" s="258"/>
      <c r="CL161" s="258"/>
      <c r="CM161" s="258" t="s">
        <v>4389</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4867</v>
      </c>
      <c r="Q162" s="242"/>
      <c r="R162" s="242"/>
      <c r="S162" s="242"/>
      <c r="T162" s="242"/>
      <c r="U162" s="242"/>
      <c r="V162" s="242"/>
      <c r="W162" s="92"/>
      <c r="X162" s="298" t="s">
        <v>6187</v>
      </c>
      <c r="Y162" s="116"/>
      <c r="Z162" s="298" t="s">
        <v>1521</v>
      </c>
      <c r="AA162" s="356"/>
      <c r="AB162" s="114" t="s">
        <v>1787</v>
      </c>
      <c r="AC162" s="116"/>
      <c r="AD162" s="244"/>
      <c r="AE162" s="116"/>
      <c r="AF162" s="298" t="s">
        <v>5771</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4639</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5237</v>
      </c>
      <c r="K164" s="165" t="s">
        <v>3987</v>
      </c>
      <c r="L164" s="165" t="s">
        <v>5047</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4558</v>
      </c>
      <c r="K165" s="93" t="s">
        <v>1888</v>
      </c>
      <c r="L165" s="93" t="s">
        <v>4309</v>
      </c>
      <c r="M165" s="93"/>
      <c r="N165" s="98"/>
      <c r="O165" s="98"/>
      <c r="P165" s="101" t="s">
        <v>1572</v>
      </c>
      <c r="Q165" s="98"/>
      <c r="R165" s="98"/>
      <c r="S165" s="98"/>
      <c r="T165" s="98"/>
      <c r="U165" s="98"/>
      <c r="V165" s="98"/>
      <c r="W165" s="92"/>
      <c r="X165" s="98"/>
      <c r="Y165" s="93" t="s">
        <v>363</v>
      </c>
      <c r="Z165" s="93" t="s">
        <v>4687</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4653</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4139</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5001</v>
      </c>
      <c r="BH167" s="102" t="s">
        <v>6227</v>
      </c>
      <c r="BI167" s="98"/>
      <c r="BJ167" s="102"/>
      <c r="BK167" s="102"/>
      <c r="BL167" s="98"/>
      <c r="BM167" s="98"/>
      <c r="BN167" s="102"/>
      <c r="BO167" s="98"/>
      <c r="BP167" s="235"/>
      <c r="BQ167" s="88" t="s">
        <v>6228</v>
      </c>
      <c r="BR167" s="102"/>
      <c r="BS167" s="88" t="s">
        <v>6229</v>
      </c>
      <c r="BT167" s="88" t="s">
        <v>5739</v>
      </c>
      <c r="BU167" s="102"/>
      <c r="BV167" s="102"/>
      <c r="BW167" s="98"/>
      <c r="BX167" s="88" t="s">
        <v>6230</v>
      </c>
      <c r="BY167" s="102"/>
      <c r="BZ167" s="88" t="s">
        <v>1331</v>
      </c>
      <c r="CA167" s="98"/>
      <c r="CB167" s="98"/>
      <c r="CC167" s="93"/>
      <c r="CD167" s="98"/>
      <c r="CE167" s="235"/>
      <c r="CF167" s="88" t="s">
        <v>6231</v>
      </c>
      <c r="CG167" s="88" t="s">
        <v>1862</v>
      </c>
      <c r="CH167" s="88" t="s">
        <v>5380</v>
      </c>
      <c r="CI167" s="102"/>
      <c r="CJ167" s="102"/>
      <c r="CK167" s="102"/>
      <c r="CL167" s="88" t="s">
        <v>6232</v>
      </c>
      <c r="CM167" s="88" t="s">
        <v>2301</v>
      </c>
      <c r="CN167" s="88" t="s">
        <v>6233</v>
      </c>
      <c r="CO167" s="220"/>
      <c r="CP167" s="98"/>
      <c r="CQ167" s="98"/>
      <c r="CR167" s="98"/>
      <c r="CS167" s="98"/>
      <c r="CT167" s="92"/>
      <c r="CU167" s="88" t="s">
        <v>5334</v>
      </c>
      <c r="CV167" s="102"/>
      <c r="CW167" s="88" t="s">
        <v>909</v>
      </c>
      <c r="CX167" s="88" t="s">
        <v>5154</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4334</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6242</v>
      </c>
      <c r="CO168" s="253"/>
      <c r="CP168" s="261"/>
      <c r="CQ168" s="253"/>
      <c r="CR168" s="253"/>
      <c r="CS168" s="253"/>
      <c r="CT168" s="92"/>
      <c r="CU168" s="254"/>
      <c r="CV168" s="254"/>
      <c r="CW168" s="254" t="s">
        <v>5146</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5622</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4875</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5335</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4658</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4741</v>
      </c>
      <c r="CG174" s="175" t="s">
        <v>2068</v>
      </c>
      <c r="CH174" s="253"/>
      <c r="CI174" s="253"/>
      <c r="CJ174" s="253"/>
      <c r="CK174" s="253"/>
      <c r="CL174" s="253"/>
      <c r="CM174" s="175" t="s">
        <v>4623</v>
      </c>
      <c r="CN174" s="175" t="s">
        <v>1504</v>
      </c>
      <c r="CO174" s="253"/>
      <c r="CP174" s="253"/>
      <c r="CQ174" s="253"/>
      <c r="CR174" s="253"/>
      <c r="CS174" s="253"/>
      <c r="CT174" s="92"/>
      <c r="CU174" s="202" t="s">
        <v>5150</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5359</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5209</v>
      </c>
      <c r="CV175" s="665" t="s">
        <v>2469</v>
      </c>
      <c r="CW175" s="665" t="s">
        <v>5147</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6300</v>
      </c>
      <c r="Y177" s="102"/>
      <c r="Z177" s="88" t="s">
        <v>4844</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5110</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4983</v>
      </c>
      <c r="H180" s="165" t="s">
        <v>2593</v>
      </c>
      <c r="I180" s="242"/>
      <c r="J180" s="165" t="s">
        <v>6312</v>
      </c>
      <c r="K180" s="112" t="s">
        <v>4960</v>
      </c>
      <c r="L180" s="271" t="s">
        <v>3482</v>
      </c>
      <c r="M180" s="242"/>
      <c r="N180" s="242"/>
      <c r="O180" s="242"/>
      <c r="P180" s="165" t="s">
        <v>6313</v>
      </c>
      <c r="Q180" s="242"/>
      <c r="R180" s="242"/>
      <c r="S180" s="242"/>
      <c r="T180" s="242"/>
      <c r="U180" s="242"/>
      <c r="V180" s="242"/>
      <c r="W180" s="92"/>
      <c r="X180" s="115" t="s">
        <v>6314</v>
      </c>
      <c r="Y180" s="195" t="s">
        <v>1774</v>
      </c>
      <c r="Z180" s="115" t="s">
        <v>5211</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4678</v>
      </c>
      <c r="BG180" s="172" t="s">
        <v>6317</v>
      </c>
      <c r="BH180" s="172" t="s">
        <v>6318</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6319</v>
      </c>
      <c r="CG180" s="175" t="s">
        <v>6320</v>
      </c>
      <c r="CH180" s="253"/>
      <c r="CI180" s="253"/>
      <c r="CJ180" s="253"/>
      <c r="CK180" s="253"/>
      <c r="CL180" s="253"/>
      <c r="CM180" s="134" t="s">
        <v>5096</v>
      </c>
      <c r="CN180" s="134" t="s">
        <v>5798</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5081</v>
      </c>
      <c r="K182" s="165" t="s">
        <v>2386</v>
      </c>
      <c r="L182" s="165" t="s">
        <v>4034</v>
      </c>
      <c r="M182" s="165" t="s">
        <v>6328</v>
      </c>
      <c r="N182" s="242"/>
      <c r="O182" s="165" t="s">
        <v>1864</v>
      </c>
      <c r="P182" s="165" t="s">
        <v>6329</v>
      </c>
      <c r="Q182" s="242"/>
      <c r="R182" s="242"/>
      <c r="S182" s="242"/>
      <c r="T182" s="242"/>
      <c r="U182" s="242"/>
      <c r="V182" s="242"/>
      <c r="W182" s="92"/>
      <c r="X182" s="195" t="s">
        <v>4426</v>
      </c>
      <c r="Y182" s="195" t="s">
        <v>5616</v>
      </c>
      <c r="Z182" s="195" t="s">
        <v>4458</v>
      </c>
      <c r="AA182" s="195" t="s">
        <v>6330</v>
      </c>
      <c r="AB182" s="195" t="s">
        <v>6331</v>
      </c>
      <c r="AC182" s="195" t="s">
        <v>4741</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4170</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4920</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4070</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4272</v>
      </c>
      <c r="AU183" s="93" t="s">
        <v>2865</v>
      </c>
      <c r="AV183" s="98"/>
      <c r="AW183" s="98"/>
      <c r="AX183" s="98"/>
      <c r="AY183" s="98"/>
      <c r="AZ183" s="98"/>
      <c r="BA183" s="93" t="s">
        <v>3758</v>
      </c>
      <c r="BB183" s="93" t="s">
        <v>5010</v>
      </c>
      <c r="BC183" s="98"/>
      <c r="BD183" s="93" t="s">
        <v>5575</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5083</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4848</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5180</v>
      </c>
      <c r="Z184" s="195" t="s">
        <v>6366</v>
      </c>
      <c r="AA184" s="195" t="s">
        <v>2622</v>
      </c>
      <c r="AB184" s="195" t="s">
        <v>5921</v>
      </c>
      <c r="AC184" s="195" t="s">
        <v>6367</v>
      </c>
      <c r="AD184" s="195" t="s">
        <v>4109</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4227</v>
      </c>
      <c r="BC184" s="172" t="s">
        <v>3699</v>
      </c>
      <c r="BD184" s="172" t="s">
        <v>6371</v>
      </c>
      <c r="BE184" s="172" t="s">
        <v>6372</v>
      </c>
      <c r="BF184" s="172" t="s">
        <v>6373</v>
      </c>
      <c r="BG184" s="172" t="s">
        <v>5136</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4569</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4319</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5208</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5341</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4752</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4888</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4794</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4216</v>
      </c>
      <c r="K193" s="93" t="s">
        <v>4334</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5248</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4654</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5632</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5073</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4991</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4578</v>
      </c>
      <c r="H198" s="165" t="s">
        <v>6433</v>
      </c>
      <c r="I198" s="165" t="s">
        <v>2477</v>
      </c>
      <c r="J198" s="165" t="s">
        <v>1212</v>
      </c>
      <c r="K198" s="165" t="s">
        <v>6434</v>
      </c>
      <c r="L198" s="165" t="s">
        <v>6435</v>
      </c>
      <c r="M198" s="165" t="s">
        <v>6436</v>
      </c>
      <c r="N198" s="165" t="s">
        <v>6437</v>
      </c>
      <c r="O198" s="165" t="s">
        <v>6438</v>
      </c>
      <c r="P198" s="165" t="s">
        <v>4127</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4743</v>
      </c>
      <c r="CA198" s="250"/>
      <c r="CB198" s="250"/>
      <c r="CC198" s="250"/>
      <c r="CD198" s="250"/>
      <c r="CE198" s="251"/>
      <c r="CF198" s="175" t="s">
        <v>5562</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4498</v>
      </c>
      <c r="DA198" s="254" t="s">
        <v>6463</v>
      </c>
      <c r="DB198" s="202" t="s">
        <v>3322</v>
      </c>
      <c r="DC198" s="254"/>
      <c r="DD198" s="254"/>
      <c r="DE198" s="254"/>
      <c r="DF198" s="254"/>
      <c r="DG198" s="255"/>
      <c r="DH198" s="256"/>
      <c r="DI198" s="256"/>
      <c r="DJ198" s="256"/>
      <c r="DK198" s="256"/>
      <c r="DL198" s="256" t="s">
        <v>5471</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4593</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5089</v>
      </c>
      <c r="AM200" s="166" t="s">
        <v>1376</v>
      </c>
      <c r="AN200" s="166" t="s">
        <v>6483</v>
      </c>
      <c r="AO200" s="166" t="s">
        <v>6484</v>
      </c>
      <c r="AP200" s="166" t="s">
        <v>6485</v>
      </c>
      <c r="AQ200" s="166"/>
      <c r="AR200" s="166" t="s">
        <v>4711</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4215</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4412</v>
      </c>
      <c r="P201" s="93" t="s">
        <v>4653</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3481</v>
      </c>
      <c r="BB201" s="98"/>
      <c r="BC201" s="93" t="s">
        <v>2531</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5027</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4423</v>
      </c>
      <c r="BI207" s="98"/>
      <c r="BJ207" s="98"/>
      <c r="BK207" s="98"/>
      <c r="BL207" s="98"/>
      <c r="BM207" s="98"/>
      <c r="BN207" s="98"/>
      <c r="BO207" s="98"/>
      <c r="BP207" s="235"/>
      <c r="BQ207" s="98"/>
      <c r="BR207" s="93" t="s">
        <v>4885</v>
      </c>
      <c r="BS207" s="93" t="s">
        <v>6542</v>
      </c>
      <c r="BT207" s="93" t="s">
        <v>5408</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4729</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4724</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4724</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4759</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4848</v>
      </c>
      <c r="C216" s="105" t="s">
        <v>1262</v>
      </c>
      <c r="D216" s="106" t="s">
        <v>1262</v>
      </c>
      <c r="E216" s="107" t="s">
        <v>1262</v>
      </c>
      <c r="F216" s="108" t="s">
        <v>1262</v>
      </c>
      <c r="G216" s="104" t="s">
        <v>332</v>
      </c>
      <c r="H216" s="242"/>
      <c r="I216" s="165"/>
      <c r="J216" s="242"/>
      <c r="K216" s="165" t="s">
        <v>4960</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4087</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T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5762</v>
      </c>
      <c r="AW1" s="701" t="s">
        <v>6608</v>
      </c>
      <c r="AX1" s="701" t="s">
        <v>5396</v>
      </c>
      <c r="AY1" s="705" t="s">
        <v>4656</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4579</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5707</v>
      </c>
      <c r="R8" s="727" t="s">
        <v>3782</v>
      </c>
      <c r="S8" s="727" t="s">
        <v>6635</v>
      </c>
      <c r="T8" s="727" t="s">
        <v>6636</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4476</v>
      </c>
      <c r="N12" s="727" t="s">
        <v>4767</v>
      </c>
      <c r="O12" s="727"/>
      <c r="P12" s="725" t="s">
        <v>3390</v>
      </c>
      <c r="Q12" s="727" t="s">
        <v>4476</v>
      </c>
      <c r="R12" s="727"/>
      <c r="S12" s="727" t="s">
        <v>4329</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4241</v>
      </c>
      <c r="D13" s="738" t="s">
        <v>1566</v>
      </c>
      <c r="E13" s="723" t="s">
        <v>337</v>
      </c>
      <c r="F13" s="739" t="s">
        <v>2646</v>
      </c>
      <c r="G13" s="722" t="s">
        <v>1265</v>
      </c>
      <c r="H13" s="723" t="s">
        <v>4241</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4422</v>
      </c>
      <c r="I14" s="727" t="str">
        <f>HYPERLINK("https://youtu.be/F4XtupQ5d4o","14.33")</f>
        <v>14.33</v>
      </c>
      <c r="J14" s="727" t="s">
        <v>4422</v>
      </c>
      <c r="K14" s="727" t="s">
        <v>2843</v>
      </c>
      <c r="L14" s="727"/>
      <c r="M14" s="727" t="str">
        <f>HYPERLINK("https://www.youtube.com/watch?v=h3GaauXfeR4","14.16")</f>
        <v>14.16</v>
      </c>
      <c r="N14" s="727" t="str">
        <f>HYPERLINK("https://youtu.be/rZW3Nzg9CsM","14.20")</f>
        <v>14.20</v>
      </c>
      <c r="O14" s="727"/>
      <c r="P14" s="725" t="s">
        <v>4350</v>
      </c>
      <c r="Q14" s="727" t="s">
        <v>2279</v>
      </c>
      <c r="R14" s="727" t="s">
        <v>3801</v>
      </c>
      <c r="S14" s="727"/>
      <c r="T14" s="727"/>
      <c r="U14" s="727"/>
      <c r="V14" s="727" t="s">
        <v>5525</v>
      </c>
      <c r="W14" s="727"/>
      <c r="X14" s="727" t="s">
        <v>4496</v>
      </c>
      <c r="Y14" s="727"/>
      <c r="Z14" s="727"/>
      <c r="AA14" s="727" t="s">
        <v>6075</v>
      </c>
      <c r="AB14" s="727"/>
      <c r="AC14" s="727"/>
      <c r="AD14" s="727" t="s">
        <v>662</v>
      </c>
      <c r="AE14" s="727" t="s">
        <v>6655</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5436</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4640</v>
      </c>
      <c r="E18" s="727" t="s">
        <v>1177</v>
      </c>
      <c r="F18" s="728"/>
      <c r="G18" s="722" t="s">
        <v>4423</v>
      </c>
      <c r="H18" s="727"/>
      <c r="I18" s="727" t="s">
        <v>4192</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4335</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4145</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4223</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4541</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4232</v>
      </c>
      <c r="D31" s="727"/>
      <c r="E31" s="727" t="s">
        <v>1903</v>
      </c>
      <c r="F31" s="763" t="s">
        <v>5611</v>
      </c>
      <c r="G31" s="735"/>
      <c r="H31" s="727"/>
      <c r="I31" s="727" t="s">
        <v>4894</v>
      </c>
      <c r="J31" s="727" t="s">
        <v>773</v>
      </c>
      <c r="K31" s="727" t="s">
        <v>3475</v>
      </c>
      <c r="L31" s="727"/>
      <c r="M31" s="727" t="s">
        <v>1452</v>
      </c>
      <c r="N31" s="727" t="s">
        <v>5611</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4232</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5269</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4865</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4379</v>
      </c>
      <c r="D39" s="727" t="s">
        <v>6721</v>
      </c>
      <c r="E39" s="727" t="s">
        <v>4379</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5011</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5207</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4867</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4925</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5339</v>
      </c>
      <c r="D49" s="774" t="s">
        <v>6171</v>
      </c>
      <c r="E49" s="725"/>
      <c r="F49" s="728"/>
      <c r="G49" s="735"/>
      <c r="H49" s="725" t="s">
        <v>1948</v>
      </c>
      <c r="I49" s="723" t="s">
        <v>5339</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5622</v>
      </c>
      <c r="J55" s="727" t="s">
        <v>1850</v>
      </c>
      <c r="K55" s="727" t="s">
        <v>4621</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4584</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5753</v>
      </c>
      <c r="G58" s="722" t="s">
        <v>1275</v>
      </c>
      <c r="H58" s="722" t="s">
        <v>366</v>
      </c>
      <c r="I58" s="768"/>
      <c r="J58" s="768"/>
      <c r="K58" s="768"/>
      <c r="L58" s="768"/>
      <c r="M58" s="768"/>
      <c r="N58" s="768"/>
      <c r="O58" s="768" t="s">
        <v>5753</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5109</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4139</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5002</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4122</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4201</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5045</v>
      </c>
      <c r="Y71" s="727"/>
      <c r="Z71" s="727" t="s">
        <v>4809</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4334</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4318</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4961</v>
      </c>
      <c r="K76" s="727" t="s">
        <v>6785</v>
      </c>
      <c r="L76" s="727" t="s">
        <v>915</v>
      </c>
      <c r="M76" s="727" t="s">
        <v>756</v>
      </c>
      <c r="N76" s="727" t="s">
        <v>1364</v>
      </c>
      <c r="O76" s="727" t="s">
        <v>2324</v>
      </c>
      <c r="P76" s="725" t="s">
        <v>3940</v>
      </c>
      <c r="Q76" s="727" t="s">
        <v>6786</v>
      </c>
      <c r="R76" s="727"/>
      <c r="S76" s="727" t="s">
        <v>4616</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4978</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4938</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5154</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5476</v>
      </c>
      <c r="F85" s="739" t="s">
        <v>758</v>
      </c>
      <c r="G85" s="722" t="s">
        <v>120</v>
      </c>
      <c r="H85" s="727" t="s">
        <v>955</v>
      </c>
      <c r="I85" s="727" t="s">
        <v>2874</v>
      </c>
      <c r="J85" s="727" t="s">
        <v>4407</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5251</v>
      </c>
      <c r="D91" s="727" t="s">
        <v>6823</v>
      </c>
      <c r="E91" s="727" t="s">
        <v>5251</v>
      </c>
      <c r="F91" s="792"/>
      <c r="G91" s="735"/>
      <c r="H91" s="727" t="s">
        <v>5251</v>
      </c>
      <c r="I91" s="727" t="s">
        <v>5137</v>
      </c>
      <c r="J91" s="727"/>
      <c r="K91" s="727" t="s">
        <v>4694</v>
      </c>
      <c r="L91" s="727"/>
      <c r="M91" s="727" t="s">
        <v>3268</v>
      </c>
      <c r="N91" s="727" t="str">
        <f>HYPERLINK("https://youtu.be/HjDDp_Mj_yI","16.74")</f>
        <v>16.74</v>
      </c>
      <c r="O91" s="727"/>
      <c r="P91" s="725" t="s">
        <v>6389</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8"/>
      <c r="AK91" s="727"/>
      <c r="AL91" s="727"/>
      <c r="AM91" s="727" t="s">
        <v>5502</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4969</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4993</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4188</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4139</v>
      </c>
      <c r="K102" s="835" t="s">
        <v>1239</v>
      </c>
      <c r="L102" s="835" t="s">
        <v>922</v>
      </c>
      <c r="M102" s="829" t="s">
        <v>764</v>
      </c>
      <c r="N102" s="835" t="s">
        <v>3618</v>
      </c>
      <c r="O102" s="829" t="s">
        <v>1626</v>
      </c>
      <c r="P102" s="837" t="s">
        <v>2768</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4500</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5575</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5430</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4676</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4778</v>
      </c>
      <c r="K118" s="829" t="s">
        <v>849</v>
      </c>
      <c r="L118" s="829"/>
      <c r="M118" s="829" t="s">
        <v>771</v>
      </c>
      <c r="N118" s="829"/>
      <c r="O118" s="829" t="s">
        <v>4323</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5116</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4665</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5746</v>
      </c>
      <c r="I138" s="722" t="s">
        <v>5383</v>
      </c>
      <c r="J138" s="735"/>
      <c r="K138" s="735"/>
      <c r="L138" s="722" t="s">
        <v>932</v>
      </c>
      <c r="M138" s="722" t="s">
        <v>6413</v>
      </c>
      <c r="N138" s="735"/>
      <c r="O138" s="722" t="s">
        <v>5801</v>
      </c>
      <c r="P138" s="830" t="s">
        <v>5074</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4536</v>
      </c>
      <c r="D140" s="873"/>
      <c r="E140" s="873"/>
      <c r="F140" s="861"/>
      <c r="G140" s="735"/>
      <c r="H140" s="873"/>
      <c r="I140" s="873"/>
      <c r="J140" s="722" t="s">
        <v>6901</v>
      </c>
      <c r="K140" s="873"/>
      <c r="L140" s="873"/>
      <c r="M140" s="873"/>
      <c r="N140" s="873"/>
      <c r="O140" s="873"/>
      <c r="P140" s="830"/>
      <c r="Q140" s="873"/>
      <c r="R140" s="873" t="s">
        <v>4536</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5331</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5387</v>
      </c>
      <c r="F148" s="739" t="s">
        <v>1625</v>
      </c>
      <c r="G148" s="722" t="s">
        <v>3355</v>
      </c>
      <c r="H148" s="839" t="s">
        <v>1375</v>
      </c>
      <c r="I148" s="829" t="str">
        <f>HYPERLINK("https://youtu.be/NPrbRwZDn1I","27.54")</f>
        <v>27.54</v>
      </c>
      <c r="J148" s="829" t="s">
        <v>506</v>
      </c>
      <c r="K148" s="829" t="s">
        <v>6863</v>
      </c>
      <c r="L148" s="829"/>
      <c r="M148" s="829" t="s">
        <v>5387</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5638</v>
      </c>
      <c r="D149" s="873"/>
      <c r="E149" s="873"/>
      <c r="F149" s="861"/>
      <c r="G149" s="722" t="s">
        <v>2714</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5085</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5082</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4775</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5359</v>
      </c>
      <c r="E179" s="727" t="s">
        <v>6192</v>
      </c>
      <c r="F179" s="749" t="s">
        <v>2985</v>
      </c>
      <c r="G179" s="722" t="s">
        <v>6986</v>
      </c>
      <c r="H179" s="727" t="s">
        <v>2985</v>
      </c>
      <c r="I179" s="727"/>
      <c r="J179" s="727"/>
      <c r="K179" s="727"/>
      <c r="L179" s="727" t="s">
        <v>4471</v>
      </c>
      <c r="M179" s="727"/>
      <c r="N179" s="727"/>
      <c r="O179" s="727"/>
      <c r="P179" s="725"/>
      <c r="Q179" s="727"/>
      <c r="R179" s="727"/>
      <c r="S179" s="727" t="s">
        <v>4165</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5040</v>
      </c>
      <c r="D181" s="895"/>
      <c r="E181" s="895"/>
      <c r="F181" s="721"/>
      <c r="G181" s="735"/>
      <c r="H181" s="895"/>
      <c r="I181" s="895"/>
      <c r="J181" s="895" t="s">
        <v>5040</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5622</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4091</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5335</v>
      </c>
      <c r="L184" s="727" t="s">
        <v>944</v>
      </c>
      <c r="M184" s="727" t="s">
        <v>2915</v>
      </c>
      <c r="N184" s="727" t="s">
        <v>1924</v>
      </c>
      <c r="O184" s="727" t="s">
        <v>4807</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5308</v>
      </c>
      <c r="J185" s="727"/>
      <c r="K185" s="727"/>
      <c r="L185" s="727"/>
      <c r="M185" s="727" t="s">
        <v>1029</v>
      </c>
      <c r="N185" s="727" t="s">
        <v>4460</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4764</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4554</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5814</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4509</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5533</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5218</v>
      </c>
      <c r="D198" s="895" t="s">
        <v>3418</v>
      </c>
      <c r="E198" s="895"/>
      <c r="F198" s="893" t="s">
        <v>659</v>
      </c>
      <c r="G198" s="722" t="s">
        <v>6561</v>
      </c>
      <c r="H198" s="895"/>
      <c r="I198" s="895"/>
      <c r="J198" s="895"/>
      <c r="K198" s="895" t="s">
        <v>5582</v>
      </c>
      <c r="L198" s="895" t="s">
        <v>177</v>
      </c>
      <c r="M198" s="895"/>
      <c r="N198" s="895" t="s">
        <v>4643</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5725</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5403</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4945</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4895</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4705</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4222</v>
      </c>
      <c r="L205" s="727"/>
      <c r="M205" s="727" t="s">
        <v>7038</v>
      </c>
      <c r="N205" s="727" t="s">
        <v>4478</v>
      </c>
      <c r="O205" s="727" t="s">
        <v>4816</v>
      </c>
      <c r="P205" s="723" t="s">
        <v>6182</v>
      </c>
      <c r="Q205" s="727"/>
      <c r="R205" s="723" t="s">
        <v>5772</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4816</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4432</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5758</v>
      </c>
      <c r="D211" s="895"/>
      <c r="E211" s="895"/>
      <c r="F211" s="899" t="s">
        <v>6406</v>
      </c>
      <c r="G211" s="735"/>
      <c r="H211" s="723" t="s">
        <v>5758</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4145</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4551</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4179</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4174</v>
      </c>
      <c r="E239" s="835"/>
      <c r="F239" s="922"/>
      <c r="G239" s="735"/>
      <c r="H239" s="835"/>
      <c r="I239" s="835"/>
      <c r="J239" s="835"/>
      <c r="K239" s="829" t="s">
        <v>5372</v>
      </c>
      <c r="L239" s="835"/>
      <c r="M239" s="835"/>
      <c r="N239" s="835"/>
      <c r="O239" s="835"/>
      <c r="P239" s="837"/>
      <c r="Q239" s="835"/>
      <c r="R239" s="835"/>
      <c r="S239" s="829" t="s">
        <v>4617</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4338</v>
      </c>
      <c r="J240" s="829" t="s">
        <v>6125</v>
      </c>
      <c r="K240" s="829" t="s">
        <v>3447</v>
      </c>
      <c r="L240" s="835"/>
      <c r="M240" s="835"/>
      <c r="N240" s="835" t="s">
        <v>4378</v>
      </c>
      <c r="O240" s="829" t="s">
        <v>1321</v>
      </c>
      <c r="P240" s="837" t="s">
        <v>2144</v>
      </c>
      <c r="Q240" s="835" t="s">
        <v>1937</v>
      </c>
      <c r="R240" s="722" t="s">
        <v>177</v>
      </c>
      <c r="S240" s="722" t="s">
        <v>1140</v>
      </c>
      <c r="T240" s="829" t="s">
        <v>3978</v>
      </c>
      <c r="U240" s="835"/>
      <c r="V240" s="835" t="s">
        <v>4412</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4218</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5262</v>
      </c>
      <c r="D244" s="835" t="s">
        <v>1633</v>
      </c>
      <c r="E244" s="835"/>
      <c r="H244" s="835"/>
      <c r="I244" s="835" t="s">
        <v>2414</v>
      </c>
      <c r="J244" s="835"/>
      <c r="L244" s="835"/>
      <c r="M244" s="835"/>
      <c r="N244" s="835" t="s">
        <v>3249</v>
      </c>
      <c r="O244" s="835"/>
      <c r="P244" s="837" t="s">
        <v>7113</v>
      </c>
      <c r="Q244" s="835"/>
      <c r="R244" s="835" t="s">
        <v>5262</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4974</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4590</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5430</v>
      </c>
      <c r="D250" s="829" t="s">
        <v>1418</v>
      </c>
      <c r="E250" s="829" t="s">
        <v>2562</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4238</v>
      </c>
      <c r="F251" s="935" t="s">
        <v>7124</v>
      </c>
      <c r="G251" s="735"/>
      <c r="H251" s="829" t="s">
        <v>3054</v>
      </c>
      <c r="I251" s="829" t="str">
        <f>HYPERLINK("https://youtu.be/yGR2akJEjQQ","19.18")</f>
        <v>19.18</v>
      </c>
      <c r="J251" s="829"/>
      <c r="K251" s="829"/>
      <c r="L251" s="829"/>
      <c r="M251" s="829"/>
      <c r="N251" s="829"/>
      <c r="O251" s="829"/>
      <c r="P251" s="830"/>
      <c r="Q251" s="829"/>
      <c r="R251" s="722" t="s">
        <v>5386</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5003</v>
      </c>
      <c r="D254" s="835"/>
      <c r="E254" s="835"/>
      <c r="F254" s="749" t="s">
        <v>2004</v>
      </c>
      <c r="G254" s="735"/>
      <c r="H254" s="722" t="s">
        <v>5003</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5603</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4532</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4532</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4532</v>
      </c>
      <c r="E264" s="835"/>
      <c r="F264" s="721"/>
      <c r="G264" s="735"/>
      <c r="H264" s="835"/>
      <c r="I264" s="835" t="s">
        <v>7139</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4565</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5490</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4322</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4978</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5404</v>
      </c>
      <c r="L274" s="829" t="s">
        <v>916</v>
      </c>
      <c r="M274" s="829" t="s">
        <v>278</v>
      </c>
      <c r="N274" s="829" t="s">
        <v>5728</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4141</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4352</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5147</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4622</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4530</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5715</v>
      </c>
      <c r="D280" s="829" t="s">
        <v>5696</v>
      </c>
      <c r="E280" s="829" t="s">
        <v>2878</v>
      </c>
      <c r="F280" s="749" t="s">
        <v>433</v>
      </c>
      <c r="G280" s="722" t="s">
        <v>5668</v>
      </c>
      <c r="H280" s="829" t="s">
        <v>5715</v>
      </c>
      <c r="I280" s="829"/>
      <c r="J280" s="829" t="s">
        <v>5208</v>
      </c>
      <c r="K280" s="829"/>
      <c r="L280" s="829" t="s">
        <v>7181</v>
      </c>
      <c r="M280" s="829"/>
      <c r="N280" s="829"/>
      <c r="O280" s="829" t="s">
        <v>5715</v>
      </c>
      <c r="P280" s="830"/>
      <c r="Q280" s="829"/>
      <c r="R280" s="722" t="s">
        <v>7182</v>
      </c>
      <c r="S280" s="829"/>
      <c r="T280" s="829" t="s">
        <v>5715</v>
      </c>
      <c r="U280" s="829"/>
      <c r="V280" s="829"/>
      <c r="W280" s="829" t="s">
        <v>4082</v>
      </c>
      <c r="X280" s="829" t="s">
        <v>5814</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4405</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4198</v>
      </c>
      <c r="D283" s="735"/>
      <c r="E283" s="722" t="s">
        <v>4368</v>
      </c>
      <c r="F283" s="963"/>
      <c r="G283" s="722" t="s">
        <v>3265</v>
      </c>
      <c r="H283" s="722" t="s">
        <v>4198</v>
      </c>
      <c r="I283" s="735"/>
      <c r="J283" s="735"/>
      <c r="K283" s="735"/>
      <c r="L283" s="735"/>
      <c r="M283" s="735"/>
      <c r="N283" s="735" t="s">
        <v>4306</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4486</v>
      </c>
      <c r="D284" s="829" t="s">
        <v>1626</v>
      </c>
      <c r="E284" s="829" t="s">
        <v>2774</v>
      </c>
      <c r="F284" s="749" t="s">
        <v>2664</v>
      </c>
      <c r="G284" s="735"/>
      <c r="H284" s="830" t="s">
        <v>1371</v>
      </c>
      <c r="I284" s="829"/>
      <c r="J284" s="829"/>
      <c r="K284" s="829"/>
      <c r="L284" s="829"/>
      <c r="M284" s="829"/>
      <c r="N284" s="829"/>
      <c r="O284" s="829"/>
      <c r="P284" s="830" t="s">
        <v>5211</v>
      </c>
      <c r="Q284" s="829" t="s">
        <v>2595</v>
      </c>
      <c r="R284" s="829" t="s">
        <v>1626</v>
      </c>
      <c r="S284" s="829"/>
      <c r="T284" s="829" t="s">
        <v>4486</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4156</v>
      </c>
      <c r="D289" s="772"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4814</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4830</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5753</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4665</v>
      </c>
      <c r="I298" s="829"/>
      <c r="J298" s="829"/>
      <c r="K298" s="829"/>
      <c r="L298" s="829"/>
      <c r="M298" s="829"/>
      <c r="N298" s="829"/>
      <c r="O298" s="829" t="s">
        <v>2183</v>
      </c>
      <c r="P298" s="830"/>
      <c r="Q298" s="829"/>
      <c r="R298" s="829"/>
      <c r="S298" s="829"/>
      <c r="T298" s="829"/>
      <c r="U298" s="722" t="s">
        <v>4491</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4245</v>
      </c>
      <c r="D299" s="947" t="s">
        <v>1804</v>
      </c>
      <c r="E299" s="829" t="s">
        <v>4245</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4165</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5417</v>
      </c>
      <c r="D312" s="835"/>
      <c r="E312" s="835"/>
      <c r="F312" s="792"/>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5791</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5248</v>
      </c>
      <c r="F321" s="749" t="s">
        <v>4676</v>
      </c>
      <c r="G321" s="735"/>
      <c r="H321" s="735" t="s">
        <v>2046</v>
      </c>
      <c r="I321" s="735"/>
      <c r="J321" s="735"/>
      <c r="K321" s="735"/>
      <c r="L321" s="735"/>
      <c r="M321" s="735"/>
      <c r="N321" s="735"/>
      <c r="O321" s="735"/>
      <c r="P321" s="830"/>
      <c r="Q321" s="735"/>
      <c r="R321" s="722" t="s">
        <v>5248</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4752</v>
      </c>
      <c r="D323" s="735" t="s">
        <v>5074</v>
      </c>
      <c r="E323" s="722" t="s">
        <v>4457</v>
      </c>
      <c r="F323" s="749" t="s">
        <v>7249</v>
      </c>
      <c r="G323" s="735"/>
      <c r="H323" s="722" t="s">
        <v>4752</v>
      </c>
      <c r="I323" s="735"/>
      <c r="J323" s="735"/>
      <c r="K323" s="735"/>
      <c r="L323" s="735"/>
      <c r="M323" s="735"/>
      <c r="N323" s="735"/>
      <c r="O323" s="735"/>
      <c r="P323" s="830"/>
      <c r="Q323" s="735"/>
      <c r="R323" s="722" t="s">
        <v>5801</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5801</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5454</v>
      </c>
      <c r="E334" s="835"/>
      <c r="F334" s="802" t="s">
        <v>5438</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4697</v>
      </c>
      <c r="D335" s="735"/>
      <c r="E335" s="722" t="s">
        <v>4697</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5696</v>
      </c>
      <c r="D338" s="996"/>
      <c r="E338" s="996"/>
      <c r="F338" s="802" t="s">
        <v>4571</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4458</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4590</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4590</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4759</v>
      </c>
      <c r="G4" s="1034" t="s">
        <v>2229</v>
      </c>
      <c r="H4" s="1035" t="s">
        <v>2979</v>
      </c>
      <c r="I4" s="1036"/>
      <c r="J4" s="1037" t="s">
        <v>1966</v>
      </c>
      <c r="K4" s="1037" t="s">
        <v>2963</v>
      </c>
      <c r="L4" s="1037" t="s">
        <v>2647</v>
      </c>
      <c r="M4" s="1038" t="s">
        <v>3242</v>
      </c>
      <c r="N4" s="1036"/>
      <c r="O4" s="1039" t="s">
        <v>7338</v>
      </c>
      <c r="P4" s="1040"/>
      <c r="Q4" s="1041" t="s">
        <v>7339</v>
      </c>
      <c r="R4" s="1042" t="s">
        <v>1656</v>
      </c>
      <c r="S4" s="1043" t="s">
        <v>5038</v>
      </c>
      <c r="T4" s="1043" t="s">
        <v>5588</v>
      </c>
      <c r="U4" s="1043"/>
      <c r="V4" s="1044" t="s">
        <v>7340</v>
      </c>
      <c r="W4" s="1040"/>
      <c r="X4" s="1045" t="s">
        <v>2380</v>
      </c>
      <c r="Y4" s="1046" t="s">
        <v>7341</v>
      </c>
      <c r="Z4" s="1046" t="s">
        <v>7342</v>
      </c>
      <c r="AA4" s="1046" t="s">
        <v>5001</v>
      </c>
      <c r="AB4" s="1047" t="s">
        <v>7343</v>
      </c>
      <c r="AC4" s="1046" t="s">
        <v>749</v>
      </c>
      <c r="AD4" s="1048" t="s">
        <v>4238</v>
      </c>
      <c r="AE4" s="1048" t="s">
        <v>2525</v>
      </c>
      <c r="AF4" s="1049"/>
      <c r="AG4" s="1047" t="s">
        <v>7344</v>
      </c>
      <c r="AH4" s="1050"/>
      <c r="AI4" s="1051"/>
      <c r="AJ4" s="358"/>
      <c r="AK4" s="1052"/>
      <c r="AL4" s="1052"/>
      <c r="AM4" s="1053" t="s">
        <v>1431</v>
      </c>
      <c r="AN4" s="358"/>
      <c r="AO4" s="1052"/>
      <c r="AP4" s="1053" t="s">
        <v>911</v>
      </c>
      <c r="AQ4" s="358" t="s">
        <v>7345</v>
      </c>
      <c r="AR4" s="1052"/>
      <c r="AS4" s="1052"/>
      <c r="AT4" s="1052"/>
      <c r="AU4" s="1052"/>
      <c r="AV4" s="1052"/>
      <c r="AW4" s="1054" t="s">
        <v>4694</v>
      </c>
      <c r="AX4" s="1053" t="s">
        <v>1680</v>
      </c>
      <c r="AY4" s="1055" t="s">
        <v>2168</v>
      </c>
      <c r="AZ4" s="1056"/>
      <c r="BA4" s="1057" t="s">
        <v>7346</v>
      </c>
      <c r="BB4" s="1058" t="s">
        <v>7347</v>
      </c>
      <c r="BC4" s="1059" t="s">
        <v>294</v>
      </c>
      <c r="BD4" s="1057" t="s">
        <v>4243</v>
      </c>
      <c r="BE4" s="1057" t="s">
        <v>7348</v>
      </c>
      <c r="BF4" s="1056"/>
      <c r="BG4" s="1060" t="s">
        <v>3012</v>
      </c>
      <c r="BH4" s="1060" t="s">
        <v>695</v>
      </c>
      <c r="BI4" s="1061" t="s">
        <v>7349</v>
      </c>
      <c r="BJ4" s="1062" t="s">
        <v>7350</v>
      </c>
      <c r="BK4" s="1063" t="s">
        <v>7351</v>
      </c>
      <c r="BL4" s="1064"/>
      <c r="BM4" s="1065" t="s">
        <v>7352</v>
      </c>
      <c r="BN4" s="1051"/>
      <c r="BO4" s="1066" t="s">
        <v>7353</v>
      </c>
      <c r="BP4" s="1067"/>
      <c r="BQ4" s="1068" t="s">
        <v>7354</v>
      </c>
      <c r="BR4" s="1066" t="s">
        <v>7355</v>
      </c>
      <c r="BS4" s="1069"/>
      <c r="BT4" s="1068" t="s">
        <v>1113</v>
      </c>
      <c r="BU4" s="1066" t="s">
        <v>6346</v>
      </c>
      <c r="BV4" s="1070"/>
      <c r="BW4" s="1066" t="s">
        <v>7356</v>
      </c>
      <c r="BX4" s="1040"/>
      <c r="BY4" s="1044" t="s">
        <v>3374</v>
      </c>
      <c r="BZ4" s="1071" t="s">
        <v>6114</v>
      </c>
      <c r="CA4" s="1041" t="s">
        <v>7357</v>
      </c>
      <c r="CB4" s="1072"/>
      <c r="CC4" s="1073"/>
      <c r="CD4" s="1041" t="s">
        <v>7358</v>
      </c>
      <c r="CE4" s="1074" t="s">
        <v>7359</v>
      </c>
      <c r="CF4" s="1041" t="s">
        <v>1601</v>
      </c>
      <c r="CG4" s="1042" t="s">
        <v>5073</v>
      </c>
      <c r="CH4" s="1075" t="s">
        <v>7360</v>
      </c>
      <c r="CI4" s="1041" t="s">
        <v>1023</v>
      </c>
      <c r="CJ4" s="1041" t="s">
        <v>2178</v>
      </c>
      <c r="CK4" s="1041" t="s">
        <v>3934</v>
      </c>
    </row>
    <row r="5">
      <c r="A5" s="1076" t="s">
        <v>6595</v>
      </c>
      <c r="B5" s="1034" t="s">
        <v>7361</v>
      </c>
      <c r="C5" s="1030" t="s">
        <v>332</v>
      </c>
      <c r="D5" s="1031" t="s">
        <v>334</v>
      </c>
      <c r="E5" s="1032" t="s">
        <v>440</v>
      </c>
      <c r="F5" s="1033" t="s">
        <v>3364</v>
      </c>
      <c r="G5" s="1034" t="s">
        <v>4658</v>
      </c>
      <c r="H5" s="1077"/>
      <c r="I5" s="1078" t="s">
        <v>1264</v>
      </c>
      <c r="J5" s="1078"/>
      <c r="K5" s="1079" t="s">
        <v>7362</v>
      </c>
      <c r="L5" s="1078" t="s">
        <v>7363</v>
      </c>
      <c r="M5" s="1077"/>
      <c r="N5" s="1077"/>
      <c r="O5" s="1080" t="s">
        <v>7364</v>
      </c>
      <c r="P5" s="1056"/>
      <c r="Q5" s="1081" t="s">
        <v>7365</v>
      </c>
      <c r="R5" s="1082"/>
      <c r="S5" s="1082"/>
      <c r="T5" s="1083" t="s">
        <v>6825</v>
      </c>
      <c r="U5" s="1084"/>
      <c r="V5" s="1085" t="s">
        <v>7366</v>
      </c>
      <c r="W5" s="1056"/>
      <c r="X5" s="1086" t="s">
        <v>139</v>
      </c>
      <c r="Y5" s="1086" t="s">
        <v>7367</v>
      </c>
      <c r="Z5" s="1047" t="s">
        <v>4425</v>
      </c>
      <c r="AA5" s="1048" t="s">
        <v>5585</v>
      </c>
      <c r="AB5" s="1087" t="s">
        <v>793</v>
      </c>
      <c r="AC5" s="1087" t="s">
        <v>2906</v>
      </c>
      <c r="AD5" s="1046" t="s">
        <v>1219</v>
      </c>
      <c r="AE5" s="1087" t="s">
        <v>2857</v>
      </c>
      <c r="AF5" s="1049"/>
      <c r="AG5" s="1046" t="s">
        <v>7368</v>
      </c>
      <c r="AH5" s="1050"/>
      <c r="AI5" s="1056"/>
      <c r="AJ5" s="1088"/>
      <c r="AK5" s="1088" t="s">
        <v>4006</v>
      </c>
      <c r="AL5" s="1089"/>
      <c r="AM5" s="1088" t="s">
        <v>4615</v>
      </c>
      <c r="AN5" s="1088"/>
      <c r="AO5" s="1090" t="s">
        <v>2387</v>
      </c>
      <c r="AP5" s="1089"/>
      <c r="AQ5" s="1091" t="s">
        <v>7369</v>
      </c>
      <c r="AR5" s="1088" t="s">
        <v>7370</v>
      </c>
      <c r="AS5" s="1088" t="s">
        <v>7371</v>
      </c>
      <c r="AT5" s="1089"/>
      <c r="AU5" s="1089"/>
      <c r="AV5" s="1089"/>
      <c r="AW5" s="1092" t="s">
        <v>4319</v>
      </c>
      <c r="AX5" s="1093" t="s">
        <v>3691</v>
      </c>
      <c r="AY5" s="1088" t="s">
        <v>7372</v>
      </c>
      <c r="AZ5" s="1056"/>
      <c r="BA5" s="1094"/>
      <c r="BB5" s="1095" t="s">
        <v>7373</v>
      </c>
      <c r="BC5" s="1096" t="s">
        <v>7374</v>
      </c>
      <c r="BD5" s="1094"/>
      <c r="BE5" s="1097" t="s">
        <v>7375</v>
      </c>
      <c r="BF5" s="1056"/>
      <c r="BG5" s="1098" t="s">
        <v>7376</v>
      </c>
      <c r="BH5" s="1099" t="s">
        <v>1877</v>
      </c>
      <c r="BI5" s="1099"/>
      <c r="BJ5" s="1099"/>
      <c r="BK5" s="1100" t="s">
        <v>1985</v>
      </c>
      <c r="BL5" s="1101"/>
      <c r="BM5" s="1099" t="s">
        <v>7377</v>
      </c>
      <c r="BN5" s="1056"/>
      <c r="BO5" s="1102" t="s">
        <v>6438</v>
      </c>
      <c r="BP5" s="1103"/>
      <c r="BQ5" s="1103"/>
      <c r="BR5" s="1104" t="s">
        <v>7378</v>
      </c>
      <c r="BS5" s="1103"/>
      <c r="BT5" s="1105" t="s">
        <v>1625</v>
      </c>
      <c r="BU5" s="1103"/>
      <c r="BV5" s="1106" t="s">
        <v>3790</v>
      </c>
      <c r="BW5" s="1105" t="s">
        <v>6084</v>
      </c>
      <c r="BX5" s="1056"/>
      <c r="BY5" s="1107" t="s">
        <v>2706</v>
      </c>
      <c r="BZ5" s="1108" t="s">
        <v>4191</v>
      </c>
      <c r="CA5" s="1109"/>
      <c r="CB5" s="1109"/>
      <c r="CC5" s="1109"/>
      <c r="CD5" s="1108" t="s">
        <v>1403</v>
      </c>
      <c r="CE5" s="1110" t="s">
        <v>4688</v>
      </c>
      <c r="CF5" s="1108" t="s">
        <v>7379</v>
      </c>
      <c r="CG5" s="1109"/>
      <c r="CH5" s="1109"/>
      <c r="CI5" s="1109"/>
      <c r="CJ5" s="1109"/>
      <c r="CK5" s="1109"/>
    </row>
    <row r="6">
      <c r="A6" s="1111" t="s">
        <v>436</v>
      </c>
      <c r="B6" s="1034" t="s">
        <v>7380</v>
      </c>
      <c r="C6" s="1030" t="s">
        <v>438</v>
      </c>
      <c r="D6" s="1031" t="s">
        <v>1065</v>
      </c>
      <c r="E6" s="1032" t="s">
        <v>439</v>
      </c>
      <c r="F6" s="1033" t="s">
        <v>3984</v>
      </c>
      <c r="G6" s="1034" t="s">
        <v>1507</v>
      </c>
      <c r="H6" s="1079" t="s">
        <v>1615</v>
      </c>
      <c r="I6" s="1112" t="s">
        <v>3102</v>
      </c>
      <c r="J6" s="1080" t="s">
        <v>7381</v>
      </c>
      <c r="K6" s="1113" t="s">
        <v>5878</v>
      </c>
      <c r="L6" s="1079" t="s">
        <v>5434</v>
      </c>
      <c r="M6" s="1077"/>
      <c r="N6" s="1077"/>
      <c r="O6" s="1114" t="s">
        <v>7382</v>
      </c>
      <c r="P6" s="1040"/>
      <c r="Q6" s="1115" t="s">
        <v>5653</v>
      </c>
      <c r="R6" s="1115" t="s">
        <v>2707</v>
      </c>
      <c r="S6" s="1082"/>
      <c r="T6" s="1116" t="s">
        <v>232</v>
      </c>
      <c r="U6" s="1117"/>
      <c r="V6" s="1083" t="s">
        <v>7383</v>
      </c>
      <c r="W6" s="1040"/>
      <c r="X6" s="1048" t="s">
        <v>3196</v>
      </c>
      <c r="Y6" s="1048" t="s">
        <v>7384</v>
      </c>
      <c r="Z6" s="1048" t="s">
        <v>2559</v>
      </c>
      <c r="AA6" s="1118" t="s">
        <v>7385</v>
      </c>
      <c r="AB6" s="1086" t="s">
        <v>120</v>
      </c>
      <c r="AC6" s="1118" t="s">
        <v>1323</v>
      </c>
      <c r="AD6" s="1046" t="s">
        <v>1219</v>
      </c>
      <c r="AE6" s="1046" t="s">
        <v>6709</v>
      </c>
      <c r="AF6" s="1119"/>
      <c r="AG6" s="1120" t="s">
        <v>7386</v>
      </c>
      <c r="AH6" s="1050"/>
      <c r="AI6" s="1051"/>
      <c r="AJ6" s="1088"/>
      <c r="AK6" s="1088" t="s">
        <v>7387</v>
      </c>
      <c r="AL6" s="1089"/>
      <c r="AM6" s="1121" t="s">
        <v>2961</v>
      </c>
      <c r="AN6" s="1122" t="s">
        <v>3444</v>
      </c>
      <c r="AO6" s="1088" t="s">
        <v>7388</v>
      </c>
      <c r="AP6" s="1121" t="s">
        <v>2464</v>
      </c>
      <c r="AQ6" s="1123" t="s">
        <v>7389</v>
      </c>
      <c r="AR6" s="1088" t="s">
        <v>7390</v>
      </c>
      <c r="AS6" s="1089"/>
      <c r="AT6" s="1090" t="s">
        <v>4878</v>
      </c>
      <c r="AU6" s="1089"/>
      <c r="AV6" s="1089"/>
      <c r="AW6" s="1093" t="s">
        <v>5003</v>
      </c>
      <c r="AX6" s="1122" t="s">
        <v>1306</v>
      </c>
      <c r="AY6" s="1089"/>
      <c r="AZ6" s="1056"/>
      <c r="BA6" s="1124"/>
      <c r="BB6" s="1096" t="s">
        <v>7391</v>
      </c>
      <c r="BC6" s="1097" t="s">
        <v>6105</v>
      </c>
      <c r="BD6" s="1124"/>
      <c r="BE6" s="1125" t="s">
        <v>7392</v>
      </c>
      <c r="BF6" s="1056"/>
      <c r="BG6" s="1126" t="s">
        <v>3252</v>
      </c>
      <c r="BH6" s="1098" t="s">
        <v>1308</v>
      </c>
      <c r="BI6" s="1127" t="s">
        <v>5827</v>
      </c>
      <c r="BJ6" s="1128"/>
      <c r="BK6" s="1098" t="s">
        <v>7393</v>
      </c>
      <c r="BL6" s="1101"/>
      <c r="BM6" s="1099" t="s">
        <v>7394</v>
      </c>
      <c r="BN6" s="1040"/>
      <c r="BO6" s="1105" t="s">
        <v>4076</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5764</v>
      </c>
      <c r="H7" s="1079" t="s">
        <v>1298</v>
      </c>
      <c r="I7" s="1133" t="s">
        <v>7397</v>
      </c>
      <c r="J7" s="1077"/>
      <c r="K7" s="1078" t="s">
        <v>7398</v>
      </c>
      <c r="L7" s="1133" t="s">
        <v>7399</v>
      </c>
      <c r="M7" s="1077"/>
      <c r="N7" s="1114" t="s">
        <v>7400</v>
      </c>
      <c r="O7" s="1077"/>
      <c r="P7" s="1040"/>
      <c r="Q7" s="1081" t="s">
        <v>4147</v>
      </c>
      <c r="R7" s="1116" t="s">
        <v>3164</v>
      </c>
      <c r="S7" s="1117" t="s">
        <v>5861</v>
      </c>
      <c r="T7" s="1134" t="s">
        <v>5328</v>
      </c>
      <c r="U7" s="1134" t="s">
        <v>7401</v>
      </c>
      <c r="V7" s="1115" t="s">
        <v>7402</v>
      </c>
      <c r="W7" s="1040"/>
      <c r="X7" s="1118" t="s">
        <v>915</v>
      </c>
      <c r="Y7" s="1118" t="s">
        <v>7403</v>
      </c>
      <c r="Z7" s="1048" t="s">
        <v>6844</v>
      </c>
      <c r="AA7" s="1135" t="s">
        <v>7404</v>
      </c>
      <c r="AB7" s="1086" t="s">
        <v>4925</v>
      </c>
      <c r="AC7" s="1086" t="s">
        <v>5099</v>
      </c>
      <c r="AD7" s="1118" t="s">
        <v>4930</v>
      </c>
      <c r="AE7" s="1086" t="s">
        <v>6671</v>
      </c>
      <c r="AF7" s="1086"/>
      <c r="AG7" s="1136"/>
      <c r="AH7" s="1137" t="s">
        <v>7405</v>
      </c>
      <c r="AI7" s="1040"/>
      <c r="AJ7" s="1088"/>
      <c r="AK7" s="1088" t="s">
        <v>7406</v>
      </c>
      <c r="AL7" s="1088" t="s">
        <v>5479</v>
      </c>
      <c r="AM7" s="1088" t="s">
        <v>562</v>
      </c>
      <c r="AN7" s="1093" t="s">
        <v>7407</v>
      </c>
      <c r="AO7" s="1089"/>
      <c r="AP7" s="1093" t="s">
        <v>7408</v>
      </c>
      <c r="AQ7" s="1138" t="s">
        <v>5033</v>
      </c>
      <c r="AR7" s="1088" t="s">
        <v>7409</v>
      </c>
      <c r="AS7" s="1122" t="s">
        <v>7410</v>
      </c>
      <c r="AT7" s="1089"/>
      <c r="AU7" s="1088" t="s">
        <v>7411</v>
      </c>
      <c r="AV7" s="1089"/>
      <c r="AW7" s="1088" t="s">
        <v>474</v>
      </c>
      <c r="AX7" s="1093" t="s">
        <v>7412</v>
      </c>
      <c r="AY7" s="1093" t="s">
        <v>7413</v>
      </c>
      <c r="AZ7" s="1056"/>
      <c r="BA7" s="1095" t="s">
        <v>7414</v>
      </c>
      <c r="BB7" s="1096" t="s">
        <v>7415</v>
      </c>
      <c r="BC7" s="1139" t="s">
        <v>3455</v>
      </c>
      <c r="BD7" s="1124"/>
      <c r="BE7" s="1125" t="s">
        <v>7416</v>
      </c>
      <c r="BF7" s="1056"/>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5750</v>
      </c>
      <c r="CH7" s="1147" t="s">
        <v>7428</v>
      </c>
      <c r="CI7" s="1146" t="s">
        <v>3539</v>
      </c>
      <c r="CJ7" s="1146" t="s">
        <v>5011</v>
      </c>
      <c r="CK7" s="1131"/>
    </row>
    <row r="8">
      <c r="A8" s="1148" t="s">
        <v>7429</v>
      </c>
      <c r="B8" s="1149" t="s">
        <v>7430</v>
      </c>
      <c r="C8" s="1030" t="s">
        <v>334</v>
      </c>
      <c r="D8" s="1031" t="s">
        <v>1065</v>
      </c>
      <c r="E8" s="1032" t="s">
        <v>988</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5149</v>
      </c>
      <c r="U8" s="1115" t="s">
        <v>7437</v>
      </c>
      <c r="V8" s="1083" t="s">
        <v>7438</v>
      </c>
      <c r="W8" s="1040"/>
      <c r="X8" s="1087" t="s">
        <v>835</v>
      </c>
      <c r="Y8" s="1047" t="s">
        <v>7439</v>
      </c>
      <c r="Z8" s="1048" t="s">
        <v>7440</v>
      </c>
      <c r="AA8" s="1048" t="s">
        <v>7441</v>
      </c>
      <c r="AB8" s="1135" t="s">
        <v>4338</v>
      </c>
      <c r="AC8" s="1048" t="s">
        <v>5805</v>
      </c>
      <c r="AD8" s="1048" t="s">
        <v>129</v>
      </c>
      <c r="AE8" s="1048" t="s">
        <v>7442</v>
      </c>
      <c r="AF8" s="1049"/>
      <c r="AG8" s="1120" t="s">
        <v>7443</v>
      </c>
      <c r="AH8" s="1152" t="s">
        <v>7444</v>
      </c>
      <c r="AI8" s="1040"/>
      <c r="AJ8" s="1153"/>
      <c r="AK8" s="1122" t="s">
        <v>101</v>
      </c>
      <c r="AL8" s="1123" t="s">
        <v>7445</v>
      </c>
      <c r="AM8" s="1093" t="s">
        <v>2193</v>
      </c>
      <c r="AN8" s="1088" t="s">
        <v>4604</v>
      </c>
      <c r="AO8" s="1088" t="s">
        <v>7446</v>
      </c>
      <c r="AP8" s="1093" t="s">
        <v>7447</v>
      </c>
      <c r="AQ8" s="1088" t="s">
        <v>7448</v>
      </c>
      <c r="AR8" s="1093" t="s">
        <v>7449</v>
      </c>
      <c r="AS8" s="1093" t="s">
        <v>2952</v>
      </c>
      <c r="AT8" s="1123" t="s">
        <v>7450</v>
      </c>
      <c r="AU8" s="1090" t="s">
        <v>7451</v>
      </c>
      <c r="AV8" s="1123" t="s">
        <v>7452</v>
      </c>
      <c r="AW8" s="1093" t="s">
        <v>2649</v>
      </c>
      <c r="AX8" s="1123" t="s">
        <v>2245</v>
      </c>
      <c r="AY8" s="1122" t="s">
        <v>7453</v>
      </c>
      <c r="AZ8" s="1056"/>
      <c r="BA8" s="1097" t="s">
        <v>7454</v>
      </c>
      <c r="BB8" s="1154" t="s">
        <v>7455</v>
      </c>
      <c r="BC8" s="1155" t="s">
        <v>3209</v>
      </c>
      <c r="BD8" s="1156"/>
      <c r="BE8" s="1096" t="s">
        <v>7456</v>
      </c>
      <c r="BF8" s="1056"/>
      <c r="BG8" s="1157" t="s">
        <v>7457</v>
      </c>
      <c r="BH8" s="1158" t="s">
        <v>3456</v>
      </c>
      <c r="BI8" s="1098" t="s">
        <v>611</v>
      </c>
      <c r="BJ8" s="1099" t="s">
        <v>7458</v>
      </c>
      <c r="BK8" s="1098" t="s">
        <v>7459</v>
      </c>
      <c r="BL8" s="1098" t="s">
        <v>7460</v>
      </c>
      <c r="BM8" s="1098" t="s">
        <v>7461</v>
      </c>
      <c r="BN8" s="1040"/>
      <c r="BO8" s="1105" t="s">
        <v>2464</v>
      </c>
      <c r="BP8" s="1106" t="s">
        <v>5716</v>
      </c>
      <c r="BQ8" s="1105" t="s">
        <v>5814</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7" t="s">
        <v>7475</v>
      </c>
      <c r="Y9" s="1086"/>
      <c r="Z9" s="1086" t="s">
        <v>7476</v>
      </c>
      <c r="AA9" s="1163" t="s">
        <v>7477</v>
      </c>
      <c r="AB9" s="1086"/>
      <c r="AC9" s="1086" t="s">
        <v>7478</v>
      </c>
      <c r="AD9" s="1046" t="s">
        <v>1219</v>
      </c>
      <c r="AE9" s="1136"/>
      <c r="AF9" s="1136"/>
      <c r="AG9" s="1086" t="s">
        <v>7479</v>
      </c>
      <c r="AH9" s="1050"/>
      <c r="AI9" s="1040"/>
      <c r="AJ9" s="1089"/>
      <c r="AK9" s="1089"/>
      <c r="AL9" s="1089"/>
      <c r="AM9" s="1123" t="s">
        <v>5622</v>
      </c>
      <c r="AN9" s="1089"/>
      <c r="AO9" s="1122" t="s">
        <v>1998</v>
      </c>
      <c r="AP9" s="1123" t="s">
        <v>7480</v>
      </c>
      <c r="AQ9" s="1090" t="s">
        <v>7481</v>
      </c>
      <c r="AR9" s="1089"/>
      <c r="AS9" s="1089"/>
      <c r="AT9" s="1089"/>
      <c r="AU9" s="1089"/>
      <c r="AV9" s="1089"/>
      <c r="AW9" s="1090" t="s">
        <v>2929</v>
      </c>
      <c r="AX9" s="1089"/>
      <c r="AY9" s="1089"/>
      <c r="AZ9" s="1056"/>
      <c r="BA9" s="1164"/>
      <c r="BB9" s="1164"/>
      <c r="BC9" s="1154" t="s">
        <v>6655</v>
      </c>
      <c r="BD9" s="1124"/>
      <c r="BE9" s="1125" t="s">
        <v>7482</v>
      </c>
      <c r="BF9" s="1056"/>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5771</v>
      </c>
      <c r="U10" s="1081"/>
      <c r="V10" s="1134" t="s">
        <v>7493</v>
      </c>
      <c r="W10" s="1040"/>
      <c r="X10" s="1048" t="s">
        <v>591</v>
      </c>
      <c r="Y10" s="1167" t="s">
        <v>6839</v>
      </c>
      <c r="Z10" s="1118" t="s">
        <v>2860</v>
      </c>
      <c r="AA10" s="1118" t="s">
        <v>5470</v>
      </c>
      <c r="AB10" s="1048" t="s">
        <v>2352</v>
      </c>
      <c r="AC10" s="1118" t="s">
        <v>7494</v>
      </c>
      <c r="AD10" s="1168" t="s">
        <v>2418</v>
      </c>
      <c r="AE10" s="1048" t="s">
        <v>1095</v>
      </c>
      <c r="AF10" s="1119"/>
      <c r="AG10" s="1087" t="s">
        <v>7495</v>
      </c>
      <c r="AH10" s="1169" t="s">
        <v>7496</v>
      </c>
      <c r="AI10" s="1051"/>
      <c r="AJ10" s="1089"/>
      <c r="AK10" s="1121" t="s">
        <v>7497</v>
      </c>
      <c r="AL10" s="1122" t="s">
        <v>5991</v>
      </c>
      <c r="AM10" s="1093" t="s">
        <v>659</v>
      </c>
      <c r="AN10" s="1170"/>
      <c r="AO10" s="1093" t="s">
        <v>5758</v>
      </c>
      <c r="AP10" s="1121" t="s">
        <v>7498</v>
      </c>
      <c r="AQ10" s="1171" t="s">
        <v>5784</v>
      </c>
      <c r="AR10" s="1089"/>
      <c r="AS10" s="1089"/>
      <c r="AT10" s="1089"/>
      <c r="AU10" s="1089"/>
      <c r="AV10" s="1121" t="s">
        <v>7499</v>
      </c>
      <c r="AW10" s="1121" t="s">
        <v>965</v>
      </c>
      <c r="AX10" s="1138" t="s">
        <v>7500</v>
      </c>
      <c r="AY10" s="1138" t="s">
        <v>7501</v>
      </c>
      <c r="AZ10" s="1056"/>
      <c r="BA10" s="1164"/>
      <c r="BB10" s="1172" t="s">
        <v>7502</v>
      </c>
      <c r="BC10" s="1096" t="s">
        <v>5217</v>
      </c>
      <c r="BD10" s="1124"/>
      <c r="BE10" s="1096" t="s">
        <v>7503</v>
      </c>
      <c r="BF10" s="1056"/>
      <c r="BG10" s="1098" t="s">
        <v>7504</v>
      </c>
      <c r="BH10" s="1173" t="s">
        <v>4714</v>
      </c>
      <c r="BI10" s="1101"/>
      <c r="BJ10" s="1101"/>
      <c r="BK10" s="1101"/>
      <c r="BL10" s="1101"/>
      <c r="BM10" s="1174" t="s">
        <v>7505</v>
      </c>
      <c r="BN10" s="1051"/>
      <c r="BO10" s="1105" t="s">
        <v>7506</v>
      </c>
      <c r="BP10" s="1141"/>
      <c r="BQ10" s="1103"/>
      <c r="BR10" s="1129" t="s">
        <v>7507</v>
      </c>
      <c r="BS10" s="1103"/>
      <c r="BT10" s="1141" t="s">
        <v>296</v>
      </c>
      <c r="BU10" s="1103"/>
      <c r="BV10" s="1141" t="s">
        <v>7508</v>
      </c>
      <c r="BW10" s="1105" t="s">
        <v>7509</v>
      </c>
      <c r="BX10" s="1051"/>
      <c r="BY10" s="1175"/>
      <c r="BZ10" s="1145" t="s">
        <v>725</v>
      </c>
      <c r="CA10" s="1109"/>
      <c r="CB10" s="1131"/>
      <c r="CC10" s="1109"/>
      <c r="CD10" s="1146" t="s">
        <v>4309</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5251</v>
      </c>
      <c r="U11" s="1081"/>
      <c r="V11" s="1134" t="s">
        <v>7517</v>
      </c>
      <c r="W11" s="1040"/>
      <c r="X11" s="1136"/>
      <c r="Y11" s="1118" t="s">
        <v>7518</v>
      </c>
      <c r="Z11" s="1167" t="s">
        <v>7514</v>
      </c>
      <c r="AA11" s="1167" t="s">
        <v>7519</v>
      </c>
      <c r="AB11" s="1046" t="s">
        <v>3418</v>
      </c>
      <c r="AC11" s="1118" t="s">
        <v>2751</v>
      </c>
      <c r="AD11" s="1048" t="s">
        <v>2396</v>
      </c>
      <c r="AE11" s="1047" t="s">
        <v>1253</v>
      </c>
      <c r="AF11" s="1119"/>
      <c r="AG11" s="1167" t="s">
        <v>7520</v>
      </c>
      <c r="AH11" s="1050"/>
      <c r="AI11" s="1040"/>
      <c r="AJ11" s="1178"/>
      <c r="AK11" s="1093" t="s">
        <v>7521</v>
      </c>
      <c r="AL11" s="1089"/>
      <c r="AM11" s="1179"/>
      <c r="AN11" s="1179" t="s">
        <v>7522</v>
      </c>
      <c r="AO11" s="1180" t="s">
        <v>4826</v>
      </c>
      <c r="AP11" s="1181" t="s">
        <v>7523</v>
      </c>
      <c r="AQ11" s="1181" t="s">
        <v>7524</v>
      </c>
      <c r="AR11" s="1182"/>
      <c r="AS11" s="1090" t="s">
        <v>7371</v>
      </c>
      <c r="AT11" s="1179"/>
      <c r="AU11" s="1170"/>
      <c r="AV11" s="1090" t="s">
        <v>7525</v>
      </c>
      <c r="AW11" s="1122" t="s">
        <v>7526</v>
      </c>
      <c r="AX11" s="1138" t="s">
        <v>7527</v>
      </c>
      <c r="AY11" s="1138" t="s">
        <v>7528</v>
      </c>
      <c r="AZ11" s="1056"/>
      <c r="BA11" s="1094"/>
      <c r="BB11" s="1097" t="s">
        <v>7529</v>
      </c>
      <c r="BC11" s="1096" t="s">
        <v>3687</v>
      </c>
      <c r="BD11" s="1124"/>
      <c r="BE11" s="1172" t="s">
        <v>7530</v>
      </c>
      <c r="BF11" s="1056"/>
      <c r="BG11" s="1100" t="s">
        <v>7531</v>
      </c>
      <c r="BH11" s="1126" t="s">
        <v>5392</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1"/>
      <c r="BY11" s="1144" t="s">
        <v>4484</v>
      </c>
      <c r="BZ11" s="1109"/>
      <c r="CA11" s="1159"/>
      <c r="CB11" s="1147" t="s">
        <v>2811</v>
      </c>
      <c r="CC11" s="1175"/>
      <c r="CD11" s="1144" t="s">
        <v>1177</v>
      </c>
      <c r="CE11" s="1109"/>
      <c r="CF11" s="1144" t="s">
        <v>7538</v>
      </c>
      <c r="CG11" s="1109"/>
      <c r="CH11" s="1146" t="s">
        <v>4834</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5189</v>
      </c>
      <c r="U12" s="1085" t="s">
        <v>7544</v>
      </c>
      <c r="V12" s="1085" t="s">
        <v>7545</v>
      </c>
      <c r="W12" s="1040"/>
      <c r="X12" s="1048" t="s">
        <v>2673</v>
      </c>
      <c r="Y12" s="1087" t="s">
        <v>7546</v>
      </c>
      <c r="Z12" s="1048" t="s">
        <v>7547</v>
      </c>
      <c r="AA12" s="1048" t="s">
        <v>7441</v>
      </c>
      <c r="AB12" s="1048" t="s">
        <v>6361</v>
      </c>
      <c r="AC12" s="1048" t="s">
        <v>7548</v>
      </c>
      <c r="AD12" s="1048" t="s">
        <v>1060</v>
      </c>
      <c r="AE12" s="1048" t="s">
        <v>7549</v>
      </c>
      <c r="AF12" s="1119"/>
      <c r="AG12" s="1048" t="s">
        <v>7550</v>
      </c>
      <c r="AH12" s="1050"/>
      <c r="AI12" s="1040"/>
      <c r="AJ12" s="1178"/>
      <c r="AK12" s="1123" t="s">
        <v>2089</v>
      </c>
      <c r="AL12" s="1089"/>
      <c r="AM12" s="1093" t="s">
        <v>4221</v>
      </c>
      <c r="AN12" s="1089"/>
      <c r="AO12" s="1089"/>
      <c r="AP12" s="1093" t="s">
        <v>3457</v>
      </c>
      <c r="AQ12" s="1089"/>
      <c r="AR12" s="1123" t="s">
        <v>7551</v>
      </c>
      <c r="AS12" s="1093" t="s">
        <v>7552</v>
      </c>
      <c r="AT12" s="1089"/>
      <c r="AU12" s="1122" t="s">
        <v>7553</v>
      </c>
      <c r="AV12" s="1089"/>
      <c r="AW12" s="1093" t="s">
        <v>5356</v>
      </c>
      <c r="AX12" s="1093" t="s">
        <v>4796</v>
      </c>
      <c r="AY12" s="1093" t="s">
        <v>7554</v>
      </c>
      <c r="AZ12" s="1056"/>
      <c r="BA12" s="1096" t="s">
        <v>7555</v>
      </c>
      <c r="BB12" s="1096" t="s">
        <v>7556</v>
      </c>
      <c r="BC12" s="1096" t="s">
        <v>5315</v>
      </c>
      <c r="BD12" s="1124"/>
      <c r="BE12" s="1096" t="s">
        <v>7557</v>
      </c>
      <c r="BF12" s="1056"/>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4309</v>
      </c>
      <c r="CE12" s="1130" t="s">
        <v>7564</v>
      </c>
      <c r="CF12" s="1130" t="s">
        <v>2959</v>
      </c>
      <c r="CG12" s="1145" t="s">
        <v>7565</v>
      </c>
      <c r="CH12" s="1109"/>
      <c r="CI12" s="1145" t="s">
        <v>4791</v>
      </c>
      <c r="CJ12" s="1131"/>
      <c r="CK12" s="1131"/>
    </row>
    <row r="13">
      <c r="A13" s="1185" t="s">
        <v>1061</v>
      </c>
      <c r="B13" s="1034" t="s">
        <v>7566</v>
      </c>
      <c r="C13" s="1030" t="s">
        <v>333</v>
      </c>
      <c r="D13" s="1031" t="s">
        <v>438</v>
      </c>
      <c r="E13" s="1032" t="s">
        <v>332</v>
      </c>
      <c r="F13" s="1033" t="s">
        <v>2721</v>
      </c>
      <c r="G13" s="1034" t="s">
        <v>4983</v>
      </c>
      <c r="H13" s="1112" t="s">
        <v>4795</v>
      </c>
      <c r="I13" s="1077"/>
      <c r="J13" s="1150" t="s">
        <v>7567</v>
      </c>
      <c r="K13" s="1150" t="s">
        <v>6333</v>
      </c>
      <c r="L13" s="1077"/>
      <c r="M13" s="1077"/>
      <c r="N13" s="1077"/>
      <c r="O13" s="1078" t="s">
        <v>7568</v>
      </c>
      <c r="P13" s="1040"/>
      <c r="Q13" s="1082"/>
      <c r="R13" s="1083" t="s">
        <v>404</v>
      </c>
      <c r="S13" s="1082"/>
      <c r="T13" s="1162" t="s">
        <v>4844</v>
      </c>
      <c r="U13" s="1162" t="s">
        <v>1191</v>
      </c>
      <c r="V13" s="1082"/>
      <c r="W13" s="1040"/>
      <c r="X13" s="1086" t="s">
        <v>379</v>
      </c>
      <c r="Y13" s="1136"/>
      <c r="Z13" s="1087" t="s">
        <v>3284</v>
      </c>
      <c r="AA13" s="1047" t="s">
        <v>7569</v>
      </c>
      <c r="AB13" s="1086" t="s">
        <v>505</v>
      </c>
      <c r="AC13" s="1120" t="s">
        <v>7570</v>
      </c>
      <c r="AD13" s="1047" t="s">
        <v>1794</v>
      </c>
      <c r="AE13" s="1118" t="s">
        <v>7571</v>
      </c>
      <c r="AF13" s="1086"/>
      <c r="AG13" s="1086" t="s">
        <v>7572</v>
      </c>
      <c r="AH13" s="1050"/>
      <c r="AI13" s="1040"/>
      <c r="AJ13" s="1089"/>
      <c r="AK13" s="1089"/>
      <c r="AL13" s="1089"/>
      <c r="AM13" s="1088" t="s">
        <v>5134</v>
      </c>
      <c r="AN13" s="1090" t="s">
        <v>4009</v>
      </c>
      <c r="AO13" s="1089"/>
      <c r="AP13" s="1089"/>
      <c r="AQ13" s="1089"/>
      <c r="AR13" s="1090" t="s">
        <v>7573</v>
      </c>
      <c r="AS13" s="1089"/>
      <c r="AT13" s="1089"/>
      <c r="AU13" s="1089"/>
      <c r="AV13" s="1089"/>
      <c r="AW13" s="1123" t="s">
        <v>1043</v>
      </c>
      <c r="AX13" s="1089"/>
      <c r="AY13" s="1090" t="s">
        <v>7574</v>
      </c>
      <c r="AZ13" s="1056"/>
      <c r="BA13" s="1164"/>
      <c r="BB13" s="1125"/>
      <c r="BC13" s="1095" t="s">
        <v>4525</v>
      </c>
      <c r="BD13" s="1094"/>
      <c r="BE13" s="1125"/>
      <c r="BF13" s="1056"/>
      <c r="BG13" s="1101"/>
      <c r="BH13" s="1101"/>
      <c r="BI13" s="1165" t="s">
        <v>7575</v>
      </c>
      <c r="BJ13" s="1101"/>
      <c r="BK13" s="1101"/>
      <c r="BL13" s="1101"/>
      <c r="BM13" s="1101"/>
      <c r="BN13" s="1040"/>
      <c r="BO13" s="1104"/>
      <c r="BP13" s="1141"/>
      <c r="BQ13" s="1106" t="s">
        <v>5005</v>
      </c>
      <c r="BR13" s="1103"/>
      <c r="BS13" s="1103"/>
      <c r="BT13" s="1106" t="s">
        <v>5403</v>
      </c>
      <c r="BU13" s="1103"/>
      <c r="BV13" s="1142" t="s">
        <v>7576</v>
      </c>
      <c r="BW13" s="1105" t="s">
        <v>7577</v>
      </c>
      <c r="BX13" s="1040"/>
      <c r="BY13" s="1147" t="s">
        <v>3489</v>
      </c>
      <c r="BZ13" s="1108"/>
      <c r="CA13" s="1109"/>
      <c r="CB13" s="1131"/>
      <c r="CC13" s="1109"/>
      <c r="CD13" s="1109"/>
      <c r="CE13" s="1109"/>
      <c r="CF13" s="1109"/>
      <c r="CG13" s="1147" t="s">
        <v>7578</v>
      </c>
      <c r="CH13" s="1109"/>
      <c r="CI13" s="1109"/>
      <c r="CJ13" s="1131"/>
      <c r="CK13" s="1131"/>
    </row>
    <row r="14">
      <c r="A14" s="1076" t="s">
        <v>1962</v>
      </c>
      <c r="B14" s="1034" t="s">
        <v>7579</v>
      </c>
      <c r="C14" s="1030" t="s">
        <v>1262</v>
      </c>
      <c r="D14" s="1031" t="s">
        <v>332</v>
      </c>
      <c r="E14" s="1032" t="s">
        <v>332</v>
      </c>
      <c r="F14" s="1033" t="s">
        <v>2721</v>
      </c>
      <c r="G14" s="1034" t="s">
        <v>2836</v>
      </c>
      <c r="H14" s="1077"/>
      <c r="I14" s="1078" t="s">
        <v>7580</v>
      </c>
      <c r="J14" s="1078"/>
      <c r="K14" s="1079" t="s">
        <v>1702</v>
      </c>
      <c r="L14" s="1078"/>
      <c r="M14" s="1078"/>
      <c r="N14" s="1077"/>
      <c r="O14" s="1079" t="s">
        <v>7581</v>
      </c>
      <c r="P14" s="1040"/>
      <c r="Q14" s="1082"/>
      <c r="R14" s="1084"/>
      <c r="S14" s="1085" t="s">
        <v>7582</v>
      </c>
      <c r="T14" s="1082"/>
      <c r="U14" s="1082"/>
      <c r="V14" s="1085" t="s">
        <v>7583</v>
      </c>
      <c r="W14" s="1040"/>
      <c r="X14" s="1046" t="s">
        <v>1379</v>
      </c>
      <c r="Y14" s="1136"/>
      <c r="Z14" s="1086" t="s">
        <v>7584</v>
      </c>
      <c r="AA14" s="1048" t="s">
        <v>7585</v>
      </c>
      <c r="AB14" s="1086" t="s">
        <v>3617</v>
      </c>
      <c r="AC14" s="1048" t="s">
        <v>1985</v>
      </c>
      <c r="AD14" s="1086" t="s">
        <v>4127</v>
      </c>
      <c r="AE14" s="1086" t="s">
        <v>4636</v>
      </c>
      <c r="AF14" s="1086"/>
      <c r="AG14" s="1048" t="s">
        <v>7586</v>
      </c>
      <c r="AH14" s="1050"/>
      <c r="AI14" s="1040"/>
      <c r="AJ14" s="1089"/>
      <c r="AK14" s="1089"/>
      <c r="AL14" s="1089"/>
      <c r="AM14" s="1122" t="s">
        <v>1423</v>
      </c>
      <c r="AN14" s="1089"/>
      <c r="AO14" s="1089"/>
      <c r="AP14" s="1088" t="s">
        <v>7587</v>
      </c>
      <c r="AQ14" s="1089"/>
      <c r="AR14" s="1089"/>
      <c r="AS14" s="1089"/>
      <c r="AT14" s="1089"/>
      <c r="AU14" s="1089"/>
      <c r="AV14" s="1089"/>
      <c r="AW14" s="1089"/>
      <c r="AX14" s="1093" t="s">
        <v>7588</v>
      </c>
      <c r="AY14" s="1088" t="s">
        <v>7589</v>
      </c>
      <c r="AZ14" s="1056"/>
      <c r="BA14" s="1125"/>
      <c r="BB14" s="1125"/>
      <c r="BC14" s="1096" t="s">
        <v>3268</v>
      </c>
      <c r="BD14" s="1094"/>
      <c r="BE14" s="1125" t="s">
        <v>7590</v>
      </c>
      <c r="BF14" s="1056"/>
      <c r="BG14" s="1099" t="s">
        <v>6144</v>
      </c>
      <c r="BH14" s="1100" t="s">
        <v>7249</v>
      </c>
      <c r="BI14" s="1101"/>
      <c r="BJ14" s="1101"/>
      <c r="BK14" s="1126" t="s">
        <v>7591</v>
      </c>
      <c r="BL14" s="1101"/>
      <c r="BM14" s="1098" t="s">
        <v>7592</v>
      </c>
      <c r="BN14" s="1040"/>
      <c r="BO14" s="1104" t="s">
        <v>7593</v>
      </c>
      <c r="BP14" s="1142"/>
      <c r="BQ14" s="1104"/>
      <c r="BR14" s="1105" t="s">
        <v>7594</v>
      </c>
      <c r="BS14" s="1104"/>
      <c r="BT14" s="1105" t="s">
        <v>1408</v>
      </c>
      <c r="BU14" s="1103"/>
      <c r="BV14" s="1129" t="s">
        <v>5624</v>
      </c>
      <c r="BW14" s="1105" t="s">
        <v>5619</v>
      </c>
      <c r="BX14" s="1040"/>
      <c r="BY14" s="1145" t="s">
        <v>464</v>
      </c>
      <c r="BZ14" s="1109"/>
      <c r="CA14" s="1109"/>
      <c r="CB14" s="1131"/>
      <c r="CC14" s="1109"/>
      <c r="CD14" s="1109"/>
      <c r="CE14" s="1109"/>
      <c r="CF14" s="1108" t="s">
        <v>4592</v>
      </c>
      <c r="CG14" s="1109"/>
      <c r="CH14" s="1109"/>
      <c r="CI14" s="1109"/>
      <c r="CJ14" s="1131"/>
      <c r="CK14" s="1131"/>
    </row>
    <row r="15">
      <c r="A15" s="1076" t="s">
        <v>6584</v>
      </c>
      <c r="B15" s="1034" t="s">
        <v>7595</v>
      </c>
      <c r="C15" s="1030" t="s">
        <v>1262</v>
      </c>
      <c r="D15" s="1031" t="s">
        <v>438</v>
      </c>
      <c r="E15" s="1032" t="s">
        <v>438</v>
      </c>
      <c r="F15" s="1033" t="s">
        <v>5549</v>
      </c>
      <c r="G15" s="1034" t="s">
        <v>1731</v>
      </c>
      <c r="H15" s="1079" t="s">
        <v>2124</v>
      </c>
      <c r="I15" s="1079" t="s">
        <v>7596</v>
      </c>
      <c r="J15" s="1077"/>
      <c r="K15" s="1077"/>
      <c r="L15" s="1079" t="s">
        <v>3361</v>
      </c>
      <c r="M15" s="1077"/>
      <c r="N15" s="1079" t="s">
        <v>7597</v>
      </c>
      <c r="O15" s="1077"/>
      <c r="P15" s="1040"/>
      <c r="Q15" s="1085" t="s">
        <v>246</v>
      </c>
      <c r="R15" s="1082"/>
      <c r="S15" s="1085" t="s">
        <v>7497</v>
      </c>
      <c r="T15" s="1085" t="s">
        <v>3635</v>
      </c>
      <c r="U15" s="1082"/>
      <c r="V15" s="1085" t="s">
        <v>7598</v>
      </c>
      <c r="W15" s="1040"/>
      <c r="X15" s="1048" t="s">
        <v>273</v>
      </c>
      <c r="Y15" s="1048" t="s">
        <v>7599</v>
      </c>
      <c r="Z15" s="1048" t="s">
        <v>2369</v>
      </c>
      <c r="AA15" s="1135" t="s">
        <v>7600</v>
      </c>
      <c r="AB15" s="1048" t="s">
        <v>7601</v>
      </c>
      <c r="AC15" s="1048" t="s">
        <v>1676</v>
      </c>
      <c r="AD15" s="1048" t="s">
        <v>5475</v>
      </c>
      <c r="AE15" s="1048" t="s">
        <v>7602</v>
      </c>
      <c r="AF15" s="1049"/>
      <c r="AG15" s="1086" t="s">
        <v>7603</v>
      </c>
      <c r="AH15" s="1050"/>
      <c r="AI15" s="1040"/>
      <c r="AJ15" s="1153"/>
      <c r="AK15" s="1093" t="s">
        <v>7604</v>
      </c>
      <c r="AL15" s="1093" t="s">
        <v>7605</v>
      </c>
      <c r="AM15" s="1093" t="s">
        <v>1216</v>
      </c>
      <c r="AN15" s="1088"/>
      <c r="AO15" s="1089"/>
      <c r="AP15" s="1093" t="s">
        <v>4002</v>
      </c>
      <c r="AQ15" s="1089"/>
      <c r="AR15" s="1093" t="s">
        <v>7606</v>
      </c>
      <c r="AS15" s="1123" t="s">
        <v>7607</v>
      </c>
      <c r="AT15" s="1122" t="s">
        <v>7608</v>
      </c>
      <c r="AU15" s="1123" t="s">
        <v>7609</v>
      </c>
      <c r="AV15" s="1089"/>
      <c r="AW15" s="1093" t="s">
        <v>370</v>
      </c>
      <c r="AX15" s="1093" t="s">
        <v>7610</v>
      </c>
      <c r="AY15" s="1093" t="s">
        <v>7611</v>
      </c>
      <c r="AZ15" s="1056"/>
      <c r="BA15" s="1164"/>
      <c r="BB15" s="1096" t="s">
        <v>7612</v>
      </c>
      <c r="BC15" s="1096" t="s">
        <v>7613</v>
      </c>
      <c r="BD15" s="1094"/>
      <c r="BE15" s="1096" t="s">
        <v>7614</v>
      </c>
      <c r="BF15" s="1056"/>
      <c r="BG15" s="1099" t="s">
        <v>4017</v>
      </c>
      <c r="BH15" s="1099" t="s">
        <v>4591</v>
      </c>
      <c r="BI15" s="1126" t="s">
        <v>1596</v>
      </c>
      <c r="BJ15" s="1101"/>
      <c r="BK15" s="1099" t="s">
        <v>4274</v>
      </c>
      <c r="BL15" s="1101"/>
      <c r="BM15" s="1099" t="s">
        <v>7615</v>
      </c>
      <c r="BN15" s="1040"/>
      <c r="BO15" s="1105" t="s">
        <v>3414</v>
      </c>
      <c r="BP15" s="1141"/>
      <c r="BQ15" s="1103"/>
      <c r="BR15" s="1103"/>
      <c r="BS15" s="1103"/>
      <c r="BT15" s="1105" t="s">
        <v>849</v>
      </c>
      <c r="BU15" s="1103"/>
      <c r="BV15" s="1104" t="s">
        <v>7616</v>
      </c>
      <c r="BW15" s="1104" t="s">
        <v>7617</v>
      </c>
      <c r="BX15" s="1040"/>
      <c r="BY15" s="1130" t="s">
        <v>1623</v>
      </c>
      <c r="BZ15" s="1108"/>
      <c r="CA15" s="1109"/>
      <c r="CB15" s="1131"/>
      <c r="CC15" s="1109"/>
      <c r="CD15" s="1109"/>
      <c r="CE15" s="1108" t="s">
        <v>7618</v>
      </c>
      <c r="CF15" s="1109"/>
      <c r="CG15" s="1109"/>
      <c r="CH15" s="1109"/>
      <c r="CI15" s="1109"/>
      <c r="CJ15" s="1131"/>
      <c r="CK15" s="1131"/>
    </row>
    <row r="16">
      <c r="A16" s="1186" t="s">
        <v>1729</v>
      </c>
      <c r="B16" s="1034" t="s">
        <v>7595</v>
      </c>
      <c r="C16" s="1030" t="s">
        <v>1262</v>
      </c>
      <c r="D16" s="1031" t="s">
        <v>547</v>
      </c>
      <c r="E16" s="1032" t="s">
        <v>438</v>
      </c>
      <c r="F16" s="1033" t="s">
        <v>3276</v>
      </c>
      <c r="G16" s="1034" t="s">
        <v>5550</v>
      </c>
      <c r="H16" s="1079" t="s">
        <v>2357</v>
      </c>
      <c r="I16" s="1187" t="s">
        <v>7619</v>
      </c>
      <c r="J16" s="1078" t="s">
        <v>1304</v>
      </c>
      <c r="K16" s="1078" t="s">
        <v>7620</v>
      </c>
      <c r="L16" s="1078" t="s">
        <v>2148</v>
      </c>
      <c r="M16" s="1188"/>
      <c r="N16" s="1078" t="s">
        <v>7621</v>
      </c>
      <c r="O16" s="1078" t="s">
        <v>7622</v>
      </c>
      <c r="P16" s="1040"/>
      <c r="Q16" s="1081" t="s">
        <v>7623</v>
      </c>
      <c r="R16" s="1081" t="s">
        <v>2456</v>
      </c>
      <c r="S16" s="1081" t="s">
        <v>7624</v>
      </c>
      <c r="T16" s="1081" t="s">
        <v>5680</v>
      </c>
      <c r="U16" s="1081" t="s">
        <v>7625</v>
      </c>
      <c r="V16" s="1081" t="s">
        <v>7626</v>
      </c>
      <c r="W16" s="1040"/>
      <c r="X16" s="1086" t="s">
        <v>3875</v>
      </c>
      <c r="Y16" s="1086" t="s">
        <v>7627</v>
      </c>
      <c r="Z16" s="1118" t="s">
        <v>7628</v>
      </c>
      <c r="AA16" s="1189" t="s">
        <v>7629</v>
      </c>
      <c r="AB16" s="1086" t="s">
        <v>7630</v>
      </c>
      <c r="AC16" s="1086" t="s">
        <v>7631</v>
      </c>
      <c r="AD16" s="1135" t="s">
        <v>1708</v>
      </c>
      <c r="AE16" s="1048" t="s">
        <v>5401</v>
      </c>
      <c r="AF16" s="1086" t="s">
        <v>7632</v>
      </c>
      <c r="AG16" s="1086" t="s">
        <v>7633</v>
      </c>
      <c r="AH16" s="1190" t="s">
        <v>7634</v>
      </c>
      <c r="AI16" s="1040"/>
      <c r="AJ16" s="1153"/>
      <c r="AK16" s="1093" t="s">
        <v>7635</v>
      </c>
      <c r="AL16" s="1088"/>
      <c r="AM16" s="1088" t="s">
        <v>3408</v>
      </c>
      <c r="AN16" s="1093" t="s">
        <v>1650</v>
      </c>
      <c r="AO16" s="1088" t="s">
        <v>4110</v>
      </c>
      <c r="AP16" s="1091" t="s">
        <v>7636</v>
      </c>
      <c r="AQ16" s="1088" t="s">
        <v>7637</v>
      </c>
      <c r="AR16" s="1122" t="s">
        <v>7638</v>
      </c>
      <c r="AS16" s="1088" t="s">
        <v>7639</v>
      </c>
      <c r="AT16" s="1088"/>
      <c r="AU16" s="1088"/>
      <c r="AV16" s="1088"/>
      <c r="AW16" s="1091" t="s">
        <v>305</v>
      </c>
      <c r="AX16" s="1138" t="s">
        <v>7640</v>
      </c>
      <c r="AY16" s="1088" t="s">
        <v>7641</v>
      </c>
      <c r="AZ16" s="1056"/>
      <c r="BA16" s="1125" t="s">
        <v>7642</v>
      </c>
      <c r="BB16" s="1125" t="s">
        <v>7643</v>
      </c>
      <c r="BC16" s="1125" t="s">
        <v>4200</v>
      </c>
      <c r="BD16" s="1125"/>
      <c r="BE16" s="1191" t="s">
        <v>7644</v>
      </c>
      <c r="BF16" s="1056"/>
      <c r="BG16" s="1099" t="s">
        <v>7645</v>
      </c>
      <c r="BH16" s="1099" t="s">
        <v>5141</v>
      </c>
      <c r="BI16" s="1098" t="s">
        <v>2078</v>
      </c>
      <c r="BJ16" s="1100" t="s">
        <v>7646</v>
      </c>
      <c r="BK16" s="1140" t="s">
        <v>7647</v>
      </c>
      <c r="BL16" s="1099"/>
      <c r="BM16" s="1099" t="s">
        <v>7648</v>
      </c>
      <c r="BN16" s="1040"/>
      <c r="BO16" s="1105" t="s">
        <v>4746</v>
      </c>
      <c r="BP16" s="1142"/>
      <c r="BQ16" s="1192" t="s">
        <v>4720</v>
      </c>
      <c r="BR16" s="1104" t="s">
        <v>7649</v>
      </c>
      <c r="BS16" s="1104"/>
      <c r="BT16" s="1193" t="s">
        <v>7650</v>
      </c>
      <c r="BU16" s="1142" t="s">
        <v>4769</v>
      </c>
      <c r="BV16" s="1104" t="s">
        <v>7651</v>
      </c>
      <c r="BW16" s="1104" t="s">
        <v>7652</v>
      </c>
      <c r="BX16" s="1040"/>
      <c r="BY16" s="1108" t="s">
        <v>2518</v>
      </c>
      <c r="BZ16" s="1108" t="s">
        <v>2073</v>
      </c>
      <c r="CA16" s="1109"/>
      <c r="CB16" s="1131"/>
      <c r="CC16" s="1109"/>
      <c r="CD16" s="1108"/>
      <c r="CE16" s="1108" t="s">
        <v>7653</v>
      </c>
      <c r="CF16" s="1108" t="s">
        <v>7654</v>
      </c>
      <c r="CG16" s="1108"/>
      <c r="CH16" s="1145" t="s">
        <v>7655</v>
      </c>
      <c r="CI16" s="1109"/>
      <c r="CJ16" s="1131"/>
      <c r="CK16" s="1131"/>
    </row>
    <row r="17">
      <c r="A17" s="1076" t="s">
        <v>7656</v>
      </c>
      <c r="B17" s="1034" t="s">
        <v>7657</v>
      </c>
      <c r="C17" s="1030" t="s">
        <v>1262</v>
      </c>
      <c r="D17" s="1031" t="s">
        <v>1262</v>
      </c>
      <c r="E17" s="1032" t="s">
        <v>1262</v>
      </c>
      <c r="F17" s="1033" t="s">
        <v>1262</v>
      </c>
      <c r="G17" s="1034" t="s">
        <v>3330</v>
      </c>
      <c r="H17" s="1077"/>
      <c r="I17" s="1133" t="s">
        <v>2945</v>
      </c>
      <c r="J17" s="1078"/>
      <c r="K17" s="1077"/>
      <c r="L17" s="1077"/>
      <c r="M17" s="1077"/>
      <c r="N17" s="1077"/>
      <c r="O17" s="1078" t="s">
        <v>7658</v>
      </c>
      <c r="P17" s="1040"/>
      <c r="Q17" s="1134" t="s">
        <v>1493</v>
      </c>
      <c r="R17" s="1082"/>
      <c r="S17" s="1082"/>
      <c r="T17" s="1134" t="s">
        <v>1120</v>
      </c>
      <c r="U17" s="1081"/>
      <c r="V17" s="1081" t="s">
        <v>7659</v>
      </c>
      <c r="W17" s="1040"/>
      <c r="X17" s="1167" t="s">
        <v>7660</v>
      </c>
      <c r="Y17" s="1086" t="s">
        <v>7661</v>
      </c>
      <c r="Z17" s="1167" t="s">
        <v>7514</v>
      </c>
      <c r="AA17" s="1118" t="s">
        <v>6619</v>
      </c>
      <c r="AB17" s="1118" t="s">
        <v>1657</v>
      </c>
      <c r="AC17" s="1118" t="s">
        <v>3539</v>
      </c>
      <c r="AD17" s="1167" t="s">
        <v>201</v>
      </c>
      <c r="AE17" s="1118" t="s">
        <v>4603</v>
      </c>
      <c r="AF17" s="1086"/>
      <c r="AG17" s="1118" t="s">
        <v>7662</v>
      </c>
      <c r="AH17" s="1050"/>
      <c r="AI17" s="1040"/>
      <c r="AJ17" s="1089"/>
      <c r="AK17" s="1121" t="s">
        <v>5583</v>
      </c>
      <c r="AL17" s="1138" t="s">
        <v>7663</v>
      </c>
      <c r="AM17" s="1121" t="s">
        <v>7664</v>
      </c>
      <c r="AN17" s="1089"/>
      <c r="AO17" s="1138" t="s">
        <v>978</v>
      </c>
      <c r="AP17" s="1121" t="s">
        <v>1574</v>
      </c>
      <c r="AQ17" s="1138" t="s">
        <v>7665</v>
      </c>
      <c r="AR17" s="1138" t="s">
        <v>7666</v>
      </c>
      <c r="AS17" s="1089"/>
      <c r="AT17" s="1089"/>
      <c r="AU17" s="1089"/>
      <c r="AV17" s="1089"/>
      <c r="AW17" s="1121" t="s">
        <v>1255</v>
      </c>
      <c r="AX17" s="1138" t="s">
        <v>7667</v>
      </c>
      <c r="AY17" s="1138" t="s">
        <v>7668</v>
      </c>
      <c r="AZ17" s="1056"/>
      <c r="BA17" s="1125"/>
      <c r="BB17" s="1191" t="s">
        <v>7669</v>
      </c>
      <c r="BC17" s="1164"/>
      <c r="BD17" s="1164"/>
      <c r="BE17" s="1191" t="s">
        <v>7670</v>
      </c>
      <c r="BF17" s="1056"/>
      <c r="BG17" s="1183" t="s">
        <v>7671</v>
      </c>
      <c r="BH17" s="1183" t="s">
        <v>2131</v>
      </c>
      <c r="BI17" s="1101"/>
      <c r="BJ17" s="1101"/>
      <c r="BK17" s="1101"/>
      <c r="BL17" s="1101"/>
      <c r="BM17" s="1099" t="s">
        <v>7672</v>
      </c>
      <c r="BN17" s="1040"/>
      <c r="BO17" s="1142" t="s">
        <v>1969</v>
      </c>
      <c r="BP17" s="1141"/>
      <c r="BQ17" s="1103"/>
      <c r="BR17" s="1142" t="s">
        <v>7673</v>
      </c>
      <c r="BS17" s="1103"/>
      <c r="BT17" s="1142" t="s">
        <v>3073</v>
      </c>
      <c r="BU17" s="1103"/>
      <c r="BV17" s="1142" t="s">
        <v>7674</v>
      </c>
      <c r="BW17" s="1142" t="s">
        <v>7675</v>
      </c>
      <c r="BX17" s="1040"/>
      <c r="BY17" s="1144" t="s">
        <v>3671</v>
      </c>
      <c r="BZ17" s="1109"/>
      <c r="CA17" s="1109"/>
      <c r="CB17" s="1131"/>
      <c r="CC17" s="1109"/>
      <c r="CD17" s="1109"/>
      <c r="CE17" s="1109"/>
      <c r="CF17" s="1109"/>
      <c r="CG17" s="1109"/>
      <c r="CH17" s="1109"/>
      <c r="CI17" s="1109"/>
      <c r="CJ17" s="1131"/>
      <c r="CK17" s="1131"/>
    </row>
    <row r="18">
      <c r="A18" s="1076" t="s">
        <v>7676</v>
      </c>
      <c r="B18" s="1034" t="s">
        <v>7677</v>
      </c>
      <c r="C18" s="1030" t="s">
        <v>1262</v>
      </c>
      <c r="D18" s="1031" t="s">
        <v>1262</v>
      </c>
      <c r="E18" s="1032" t="s">
        <v>1262</v>
      </c>
      <c r="F18" s="1033" t="s">
        <v>1065</v>
      </c>
      <c r="G18" s="1034" t="s">
        <v>5722</v>
      </c>
      <c r="H18" s="1077"/>
      <c r="I18" s="1077"/>
      <c r="J18" s="1078" t="s">
        <v>7678</v>
      </c>
      <c r="K18" s="1078" t="s">
        <v>7679</v>
      </c>
      <c r="L18" s="1079" t="s">
        <v>7680</v>
      </c>
      <c r="M18" s="1077"/>
      <c r="N18" s="1133" t="s">
        <v>7681</v>
      </c>
      <c r="O18" s="1078" t="s">
        <v>7682</v>
      </c>
      <c r="P18" s="1040"/>
      <c r="Q18" s="1134" t="s">
        <v>727</v>
      </c>
      <c r="R18" s="1082"/>
      <c r="S18" s="1082"/>
      <c r="T18" s="1082"/>
      <c r="U18" s="1081"/>
      <c r="V18" s="1085" t="s">
        <v>7603</v>
      </c>
      <c r="W18" s="1040"/>
      <c r="X18" s="1136"/>
      <c r="Y18" s="1048" t="s">
        <v>7683</v>
      </c>
      <c r="Z18" s="1118" t="s">
        <v>2402</v>
      </c>
      <c r="AA18" s="1194"/>
      <c r="AB18" s="1136"/>
      <c r="AC18" s="1118" t="s">
        <v>817</v>
      </c>
      <c r="AD18" s="1118" t="s">
        <v>5715</v>
      </c>
      <c r="AE18" s="1118" t="s">
        <v>6936</v>
      </c>
      <c r="AF18" s="1086"/>
      <c r="AG18" s="1118" t="s">
        <v>7684</v>
      </c>
      <c r="AH18" s="1050"/>
      <c r="AI18" s="1040"/>
      <c r="AJ18" s="1088"/>
      <c r="AK18" s="1138" t="s">
        <v>1478</v>
      </c>
      <c r="AL18" s="1089"/>
      <c r="AM18" s="1089"/>
      <c r="AN18" s="1089"/>
      <c r="AO18" s="1089"/>
      <c r="AP18" s="1138" t="s">
        <v>7685</v>
      </c>
      <c r="AQ18" s="1089"/>
      <c r="AR18" s="1089"/>
      <c r="AS18" s="1089"/>
      <c r="AT18" s="1089"/>
      <c r="AU18" s="1089"/>
      <c r="AV18" s="1089"/>
      <c r="AW18" s="1093" t="s">
        <v>6162</v>
      </c>
      <c r="AX18" s="1088" t="s">
        <v>7686</v>
      </c>
      <c r="AY18" s="1088" t="s">
        <v>6287</v>
      </c>
      <c r="AZ18" s="1056"/>
      <c r="BA18" s="1125" t="s">
        <v>7687</v>
      </c>
      <c r="BB18" s="1191" t="s">
        <v>7688</v>
      </c>
      <c r="BC18" s="1096" t="s">
        <v>512</v>
      </c>
      <c r="BD18" s="1094"/>
      <c r="BE18" s="1191" t="s">
        <v>7689</v>
      </c>
      <c r="BF18" s="1056"/>
      <c r="BG18" s="1099" t="s">
        <v>2820</v>
      </c>
      <c r="BH18" s="1183" t="s">
        <v>7690</v>
      </c>
      <c r="BI18" s="1099"/>
      <c r="BJ18" s="1099"/>
      <c r="BK18" s="1101"/>
      <c r="BL18" s="1101"/>
      <c r="BM18" s="1098" t="s">
        <v>7691</v>
      </c>
      <c r="BN18" s="1040"/>
      <c r="BO18" s="1142" t="s">
        <v>6696</v>
      </c>
      <c r="BP18" s="1141"/>
      <c r="BQ18" s="1103"/>
      <c r="BR18" s="1104" t="s">
        <v>7692</v>
      </c>
      <c r="BS18" s="1103"/>
      <c r="BT18" s="1142" t="s">
        <v>2326</v>
      </c>
      <c r="BU18" s="1103"/>
      <c r="BV18" s="1104" t="s">
        <v>252</v>
      </c>
      <c r="BW18" s="1104" t="s">
        <v>1583</v>
      </c>
      <c r="BX18" s="1040"/>
      <c r="BY18" s="1108" t="s">
        <v>4192</v>
      </c>
      <c r="BZ18" s="1130" t="s">
        <v>6032</v>
      </c>
      <c r="CA18" s="1109"/>
      <c r="CB18" s="1131"/>
      <c r="CC18" s="1109"/>
      <c r="CD18" s="1109"/>
      <c r="CE18" s="1108" t="s">
        <v>5859</v>
      </c>
      <c r="CF18" s="1144" t="s">
        <v>7693</v>
      </c>
      <c r="CG18" s="1109"/>
      <c r="CH18" s="1109"/>
      <c r="CI18" s="1108" t="s">
        <v>7694</v>
      </c>
      <c r="CJ18" s="1131"/>
      <c r="CK18" s="1131"/>
    </row>
    <row r="19">
      <c r="A19" s="1076" t="s">
        <v>1814</v>
      </c>
      <c r="B19" s="1034" t="s">
        <v>7695</v>
      </c>
      <c r="C19" s="1030" t="s">
        <v>1262</v>
      </c>
      <c r="D19" s="1031" t="s">
        <v>1262</v>
      </c>
      <c r="E19" s="1032" t="s">
        <v>1262</v>
      </c>
      <c r="F19" s="1033" t="s">
        <v>1262</v>
      </c>
      <c r="G19" s="1034" t="s">
        <v>5722</v>
      </c>
      <c r="H19" s="1077"/>
      <c r="I19" s="1078" t="s">
        <v>2627</v>
      </c>
      <c r="J19" s="1078" t="s">
        <v>2096</v>
      </c>
      <c r="K19" s="1078" t="s">
        <v>7696</v>
      </c>
      <c r="L19" s="1133" t="s">
        <v>7697</v>
      </c>
      <c r="M19" s="1077"/>
      <c r="N19" s="1133" t="s">
        <v>7698</v>
      </c>
      <c r="O19" s="1078" t="s">
        <v>7699</v>
      </c>
      <c r="P19" s="1040"/>
      <c r="Q19" s="1134" t="s">
        <v>2650</v>
      </c>
      <c r="R19" s="1082"/>
      <c r="S19" s="1082"/>
      <c r="T19" s="1134" t="s">
        <v>5004</v>
      </c>
      <c r="U19" s="1081"/>
      <c r="V19" s="1134" t="s">
        <v>7700</v>
      </c>
      <c r="W19" s="1040"/>
      <c r="X19" s="1118" t="s">
        <v>4102</v>
      </c>
      <c r="Y19" s="1118" t="s">
        <v>7701</v>
      </c>
      <c r="Z19" s="1118" t="s">
        <v>7702</v>
      </c>
      <c r="AA19" s="1118" t="s">
        <v>3021</v>
      </c>
      <c r="AB19" s="1118" t="s">
        <v>4682</v>
      </c>
      <c r="AC19" s="1086" t="s">
        <v>7703</v>
      </c>
      <c r="AD19" s="1118" t="s">
        <v>4590</v>
      </c>
      <c r="AE19" s="1118" t="s">
        <v>4888</v>
      </c>
      <c r="AF19" s="1086"/>
      <c r="AG19" s="1086" t="s">
        <v>7704</v>
      </c>
      <c r="AH19" s="1195" t="s">
        <v>7705</v>
      </c>
      <c r="AI19" s="1040"/>
      <c r="AJ19" s="1089"/>
      <c r="AK19" s="1089"/>
      <c r="AL19" s="1089"/>
      <c r="AM19" s="1088" t="s">
        <v>171</v>
      </c>
      <c r="AN19" s="1089"/>
      <c r="AO19" s="1138" t="s">
        <v>4349</v>
      </c>
      <c r="AP19" s="1088" t="s">
        <v>3292</v>
      </c>
      <c r="AQ19" s="1138" t="s">
        <v>7706</v>
      </c>
      <c r="AR19" s="1089"/>
      <c r="AS19" s="1089"/>
      <c r="AT19" s="1089"/>
      <c r="AU19" s="1089"/>
      <c r="AV19" s="1089"/>
      <c r="AW19" s="1138" t="s">
        <v>1010</v>
      </c>
      <c r="AX19" s="1138" t="s">
        <v>4878</v>
      </c>
      <c r="AY19" s="1089"/>
      <c r="AZ19" s="1056"/>
      <c r="BA19" s="1164"/>
      <c r="BB19" s="1164"/>
      <c r="BC19" s="1191" t="s">
        <v>6823</v>
      </c>
      <c r="BD19" s="1125"/>
      <c r="BE19" s="1125" t="s">
        <v>7707</v>
      </c>
      <c r="BF19" s="1056"/>
      <c r="BG19" s="1183" t="s">
        <v>1209</v>
      </c>
      <c r="BH19" s="1183" t="s">
        <v>2131</v>
      </c>
      <c r="BI19" s="1101"/>
      <c r="BJ19" s="1101"/>
      <c r="BK19" s="1099" t="s">
        <v>7708</v>
      </c>
      <c r="BL19" s="1101"/>
      <c r="BM19" s="1183" t="s">
        <v>7709</v>
      </c>
      <c r="BN19" s="1040"/>
      <c r="BO19" s="1142" t="s">
        <v>7710</v>
      </c>
      <c r="BP19" s="1141"/>
      <c r="BQ19" s="1103"/>
      <c r="BR19" s="1103"/>
      <c r="BS19" s="1103"/>
      <c r="BT19" s="1142" t="s">
        <v>2958</v>
      </c>
      <c r="BU19" s="1103"/>
      <c r="BV19" s="1103"/>
      <c r="BW19" s="1141" t="s">
        <v>7711</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7712</v>
      </c>
      <c r="K20" s="1078" t="s">
        <v>7713</v>
      </c>
      <c r="L20" s="1077"/>
      <c r="M20" s="1077"/>
      <c r="N20" s="1077"/>
      <c r="O20" s="1133" t="s">
        <v>7714</v>
      </c>
      <c r="P20" s="1040"/>
      <c r="Q20" s="1081" t="s">
        <v>7715</v>
      </c>
      <c r="R20" s="1082"/>
      <c r="S20" s="1081" t="s">
        <v>5861</v>
      </c>
      <c r="T20" s="1081" t="s">
        <v>5118</v>
      </c>
      <c r="U20" s="1081" t="s">
        <v>7716</v>
      </c>
      <c r="V20" s="1134" t="s">
        <v>7717</v>
      </c>
      <c r="W20" s="1040"/>
      <c r="X20" s="1136"/>
      <c r="Y20" s="1136"/>
      <c r="Z20" s="1086" t="s">
        <v>7718</v>
      </c>
      <c r="AA20" s="1194"/>
      <c r="AB20" s="1086" t="s">
        <v>2273</v>
      </c>
      <c r="AC20" s="1118" t="s">
        <v>7719</v>
      </c>
      <c r="AD20" s="1136"/>
      <c r="AE20" s="1136"/>
      <c r="AF20" s="1136"/>
      <c r="AG20" s="1118" t="s">
        <v>7720</v>
      </c>
      <c r="AH20" s="1050"/>
      <c r="AI20" s="1040"/>
      <c r="AJ20" s="1089"/>
      <c r="AK20" s="1089"/>
      <c r="AL20" s="1089"/>
      <c r="AM20" s="1088" t="s">
        <v>1317</v>
      </c>
      <c r="AN20" s="1088"/>
      <c r="AO20" s="1089"/>
      <c r="AP20" s="1089"/>
      <c r="AQ20" s="1089"/>
      <c r="AR20" s="1089"/>
      <c r="AS20" s="1089"/>
      <c r="AT20" s="1089"/>
      <c r="AU20" s="1089"/>
      <c r="AV20" s="1089"/>
      <c r="AW20" s="1088" t="s">
        <v>3873</v>
      </c>
      <c r="AX20" s="1138" t="s">
        <v>7721</v>
      </c>
      <c r="AY20" s="1089"/>
      <c r="AZ20" s="1056"/>
      <c r="BA20" s="1164"/>
      <c r="BB20" s="1125" t="s">
        <v>7722</v>
      </c>
      <c r="BC20" s="1125" t="s">
        <v>3632</v>
      </c>
      <c r="BD20" s="1125"/>
      <c r="BE20" s="1191" t="s">
        <v>7723</v>
      </c>
      <c r="BF20" s="1056"/>
      <c r="BG20" s="1099" t="s">
        <v>714</v>
      </c>
      <c r="BH20" s="1183" t="s">
        <v>4277</v>
      </c>
      <c r="BI20" s="1099" t="s">
        <v>1764</v>
      </c>
      <c r="BJ20" s="1099" t="s">
        <v>7724</v>
      </c>
      <c r="BK20" s="1099" t="s">
        <v>7725</v>
      </c>
      <c r="BL20" s="1101"/>
      <c r="BM20" s="1099" t="s">
        <v>7726</v>
      </c>
      <c r="BN20" s="1040"/>
      <c r="BO20" s="1104" t="s">
        <v>4712</v>
      </c>
      <c r="BP20" s="1141"/>
      <c r="BQ20" s="1103"/>
      <c r="BR20" s="1143" t="s">
        <v>7727</v>
      </c>
      <c r="BS20" s="1103"/>
      <c r="BT20" s="1104" t="s">
        <v>2367</v>
      </c>
      <c r="BU20" s="1103"/>
      <c r="BV20" s="1104" t="s">
        <v>7728</v>
      </c>
      <c r="BW20" s="1104" t="s">
        <v>2056</v>
      </c>
      <c r="BX20" s="1040"/>
      <c r="BY20" s="1108" t="s">
        <v>4565</v>
      </c>
      <c r="BZ20" s="1159"/>
      <c r="CA20" s="1109"/>
      <c r="CB20" s="1131"/>
      <c r="CC20" s="1109"/>
      <c r="CD20" s="1109"/>
      <c r="CE20" s="1109"/>
      <c r="CF20" s="1109"/>
      <c r="CG20" s="1109"/>
      <c r="CH20" s="1109"/>
      <c r="CI20" s="1109"/>
      <c r="CJ20" s="1131"/>
      <c r="CK20" s="1131"/>
    </row>
    <row r="21">
      <c r="A21" s="1076" t="s">
        <v>2975</v>
      </c>
      <c r="B21" s="1034" t="s">
        <v>7729</v>
      </c>
      <c r="C21" s="1030" t="s">
        <v>547</v>
      </c>
      <c r="D21" s="1031" t="s">
        <v>1262</v>
      </c>
      <c r="E21" s="1032" t="s">
        <v>1262</v>
      </c>
      <c r="F21" s="1033" t="s">
        <v>547</v>
      </c>
      <c r="G21" s="1034" t="s">
        <v>5113</v>
      </c>
      <c r="H21" s="1077"/>
      <c r="I21" s="1077"/>
      <c r="J21" s="1078" t="s">
        <v>311</v>
      </c>
      <c r="K21" s="1078" t="s">
        <v>7730</v>
      </c>
      <c r="L21" s="1078"/>
      <c r="M21" s="1077"/>
      <c r="N21" s="1077"/>
      <c r="O21" s="1078" t="s">
        <v>7731</v>
      </c>
      <c r="P21" s="1040"/>
      <c r="Q21" s="1081" t="s">
        <v>4910</v>
      </c>
      <c r="R21" s="1081" t="s">
        <v>3740</v>
      </c>
      <c r="S21" s="1081" t="s">
        <v>692</v>
      </c>
      <c r="T21" s="1081" t="s">
        <v>251</v>
      </c>
      <c r="U21" s="1082"/>
      <c r="V21" s="1081" t="s">
        <v>7732</v>
      </c>
      <c r="W21" s="1040"/>
      <c r="X21" s="1086" t="s">
        <v>6411</v>
      </c>
      <c r="Y21" s="1136"/>
      <c r="Z21" s="1086" t="s">
        <v>4854</v>
      </c>
      <c r="AA21" s="1086" t="s">
        <v>7733</v>
      </c>
      <c r="AB21" s="1086" t="s">
        <v>2994</v>
      </c>
      <c r="AC21" s="1086" t="s">
        <v>1676</v>
      </c>
      <c r="AD21" s="1086" t="s">
        <v>6657</v>
      </c>
      <c r="AE21" s="1086" t="s">
        <v>2806</v>
      </c>
      <c r="AF21" s="1086"/>
      <c r="AG21" s="1086" t="s">
        <v>7734</v>
      </c>
      <c r="AH21" s="1196" t="s">
        <v>2997</v>
      </c>
      <c r="AI21" s="1040"/>
      <c r="AJ21" s="1089"/>
      <c r="AK21" s="1089"/>
      <c r="AL21" s="1090" t="s">
        <v>7735</v>
      </c>
      <c r="AM21" s="1088" t="s">
        <v>1901</v>
      </c>
      <c r="AN21" s="1088"/>
      <c r="AO21" s="1089"/>
      <c r="AP21" s="1089"/>
      <c r="AQ21" s="1089"/>
      <c r="AR21" s="1088" t="s">
        <v>7736</v>
      </c>
      <c r="AS21" s="1088"/>
      <c r="AT21" s="1089"/>
      <c r="AU21" s="1088" t="s">
        <v>7737</v>
      </c>
      <c r="AV21" s="1138" t="s">
        <v>7738</v>
      </c>
      <c r="AW21" s="1088" t="s">
        <v>770</v>
      </c>
      <c r="AX21" s="1138" t="s">
        <v>7739</v>
      </c>
      <c r="AY21" s="1088" t="s">
        <v>7740</v>
      </c>
      <c r="AZ21" s="1056"/>
      <c r="BA21" s="1125" t="s">
        <v>7741</v>
      </c>
      <c r="BB21" s="1125" t="s">
        <v>7742</v>
      </c>
      <c r="BC21" s="1164"/>
      <c r="BD21" s="1164"/>
      <c r="BE21" s="1125" t="s">
        <v>7743</v>
      </c>
      <c r="BF21" s="1056"/>
      <c r="BG21" s="1099" t="s">
        <v>6144</v>
      </c>
      <c r="BH21" s="1101"/>
      <c r="BI21" s="1099" t="s">
        <v>476</v>
      </c>
      <c r="BJ21" s="1099" t="s">
        <v>7744</v>
      </c>
      <c r="BK21" s="1099" t="s">
        <v>2944</v>
      </c>
      <c r="BL21" s="1099" t="s">
        <v>7745</v>
      </c>
      <c r="BM21" s="1140" t="s">
        <v>7746</v>
      </c>
      <c r="BN21" s="1040"/>
      <c r="BO21" s="1104" t="s">
        <v>7747</v>
      </c>
      <c r="BP21" s="1104" t="s">
        <v>4166</v>
      </c>
      <c r="BQ21" s="1103"/>
      <c r="BR21" s="1104" t="s">
        <v>7748</v>
      </c>
      <c r="BS21" s="1103"/>
      <c r="BT21" s="1104" t="s">
        <v>3015</v>
      </c>
      <c r="BU21" s="1104" t="s">
        <v>5136</v>
      </c>
      <c r="BV21" s="1104" t="s">
        <v>7749</v>
      </c>
      <c r="BW21" s="1104" t="s">
        <v>7750</v>
      </c>
      <c r="BX21" s="1040"/>
      <c r="BY21" s="1197" t="s">
        <v>3458</v>
      </c>
      <c r="BZ21" s="1108" t="s">
        <v>855</v>
      </c>
      <c r="CA21" s="1109"/>
      <c r="CB21" s="1131"/>
      <c r="CC21" s="1109"/>
      <c r="CD21" s="1109"/>
      <c r="CE21" s="1108" t="s">
        <v>7751</v>
      </c>
      <c r="CF21" s="1108" t="s">
        <v>7752</v>
      </c>
      <c r="CG21" s="1109"/>
      <c r="CH21" s="1109"/>
      <c r="CI21" s="1109"/>
      <c r="CJ21" s="1131"/>
      <c r="CK21" s="1131"/>
    </row>
    <row r="22">
      <c r="A22" s="1076" t="s">
        <v>7753</v>
      </c>
      <c r="B22" s="1034" t="s">
        <v>7754</v>
      </c>
      <c r="C22" s="1030" t="s">
        <v>1262</v>
      </c>
      <c r="D22" s="1031" t="s">
        <v>1262</v>
      </c>
      <c r="E22" s="1032" t="s">
        <v>1262</v>
      </c>
      <c r="F22" s="1033" t="s">
        <v>439</v>
      </c>
      <c r="G22" s="1034" t="s">
        <v>3180</v>
      </c>
      <c r="H22" s="1077"/>
      <c r="I22" s="1077"/>
      <c r="J22" s="1077"/>
      <c r="K22" s="1077"/>
      <c r="L22" s="1177" t="s">
        <v>7755</v>
      </c>
      <c r="M22" s="1077"/>
      <c r="N22" s="1133" t="s">
        <v>7756</v>
      </c>
      <c r="O22" s="1077"/>
      <c r="P22" s="1040"/>
      <c r="Q22" s="1082"/>
      <c r="R22" s="1082"/>
      <c r="S22" s="1082"/>
      <c r="T22" s="1082"/>
      <c r="U22" s="1081"/>
      <c r="V22" s="1134" t="s">
        <v>7757</v>
      </c>
      <c r="W22" s="1040"/>
      <c r="X22" s="1136"/>
      <c r="Y22" s="1136"/>
      <c r="Z22" s="1167" t="s">
        <v>7758</v>
      </c>
      <c r="AA22" s="1136"/>
      <c r="AB22" s="1136"/>
      <c r="AC22" s="1136"/>
      <c r="AD22" s="1136"/>
      <c r="AE22" s="1198" t="str">
        <f>HYPERLINK("https://youtu.be/0lXotWIeH0g","49.54")</f>
        <v>49.54</v>
      </c>
      <c r="AF22" s="1194"/>
      <c r="AG22" s="1118" t="s">
        <v>7759</v>
      </c>
      <c r="AH22" s="1152" t="s">
        <v>7760</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7761</v>
      </c>
      <c r="AZ22" s="1056"/>
      <c r="BA22" s="1164"/>
      <c r="BB22" s="1164"/>
      <c r="BC22" s="1172" t="s">
        <v>4125</v>
      </c>
      <c r="BD22" s="1164"/>
      <c r="BE22" s="1191" t="s">
        <v>7762</v>
      </c>
      <c r="BF22" s="1056"/>
      <c r="BG22" s="1101"/>
      <c r="BH22" s="1101"/>
      <c r="BI22" s="1101"/>
      <c r="BJ22" s="1101"/>
      <c r="BK22" s="1101"/>
      <c r="BL22" s="1200" t="str">
        <f>HYPERLINK("https://youtu.be/ZWHJWoriERw","3:48.70")</f>
        <v>3:48.70</v>
      </c>
      <c r="BM22" s="1098" t="s">
        <v>7763</v>
      </c>
      <c r="BN22" s="1040"/>
      <c r="BO22" s="1141" t="s">
        <v>230</v>
      </c>
      <c r="BP22" s="1141"/>
      <c r="BQ22" s="1103"/>
      <c r="BR22" s="1103"/>
      <c r="BS22" s="1103"/>
      <c r="BT22" s="1105" t="str">
        <f>HYPERLINK("https://youtu.be/-5bLlrzaDDc","27.91")</f>
        <v>27.91</v>
      </c>
      <c r="BU22" s="1141" t="s">
        <v>7764</v>
      </c>
      <c r="BV22" s="1103"/>
      <c r="BW22" s="1201" t="str">
        <f>HYPERLINK("https://youtu.be/x9mZaYceJJ8","2:08.04")</f>
        <v>2:08.04</v>
      </c>
      <c r="BX22" s="1051"/>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7765</v>
      </c>
      <c r="O23" s="1077"/>
      <c r="P23" s="1040"/>
      <c r="Q23" s="1082"/>
      <c r="R23" s="1082"/>
      <c r="S23" s="1082"/>
      <c r="T23" s="1082"/>
      <c r="U23" s="1081" t="s">
        <v>3109</v>
      </c>
      <c r="V23" s="1081" t="s">
        <v>7766</v>
      </c>
      <c r="W23" s="1040"/>
      <c r="X23" s="1086" t="s">
        <v>197</v>
      </c>
      <c r="Y23" s="1086" t="s">
        <v>7767</v>
      </c>
      <c r="Z23" s="1086" t="s">
        <v>7768</v>
      </c>
      <c r="AA23" s="1203" t="s">
        <v>2778</v>
      </c>
      <c r="AB23" s="1086" t="s">
        <v>658</v>
      </c>
      <c r="AC23" s="1086" t="s">
        <v>1818</v>
      </c>
      <c r="AD23" s="1086" t="s">
        <v>7277</v>
      </c>
      <c r="AE23" s="1086" t="s">
        <v>146</v>
      </c>
      <c r="AF23" s="1086"/>
      <c r="AG23" s="1086" t="s">
        <v>6486</v>
      </c>
      <c r="AH23" s="1204" t="s">
        <v>7769</v>
      </c>
      <c r="AI23" s="1040"/>
      <c r="AJ23" s="1088"/>
      <c r="AK23" s="1088" t="s">
        <v>5677</v>
      </c>
      <c r="AL23" s="1089"/>
      <c r="AM23" s="1088" t="s">
        <v>5134</v>
      </c>
      <c r="AN23" s="1089"/>
      <c r="AO23" s="1089"/>
      <c r="AP23" s="1088" t="s">
        <v>1997</v>
      </c>
      <c r="AQ23" s="1089"/>
      <c r="AR23" s="1088" t="s">
        <v>7770</v>
      </c>
      <c r="AS23" s="1088" t="s">
        <v>3665</v>
      </c>
      <c r="AT23" s="1089"/>
      <c r="AU23" s="1089"/>
      <c r="AV23" s="1138" t="s">
        <v>7771</v>
      </c>
      <c r="AW23" s="1088" t="s">
        <v>805</v>
      </c>
      <c r="AX23" s="1088" t="s">
        <v>7772</v>
      </c>
      <c r="AY23" s="1088" t="s">
        <v>7773</v>
      </c>
      <c r="AZ23" s="1056"/>
      <c r="BA23" s="1164"/>
      <c r="BB23" s="1096" t="s">
        <v>7774</v>
      </c>
      <c r="BC23" s="1125" t="s">
        <v>6366</v>
      </c>
      <c r="BD23" s="1125"/>
      <c r="BE23" s="1205" t="s">
        <v>7775</v>
      </c>
      <c r="BF23" s="1056"/>
      <c r="BG23" s="1101"/>
      <c r="BH23" s="1101"/>
      <c r="BI23" s="1101"/>
      <c r="BJ23" s="1101"/>
      <c r="BK23" s="1101"/>
      <c r="BL23" s="1127" t="s">
        <v>7776</v>
      </c>
      <c r="BM23" s="1099" t="s">
        <v>7777</v>
      </c>
      <c r="BN23" s="1040"/>
      <c r="BO23" s="1103"/>
      <c r="BP23" s="1141"/>
      <c r="BQ23" s="1103"/>
      <c r="BR23" s="1103"/>
      <c r="BS23" s="1129" t="s">
        <v>7206</v>
      </c>
      <c r="BT23" s="1103"/>
      <c r="BU23" s="1103"/>
      <c r="BV23" s="1103"/>
      <c r="BW23" s="1104" t="s">
        <v>7778</v>
      </c>
      <c r="BX23" s="1040"/>
      <c r="BY23" s="1109"/>
      <c r="BZ23" s="1109"/>
      <c r="CA23" s="1109"/>
      <c r="CB23" s="1131"/>
      <c r="CC23" s="1109"/>
      <c r="CD23" s="1109"/>
      <c r="CE23" s="1109"/>
      <c r="CF23" s="1109"/>
      <c r="CG23" s="1109"/>
      <c r="CH23" s="1109"/>
      <c r="CI23" s="1109"/>
      <c r="CJ23" s="1131"/>
      <c r="CK23" s="1131"/>
    </row>
    <row r="24">
      <c r="A24" s="1206" t="s">
        <v>902</v>
      </c>
      <c r="B24" s="1034" t="s">
        <v>7779</v>
      </c>
      <c r="C24" s="1030" t="s">
        <v>1262</v>
      </c>
      <c r="D24" s="1031" t="s">
        <v>1262</v>
      </c>
      <c r="E24" s="1032" t="s">
        <v>1262</v>
      </c>
      <c r="F24" s="1033" t="s">
        <v>1065</v>
      </c>
      <c r="G24" s="1034" t="s">
        <v>3868</v>
      </c>
      <c r="H24" s="1079" t="s">
        <v>2576</v>
      </c>
      <c r="I24" s="1079" t="s">
        <v>7780</v>
      </c>
      <c r="J24" s="1207"/>
      <c r="K24" s="1079" t="s">
        <v>3297</v>
      </c>
      <c r="L24" s="1078"/>
      <c r="M24" s="1077"/>
      <c r="N24" s="1077"/>
      <c r="O24" s="1133" t="s">
        <v>7781</v>
      </c>
      <c r="P24" s="1040"/>
      <c r="Q24" s="1134" t="s">
        <v>7782</v>
      </c>
      <c r="R24" s="1082"/>
      <c r="S24" s="1082"/>
      <c r="T24" s="1134" t="s">
        <v>5149</v>
      </c>
      <c r="U24" s="1081"/>
      <c r="V24" s="1134" t="s">
        <v>7783</v>
      </c>
      <c r="W24" s="1040"/>
      <c r="X24" s="1118" t="s">
        <v>2143</v>
      </c>
      <c r="Y24" s="1136"/>
      <c r="Z24" s="1118" t="s">
        <v>1844</v>
      </c>
      <c r="AA24" s="1194"/>
      <c r="AB24" s="1118" t="s">
        <v>5301</v>
      </c>
      <c r="AC24" s="1136"/>
      <c r="AD24" s="1136"/>
      <c r="AE24" s="1118" t="s">
        <v>4411</v>
      </c>
      <c r="AF24" s="1086"/>
      <c r="AG24" s="1118" t="s">
        <v>7784</v>
      </c>
      <c r="AH24" s="1050"/>
      <c r="AI24" s="1040"/>
      <c r="AJ24" s="1089"/>
      <c r="AK24" s="1089"/>
      <c r="AL24" s="1089"/>
      <c r="AM24" s="1089"/>
      <c r="AN24" s="1089"/>
      <c r="AO24" s="1138" t="s">
        <v>5064</v>
      </c>
      <c r="AP24" s="1089"/>
      <c r="AQ24" s="1093" t="s">
        <v>3227</v>
      </c>
      <c r="AR24" s="1089"/>
      <c r="AS24" s="1089"/>
      <c r="AT24" s="1089"/>
      <c r="AU24" s="1089"/>
      <c r="AV24" s="1089"/>
      <c r="AW24" s="1093" t="s">
        <v>722</v>
      </c>
      <c r="AX24" s="1089"/>
      <c r="AY24" s="1089"/>
      <c r="AZ24" s="1056"/>
      <c r="BA24" s="1164"/>
      <c r="BB24" s="1164"/>
      <c r="BC24" s="1164"/>
      <c r="BD24" s="1164"/>
      <c r="BE24" s="1191" t="s">
        <v>7785</v>
      </c>
      <c r="BF24" s="1056"/>
      <c r="BG24" s="1183" t="s">
        <v>2591</v>
      </c>
      <c r="BH24" s="1101"/>
      <c r="BI24" s="1101"/>
      <c r="BJ24" s="1101"/>
      <c r="BK24" s="1101"/>
      <c r="BL24" s="1101"/>
      <c r="BM24" s="1183" t="s">
        <v>7786</v>
      </c>
      <c r="BN24" s="1040"/>
      <c r="BO24" s="1142" t="s">
        <v>613</v>
      </c>
      <c r="BP24" s="1141"/>
      <c r="BQ24" s="1103"/>
      <c r="BR24" s="1103"/>
      <c r="BS24" s="1103"/>
      <c r="BT24" s="1103"/>
      <c r="BU24" s="1103"/>
      <c r="BV24" s="1142" t="s">
        <v>7787</v>
      </c>
      <c r="BW24" s="1103"/>
      <c r="BX24" s="1040"/>
      <c r="BY24" s="1130" t="s">
        <v>7788</v>
      </c>
      <c r="BZ24" s="1109"/>
      <c r="CA24" s="1109"/>
      <c r="CB24" s="1131"/>
      <c r="CC24" s="1109"/>
      <c r="CD24" s="1109"/>
      <c r="CE24" s="1130" t="s">
        <v>7789</v>
      </c>
      <c r="CF24" s="1108" t="s">
        <v>7790</v>
      </c>
      <c r="CG24" s="1109"/>
      <c r="CH24" s="1109"/>
      <c r="CI24" s="1109"/>
      <c r="CJ24" s="1131"/>
      <c r="CK24" s="1131"/>
    </row>
    <row r="25">
      <c r="A25" s="1076" t="s">
        <v>6596</v>
      </c>
      <c r="B25" s="1034" t="s">
        <v>7791</v>
      </c>
      <c r="C25" s="1030" t="s">
        <v>1262</v>
      </c>
      <c r="D25" s="1031" t="s">
        <v>1262</v>
      </c>
      <c r="E25" s="1032" t="s">
        <v>1262</v>
      </c>
      <c r="F25" s="1033" t="s">
        <v>438</v>
      </c>
      <c r="G25" s="1034" t="s">
        <v>3868</v>
      </c>
      <c r="H25" s="1077"/>
      <c r="I25" s="1077"/>
      <c r="J25" s="1077"/>
      <c r="K25" s="1077"/>
      <c r="L25" s="1078" t="s">
        <v>746</v>
      </c>
      <c r="M25" s="1077"/>
      <c r="N25" s="1078" t="s">
        <v>7792</v>
      </c>
      <c r="O25" s="1078"/>
      <c r="P25" s="1040"/>
      <c r="Q25" s="1082"/>
      <c r="R25" s="1082"/>
      <c r="S25" s="1082"/>
      <c r="T25" s="1082"/>
      <c r="U25" s="1082"/>
      <c r="V25" s="1134" t="s">
        <v>7793</v>
      </c>
      <c r="W25" s="1040"/>
      <c r="X25" s="1086" t="s">
        <v>7794</v>
      </c>
      <c r="Y25" s="1118" t="s">
        <v>7795</v>
      </c>
      <c r="Z25" s="1136"/>
      <c r="AA25" s="1208" t="s">
        <v>7796</v>
      </c>
      <c r="AB25" s="1136"/>
      <c r="AC25" s="1048" t="s">
        <v>4762</v>
      </c>
      <c r="AD25" s="1086" t="s">
        <v>1339</v>
      </c>
      <c r="AE25" s="1086" t="s">
        <v>7797</v>
      </c>
      <c r="AF25" s="1086"/>
      <c r="AG25" s="1118" t="s">
        <v>7798</v>
      </c>
      <c r="AH25" s="1050"/>
      <c r="AI25" s="1040"/>
      <c r="AJ25" s="1089"/>
      <c r="AK25" s="1089"/>
      <c r="AL25" s="1089"/>
      <c r="AM25" s="1088" t="s">
        <v>4925</v>
      </c>
      <c r="AN25" s="1089"/>
      <c r="AO25" s="1089"/>
      <c r="AP25" s="1089"/>
      <c r="AQ25" s="1089"/>
      <c r="AR25" s="1089"/>
      <c r="AS25" s="1089"/>
      <c r="AT25" s="1089"/>
      <c r="AU25" s="1089"/>
      <c r="AV25" s="1089"/>
      <c r="AW25" s="1089"/>
      <c r="AX25" s="1089"/>
      <c r="AY25" s="1138" t="s">
        <v>7799</v>
      </c>
      <c r="AZ25" s="1056"/>
      <c r="BA25" s="1164"/>
      <c r="BB25" s="1164"/>
      <c r="BC25" s="1164"/>
      <c r="BD25" s="1164"/>
      <c r="BE25" s="1125" t="s">
        <v>7800</v>
      </c>
      <c r="BF25" s="1056"/>
      <c r="BG25" s="1101"/>
      <c r="BH25" s="1101"/>
      <c r="BI25" s="1101"/>
      <c r="BJ25" s="1101"/>
      <c r="BK25" s="1101"/>
      <c r="BL25" s="1099" t="s">
        <v>7801</v>
      </c>
      <c r="BM25" s="1101"/>
      <c r="BN25" s="1040"/>
      <c r="BO25" s="1104" t="s">
        <v>4903</v>
      </c>
      <c r="BP25" s="1141"/>
      <c r="BQ25" s="1103"/>
      <c r="BR25" s="1104" t="s">
        <v>7802</v>
      </c>
      <c r="BS25" s="1105" t="s">
        <v>7585</v>
      </c>
      <c r="BT25" s="1104" t="s">
        <v>1324</v>
      </c>
      <c r="BU25" s="1103"/>
      <c r="BV25" s="1142" t="s">
        <v>7803</v>
      </c>
      <c r="BW25" s="1104" t="s">
        <v>7804</v>
      </c>
      <c r="BX25" s="1040"/>
      <c r="BY25" s="1109"/>
      <c r="BZ25" s="1109"/>
      <c r="CA25" s="1109"/>
      <c r="CB25" s="1131"/>
      <c r="CC25" s="1109"/>
      <c r="CD25" s="1109"/>
      <c r="CE25" s="1108" t="s">
        <v>7805</v>
      </c>
      <c r="CF25" s="1144" t="s">
        <v>7806</v>
      </c>
      <c r="CG25" s="1109"/>
      <c r="CH25" s="1109"/>
      <c r="CI25" s="1109"/>
      <c r="CJ25" s="1131"/>
      <c r="CK25" s="1131"/>
    </row>
    <row r="26">
      <c r="A26" s="1076" t="s">
        <v>7807</v>
      </c>
      <c r="B26" s="1034" t="s">
        <v>6404</v>
      </c>
      <c r="C26" s="1030" t="s">
        <v>547</v>
      </c>
      <c r="D26" s="1031" t="s">
        <v>1262</v>
      </c>
      <c r="E26" s="1032" t="s">
        <v>547</v>
      </c>
      <c r="F26" s="1033" t="s">
        <v>440</v>
      </c>
      <c r="G26" s="1034" t="s">
        <v>2863</v>
      </c>
      <c r="H26" s="1078" t="s">
        <v>3971</v>
      </c>
      <c r="I26" s="1078"/>
      <c r="J26" s="1078"/>
      <c r="K26" s="1077"/>
      <c r="L26" s="1078" t="s">
        <v>7808</v>
      </c>
      <c r="M26" s="1077"/>
      <c r="N26" s="1078" t="s">
        <v>7809</v>
      </c>
      <c r="O26" s="1077"/>
      <c r="P26" s="1040"/>
      <c r="Q26" s="1081" t="s">
        <v>7810</v>
      </c>
      <c r="R26" s="1082"/>
      <c r="S26" s="1082"/>
      <c r="T26" s="1082"/>
      <c r="U26" s="1134" t="s">
        <v>7811</v>
      </c>
      <c r="V26" s="1081" t="s">
        <v>7812</v>
      </c>
      <c r="W26" s="1040"/>
      <c r="X26" s="1086"/>
      <c r="Y26" s="1086"/>
      <c r="Z26" s="1086" t="s">
        <v>6631</v>
      </c>
      <c r="AA26" s="1203" t="s">
        <v>4592</v>
      </c>
      <c r="AB26" s="1086" t="s">
        <v>1191</v>
      </c>
      <c r="AC26" s="1136"/>
      <c r="AD26" s="1136"/>
      <c r="AE26" s="1086" t="s">
        <v>7813</v>
      </c>
      <c r="AF26" s="1086"/>
      <c r="AG26" s="1119" t="s">
        <v>7814</v>
      </c>
      <c r="AH26" s="1190" t="s">
        <v>7815</v>
      </c>
      <c r="AI26" s="1040"/>
      <c r="AJ26" s="1153"/>
      <c r="AK26" s="1090" t="s">
        <v>7816</v>
      </c>
      <c r="AL26" s="1089"/>
      <c r="AM26" s="1089"/>
      <c r="AN26" s="1089"/>
      <c r="AO26" s="1089"/>
      <c r="AP26" s="1089"/>
      <c r="AQ26" s="1089"/>
      <c r="AR26" s="1138" t="s">
        <v>7817</v>
      </c>
      <c r="AS26" s="1088" t="s">
        <v>7818</v>
      </c>
      <c r="AT26" s="1089"/>
      <c r="AU26" s="1089"/>
      <c r="AV26" s="1138" t="s">
        <v>6534</v>
      </c>
      <c r="AW26" s="1088" t="s">
        <v>2624</v>
      </c>
      <c r="AX26" s="1089"/>
      <c r="AY26" s="1088" t="s">
        <v>7819</v>
      </c>
      <c r="AZ26" s="1056"/>
      <c r="BA26" s="1164"/>
      <c r="BB26" s="1164"/>
      <c r="BC26" s="1164"/>
      <c r="BD26" s="1164"/>
      <c r="BE26" s="1125" t="s">
        <v>7820</v>
      </c>
      <c r="BF26" s="1056"/>
      <c r="BG26" s="1101"/>
      <c r="BH26" s="1101"/>
      <c r="BI26" s="1101"/>
      <c r="BJ26" s="1099"/>
      <c r="BK26" s="1101"/>
      <c r="BL26" s="1126" t="s">
        <v>7821</v>
      </c>
      <c r="BM26" s="1098" t="s">
        <v>7822</v>
      </c>
      <c r="BN26" s="1040"/>
      <c r="BO26" s="1104" t="s">
        <v>3989</v>
      </c>
      <c r="BP26" s="1141"/>
      <c r="BQ26" s="1103"/>
      <c r="BR26" s="1104" t="s">
        <v>7823</v>
      </c>
      <c r="BS26" s="1103"/>
      <c r="BT26" s="1142" t="s">
        <v>977</v>
      </c>
      <c r="BU26" s="1103"/>
      <c r="BV26" s="1104" t="s">
        <v>7824</v>
      </c>
      <c r="BW26" s="1104" t="s">
        <v>7825</v>
      </c>
      <c r="BX26" s="1040"/>
      <c r="BY26" s="1109"/>
      <c r="BZ26" s="1109"/>
      <c r="CA26" s="1109"/>
      <c r="CB26" s="1131"/>
      <c r="CC26" s="1109"/>
      <c r="CD26" s="1109"/>
      <c r="CE26" s="1130" t="s">
        <v>7826</v>
      </c>
      <c r="CF26" s="1109"/>
      <c r="CG26" s="1109"/>
      <c r="CH26" s="1109"/>
      <c r="CI26" s="1109"/>
      <c r="CJ26" s="1131"/>
      <c r="CK26" s="1131"/>
    </row>
    <row r="27">
      <c r="A27" s="1206" t="s">
        <v>6610</v>
      </c>
      <c r="B27" s="1034" t="s">
        <v>7827</v>
      </c>
      <c r="C27" s="1030" t="s">
        <v>547</v>
      </c>
      <c r="D27" s="1031" t="s">
        <v>332</v>
      </c>
      <c r="E27" s="1032" t="s">
        <v>547</v>
      </c>
      <c r="F27" s="1033" t="s">
        <v>648</v>
      </c>
      <c r="G27" s="1034" t="s">
        <v>648</v>
      </c>
      <c r="H27" s="1077"/>
      <c r="I27" s="1077"/>
      <c r="J27" s="1077"/>
      <c r="K27" s="1077"/>
      <c r="L27" s="1077"/>
      <c r="M27" s="1077"/>
      <c r="N27" s="1209" t="str">
        <f>HYPERLINK("http://www.twitch.tv/nanashi745/v/479076791?sr=a&amp;t=235s", "4:19.41")</f>
        <v>4:19.41</v>
      </c>
      <c r="O27" s="1210"/>
      <c r="P27" s="1051"/>
      <c r="Q27" s="1082"/>
      <c r="R27" s="1081"/>
      <c r="S27" s="1081"/>
      <c r="T27" s="1082"/>
      <c r="U27" s="1211"/>
      <c r="V27" s="1162" t="s">
        <v>7828</v>
      </c>
      <c r="W27" s="1051"/>
      <c r="X27" s="1136"/>
      <c r="Y27" s="1136"/>
      <c r="Z27" s="1136"/>
      <c r="AA27" s="1136"/>
      <c r="AB27" s="1136"/>
      <c r="AC27" s="1136"/>
      <c r="AD27" s="1136"/>
      <c r="AE27" s="1136"/>
      <c r="AF27" s="1136"/>
      <c r="AG27" s="1198" t="str">
        <f>HYPERLINK("http://www.twitch.tv/nanashi745/v/479079352?sr=a&amp;t=188s", "3:14.08")</f>
        <v>3:14.08</v>
      </c>
      <c r="AH27" s="1050"/>
      <c r="AI27" s="1051"/>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6"/>
      <c r="BA27" s="1164"/>
      <c r="BB27" s="1164"/>
      <c r="BC27" s="1164"/>
      <c r="BD27" s="1164"/>
      <c r="BE27" s="1095" t="s">
        <v>7829</v>
      </c>
      <c r="BF27" s="1056"/>
      <c r="BG27" s="1101"/>
      <c r="BH27" s="1101"/>
      <c r="BI27" s="1101"/>
      <c r="BJ27" s="1101"/>
      <c r="BK27" s="1101"/>
      <c r="BL27" s="1101"/>
      <c r="BM27" s="1100" t="s">
        <v>7830</v>
      </c>
      <c r="BN27" s="1051"/>
      <c r="BO27" s="1201" t="str">
        <f>HYPERLINK("https://youtu.be/oOY4TocVyJU","1:05.01")</f>
        <v>1:05.01</v>
      </c>
      <c r="BP27" s="1141"/>
      <c r="BQ27" s="1103"/>
      <c r="BR27" s="1104"/>
      <c r="BS27" s="1104"/>
      <c r="BT27" s="1103"/>
      <c r="BU27" s="1103"/>
      <c r="BV27" s="1103"/>
      <c r="BW27" s="1129" t="s">
        <v>7831</v>
      </c>
      <c r="BX27" s="1051"/>
      <c r="BY27" s="1109"/>
      <c r="BZ27" s="1109"/>
      <c r="CA27" s="1159"/>
      <c r="CB27" s="1212"/>
      <c r="CC27" s="1159"/>
      <c r="CD27" s="1109"/>
      <c r="CE27" s="1109"/>
      <c r="CF27" s="1109"/>
      <c r="CG27" s="1109"/>
      <c r="CH27" s="1109"/>
      <c r="CI27" s="1109"/>
      <c r="CJ27" s="1131"/>
      <c r="CK27" s="1131"/>
    </row>
    <row r="28">
      <c r="A28" s="1076" t="s">
        <v>4043</v>
      </c>
      <c r="B28" s="1034" t="s">
        <v>7832</v>
      </c>
      <c r="C28" s="1030" t="s">
        <v>1262</v>
      </c>
      <c r="D28" s="1031" t="s">
        <v>1262</v>
      </c>
      <c r="E28" s="1032" t="s">
        <v>332</v>
      </c>
      <c r="F28" s="1033" t="s">
        <v>648</v>
      </c>
      <c r="G28" s="1034" t="s">
        <v>1816</v>
      </c>
      <c r="H28" s="1176" t="s">
        <v>1290</v>
      </c>
      <c r="I28" s="1077"/>
      <c r="J28" s="1077"/>
      <c r="K28" s="1077"/>
      <c r="L28" s="1078" t="s">
        <v>1493</v>
      </c>
      <c r="M28" s="1077"/>
      <c r="N28" s="1079" t="s">
        <v>7833</v>
      </c>
      <c r="O28" s="1077"/>
      <c r="P28" s="1040"/>
      <c r="Q28" s="1213" t="s">
        <v>7834</v>
      </c>
      <c r="R28" s="1082"/>
      <c r="S28" s="1081" t="s">
        <v>5985</v>
      </c>
      <c r="T28" s="1085" t="s">
        <v>622</v>
      </c>
      <c r="U28" s="1214" t="s">
        <v>7835</v>
      </c>
      <c r="V28" s="1081" t="s">
        <v>7836</v>
      </c>
      <c r="W28" s="1040"/>
      <c r="X28" s="1136"/>
      <c r="Y28" s="1086" t="s">
        <v>4055</v>
      </c>
      <c r="Z28" s="1086" t="s">
        <v>5298</v>
      </c>
      <c r="AA28" s="1215" t="s">
        <v>1771</v>
      </c>
      <c r="AB28" s="1086" t="s">
        <v>6333</v>
      </c>
      <c r="AC28" s="1086" t="s">
        <v>3505</v>
      </c>
      <c r="AD28" s="1086" t="s">
        <v>3063</v>
      </c>
      <c r="AE28" s="1048" t="s">
        <v>244</v>
      </c>
      <c r="AF28" s="1119"/>
      <c r="AG28" s="1136"/>
      <c r="AH28" s="1216" t="s">
        <v>4057</v>
      </c>
      <c r="AI28" s="1040"/>
      <c r="AJ28" s="1088"/>
      <c r="AK28" s="1088" t="s">
        <v>7837</v>
      </c>
      <c r="AL28" s="1088" t="s">
        <v>7838</v>
      </c>
      <c r="AM28" s="1088" t="s">
        <v>1651</v>
      </c>
      <c r="AN28" s="1088"/>
      <c r="AO28" s="1089"/>
      <c r="AP28" s="1093" t="s">
        <v>7063</v>
      </c>
      <c r="AQ28" s="1089"/>
      <c r="AR28" s="1088" t="s">
        <v>7839</v>
      </c>
      <c r="AS28" s="1088" t="s">
        <v>7840</v>
      </c>
      <c r="AT28" s="1089"/>
      <c r="AU28" s="1088" t="s">
        <v>7841</v>
      </c>
      <c r="AV28" s="1089"/>
      <c r="AW28" s="1093" t="s">
        <v>2735</v>
      </c>
      <c r="AX28" s="1088" t="s">
        <v>7842</v>
      </c>
      <c r="AY28" s="1088" t="s">
        <v>7843</v>
      </c>
      <c r="AZ28" s="1056"/>
      <c r="BA28" s="1164"/>
      <c r="BB28" s="1164"/>
      <c r="BC28" s="1125" t="s">
        <v>2213</v>
      </c>
      <c r="BD28" s="1125"/>
      <c r="BE28" s="1125" t="s">
        <v>7844</v>
      </c>
      <c r="BF28" s="1056"/>
      <c r="BG28" s="1101"/>
      <c r="BH28" s="1099" t="s">
        <v>7845</v>
      </c>
      <c r="BI28" s="1101"/>
      <c r="BJ28" s="1101"/>
      <c r="BK28" s="1101"/>
      <c r="BL28" s="1099" t="s">
        <v>7846</v>
      </c>
      <c r="BM28" s="1101"/>
      <c r="BN28" s="1040"/>
      <c r="BO28" s="1142" t="s">
        <v>7847</v>
      </c>
      <c r="BP28" s="1141"/>
      <c r="BQ28" s="1103"/>
      <c r="BR28" s="1103"/>
      <c r="BS28" s="1143" t="s">
        <v>7789</v>
      </c>
      <c r="BT28" s="1142" t="s">
        <v>318</v>
      </c>
      <c r="BU28" s="1143" t="s">
        <v>7848</v>
      </c>
      <c r="BV28" s="1103"/>
      <c r="BW28" s="1104" t="s">
        <v>3796</v>
      </c>
      <c r="BX28" s="1040"/>
      <c r="BY28" s="1109"/>
      <c r="BZ28" s="1109"/>
      <c r="CA28" s="1109"/>
      <c r="CB28" s="1131"/>
      <c r="CC28" s="1109"/>
      <c r="CD28" s="1109"/>
      <c r="CE28" s="1108" t="s">
        <v>7790</v>
      </c>
      <c r="CF28" s="1108" t="s">
        <v>7849</v>
      </c>
      <c r="CG28" s="1109"/>
      <c r="CH28" s="1109"/>
      <c r="CI28" s="1109"/>
      <c r="CJ28" s="1131"/>
      <c r="CK28" s="1131"/>
    </row>
    <row r="29">
      <c r="A29" s="1217" t="s">
        <v>6590</v>
      </c>
      <c r="B29" s="1034" t="s">
        <v>7850</v>
      </c>
      <c r="C29" s="1030" t="s">
        <v>1262</v>
      </c>
      <c r="D29" s="1031" t="s">
        <v>1262</v>
      </c>
      <c r="E29" s="1032" t="s">
        <v>1262</v>
      </c>
      <c r="F29" s="1033" t="s">
        <v>439</v>
      </c>
      <c r="G29" s="1034" t="s">
        <v>1063</v>
      </c>
      <c r="H29" s="1176" t="s">
        <v>4214</v>
      </c>
      <c r="I29" s="1078" t="s">
        <v>7851</v>
      </c>
      <c r="J29" s="1078"/>
      <c r="K29" s="1078"/>
      <c r="L29" s="1133" t="s">
        <v>7852</v>
      </c>
      <c r="M29" s="1077"/>
      <c r="N29" s="1079" t="s">
        <v>7853</v>
      </c>
      <c r="O29" s="1077"/>
      <c r="P29" s="1040"/>
      <c r="Q29" s="1082"/>
      <c r="R29" s="1082"/>
      <c r="S29" s="1082"/>
      <c r="T29" s="1082"/>
      <c r="U29" s="1081" t="s">
        <v>416</v>
      </c>
      <c r="V29" s="1085" t="s">
        <v>7854</v>
      </c>
      <c r="W29" s="1040"/>
      <c r="X29" s="1118" t="s">
        <v>4900</v>
      </c>
      <c r="Y29" s="1086" t="s">
        <v>6127</v>
      </c>
      <c r="Z29" s="1118" t="s">
        <v>6046</v>
      </c>
      <c r="AA29" s="1189" t="s">
        <v>4592</v>
      </c>
      <c r="AB29" s="1118" t="s">
        <v>2506</v>
      </c>
      <c r="AC29" s="1048" t="s">
        <v>7855</v>
      </c>
      <c r="AD29" s="1136"/>
      <c r="AE29" s="1048" t="str">
        <f>HYPERLINK("https://twitter.com/Qbe_Root/status/1242884733232648192","56.04")</f>
        <v>56.04</v>
      </c>
      <c r="AF29" s="1119"/>
      <c r="AG29" s="1048" t="s">
        <v>7856</v>
      </c>
      <c r="AH29" s="1050"/>
      <c r="AI29" s="1040"/>
      <c r="AJ29" s="1088"/>
      <c r="AK29" s="1088" t="s">
        <v>7857</v>
      </c>
      <c r="AL29" s="1088" t="s">
        <v>7858</v>
      </c>
      <c r="AM29" s="1088" t="s">
        <v>7859</v>
      </c>
      <c r="AN29" s="1088"/>
      <c r="AO29" s="1089"/>
      <c r="AP29" s="113" t="s">
        <v>7860</v>
      </c>
      <c r="AQ29" s="1089"/>
      <c r="AR29" s="1089"/>
      <c r="AS29" s="1089"/>
      <c r="AT29" s="1089"/>
      <c r="AU29" s="1089"/>
      <c r="AV29" s="1089"/>
      <c r="AW29" s="1088" t="s">
        <v>1626</v>
      </c>
      <c r="AX29" s="1088" t="s">
        <v>7861</v>
      </c>
      <c r="AY29" s="1089"/>
      <c r="AZ29" s="1056"/>
      <c r="BA29" s="1164"/>
      <c r="BB29" s="1164"/>
      <c r="BC29" s="1164"/>
      <c r="BD29" s="1164"/>
      <c r="BE29" s="1191" t="s">
        <v>7862</v>
      </c>
      <c r="BF29" s="1056"/>
      <c r="BG29" s="1099" t="s">
        <v>1473</v>
      </c>
      <c r="BH29" s="1101"/>
      <c r="BI29" s="1101"/>
      <c r="BJ29" s="1101"/>
      <c r="BK29" s="1099" t="s">
        <v>7863</v>
      </c>
      <c r="BL29" s="1101"/>
      <c r="BM29" s="1099" t="s">
        <v>7864</v>
      </c>
      <c r="BN29" s="1040"/>
      <c r="BO29" s="1104" t="s">
        <v>7865</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4954</v>
      </c>
      <c r="CE29" s="1109"/>
      <c r="CF29" s="1109"/>
      <c r="CG29" s="1109"/>
      <c r="CH29" s="1109"/>
      <c r="CI29" s="1109"/>
      <c r="CJ29" s="1131"/>
      <c r="CK29" s="1131"/>
    </row>
    <row r="30">
      <c r="A30" s="1076" t="s">
        <v>6538</v>
      </c>
      <c r="B30" s="1034" t="s">
        <v>7866</v>
      </c>
      <c r="C30" s="1030" t="s">
        <v>547</v>
      </c>
      <c r="D30" s="1031" t="s">
        <v>1262</v>
      </c>
      <c r="E30" s="1032" t="s">
        <v>1262</v>
      </c>
      <c r="F30" s="1033" t="s">
        <v>547</v>
      </c>
      <c r="G30" s="1034" t="s">
        <v>7867</v>
      </c>
      <c r="H30" s="1077"/>
      <c r="I30" s="1077"/>
      <c r="J30" s="1077"/>
      <c r="K30" s="1077"/>
      <c r="L30" s="1078" t="s">
        <v>7868</v>
      </c>
      <c r="M30" s="1077"/>
      <c r="N30" s="1078" t="s">
        <v>7869</v>
      </c>
      <c r="O30" s="1077"/>
      <c r="P30" s="1040"/>
      <c r="Q30" s="1081" t="s">
        <v>7870</v>
      </c>
      <c r="R30" s="1082"/>
      <c r="S30" s="1081" t="s">
        <v>7871</v>
      </c>
      <c r="T30" s="1082"/>
      <c r="U30" s="1082"/>
      <c r="V30" s="1081" t="s">
        <v>7872</v>
      </c>
      <c r="W30" s="1040"/>
      <c r="X30" s="1136"/>
      <c r="Y30" s="1136"/>
      <c r="Z30" s="1136"/>
      <c r="AA30" s="1194"/>
      <c r="AB30" s="1136"/>
      <c r="AC30" s="1136"/>
      <c r="AD30" s="1086" t="s">
        <v>203</v>
      </c>
      <c r="AE30" s="1086" t="s">
        <v>1298</v>
      </c>
      <c r="AF30" s="1136"/>
      <c r="AG30" s="1086" t="s">
        <v>7873</v>
      </c>
      <c r="AH30" s="1050"/>
      <c r="AI30" s="1040"/>
      <c r="AJ30" s="1089"/>
      <c r="AK30" s="1089"/>
      <c r="AL30" s="1089"/>
      <c r="AM30" s="1088" t="s">
        <v>7874</v>
      </c>
      <c r="AN30" s="1089"/>
      <c r="AO30" s="1089"/>
      <c r="AP30" s="1088" t="s">
        <v>7875</v>
      </c>
      <c r="AQ30" s="1089"/>
      <c r="AR30" s="1088" t="s">
        <v>7876</v>
      </c>
      <c r="AS30" s="1088" t="s">
        <v>7877</v>
      </c>
      <c r="AT30" s="1138" t="s">
        <v>7878</v>
      </c>
      <c r="AU30" s="1088" t="s">
        <v>7879</v>
      </c>
      <c r="AV30" s="1089"/>
      <c r="AW30" s="1088" t="s">
        <v>415</v>
      </c>
      <c r="AX30" s="1089"/>
      <c r="AY30" s="1088" t="s">
        <v>7880</v>
      </c>
      <c r="AZ30" s="1056"/>
      <c r="BA30" s="1125" t="s">
        <v>7881</v>
      </c>
      <c r="BB30" s="1125" t="s">
        <v>7882</v>
      </c>
      <c r="BC30" s="1125" t="s">
        <v>5241</v>
      </c>
      <c r="BD30" s="1164"/>
      <c r="BE30" s="1125" t="s">
        <v>7883</v>
      </c>
      <c r="BF30" s="1056"/>
      <c r="BG30" s="1099" t="s">
        <v>7547</v>
      </c>
      <c r="BH30" s="1099" t="s">
        <v>5730</v>
      </c>
      <c r="BI30" s="1099" t="s">
        <v>2972</v>
      </c>
      <c r="BJ30" s="1183" t="s">
        <v>6351</v>
      </c>
      <c r="BK30" s="1101"/>
      <c r="BL30" s="1099" t="s">
        <v>7884</v>
      </c>
      <c r="BM30" s="1101"/>
      <c r="BN30" s="1040"/>
      <c r="BO30" s="1104" t="s">
        <v>7885</v>
      </c>
      <c r="BP30" s="1141"/>
      <c r="BQ30" s="1103"/>
      <c r="BR30" s="1104" t="s">
        <v>1338</v>
      </c>
      <c r="BS30" s="1103"/>
      <c r="BT30" s="1104" t="s">
        <v>1292</v>
      </c>
      <c r="BU30" s="1103"/>
      <c r="BV30" s="1103"/>
      <c r="BW30" s="1103"/>
      <c r="BX30" s="1040"/>
      <c r="BY30" s="1108" t="s">
        <v>4423</v>
      </c>
      <c r="BZ30" s="1109"/>
      <c r="CA30" s="1109"/>
      <c r="CB30" s="1131"/>
      <c r="CC30" s="1147" t="s">
        <v>7886</v>
      </c>
      <c r="CD30" s="1109"/>
      <c r="CE30" s="1109"/>
      <c r="CF30" s="1108" t="s">
        <v>7384</v>
      </c>
      <c r="CG30" s="1109"/>
      <c r="CH30" s="1109"/>
      <c r="CI30" s="1109"/>
      <c r="CJ30" s="1131"/>
      <c r="CK30" s="1131"/>
    </row>
    <row r="31">
      <c r="A31" s="1076" t="s">
        <v>3982</v>
      </c>
      <c r="B31" s="1034" t="s">
        <v>7887</v>
      </c>
      <c r="C31" s="1030" t="s">
        <v>1262</v>
      </c>
      <c r="D31" s="1031" t="s">
        <v>1262</v>
      </c>
      <c r="E31" s="1032" t="s">
        <v>1262</v>
      </c>
      <c r="F31" s="1033" t="s">
        <v>438</v>
      </c>
      <c r="G31" s="1034" t="s">
        <v>2977</v>
      </c>
      <c r="H31" s="1078" t="s">
        <v>2309</v>
      </c>
      <c r="I31" s="1077"/>
      <c r="J31" s="1077"/>
      <c r="K31" s="1077"/>
      <c r="L31" s="1078" t="s">
        <v>6439</v>
      </c>
      <c r="M31" s="1077"/>
      <c r="N31" s="1078" t="s">
        <v>7888</v>
      </c>
      <c r="O31" s="1077"/>
      <c r="P31" s="1040"/>
      <c r="Q31" s="1081" t="s">
        <v>7889</v>
      </c>
      <c r="R31" s="1082"/>
      <c r="S31" s="1082"/>
      <c r="T31" s="1082"/>
      <c r="U31" s="1134" t="s">
        <v>7508</v>
      </c>
      <c r="V31" s="1081" t="s">
        <v>7890</v>
      </c>
      <c r="W31" s="1040"/>
      <c r="X31" s="1136"/>
      <c r="Y31" s="1136"/>
      <c r="Z31" s="1086" t="s">
        <v>7891</v>
      </c>
      <c r="AA31" s="1194"/>
      <c r="AB31" s="1086" t="s">
        <v>4834</v>
      </c>
      <c r="AC31" s="1086" t="s">
        <v>309</v>
      </c>
      <c r="AD31" s="1136"/>
      <c r="AE31" s="1086" t="s">
        <v>2961</v>
      </c>
      <c r="AF31" s="1086"/>
      <c r="AG31" s="1048" t="s">
        <v>7892</v>
      </c>
      <c r="AH31" s="1196" t="s">
        <v>7893</v>
      </c>
      <c r="AI31" s="1040"/>
      <c r="AJ31" s="1088"/>
      <c r="AK31" s="1088" t="s">
        <v>7894</v>
      </c>
      <c r="AL31" s="1088" t="s">
        <v>7895</v>
      </c>
      <c r="AM31" s="1088" t="s">
        <v>4182</v>
      </c>
      <c r="AN31" s="1088"/>
      <c r="AO31" s="1089"/>
      <c r="AP31" s="1089"/>
      <c r="AQ31" s="1089"/>
      <c r="AR31" s="1088" t="s">
        <v>7896</v>
      </c>
      <c r="AS31" s="1088" t="s">
        <v>7897</v>
      </c>
      <c r="AT31" s="1088"/>
      <c r="AU31" s="1088" t="s">
        <v>7898</v>
      </c>
      <c r="AV31" s="1088"/>
      <c r="AW31" s="1088" t="s">
        <v>770</v>
      </c>
      <c r="AX31" s="1089"/>
      <c r="AY31" s="1088" t="s">
        <v>7899</v>
      </c>
      <c r="AZ31" s="1056"/>
      <c r="BA31" s="1125"/>
      <c r="BB31" s="1125" t="s">
        <v>7900</v>
      </c>
      <c r="BC31" s="1191" t="s">
        <v>4486</v>
      </c>
      <c r="BD31" s="1125"/>
      <c r="BE31" s="1191" t="s">
        <v>7901</v>
      </c>
      <c r="BF31" s="1056"/>
      <c r="BG31" s="1099" t="s">
        <v>7902</v>
      </c>
      <c r="BH31" s="1101"/>
      <c r="BI31" s="1101"/>
      <c r="BJ31" s="1101"/>
      <c r="BK31" s="1101"/>
      <c r="BL31" s="1099" t="s">
        <v>7903</v>
      </c>
      <c r="BM31" s="1099" t="s">
        <v>7904</v>
      </c>
      <c r="BN31" s="1040"/>
      <c r="BO31" s="1104" t="s">
        <v>3385</v>
      </c>
      <c r="BP31" s="1141"/>
      <c r="BQ31" s="1103"/>
      <c r="BR31" s="1104" t="s">
        <v>7905</v>
      </c>
      <c r="BS31" s="1142" t="s">
        <v>7906</v>
      </c>
      <c r="BT31" s="1103"/>
      <c r="BU31" s="1103"/>
      <c r="BV31" s="1104" t="s">
        <v>5313</v>
      </c>
      <c r="BW31" s="1104" t="s">
        <v>4497</v>
      </c>
      <c r="BX31" s="1040"/>
      <c r="BY31" s="1109"/>
      <c r="BZ31" s="1109"/>
      <c r="CA31" s="1109"/>
      <c r="CB31" s="1131"/>
      <c r="CC31" s="1109"/>
      <c r="CD31" s="1109"/>
      <c r="CE31" s="1109"/>
      <c r="CF31" s="1108" t="s">
        <v>7907</v>
      </c>
      <c r="CG31" s="1109"/>
      <c r="CH31" s="1109"/>
      <c r="CI31" s="1130" t="s">
        <v>7908</v>
      </c>
      <c r="CJ31" s="1131"/>
      <c r="CK31" s="1131"/>
    </row>
    <row r="32">
      <c r="A32" s="1076" t="s">
        <v>2861</v>
      </c>
      <c r="B32" s="1034" t="s">
        <v>7909</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7910</v>
      </c>
      <c r="V32" s="1081" t="s">
        <v>7911</v>
      </c>
      <c r="W32" s="1040"/>
      <c r="X32" s="1136"/>
      <c r="Y32" s="1136"/>
      <c r="Z32" s="1136"/>
      <c r="AA32" s="1194"/>
      <c r="AB32" s="1086"/>
      <c r="AC32" s="1047" t="s">
        <v>7912</v>
      </c>
      <c r="AD32" s="1086" t="s">
        <v>7913</v>
      </c>
      <c r="AE32" s="1086" t="s">
        <v>4552</v>
      </c>
      <c r="AF32" s="1086"/>
      <c r="AG32" s="1136"/>
      <c r="AH32" s="1050"/>
      <c r="AI32" s="1040"/>
      <c r="AJ32" s="1089"/>
      <c r="AK32" s="1089"/>
      <c r="AL32" s="1089"/>
      <c r="AM32" s="1089"/>
      <c r="AN32" s="1089"/>
      <c r="AO32" s="1089"/>
      <c r="AP32" s="1122" t="s">
        <v>7914</v>
      </c>
      <c r="AQ32" s="1089"/>
      <c r="AR32" s="1089"/>
      <c r="AS32" s="1089"/>
      <c r="AT32" s="1089"/>
      <c r="AU32" s="1089"/>
      <c r="AV32" s="1089"/>
      <c r="AW32" s="1088" t="s">
        <v>1708</v>
      </c>
      <c r="AX32" s="1089"/>
      <c r="AY32" s="1089"/>
      <c r="AZ32" s="1056"/>
      <c r="BA32" s="1164"/>
      <c r="BB32" s="1164"/>
      <c r="BC32" s="1096" t="s">
        <v>5553</v>
      </c>
      <c r="BD32" s="1094"/>
      <c r="BE32" s="1125" t="s">
        <v>7915</v>
      </c>
      <c r="BF32" s="1056"/>
      <c r="BG32" s="1101"/>
      <c r="BH32" s="1101"/>
      <c r="BI32" s="1101"/>
      <c r="BJ32" s="1101"/>
      <c r="BK32" s="1101"/>
      <c r="BL32" s="1101"/>
      <c r="BM32" s="1101"/>
      <c r="BN32" s="1040"/>
      <c r="BO32" s="1104" t="s">
        <v>7916</v>
      </c>
      <c r="BP32" s="1141"/>
      <c r="BQ32" s="1103"/>
      <c r="BR32" s="1103"/>
      <c r="BS32" s="1103"/>
      <c r="BT32" s="1103"/>
      <c r="BU32" s="1103"/>
      <c r="BV32" s="1104" t="s">
        <v>7917</v>
      </c>
      <c r="BW32" s="1103"/>
      <c r="BX32" s="1040"/>
      <c r="BY32" s="1109"/>
      <c r="BZ32" s="1109"/>
      <c r="CA32" s="1109"/>
      <c r="CB32" s="1131"/>
      <c r="CC32" s="1109"/>
      <c r="CD32" s="1109"/>
      <c r="CE32" s="1109"/>
      <c r="CF32" s="1109"/>
      <c r="CG32" s="1109"/>
      <c r="CH32" s="1109"/>
      <c r="CI32" s="1109"/>
      <c r="CJ32" s="1131"/>
      <c r="CK32" s="1131"/>
    </row>
    <row r="33">
      <c r="A33" s="1076" t="s">
        <v>7918</v>
      </c>
      <c r="B33" s="1034" t="s">
        <v>3985</v>
      </c>
      <c r="C33" s="1030" t="s">
        <v>1262</v>
      </c>
      <c r="D33" s="1031" t="s">
        <v>1262</v>
      </c>
      <c r="E33" s="1032" t="s">
        <v>1262</v>
      </c>
      <c r="F33" s="1033" t="s">
        <v>1262</v>
      </c>
      <c r="G33" s="1034" t="s">
        <v>333</v>
      </c>
      <c r="H33" s="1077"/>
      <c r="I33" s="1077"/>
      <c r="J33" s="1078" t="s">
        <v>7919</v>
      </c>
      <c r="K33" s="1077"/>
      <c r="L33" s="1077"/>
      <c r="M33" s="1077"/>
      <c r="N33" s="1077"/>
      <c r="O33" s="1078" t="s">
        <v>7920</v>
      </c>
      <c r="P33" s="1040"/>
      <c r="Q33" s="1082"/>
      <c r="R33" s="1082"/>
      <c r="S33" s="1082"/>
      <c r="T33" s="1082"/>
      <c r="U33" s="1082"/>
      <c r="V33" s="1081" t="s">
        <v>7921</v>
      </c>
      <c r="W33" s="1040"/>
      <c r="X33" s="1136"/>
      <c r="Y33" s="1136"/>
      <c r="Z33" s="1136"/>
      <c r="AA33" s="1194"/>
      <c r="AB33" s="1136"/>
      <c r="AC33" s="1136"/>
      <c r="AD33" s="1136"/>
      <c r="AE33" s="1086" t="s">
        <v>2300</v>
      </c>
      <c r="AF33" s="1086"/>
      <c r="AG33" s="1086" t="s">
        <v>7922</v>
      </c>
      <c r="AH33" s="1050"/>
      <c r="AI33" s="1040"/>
      <c r="AJ33" s="1089"/>
      <c r="AK33" s="1089"/>
      <c r="AL33" s="1089"/>
      <c r="AM33" s="1089"/>
      <c r="AN33" s="1089"/>
      <c r="AO33" s="1089"/>
      <c r="AP33" s="1088" t="s">
        <v>7923</v>
      </c>
      <c r="AQ33" s="1089"/>
      <c r="AR33" s="1089"/>
      <c r="AS33" s="1089"/>
      <c r="AT33" s="1089"/>
      <c r="AU33" s="1089"/>
      <c r="AV33" s="1089"/>
      <c r="AW33" s="1089"/>
      <c r="AX33" s="1089"/>
      <c r="AY33" s="1089"/>
      <c r="AZ33" s="1056"/>
      <c r="BA33" s="1125" t="s">
        <v>7924</v>
      </c>
      <c r="BB33" s="1164"/>
      <c r="BC33" s="1125"/>
      <c r="BD33" s="1125"/>
      <c r="BE33" s="1125" t="s">
        <v>7925</v>
      </c>
      <c r="BF33" s="1056"/>
      <c r="BG33" s="1101"/>
      <c r="BH33" s="1101"/>
      <c r="BI33" s="1101"/>
      <c r="BJ33" s="1101"/>
      <c r="BK33" s="1101"/>
      <c r="BL33" s="1101"/>
      <c r="BM33" s="1099" t="s">
        <v>7926</v>
      </c>
      <c r="BN33" s="1040"/>
      <c r="BO33" s="1103"/>
      <c r="BP33" s="1141"/>
      <c r="BQ33" s="1103"/>
      <c r="BR33" s="1104" t="s">
        <v>2472</v>
      </c>
      <c r="BS33" s="1103"/>
      <c r="BT33" s="1103"/>
      <c r="BU33" s="1103"/>
      <c r="BV33" s="1142" t="s">
        <v>7927</v>
      </c>
      <c r="BW33" s="1104" t="s">
        <v>7928</v>
      </c>
      <c r="BX33" s="1040"/>
      <c r="BY33" s="1108" t="s">
        <v>6273</v>
      </c>
      <c r="BZ33" s="1109"/>
      <c r="CA33" s="1108"/>
      <c r="CB33" s="1144"/>
      <c r="CC33" s="1108"/>
      <c r="CD33" s="1109"/>
      <c r="CE33" s="1109"/>
      <c r="CF33" s="1109"/>
      <c r="CG33" s="1109"/>
      <c r="CH33" s="1109"/>
      <c r="CI33" s="1109"/>
      <c r="CJ33" s="1131"/>
      <c r="CK33" s="1131"/>
    </row>
    <row r="34">
      <c r="A34" s="1219" t="s">
        <v>5025</v>
      </c>
      <c r="B34" s="1034" t="s">
        <v>2920</v>
      </c>
      <c r="C34" s="1030" t="s">
        <v>1262</v>
      </c>
      <c r="D34" s="1031" t="s">
        <v>1262</v>
      </c>
      <c r="E34" s="1032" t="s">
        <v>1262</v>
      </c>
      <c r="F34" s="1033" t="s">
        <v>440</v>
      </c>
      <c r="G34" s="1034" t="s">
        <v>6253</v>
      </c>
      <c r="H34" s="1078" t="s">
        <v>5652</v>
      </c>
      <c r="I34" s="1077"/>
      <c r="J34" s="1077"/>
      <c r="K34" s="1077"/>
      <c r="L34" s="1077"/>
      <c r="M34" s="1077"/>
      <c r="N34" s="1077"/>
      <c r="O34" s="1077"/>
      <c r="P34" s="1040"/>
      <c r="Q34" s="1082"/>
      <c r="R34" s="1082"/>
      <c r="S34" s="1081" t="s">
        <v>1026</v>
      </c>
      <c r="T34" s="1081" t="s">
        <v>1981</v>
      </c>
      <c r="U34" s="1081" t="s">
        <v>4549</v>
      </c>
      <c r="V34" s="1081" t="s">
        <v>7929</v>
      </c>
      <c r="W34" s="1040"/>
      <c r="X34" s="1086" t="s">
        <v>1673</v>
      </c>
      <c r="Y34" s="1136"/>
      <c r="Z34" s="1136"/>
      <c r="AA34" s="1194"/>
      <c r="AB34" s="1136"/>
      <c r="AC34" s="1136"/>
      <c r="AD34" s="1136"/>
      <c r="AE34" s="1136"/>
      <c r="AF34" s="1086"/>
      <c r="AG34" s="1136"/>
      <c r="AH34" s="1050"/>
      <c r="AI34" s="1040"/>
      <c r="AJ34" s="1089"/>
      <c r="AK34" s="1089"/>
      <c r="AL34" s="1089"/>
      <c r="AM34" s="1088" t="s">
        <v>7930</v>
      </c>
      <c r="AN34" s="1089"/>
      <c r="AO34" s="1089"/>
      <c r="AP34" s="1088" t="s">
        <v>7931</v>
      </c>
      <c r="AQ34" s="1089"/>
      <c r="AR34" s="1093" t="s">
        <v>7932</v>
      </c>
      <c r="AS34" s="1089"/>
      <c r="AT34" s="1089"/>
      <c r="AU34" s="1089"/>
      <c r="AV34" s="1089"/>
      <c r="AW34" s="1088" t="s">
        <v>1443</v>
      </c>
      <c r="AX34" s="1089"/>
      <c r="AY34" s="1089"/>
      <c r="AZ34" s="1056"/>
      <c r="BA34" s="1164"/>
      <c r="BB34" s="1125" t="s">
        <v>7933</v>
      </c>
      <c r="BC34" s="1125" t="s">
        <v>421</v>
      </c>
      <c r="BD34" s="1125"/>
      <c r="BE34" s="1125" t="s">
        <v>7934</v>
      </c>
      <c r="BF34" s="1056"/>
      <c r="BG34" s="1101"/>
      <c r="BH34" s="1101"/>
      <c r="BI34" s="1101"/>
      <c r="BJ34" s="1101"/>
      <c r="BK34" s="1101"/>
      <c r="BL34" s="1101"/>
      <c r="BM34" s="1101"/>
      <c r="BN34" s="1040"/>
      <c r="BO34" s="1105" t="s">
        <v>7935</v>
      </c>
      <c r="BP34" s="1141"/>
      <c r="BQ34" s="1105" t="s">
        <v>1037</v>
      </c>
      <c r="BR34" s="1103"/>
      <c r="BS34" s="1103"/>
      <c r="BT34" s="1103"/>
      <c r="BU34" s="1103"/>
      <c r="BV34" s="1104" t="s">
        <v>7882</v>
      </c>
      <c r="BW34" s="1104" t="s">
        <v>7936</v>
      </c>
      <c r="BX34" s="1040"/>
      <c r="BY34" s="1109"/>
      <c r="BZ34" s="1130" t="s">
        <v>6648</v>
      </c>
      <c r="CA34" s="1109"/>
      <c r="CB34" s="1131"/>
      <c r="CC34" s="1109"/>
      <c r="CD34" s="1109"/>
      <c r="CE34" s="1109"/>
      <c r="CF34" s="1109"/>
      <c r="CG34" s="1109"/>
      <c r="CH34" s="1109"/>
      <c r="CI34" s="1109"/>
      <c r="CJ34" s="1131"/>
      <c r="CK34" s="1131"/>
    </row>
    <row r="35">
      <c r="A35" s="1076" t="s">
        <v>2150</v>
      </c>
      <c r="B35" s="1034" t="s">
        <v>5027</v>
      </c>
      <c r="C35" s="1030" t="s">
        <v>547</v>
      </c>
      <c r="D35" s="1031" t="s">
        <v>1262</v>
      </c>
      <c r="E35" s="1032" t="s">
        <v>1262</v>
      </c>
      <c r="F35" s="1033" t="s">
        <v>547</v>
      </c>
      <c r="G35" s="1034" t="s">
        <v>3180</v>
      </c>
      <c r="H35" s="1078"/>
      <c r="I35" s="1077"/>
      <c r="J35" s="1077"/>
      <c r="K35" s="1077"/>
      <c r="L35" s="1078" t="s">
        <v>7937</v>
      </c>
      <c r="M35" s="1077"/>
      <c r="N35" s="1078" t="s">
        <v>7938</v>
      </c>
      <c r="O35" s="1078"/>
      <c r="P35" s="1040"/>
      <c r="Q35" s="1081" t="s">
        <v>7939</v>
      </c>
      <c r="R35" s="1082"/>
      <c r="S35" s="1082"/>
      <c r="T35" s="1082"/>
      <c r="U35" s="1082"/>
      <c r="V35" s="1081" t="s">
        <v>7940</v>
      </c>
      <c r="W35" s="1040"/>
      <c r="X35" s="1136"/>
      <c r="Y35" s="1136"/>
      <c r="Z35" s="1086" t="s">
        <v>7941</v>
      </c>
      <c r="AA35" s="1086" t="s">
        <v>7942</v>
      </c>
      <c r="AB35" s="1086" t="s">
        <v>3860</v>
      </c>
      <c r="AC35" s="1086" t="s">
        <v>7943</v>
      </c>
      <c r="AD35" s="1136"/>
      <c r="AE35" s="1086" t="s">
        <v>2569</v>
      </c>
      <c r="AF35" s="1086"/>
      <c r="AG35" s="1136"/>
      <c r="AH35" s="1196" t="s">
        <v>7944</v>
      </c>
      <c r="AI35" s="1040"/>
      <c r="AJ35" s="1089"/>
      <c r="AK35" s="1089"/>
      <c r="AL35" s="1089"/>
      <c r="AM35" s="1089"/>
      <c r="AN35" s="1089"/>
      <c r="AO35" s="1089"/>
      <c r="AP35" s="1088" t="s">
        <v>7945</v>
      </c>
      <c r="AQ35" s="1089"/>
      <c r="AR35" s="1089"/>
      <c r="AS35" s="1089"/>
      <c r="AT35" s="1089"/>
      <c r="AU35" s="1089"/>
      <c r="AV35" s="1089"/>
      <c r="AW35" s="1088" t="s">
        <v>434</v>
      </c>
      <c r="AX35" s="1089"/>
      <c r="AY35" s="1088" t="s">
        <v>7946</v>
      </c>
      <c r="AZ35" s="1056"/>
      <c r="BA35" s="1125" t="s">
        <v>7947</v>
      </c>
      <c r="BB35" s="1125" t="s">
        <v>7948</v>
      </c>
      <c r="BC35" s="1164"/>
      <c r="BD35" s="1164"/>
      <c r="BE35" s="1125" t="s">
        <v>7949</v>
      </c>
      <c r="BF35" s="1056"/>
      <c r="BG35" s="1101"/>
      <c r="BH35" s="1101"/>
      <c r="BI35" s="1101"/>
      <c r="BJ35" s="1101"/>
      <c r="BK35" s="1101"/>
      <c r="BL35" s="1165" t="s">
        <v>7950</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7951</v>
      </c>
      <c r="O36" s="1077"/>
      <c r="P36" s="1040"/>
      <c r="Q36" s="1082"/>
      <c r="R36" s="1082"/>
      <c r="S36" s="1162" t="s">
        <v>2809</v>
      </c>
      <c r="T36" s="1082"/>
      <c r="U36" s="1082"/>
      <c r="V36" s="1081" t="s">
        <v>7952</v>
      </c>
      <c r="W36" s="1040"/>
      <c r="X36" s="1136"/>
      <c r="Y36" s="1136"/>
      <c r="Z36" s="1086" t="s">
        <v>7712</v>
      </c>
      <c r="AA36" s="1135" t="s">
        <v>608</v>
      </c>
      <c r="AB36" s="1136"/>
      <c r="AC36" s="1136"/>
      <c r="AD36" s="1086" t="s">
        <v>4914</v>
      </c>
      <c r="AE36" s="1086" t="s">
        <v>751</v>
      </c>
      <c r="AF36" s="1136"/>
      <c r="AG36" s="1136"/>
      <c r="AH36" s="1204" t="s">
        <v>7953</v>
      </c>
      <c r="AI36" s="1040"/>
      <c r="AJ36" s="1089"/>
      <c r="AK36" s="1089"/>
      <c r="AL36" s="1089"/>
      <c r="AM36" s="1088" t="s">
        <v>7954</v>
      </c>
      <c r="AN36" s="1089"/>
      <c r="AO36" s="1089"/>
      <c r="AP36" s="1089"/>
      <c r="AQ36" s="1089"/>
      <c r="AR36" s="1089"/>
      <c r="AS36" s="1089"/>
      <c r="AT36" s="1089"/>
      <c r="AU36" s="1089"/>
      <c r="AV36" s="1089"/>
      <c r="AW36" s="1089"/>
      <c r="AX36" s="1089"/>
      <c r="AY36" s="1088" t="s">
        <v>7955</v>
      </c>
      <c r="AZ36" s="1056"/>
      <c r="BA36" s="1164"/>
      <c r="BB36" s="1164"/>
      <c r="BC36" s="1164"/>
      <c r="BD36" s="1125" t="s">
        <v>7956</v>
      </c>
      <c r="BE36" s="1125" t="s">
        <v>7957</v>
      </c>
      <c r="BF36" s="1056"/>
      <c r="BG36" s="1099" t="s">
        <v>1397</v>
      </c>
      <c r="BH36" s="1101"/>
      <c r="BI36" s="1101"/>
      <c r="BJ36" s="1101"/>
      <c r="BK36" s="1101"/>
      <c r="BL36" s="1099" t="s">
        <v>7958</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7959</v>
      </c>
      <c r="M37" s="1077"/>
      <c r="N37" s="1078" t="s">
        <v>7960</v>
      </c>
      <c r="O37" s="1077"/>
      <c r="P37" s="1040"/>
      <c r="Q37" s="1082"/>
      <c r="R37" s="1082"/>
      <c r="S37" s="1082"/>
      <c r="T37" s="1082"/>
      <c r="U37" s="1081" t="s">
        <v>4498</v>
      </c>
      <c r="V37" s="1081" t="s">
        <v>7961</v>
      </c>
      <c r="W37" s="1040"/>
      <c r="X37" s="1136"/>
      <c r="Y37" s="1136"/>
      <c r="Z37" s="1086" t="s">
        <v>7962</v>
      </c>
      <c r="AA37" s="1194"/>
      <c r="AB37" s="1136"/>
      <c r="AC37" s="1136"/>
      <c r="AD37" s="1086" t="s">
        <v>1417</v>
      </c>
      <c r="AE37" s="1086" t="s">
        <v>3193</v>
      </c>
      <c r="AF37" s="1086"/>
      <c r="AG37" s="1136"/>
      <c r="AH37" s="1196" t="s">
        <v>7963</v>
      </c>
      <c r="AI37" s="1040"/>
      <c r="AJ37" s="1089"/>
      <c r="AK37" s="1089"/>
      <c r="AL37" s="1089"/>
      <c r="AM37" s="1088" t="s">
        <v>2911</v>
      </c>
      <c r="AN37" s="1089"/>
      <c r="AO37" s="1089"/>
      <c r="AP37" s="1089"/>
      <c r="AQ37" s="1089"/>
      <c r="AR37" s="1089"/>
      <c r="AS37" s="1089"/>
      <c r="AT37" s="1089"/>
      <c r="AU37" s="1089"/>
      <c r="AV37" s="1089"/>
      <c r="AW37" s="1088" t="s">
        <v>1286</v>
      </c>
      <c r="AX37" s="1089"/>
      <c r="AY37" s="1089"/>
      <c r="AZ37" s="1056"/>
      <c r="BA37" s="1164"/>
      <c r="BB37" s="1164"/>
      <c r="BC37" s="1164"/>
      <c r="BD37" s="1164"/>
      <c r="BE37" s="1125" t="s">
        <v>7964</v>
      </c>
      <c r="BF37" s="1056"/>
      <c r="BG37" s="1099" t="s">
        <v>7965</v>
      </c>
      <c r="BH37" s="1099" t="s">
        <v>2986</v>
      </c>
      <c r="BI37" s="1101"/>
      <c r="BJ37" s="1101"/>
      <c r="BK37" s="1101"/>
      <c r="BL37" s="1099" t="s">
        <v>7966</v>
      </c>
      <c r="BM37" s="1101"/>
      <c r="BN37" s="1040"/>
      <c r="BO37" s="1104" t="s">
        <v>1836</v>
      </c>
      <c r="BP37" s="1141"/>
      <c r="BQ37" s="1103"/>
      <c r="BR37" s="1103"/>
      <c r="BS37" s="1103"/>
      <c r="BT37" s="1104" t="s">
        <v>4351</v>
      </c>
      <c r="BU37" s="1103"/>
      <c r="BV37" s="1104" t="s">
        <v>7967</v>
      </c>
      <c r="BW37" s="1104" t="s">
        <v>7968</v>
      </c>
      <c r="BX37" s="1040"/>
      <c r="BY37" s="1109"/>
      <c r="BZ37" s="1109"/>
      <c r="CA37" s="1109"/>
      <c r="CB37" s="1131"/>
      <c r="CC37" s="1109"/>
      <c r="CD37" s="1109"/>
      <c r="CE37" s="1109"/>
      <c r="CF37" s="1109"/>
      <c r="CG37" s="1109"/>
      <c r="CH37" s="1144" t="s">
        <v>6052</v>
      </c>
      <c r="CI37" s="1109"/>
      <c r="CJ37" s="1131"/>
      <c r="CK37" s="1131"/>
    </row>
    <row r="38">
      <c r="A38" s="1076" t="s">
        <v>5396</v>
      </c>
      <c r="B38" s="1034" t="s">
        <v>2087</v>
      </c>
      <c r="C38" s="1030" t="s">
        <v>1262</v>
      </c>
      <c r="D38" s="1031" t="s">
        <v>1262</v>
      </c>
      <c r="E38" s="1032" t="s">
        <v>1262</v>
      </c>
      <c r="F38" s="1033" t="s">
        <v>547</v>
      </c>
      <c r="G38" s="1034" t="s">
        <v>333</v>
      </c>
      <c r="H38" s="1077"/>
      <c r="I38" s="1077"/>
      <c r="J38" s="1077"/>
      <c r="K38" s="1077"/>
      <c r="L38" s="1176" t="s">
        <v>291</v>
      </c>
      <c r="M38" s="1077"/>
      <c r="N38" s="1078" t="s">
        <v>7969</v>
      </c>
      <c r="O38" s="1077"/>
      <c r="P38" s="1040"/>
      <c r="Q38" s="1082"/>
      <c r="R38" s="1082"/>
      <c r="S38" s="1081" t="s">
        <v>7970</v>
      </c>
      <c r="T38" s="1082"/>
      <c r="U38" s="1082"/>
      <c r="V38" s="1082"/>
      <c r="W38" s="1040"/>
      <c r="X38" s="1136"/>
      <c r="Y38" s="1136"/>
      <c r="Z38" s="1136"/>
      <c r="AA38" s="1203" t="s">
        <v>6919</v>
      </c>
      <c r="AB38" s="1120" t="s">
        <v>7971</v>
      </c>
      <c r="AC38" s="1136"/>
      <c r="AD38" s="1136"/>
      <c r="AE38" s="1136"/>
      <c r="AF38" s="1136"/>
      <c r="AG38" s="1136"/>
      <c r="AH38" s="1196" t="s">
        <v>7972</v>
      </c>
      <c r="AI38" s="1040"/>
      <c r="AJ38" s="1089"/>
      <c r="AK38" s="1089"/>
      <c r="AL38" s="1089"/>
      <c r="AM38" s="1089"/>
      <c r="AN38" s="1089"/>
      <c r="AO38" s="1089"/>
      <c r="AP38" s="1089"/>
      <c r="AQ38" s="1089"/>
      <c r="AR38" s="1089"/>
      <c r="AS38" s="1089"/>
      <c r="AT38" s="1089"/>
      <c r="AU38" s="1089"/>
      <c r="AV38" s="1089"/>
      <c r="AW38" s="1089"/>
      <c r="AX38" s="1089"/>
      <c r="AY38" s="1089"/>
      <c r="AZ38" s="1056"/>
      <c r="BA38" s="1164"/>
      <c r="BB38" s="1164"/>
      <c r="BC38" s="1164"/>
      <c r="BD38" s="1164"/>
      <c r="BE38" s="1125" t="s">
        <v>7973</v>
      </c>
      <c r="BF38" s="1056"/>
      <c r="BG38" s="1101"/>
      <c r="BH38" s="1101"/>
      <c r="BI38" s="1101"/>
      <c r="BJ38" s="1101"/>
      <c r="BK38" s="1101"/>
      <c r="BL38" s="1101"/>
      <c r="BM38" s="1101"/>
      <c r="BN38" s="1040"/>
      <c r="BO38" s="1103"/>
      <c r="BP38" s="1141"/>
      <c r="BQ38" s="1103"/>
      <c r="BR38" s="1103"/>
      <c r="BS38" s="1103"/>
      <c r="BT38" s="1103"/>
      <c r="BU38" s="1192" t="s">
        <v>3399</v>
      </c>
      <c r="BV38" s="1104" t="s">
        <v>391</v>
      </c>
      <c r="BW38" s="1142" t="s">
        <v>7974</v>
      </c>
      <c r="BX38" s="1040"/>
      <c r="BY38" s="1109"/>
      <c r="BZ38" s="1197" t="s">
        <v>2725</v>
      </c>
      <c r="CA38" s="1109"/>
      <c r="CB38" s="1131"/>
      <c r="CC38" s="1109"/>
      <c r="CD38" s="1109"/>
      <c r="CE38" s="1109"/>
      <c r="CF38" s="1108" t="s">
        <v>7975</v>
      </c>
      <c r="CG38" s="1109"/>
      <c r="CH38" s="1109"/>
      <c r="CI38" s="1130" t="s">
        <v>4985</v>
      </c>
      <c r="CJ38" s="1131"/>
      <c r="CK38" s="1131"/>
    </row>
    <row r="39">
      <c r="A39" s="1076" t="s">
        <v>7976</v>
      </c>
      <c r="B39" s="1034" t="s">
        <v>4729</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5354</v>
      </c>
      <c r="U39" s="1082"/>
      <c r="V39" s="1166" t="s">
        <v>7977</v>
      </c>
      <c r="W39" s="1040"/>
      <c r="X39" s="1223"/>
      <c r="Y39" s="1136"/>
      <c r="Z39" s="1136"/>
      <c r="AA39" s="1136"/>
      <c r="AB39" s="1136"/>
      <c r="AC39" s="1136"/>
      <c r="AD39" s="1136"/>
      <c r="AE39" s="1136"/>
      <c r="AF39" s="1136"/>
      <c r="AG39" s="1136"/>
      <c r="AH39" s="1050"/>
      <c r="AI39" s="1040"/>
      <c r="AJ39" s="1089"/>
      <c r="AK39" s="1089"/>
      <c r="AL39" s="1089"/>
      <c r="AM39" s="1089"/>
      <c r="AN39" s="1089"/>
      <c r="AO39" s="1089"/>
      <c r="AP39" s="1089"/>
      <c r="AQ39" s="1089"/>
      <c r="AR39" s="1089"/>
      <c r="AS39" s="1089"/>
      <c r="AT39" s="1089"/>
      <c r="AU39" s="1089"/>
      <c r="AV39" s="1089"/>
      <c r="AW39" s="1089"/>
      <c r="AX39" s="1089"/>
      <c r="AY39" s="1089"/>
      <c r="AZ39" s="1056"/>
      <c r="BA39" s="1164"/>
      <c r="BB39" s="1164"/>
      <c r="BC39" s="1164"/>
      <c r="BD39" s="1164"/>
      <c r="BE39" s="1164"/>
      <c r="BF39" s="1056"/>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4656</v>
      </c>
      <c r="B40" s="1034" t="s">
        <v>7978</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7979</v>
      </c>
      <c r="Z40" s="772"/>
      <c r="AA40" s="772"/>
      <c r="AB40" s="738" t="s">
        <v>5105</v>
      </c>
      <c r="AC40" s="772"/>
      <c r="AD40" s="1224"/>
      <c r="AE40" s="1224"/>
      <c r="AF40" s="1224"/>
      <c r="AG40" s="738" t="s">
        <v>7980</v>
      </c>
      <c r="AH40" s="1050"/>
      <c r="AI40" s="1040"/>
      <c r="AJ40" s="1089"/>
      <c r="AK40" s="1224"/>
      <c r="AL40" s="1224"/>
      <c r="AM40" s="1224"/>
      <c r="AN40" s="1224"/>
      <c r="AO40" s="1224"/>
      <c r="AP40" s="1224"/>
      <c r="AQ40" s="1224"/>
      <c r="AR40" s="1224"/>
      <c r="AS40" s="1224"/>
      <c r="AT40" s="1224"/>
      <c r="AU40" s="1224"/>
      <c r="AV40" s="1224"/>
      <c r="AW40" s="772"/>
      <c r="AX40" s="1224"/>
      <c r="AY40" s="1089"/>
      <c r="AZ40" s="1056"/>
      <c r="BA40" s="1164"/>
      <c r="BB40" s="1224"/>
      <c r="BC40" s="1224"/>
      <c r="BD40" s="1224"/>
      <c r="BE40" s="1224"/>
      <c r="BF40" s="1056"/>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5550</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8" t="s">
        <v>6134</v>
      </c>
      <c r="AF41" s="1136"/>
      <c r="AG41" s="1136"/>
      <c r="AH41" s="1050"/>
      <c r="AI41" s="1040"/>
      <c r="AJ41" s="1089"/>
      <c r="AK41" s="1089"/>
      <c r="AL41" s="1089"/>
      <c r="AM41" s="1093" t="s">
        <v>4536</v>
      </c>
      <c r="AN41" s="1123" t="s">
        <v>195</v>
      </c>
      <c r="AO41" s="1089"/>
      <c r="AP41" s="1089"/>
      <c r="AQ41" s="1089"/>
      <c r="AR41" s="1089"/>
      <c r="AS41" s="1089"/>
      <c r="AT41" s="1089"/>
      <c r="AU41" s="1089"/>
      <c r="AV41" s="1089"/>
      <c r="AW41" s="1089"/>
      <c r="AX41" s="1089"/>
      <c r="AY41" s="1089"/>
      <c r="AZ41" s="1056"/>
      <c r="BA41" s="1164"/>
      <c r="BB41" s="1164"/>
      <c r="BC41" s="1164"/>
      <c r="BD41" s="1164"/>
      <c r="BE41" s="1164"/>
      <c r="BF41" s="1056"/>
      <c r="BG41" s="1098" t="s">
        <v>7981</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4419</v>
      </c>
      <c r="B42" s="1034" t="s">
        <v>1507</v>
      </c>
      <c r="C42" s="1030" t="s">
        <v>1262</v>
      </c>
      <c r="D42" s="1031" t="s">
        <v>1262</v>
      </c>
      <c r="E42" s="1032" t="s">
        <v>1262</v>
      </c>
      <c r="F42" s="1033" t="s">
        <v>1262</v>
      </c>
      <c r="G42" s="1034" t="s">
        <v>830</v>
      </c>
      <c r="H42" s="1077"/>
      <c r="I42" s="1077"/>
      <c r="J42" s="1078" t="s">
        <v>7982</v>
      </c>
      <c r="K42" s="1078"/>
      <c r="L42" s="1078"/>
      <c r="M42" s="1078" t="s">
        <v>7983</v>
      </c>
      <c r="N42" s="1077"/>
      <c r="O42" s="1078" t="s">
        <v>7984</v>
      </c>
      <c r="P42" s="1040"/>
      <c r="Q42" s="1082"/>
      <c r="R42" s="1081" t="s">
        <v>7248</v>
      </c>
      <c r="S42" s="1082"/>
      <c r="T42" s="1082"/>
      <c r="U42" s="1082"/>
      <c r="V42" s="1081" t="s">
        <v>7985</v>
      </c>
      <c r="W42" s="1040"/>
      <c r="X42" s="1136"/>
      <c r="Y42" s="1136"/>
      <c r="Z42" s="1136"/>
      <c r="AA42" s="1203" t="s">
        <v>7986</v>
      </c>
      <c r="AB42" s="1086" t="s">
        <v>7987</v>
      </c>
      <c r="AC42" s="1136"/>
      <c r="AD42" s="1136"/>
      <c r="AE42" s="1136"/>
      <c r="AF42" s="1136"/>
      <c r="AG42" s="1086" t="s">
        <v>7988</v>
      </c>
      <c r="AH42" s="1050"/>
      <c r="AI42" s="1040"/>
      <c r="AJ42" s="1089"/>
      <c r="AK42" s="1089"/>
      <c r="AL42" s="1089"/>
      <c r="AM42" s="1089"/>
      <c r="AN42" s="1089"/>
      <c r="AO42" s="1089"/>
      <c r="AP42" s="1089"/>
      <c r="AQ42" s="1089"/>
      <c r="AR42" s="1089"/>
      <c r="AS42" s="1088"/>
      <c r="AT42" s="1089"/>
      <c r="AU42" s="1089"/>
      <c r="AV42" s="1089"/>
      <c r="AW42" s="1089"/>
      <c r="AX42" s="1089"/>
      <c r="AY42" s="1089"/>
      <c r="AZ42" s="1056"/>
      <c r="BA42" s="1164"/>
      <c r="BB42" s="1164"/>
      <c r="BC42" s="1164"/>
      <c r="BD42" s="1164"/>
      <c r="BE42" s="1125" t="s">
        <v>7989</v>
      </c>
      <c r="BF42" s="1056"/>
      <c r="BG42" s="1101"/>
      <c r="BH42" s="1101"/>
      <c r="BI42" s="1101"/>
      <c r="BJ42" s="1101"/>
      <c r="BK42" s="1101"/>
      <c r="BL42" s="1101"/>
      <c r="BM42" s="1099" t="s">
        <v>7990</v>
      </c>
      <c r="BN42" s="1040"/>
      <c r="BO42" s="1103"/>
      <c r="BP42" s="1141"/>
      <c r="BQ42" s="1103"/>
      <c r="BR42" s="1103"/>
      <c r="BS42" s="1103"/>
      <c r="BT42" s="1103"/>
      <c r="BU42" s="1103"/>
      <c r="BV42" s="1104" t="s">
        <v>7452</v>
      </c>
      <c r="BW42" s="1104" t="s">
        <v>7991</v>
      </c>
      <c r="BX42" s="1040"/>
      <c r="BY42" s="1109"/>
      <c r="BZ42" s="1109"/>
      <c r="CA42" s="1109"/>
      <c r="CB42" s="1131"/>
      <c r="CC42" s="1109"/>
      <c r="CD42" s="1109"/>
      <c r="CE42" s="1109"/>
      <c r="CF42" s="1109"/>
      <c r="CG42" s="1109"/>
      <c r="CH42" s="1109"/>
      <c r="CI42" s="1109"/>
      <c r="CJ42" s="1131"/>
      <c r="CK42" s="1131"/>
    </row>
    <row r="43">
      <c r="A43" s="1227" t="s">
        <v>5212</v>
      </c>
      <c r="B43" s="1034" t="s">
        <v>3082</v>
      </c>
      <c r="C43" s="1030" t="s">
        <v>1262</v>
      </c>
      <c r="D43" s="1031" t="s">
        <v>547</v>
      </c>
      <c r="E43" s="1032" t="s">
        <v>1262</v>
      </c>
      <c r="F43" s="1033" t="s">
        <v>440</v>
      </c>
      <c r="G43" s="1034" t="s">
        <v>220</v>
      </c>
      <c r="H43" s="1078" t="s">
        <v>2060</v>
      </c>
      <c r="I43" s="1078"/>
      <c r="J43" s="1077"/>
      <c r="K43" s="1077"/>
      <c r="L43" s="1078" t="s">
        <v>7992</v>
      </c>
      <c r="M43" s="1077"/>
      <c r="N43" s="1079" t="s">
        <v>7993</v>
      </c>
      <c r="O43" s="1077"/>
      <c r="P43" s="1040"/>
      <c r="Q43" s="1081" t="s">
        <v>7994</v>
      </c>
      <c r="R43" s="1082"/>
      <c r="S43" s="1082"/>
      <c r="T43" s="1082"/>
      <c r="U43" s="1082"/>
      <c r="V43" s="1081" t="s">
        <v>7995</v>
      </c>
      <c r="W43" s="1040"/>
      <c r="X43" s="1136"/>
      <c r="Y43" s="1136"/>
      <c r="Z43" s="1136"/>
      <c r="AA43" s="1194"/>
      <c r="AB43" s="1136"/>
      <c r="AC43" s="1136"/>
      <c r="AD43" s="1136"/>
      <c r="AE43" s="1136"/>
      <c r="AF43" s="1136"/>
      <c r="AG43" s="1136"/>
      <c r="AH43" s="1196" t="s">
        <v>7996</v>
      </c>
      <c r="AI43" s="1040"/>
      <c r="AJ43" s="1089"/>
      <c r="AK43" s="1089"/>
      <c r="AL43" s="1089"/>
      <c r="AM43" s="1089"/>
      <c r="AN43" s="1089"/>
      <c r="AO43" s="1089"/>
      <c r="AP43" s="1089"/>
      <c r="AQ43" s="1089"/>
      <c r="AR43" s="1089"/>
      <c r="AS43" s="1089"/>
      <c r="AT43" s="1089"/>
      <c r="AU43" s="1089"/>
      <c r="AV43" s="1089"/>
      <c r="AW43" s="1088" t="s">
        <v>1926</v>
      </c>
      <c r="AX43" s="1089"/>
      <c r="AY43" s="1089"/>
      <c r="AZ43" s="1056"/>
      <c r="BA43" s="1164"/>
      <c r="BB43" s="1164"/>
      <c r="BC43" s="1125" t="s">
        <v>7997</v>
      </c>
      <c r="BD43" s="1095" t="s">
        <v>7998</v>
      </c>
      <c r="BE43" s="1125" t="s">
        <v>7999</v>
      </c>
      <c r="BF43" s="1056"/>
      <c r="BG43" s="1101"/>
      <c r="BH43" s="1101"/>
      <c r="BI43" s="1101"/>
      <c r="BJ43" s="1101"/>
      <c r="BK43" s="1101"/>
      <c r="BL43" s="1101"/>
      <c r="BM43" s="1101"/>
      <c r="BN43" s="1040"/>
      <c r="BO43" s="1103"/>
      <c r="BP43" s="1141"/>
      <c r="BQ43" s="1104" t="s">
        <v>3560</v>
      </c>
      <c r="BR43" s="1103"/>
      <c r="BS43" s="1103"/>
      <c r="BT43" s="1103"/>
      <c r="BU43" s="1105" t="s">
        <v>8000</v>
      </c>
      <c r="BV43" s="1103"/>
      <c r="BW43" s="1104" t="s">
        <v>8001</v>
      </c>
      <c r="BX43" s="1040"/>
      <c r="BY43" s="1109"/>
      <c r="BZ43" s="1109"/>
      <c r="CA43" s="1109"/>
      <c r="CB43" s="1131"/>
      <c r="CC43" s="1109"/>
      <c r="CD43" s="1109"/>
      <c r="CE43" s="1109"/>
      <c r="CF43" s="1109"/>
      <c r="CG43" s="1109"/>
      <c r="CH43" s="1109"/>
      <c r="CI43" s="1130" t="s">
        <v>8002</v>
      </c>
      <c r="CJ43" s="1131"/>
      <c r="CK43" s="1131"/>
    </row>
    <row r="44">
      <c r="A44" s="1076" t="s">
        <v>5953</v>
      </c>
      <c r="B44" s="1034" t="s">
        <v>7867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50"/>
      <c r="AI44" s="1040"/>
      <c r="AJ44" s="1089"/>
      <c r="AK44" s="1089"/>
      <c r="AL44" s="1089"/>
      <c r="AM44" s="1089"/>
      <c r="AN44" s="1089"/>
      <c r="AO44" s="1089"/>
      <c r="AP44" s="1089"/>
      <c r="AQ44" s="1089"/>
      <c r="AR44" s="1089"/>
      <c r="AS44" s="1089"/>
      <c r="AT44" s="1089"/>
      <c r="AU44" s="1089"/>
      <c r="AV44" s="1089"/>
      <c r="AW44" s="1089"/>
      <c r="AX44" s="1089"/>
      <c r="AY44" s="1089"/>
      <c r="AZ44" s="1056"/>
      <c r="BA44" s="1164"/>
      <c r="BB44" s="1164"/>
      <c r="BC44" s="1164"/>
      <c r="BD44" s="1164"/>
      <c r="BE44" s="1164"/>
      <c r="BF44" s="1056"/>
      <c r="BG44" s="1101"/>
      <c r="BH44" s="1101"/>
      <c r="BI44" s="1101"/>
      <c r="BJ44" s="1101"/>
      <c r="BK44" s="1101"/>
      <c r="BL44" s="1101"/>
      <c r="BM44" s="1101"/>
      <c r="BN44" s="1040"/>
      <c r="BO44" s="1103"/>
      <c r="BP44" s="1141"/>
      <c r="BQ44" s="1103"/>
      <c r="BR44" s="1103"/>
      <c r="BS44" s="1103"/>
      <c r="BT44" s="1103"/>
      <c r="BU44" s="1103"/>
      <c r="BV44" s="1103"/>
      <c r="BW44" s="1105" t="s">
        <v>8003</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8004</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50"/>
      <c r="AI45" s="1040"/>
      <c r="AJ45" s="1089"/>
      <c r="AK45" s="1089"/>
      <c r="AL45" s="1089"/>
      <c r="AM45" s="1089"/>
      <c r="AN45" s="1089"/>
      <c r="AO45" s="1089"/>
      <c r="AP45" s="1089"/>
      <c r="AQ45" s="1089"/>
      <c r="AR45" s="1089"/>
      <c r="AS45" s="1089"/>
      <c r="AT45" s="1089"/>
      <c r="AU45" s="1089"/>
      <c r="AV45" s="1089"/>
      <c r="AW45" s="1089"/>
      <c r="AX45" s="1089"/>
      <c r="AY45" s="1089"/>
      <c r="AZ45" s="1056"/>
      <c r="BA45" s="1164"/>
      <c r="BB45" s="1164"/>
      <c r="BC45" s="1164"/>
      <c r="BD45" s="1164"/>
      <c r="BE45" s="1191" t="s">
        <v>8005</v>
      </c>
      <c r="BF45" s="1056"/>
      <c r="BG45" s="1183" t="s">
        <v>8006</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8007</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4249</v>
      </c>
      <c r="AE46" s="1136"/>
      <c r="AF46" s="1136"/>
      <c r="AG46" s="1136"/>
      <c r="AH46" s="1050"/>
      <c r="AI46" s="1040"/>
      <c r="AJ46" s="1089"/>
      <c r="AK46" s="1089"/>
      <c r="AL46" s="1089"/>
      <c r="AM46" s="1088" t="s">
        <v>3326</v>
      </c>
      <c r="AN46" s="1089"/>
      <c r="AO46" s="1089"/>
      <c r="AP46" s="1088" t="s">
        <v>704</v>
      </c>
      <c r="AQ46" s="1089"/>
      <c r="AR46" s="1088" t="s">
        <v>8008</v>
      </c>
      <c r="AS46" s="1089"/>
      <c r="AT46" s="1089"/>
      <c r="AU46" s="1089"/>
      <c r="AV46" s="1089"/>
      <c r="AW46" s="1088" t="s">
        <v>891</v>
      </c>
      <c r="AX46" s="1089"/>
      <c r="AY46" s="1089"/>
      <c r="AZ46" s="1056"/>
      <c r="BA46" s="1164"/>
      <c r="BB46" s="1164"/>
      <c r="BC46" s="1125" t="s">
        <v>2136</v>
      </c>
      <c r="BD46" s="1164"/>
      <c r="BE46" s="1164"/>
      <c r="BF46" s="1056"/>
      <c r="BG46" s="1101"/>
      <c r="BH46" s="1101"/>
      <c r="BI46" s="1101"/>
      <c r="BJ46" s="1101"/>
      <c r="BK46" s="1101"/>
      <c r="BL46" s="1101"/>
      <c r="BM46" s="1101"/>
      <c r="BN46" s="1040"/>
      <c r="BO46" s="1104" t="s">
        <v>8009</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50"/>
      <c r="AI47" s="1040"/>
      <c r="AJ47" s="1089"/>
      <c r="AK47" s="1089"/>
      <c r="AL47" s="1089"/>
      <c r="AM47" s="1089"/>
      <c r="AN47" s="1089"/>
      <c r="AO47" s="1089"/>
      <c r="AP47" s="1089"/>
      <c r="AQ47" s="1089"/>
      <c r="AR47" s="1089"/>
      <c r="AS47" s="1089"/>
      <c r="AT47" s="1089"/>
      <c r="AU47" s="1089"/>
      <c r="AV47" s="1089"/>
      <c r="AW47" s="1089"/>
      <c r="AX47" s="1089"/>
      <c r="AY47" s="1089"/>
      <c r="AZ47" s="1056"/>
      <c r="BA47" s="1164"/>
      <c r="BB47" s="1164"/>
      <c r="BC47" s="1164"/>
      <c r="BD47" s="1164"/>
      <c r="BE47" s="1164"/>
      <c r="BF47" s="1056"/>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5279</v>
      </c>
      <c r="B48" s="1034" t="s">
        <v>6186</v>
      </c>
      <c r="C48" s="1030" t="s">
        <v>1262</v>
      </c>
      <c r="D48" s="1031" t="s">
        <v>1262</v>
      </c>
      <c r="E48" s="1032" t="s">
        <v>1262</v>
      </c>
      <c r="F48" s="1033" t="s">
        <v>1262</v>
      </c>
      <c r="G48" s="1034" t="s">
        <v>988</v>
      </c>
      <c r="H48" s="1077"/>
      <c r="I48" s="1077"/>
      <c r="J48" s="1077"/>
      <c r="K48" s="1077"/>
      <c r="L48" s="1078" t="s">
        <v>4811</v>
      </c>
      <c r="M48" s="1077"/>
      <c r="N48" s="1078" t="s">
        <v>8010</v>
      </c>
      <c r="O48" s="1077"/>
      <c r="P48" s="1040"/>
      <c r="Q48" s="1082"/>
      <c r="R48" s="1082"/>
      <c r="S48" s="1082"/>
      <c r="T48" s="1082"/>
      <c r="U48" s="1081"/>
      <c r="V48" s="1081" t="s">
        <v>8011</v>
      </c>
      <c r="W48" s="1040"/>
      <c r="X48" s="1136"/>
      <c r="Y48" s="1136"/>
      <c r="Z48" s="1118" t="s">
        <v>8012</v>
      </c>
      <c r="AA48" s="1194"/>
      <c r="AB48" s="1086" t="s">
        <v>817</v>
      </c>
      <c r="AC48" s="1136"/>
      <c r="AD48" s="1136"/>
      <c r="AE48" s="1136"/>
      <c r="AF48" s="1136"/>
      <c r="AG48" s="1086" t="s">
        <v>8013</v>
      </c>
      <c r="AH48" s="1050"/>
      <c r="AI48" s="1040"/>
      <c r="AJ48" s="1089"/>
      <c r="AK48" s="1089"/>
      <c r="AL48" s="1089"/>
      <c r="AM48" s="1089"/>
      <c r="AN48" s="1089"/>
      <c r="AO48" s="1089"/>
      <c r="AP48" s="1089"/>
      <c r="AQ48" s="1089"/>
      <c r="AR48" s="1089"/>
      <c r="AS48" s="1089"/>
      <c r="AT48" s="1089"/>
      <c r="AU48" s="1089"/>
      <c r="AV48" s="1089"/>
      <c r="AW48" s="1089"/>
      <c r="AX48" s="1089"/>
      <c r="AY48" s="1089"/>
      <c r="AZ48" s="1056"/>
      <c r="BA48" s="1164"/>
      <c r="BB48" s="1164"/>
      <c r="BC48" s="1164"/>
      <c r="BD48" s="1164"/>
      <c r="BE48" s="1125" t="s">
        <v>8014</v>
      </c>
      <c r="BF48" s="1056"/>
      <c r="BG48" s="1101"/>
      <c r="BH48" s="1101"/>
      <c r="BI48" s="1101"/>
      <c r="BJ48" s="1101"/>
      <c r="BK48" s="1101"/>
      <c r="BL48" s="1101"/>
      <c r="BM48" s="1101"/>
      <c r="BN48" s="1040"/>
      <c r="BO48" s="1104" t="s">
        <v>8015</v>
      </c>
      <c r="BP48" s="1141"/>
      <c r="BQ48" s="1103"/>
      <c r="BR48" s="1103"/>
      <c r="BS48" s="1103"/>
      <c r="BT48" s="1103"/>
      <c r="BU48" s="1103"/>
      <c r="BV48" s="1103"/>
      <c r="BW48" s="1142" t="s">
        <v>8016</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8017</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8" t="s">
        <v>2223</v>
      </c>
      <c r="AF49" s="1136"/>
      <c r="AG49" s="1136"/>
      <c r="AH49" s="1050"/>
      <c r="AI49" s="1040"/>
      <c r="AJ49" s="1089"/>
      <c r="AK49" s="1089"/>
      <c r="AL49" s="1089"/>
      <c r="AM49" s="1089"/>
      <c r="AN49" s="1089"/>
      <c r="AO49" s="1089"/>
      <c r="AP49" s="1089"/>
      <c r="AQ49" s="1089"/>
      <c r="AR49" s="1089"/>
      <c r="AS49" s="1089"/>
      <c r="AT49" s="1089"/>
      <c r="AU49" s="1089"/>
      <c r="AV49" s="1089"/>
      <c r="AW49" s="1089"/>
      <c r="AX49" s="1089"/>
      <c r="AY49" s="1089"/>
      <c r="AZ49" s="1056"/>
      <c r="BA49" s="1164"/>
      <c r="BB49" s="1164"/>
      <c r="BC49" s="1164"/>
      <c r="BD49" s="1164"/>
      <c r="BE49" s="1164"/>
      <c r="BF49" s="1056"/>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8018</v>
      </c>
      <c r="W50" s="1040"/>
      <c r="X50" s="1136"/>
      <c r="Y50" s="1136"/>
      <c r="Z50" s="1136"/>
      <c r="AA50" s="1194"/>
      <c r="AB50" s="1136"/>
      <c r="AC50" s="1136"/>
      <c r="AD50" s="1136"/>
      <c r="AE50" s="1136"/>
      <c r="AF50" s="1136"/>
      <c r="AG50" s="1136"/>
      <c r="AH50" s="1196" t="s">
        <v>8019</v>
      </c>
      <c r="AI50" s="1040"/>
      <c r="AJ50" s="1089"/>
      <c r="AK50" s="1089"/>
      <c r="AL50" s="1089"/>
      <c r="AM50" s="1089"/>
      <c r="AN50" s="1089"/>
      <c r="AO50" s="1089"/>
      <c r="AP50" s="1089"/>
      <c r="AQ50" s="1089"/>
      <c r="AR50" s="1089"/>
      <c r="AS50" s="1089"/>
      <c r="AT50" s="1089"/>
      <c r="AU50" s="1089"/>
      <c r="AV50" s="1089"/>
      <c r="AW50" s="1089"/>
      <c r="AX50" s="1089"/>
      <c r="AY50" s="1196" t="s">
        <v>8020</v>
      </c>
      <c r="AZ50" s="1056"/>
      <c r="BA50" s="1164"/>
      <c r="BB50" s="1164"/>
      <c r="BC50" s="1164"/>
      <c r="BD50" s="1164"/>
      <c r="BE50" s="1196" t="s">
        <v>8021</v>
      </c>
      <c r="BF50" s="1056"/>
      <c r="BG50" s="1101"/>
      <c r="BH50" s="1101"/>
      <c r="BI50" s="1101"/>
      <c r="BJ50" s="1101"/>
      <c r="BK50" s="1101"/>
      <c r="BL50" s="1196" t="s">
        <v>8022</v>
      </c>
      <c r="BM50" s="1099"/>
      <c r="BN50" s="1040"/>
      <c r="BO50" s="1103"/>
      <c r="BP50" s="1141"/>
      <c r="BQ50" s="1103"/>
      <c r="BR50" s="1103"/>
      <c r="BS50" s="1103"/>
      <c r="BT50" s="1103"/>
      <c r="BU50" s="1103"/>
      <c r="BV50" s="1103"/>
      <c r="BW50" s="1196" t="s">
        <v>8023</v>
      </c>
      <c r="BX50" s="1040"/>
      <c r="BY50" s="1109"/>
      <c r="BZ50" s="1109"/>
      <c r="CA50" s="1109"/>
      <c r="CB50" s="1131"/>
      <c r="CC50" s="1109"/>
      <c r="CD50" s="1109"/>
      <c r="CE50" s="1109"/>
      <c r="CF50" s="1109"/>
      <c r="CG50" s="1109"/>
      <c r="CH50" s="1109"/>
      <c r="CI50" s="1109"/>
      <c r="CJ50" s="1131"/>
      <c r="CK50" s="1131"/>
    </row>
    <row r="51">
      <c r="A51" s="1206" t="s">
        <v>8024</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8025</v>
      </c>
      <c r="AA51" s="1136"/>
      <c r="AB51" s="1167" t="s">
        <v>8026</v>
      </c>
      <c r="AC51" s="1136"/>
      <c r="AD51" s="1136"/>
      <c r="AE51" s="1136"/>
      <c r="AF51" s="1136"/>
      <c r="AG51" s="1136"/>
      <c r="AH51" s="1050"/>
      <c r="AI51" s="1040"/>
      <c r="AJ51" s="1089"/>
      <c r="AK51" s="1089"/>
      <c r="AL51" s="1089"/>
      <c r="AM51" s="1089"/>
      <c r="AN51" s="1089"/>
      <c r="AO51" s="1089"/>
      <c r="AP51" s="1089"/>
      <c r="AQ51" s="1089"/>
      <c r="AR51" s="1089"/>
      <c r="AS51" s="1089"/>
      <c r="AT51" s="1089"/>
      <c r="AU51" s="1089"/>
      <c r="AV51" s="1089"/>
      <c r="AW51" s="1089"/>
      <c r="AX51" s="1089"/>
      <c r="AY51" s="1089"/>
      <c r="AZ51" s="1056"/>
      <c r="BA51" s="1164"/>
      <c r="BB51" s="1164"/>
      <c r="BC51" s="1164"/>
      <c r="BD51" s="1164"/>
      <c r="BE51" s="1125"/>
      <c r="BF51" s="1056"/>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8027</v>
      </c>
      <c r="B52" s="1034" t="s">
        <v>3276</v>
      </c>
      <c r="C52" s="1030" t="s">
        <v>1262</v>
      </c>
      <c r="D52" s="1031" t="s">
        <v>1262</v>
      </c>
      <c r="E52" s="1032" t="s">
        <v>1262</v>
      </c>
      <c r="F52" s="1033" t="s">
        <v>1262</v>
      </c>
      <c r="G52" s="1034" t="s">
        <v>332</v>
      </c>
      <c r="H52" s="1077"/>
      <c r="I52" s="1077"/>
      <c r="J52" s="1077"/>
      <c r="K52" s="1077"/>
      <c r="L52" s="1077"/>
      <c r="M52" s="1077"/>
      <c r="N52" s="1078" t="s">
        <v>8028</v>
      </c>
      <c r="O52" s="1077"/>
      <c r="P52" s="1040"/>
      <c r="Q52" s="1082"/>
      <c r="R52" s="1082"/>
      <c r="S52" s="1082"/>
      <c r="T52" s="1082"/>
      <c r="U52" s="1082"/>
      <c r="V52" s="1082"/>
      <c r="W52" s="1040"/>
      <c r="X52" s="1136"/>
      <c r="Y52" s="1136"/>
      <c r="Z52" s="1136"/>
      <c r="AA52" s="1194"/>
      <c r="AB52" s="1136"/>
      <c r="AC52" s="1136"/>
      <c r="AD52" s="1136"/>
      <c r="AE52" s="1136"/>
      <c r="AF52" s="1136"/>
      <c r="AG52" s="1136"/>
      <c r="AH52" s="1050"/>
      <c r="AI52" s="1040"/>
      <c r="AJ52" s="1089"/>
      <c r="AK52" s="1089"/>
      <c r="AL52" s="1089"/>
      <c r="AM52" s="1089"/>
      <c r="AN52" s="1089"/>
      <c r="AO52" s="1089"/>
      <c r="AP52" s="1089"/>
      <c r="AQ52" s="1089"/>
      <c r="AR52" s="1089"/>
      <c r="AS52" s="1089"/>
      <c r="AT52" s="1089"/>
      <c r="AU52" s="1089"/>
      <c r="AV52" s="1089"/>
      <c r="AW52" s="1089"/>
      <c r="AX52" s="1089"/>
      <c r="AY52" s="1089"/>
      <c r="AZ52" s="1056"/>
      <c r="BA52" s="1164"/>
      <c r="BB52" s="1164"/>
      <c r="BC52" s="1164"/>
      <c r="BD52" s="1164"/>
      <c r="BE52" s="1125" t="s">
        <v>8029</v>
      </c>
      <c r="BF52" s="1056"/>
      <c r="BG52" s="1101"/>
      <c r="BH52" s="1101"/>
      <c r="BI52" s="1101"/>
      <c r="BJ52" s="1101"/>
      <c r="BK52" s="1101"/>
      <c r="BL52" s="1101"/>
      <c r="BM52" s="1101"/>
      <c r="BN52" s="1040"/>
      <c r="BO52" s="1103"/>
      <c r="BP52" s="1141"/>
      <c r="BQ52" s="1103"/>
      <c r="BR52" s="1103"/>
      <c r="BS52" s="1103"/>
      <c r="BT52" s="1103"/>
      <c r="BU52" s="1103"/>
      <c r="BV52" s="1103"/>
      <c r="BW52" s="1104" t="s">
        <v>8030</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50"/>
      <c r="AI53" s="1040"/>
      <c r="AJ53" s="1089"/>
      <c r="AK53" s="1089"/>
      <c r="AL53" s="1089"/>
      <c r="AM53" s="1089"/>
      <c r="AN53" s="1089"/>
      <c r="AO53" s="1089"/>
      <c r="AP53" s="1089"/>
      <c r="AQ53" s="1089"/>
      <c r="AR53" s="1089"/>
      <c r="AS53" s="1089"/>
      <c r="AT53" s="1089"/>
      <c r="AU53" s="1089"/>
      <c r="AV53" s="1089"/>
      <c r="AW53" s="1089"/>
      <c r="AX53" s="1089"/>
      <c r="AY53" s="1089"/>
      <c r="AZ53" s="1056"/>
      <c r="BA53" s="1164"/>
      <c r="BB53" s="1164"/>
      <c r="BC53" s="1164"/>
      <c r="BD53" s="1164"/>
      <c r="BE53" s="1096" t="s">
        <v>8031</v>
      </c>
      <c r="BF53" s="1056"/>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8032</v>
      </c>
      <c r="W54" s="1040"/>
      <c r="X54" s="1136"/>
      <c r="Y54" s="1136"/>
      <c r="Z54" s="1136"/>
      <c r="AA54" s="1194"/>
      <c r="AB54" s="1136"/>
      <c r="AC54" s="1136"/>
      <c r="AD54" s="1136"/>
      <c r="AE54" s="1136"/>
      <c r="AF54" s="1136"/>
      <c r="AG54" s="1136"/>
      <c r="AH54" s="1050"/>
      <c r="AI54" s="1040"/>
      <c r="AJ54" s="1089"/>
      <c r="AK54" s="1089"/>
      <c r="AL54" s="1089"/>
      <c r="AM54" s="1089"/>
      <c r="AN54" s="1089"/>
      <c r="AO54" s="1089"/>
      <c r="AP54" s="1089"/>
      <c r="AQ54" s="1089"/>
      <c r="AR54" s="1089"/>
      <c r="AS54" s="1089"/>
      <c r="AT54" s="1089"/>
      <c r="AU54" s="1089"/>
      <c r="AV54" s="1089"/>
      <c r="AW54" s="1089"/>
      <c r="AX54" s="1089"/>
      <c r="AY54" s="1089"/>
      <c r="AZ54" s="1056"/>
      <c r="BA54" s="1164"/>
      <c r="BB54" s="1164"/>
      <c r="BC54" s="1164"/>
      <c r="BD54" s="1164"/>
      <c r="BE54" s="1164"/>
      <c r="BF54" s="1056"/>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50"/>
      <c r="AI55" s="1040"/>
      <c r="AJ55" s="1089"/>
      <c r="AK55" s="1089"/>
      <c r="AL55" s="1089"/>
      <c r="AM55" s="1089"/>
      <c r="AN55" s="1089"/>
      <c r="AO55" s="1089"/>
      <c r="AP55" s="1089"/>
      <c r="AQ55" s="1089"/>
      <c r="AR55" s="1089"/>
      <c r="AS55" s="1089"/>
      <c r="AT55" s="1089"/>
      <c r="AU55" s="1089"/>
      <c r="AV55" s="1089"/>
      <c r="AW55" s="1089"/>
      <c r="AX55" s="1089"/>
      <c r="AY55" s="1089"/>
      <c r="AZ55" s="1056"/>
      <c r="BA55" s="1164"/>
      <c r="BB55" s="1164"/>
      <c r="BC55" s="1164"/>
      <c r="BD55" s="1164"/>
      <c r="BE55" s="1164"/>
      <c r="BF55" s="1056"/>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8033</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50"/>
      <c r="AI56" s="1040"/>
      <c r="AJ56" s="1088"/>
      <c r="AK56" s="1088" t="s">
        <v>5765</v>
      </c>
      <c r="AL56" s="1088" t="s">
        <v>8034</v>
      </c>
      <c r="AM56" s="1089"/>
      <c r="AN56" s="1089"/>
      <c r="AO56" s="1089"/>
      <c r="AP56" s="1089"/>
      <c r="AQ56" s="1089"/>
      <c r="AR56" s="1089"/>
      <c r="AS56" s="1089"/>
      <c r="AT56" s="1089"/>
      <c r="AU56" s="1089"/>
      <c r="AV56" s="1089"/>
      <c r="AW56" s="1089"/>
      <c r="AX56" s="1089"/>
      <c r="AY56" s="1089"/>
      <c r="AZ56" s="1056"/>
      <c r="BA56" s="1164"/>
      <c r="BB56" s="1164"/>
      <c r="BC56" s="1164"/>
      <c r="BD56" s="1164"/>
      <c r="BE56" s="1164"/>
      <c r="BF56" s="1056"/>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8035</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50"/>
      <c r="AI57" s="1040"/>
      <c r="AJ57" s="1089"/>
      <c r="AK57" s="1089"/>
      <c r="AL57" s="1089"/>
      <c r="AM57" s="1089"/>
      <c r="AN57" s="1089"/>
      <c r="AO57" s="1089"/>
      <c r="AP57" s="1089"/>
      <c r="AQ57" s="1089"/>
      <c r="AR57" s="1089"/>
      <c r="AS57" s="1089"/>
      <c r="AT57" s="1089"/>
      <c r="AU57" s="1089"/>
      <c r="AV57" s="1089"/>
      <c r="AW57" s="1089"/>
      <c r="AX57" s="1089"/>
      <c r="AY57" s="1089"/>
      <c r="AZ57" s="1056"/>
      <c r="BA57" s="1164"/>
      <c r="BB57" s="1164"/>
      <c r="BC57" s="1164"/>
      <c r="BD57" s="1164"/>
      <c r="BE57" s="1164"/>
      <c r="BF57" s="1056"/>
      <c r="BG57" s="1101"/>
      <c r="BH57" s="1099" t="s">
        <v>5335</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8036</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5194</v>
      </c>
      <c r="AC58" s="1136"/>
      <c r="AD58" s="1136"/>
      <c r="AE58" s="1136"/>
      <c r="AF58" s="1136"/>
      <c r="AG58" s="1136"/>
      <c r="AH58" s="1050"/>
      <c r="AI58" s="1040"/>
      <c r="AJ58" s="1089"/>
      <c r="AK58" s="1089"/>
      <c r="AL58" s="1089"/>
      <c r="AM58" s="1089"/>
      <c r="AN58" s="1089"/>
      <c r="AO58" s="1089"/>
      <c r="AP58" s="1089"/>
      <c r="AQ58" s="1089"/>
      <c r="AR58" s="1089"/>
      <c r="AS58" s="1089"/>
      <c r="AT58" s="1089"/>
      <c r="AU58" s="1089"/>
      <c r="AV58" s="1089"/>
      <c r="AW58" s="1089"/>
      <c r="AX58" s="1089"/>
      <c r="AY58" s="1089"/>
      <c r="AZ58" s="1056"/>
      <c r="BA58" s="1164"/>
      <c r="BB58" s="1164"/>
      <c r="BC58" s="1164"/>
      <c r="BD58" s="1164"/>
      <c r="BE58" s="1164"/>
      <c r="BF58" s="1056"/>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8037</v>
      </c>
      <c r="W59" s="1040"/>
      <c r="X59" s="1136"/>
      <c r="Y59" s="1136"/>
      <c r="Z59" s="1136"/>
      <c r="AA59" s="1194"/>
      <c r="AB59" s="1136"/>
      <c r="AC59" s="1136"/>
      <c r="AD59" s="1136"/>
      <c r="AE59" s="1136"/>
      <c r="AF59" s="1136"/>
      <c r="AG59" s="1136"/>
      <c r="AH59" s="1196" t="s">
        <v>8038</v>
      </c>
      <c r="AI59" s="1040"/>
      <c r="AJ59" s="1089"/>
      <c r="AK59" s="1089"/>
      <c r="AL59" s="1089"/>
      <c r="AM59" s="1089"/>
      <c r="AN59" s="1089"/>
      <c r="AO59" s="1089"/>
      <c r="AP59" s="1089"/>
      <c r="AQ59" s="1089"/>
      <c r="AR59" s="1089"/>
      <c r="AS59" s="1089"/>
      <c r="AT59" s="1089"/>
      <c r="AU59" s="1089"/>
      <c r="AV59" s="1089"/>
      <c r="AW59" s="1089"/>
      <c r="AX59" s="1089"/>
      <c r="AY59" s="1089"/>
      <c r="AZ59" s="1056"/>
      <c r="BA59" s="1164"/>
      <c r="BB59" s="1164"/>
      <c r="BC59" s="1164"/>
      <c r="BD59" s="1125" t="s">
        <v>8039</v>
      </c>
      <c r="BE59" s="1164"/>
      <c r="BF59" s="1056"/>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8" t="s">
        <v>4629</v>
      </c>
      <c r="AA60" s="1194"/>
      <c r="AB60" s="1136"/>
      <c r="AC60" s="1136"/>
      <c r="AD60" s="1136"/>
      <c r="AE60" s="1136"/>
      <c r="AF60" s="1136"/>
      <c r="AG60" s="1136"/>
      <c r="AH60" s="1050"/>
      <c r="AI60" s="1040"/>
      <c r="AJ60" s="1089"/>
      <c r="AK60" s="1089"/>
      <c r="AL60" s="1089"/>
      <c r="AM60" s="1089"/>
      <c r="AN60" s="1089"/>
      <c r="AO60" s="1089"/>
      <c r="AP60" s="1089"/>
      <c r="AQ60" s="1089"/>
      <c r="AR60" s="1089"/>
      <c r="AS60" s="1089"/>
      <c r="AT60" s="1089"/>
      <c r="AU60" s="1089"/>
      <c r="AV60" s="1089"/>
      <c r="AW60" s="1089"/>
      <c r="AX60" s="1089"/>
      <c r="AY60" s="1089"/>
      <c r="AZ60" s="1056"/>
      <c r="BA60" s="1164"/>
      <c r="BB60" s="1164"/>
      <c r="BC60" s="1164"/>
      <c r="BD60" s="1164"/>
      <c r="BE60" s="1164"/>
      <c r="BF60" s="1056"/>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8040</v>
      </c>
      <c r="B61" s="1034" t="s">
        <v>332</v>
      </c>
      <c r="C61" s="1030" t="s">
        <v>1262</v>
      </c>
      <c r="D61" s="1031" t="s">
        <v>1262</v>
      </c>
      <c r="E61" s="1032" t="s">
        <v>1262</v>
      </c>
      <c r="F61" s="1033" t="s">
        <v>438</v>
      </c>
      <c r="G61" s="1034" t="s">
        <v>438</v>
      </c>
      <c r="H61" s="1077"/>
      <c r="I61" s="1077"/>
      <c r="J61" s="1077"/>
      <c r="K61" s="1077"/>
      <c r="L61" s="1079" t="s">
        <v>8041</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50"/>
      <c r="AI61" s="1040"/>
      <c r="AJ61" s="1089"/>
      <c r="AK61" s="1089"/>
      <c r="AL61" s="1089"/>
      <c r="AM61" s="1089"/>
      <c r="AN61" s="1089"/>
      <c r="AO61" s="1089"/>
      <c r="AP61" s="1089"/>
      <c r="AQ61" s="1089"/>
      <c r="AR61" s="1089"/>
      <c r="AS61" s="1089"/>
      <c r="AT61" s="1089"/>
      <c r="AU61" s="1089"/>
      <c r="AV61" s="1089"/>
      <c r="AW61" s="1089"/>
      <c r="AX61" s="1089"/>
      <c r="AY61" s="1089"/>
      <c r="AZ61" s="1056"/>
      <c r="BA61" s="1164"/>
      <c r="BB61" s="1164"/>
      <c r="BC61" s="1164"/>
      <c r="BD61" s="1164"/>
      <c r="BE61" s="1164"/>
      <c r="BF61" s="1056"/>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8042</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50"/>
      <c r="AI62" s="1040"/>
      <c r="AJ62" s="1089"/>
      <c r="AK62" s="1089"/>
      <c r="AL62" s="1089"/>
      <c r="AM62" s="1089"/>
      <c r="AN62" s="1089"/>
      <c r="AO62" s="1089"/>
      <c r="AP62" s="1089"/>
      <c r="AQ62" s="1089"/>
      <c r="AR62" s="1089"/>
      <c r="AS62" s="1089"/>
      <c r="AT62" s="1089"/>
      <c r="AU62" s="1089"/>
      <c r="AV62" s="1089"/>
      <c r="AW62" s="1089"/>
      <c r="AX62" s="1089"/>
      <c r="AY62" s="1089"/>
      <c r="AZ62" s="1056"/>
      <c r="BA62" s="1164"/>
      <c r="BB62" s="1164"/>
      <c r="BC62" s="1164"/>
      <c r="BD62" s="1164"/>
      <c r="BE62" s="1164"/>
      <c r="BF62" s="1056"/>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50"/>
      <c r="AI63" s="1040"/>
      <c r="AJ63" s="1089"/>
      <c r="AK63" s="1089"/>
      <c r="AL63" s="1089"/>
      <c r="AM63" s="1089"/>
      <c r="AN63" s="1089"/>
      <c r="AO63" s="1089"/>
      <c r="AP63" s="1089"/>
      <c r="AQ63" s="1089"/>
      <c r="AR63" s="1089"/>
      <c r="AS63" s="1089"/>
      <c r="AT63" s="1089"/>
      <c r="AU63" s="1089"/>
      <c r="AV63" s="1089"/>
      <c r="AW63" s="1089"/>
      <c r="AX63" s="1089"/>
      <c r="AY63" s="1089"/>
      <c r="AZ63" s="1056"/>
      <c r="BA63" s="1164"/>
      <c r="BB63" s="1164"/>
      <c r="BC63" s="1164"/>
      <c r="BD63" s="1164"/>
      <c r="BE63" s="1164"/>
      <c r="BF63" s="1056"/>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50"/>
      <c r="AI64" s="1040"/>
      <c r="AJ64" s="1089"/>
      <c r="AK64" s="1089"/>
      <c r="AL64" s="1089"/>
      <c r="AM64" s="1089"/>
      <c r="AN64" s="1089"/>
      <c r="AO64" s="1089"/>
      <c r="AP64" s="1089"/>
      <c r="AQ64" s="1089"/>
      <c r="AR64" s="1089"/>
      <c r="AS64" s="1089"/>
      <c r="AT64" s="1089"/>
      <c r="AU64" s="1089"/>
      <c r="AV64" s="1089"/>
      <c r="AW64" s="1089"/>
      <c r="AX64" s="1089"/>
      <c r="AY64" s="1089"/>
      <c r="AZ64" s="1056"/>
      <c r="BA64" s="1164"/>
      <c r="BB64" s="1164"/>
      <c r="BC64" s="1164"/>
      <c r="BD64" s="1164"/>
      <c r="BE64" s="1164"/>
      <c r="BF64" s="1056"/>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50"/>
      <c r="AI65" s="1040"/>
      <c r="AJ65" s="1089"/>
      <c r="AK65" s="1089"/>
      <c r="AL65" s="1089"/>
      <c r="AM65" s="1089"/>
      <c r="AN65" s="1089"/>
      <c r="AO65" s="1089"/>
      <c r="AP65" s="1089"/>
      <c r="AQ65" s="1089"/>
      <c r="AR65" s="1089"/>
      <c r="AS65" s="1089"/>
      <c r="AT65" s="1089"/>
      <c r="AU65" s="1089"/>
      <c r="AV65" s="1089"/>
      <c r="AW65" s="1089"/>
      <c r="AX65" s="1089"/>
      <c r="AY65" s="1089"/>
      <c r="AZ65" s="1056"/>
      <c r="BA65" s="1164"/>
      <c r="BB65" s="1164"/>
      <c r="BC65" s="1164"/>
      <c r="BD65" s="1164"/>
      <c r="BE65" s="1164"/>
      <c r="BF65" s="1056"/>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50"/>
      <c r="AI66" s="1040"/>
      <c r="AJ66" s="1089"/>
      <c r="AK66" s="1089"/>
      <c r="AL66" s="1089"/>
      <c r="AM66" s="1089"/>
      <c r="AN66" s="1089"/>
      <c r="AO66" s="1089"/>
      <c r="AP66" s="1089"/>
      <c r="AQ66" s="1089"/>
      <c r="AR66" s="1089"/>
      <c r="AS66" s="1089"/>
      <c r="AT66" s="1089"/>
      <c r="AU66" s="1089"/>
      <c r="AV66" s="1089"/>
      <c r="AW66" s="1089"/>
      <c r="AX66" s="1089"/>
      <c r="AY66" s="1089"/>
      <c r="AZ66" s="1056"/>
      <c r="BA66" s="1164"/>
      <c r="BB66" s="1164"/>
      <c r="BC66" s="1164"/>
      <c r="BD66" s="1164"/>
      <c r="BE66" s="1164"/>
      <c r="BF66" s="1056"/>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50"/>
      <c r="AI67" s="1040"/>
      <c r="AJ67" s="1089"/>
      <c r="AK67" s="1089"/>
      <c r="AL67" s="1089"/>
      <c r="AM67" s="1089"/>
      <c r="AN67" s="1089"/>
      <c r="AO67" s="1089"/>
      <c r="AP67" s="1089"/>
      <c r="AQ67" s="1089"/>
      <c r="AR67" s="1089"/>
      <c r="AS67" s="1089"/>
      <c r="AT67" s="1089"/>
      <c r="AU67" s="1089"/>
      <c r="AV67" s="1089"/>
      <c r="AW67" s="1089"/>
      <c r="AX67" s="1089"/>
      <c r="AY67" s="1089"/>
      <c r="AZ67" s="1056"/>
      <c r="BA67" s="1164"/>
      <c r="BB67" s="1164"/>
      <c r="BC67" s="1164"/>
      <c r="BD67" s="1164"/>
      <c r="BE67" s="1164"/>
      <c r="BF67" s="1056"/>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50"/>
      <c r="AI68" s="1040"/>
      <c r="AJ68" s="1089"/>
      <c r="AK68" s="1089"/>
      <c r="AL68" s="1089"/>
      <c r="AM68" s="1089"/>
      <c r="AN68" s="1089"/>
      <c r="AO68" s="1089"/>
      <c r="AP68" s="1089"/>
      <c r="AQ68" s="1089"/>
      <c r="AR68" s="1089"/>
      <c r="AS68" s="1089"/>
      <c r="AT68" s="1089"/>
      <c r="AU68" s="1089"/>
      <c r="AV68" s="1089"/>
      <c r="AW68" s="1089"/>
      <c r="AX68" s="1089"/>
      <c r="AY68" s="1089"/>
      <c r="AZ68" s="1056"/>
      <c r="BA68" s="1164"/>
      <c r="BB68" s="1164"/>
      <c r="BC68" s="1164"/>
      <c r="BD68" s="1164"/>
      <c r="BE68" s="1164"/>
      <c r="BF68" s="1056"/>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50"/>
      <c r="AI69" s="1040"/>
      <c r="AJ69" s="1089"/>
      <c r="AK69" s="1089"/>
      <c r="AL69" s="1089"/>
      <c r="AM69" s="1089"/>
      <c r="AN69" s="1089"/>
      <c r="AO69" s="1089"/>
      <c r="AP69" s="1089"/>
      <c r="AQ69" s="1089"/>
      <c r="AR69" s="1089"/>
      <c r="AS69" s="1089"/>
      <c r="AT69" s="1089"/>
      <c r="AU69" s="1089"/>
      <c r="AV69" s="1089"/>
      <c r="AW69" s="1089"/>
      <c r="AX69" s="1089"/>
      <c r="AY69" s="1089"/>
      <c r="AZ69" s="1056"/>
      <c r="BA69" s="1164"/>
      <c r="BB69" s="1164"/>
      <c r="BC69" s="1164"/>
      <c r="BD69" s="1164"/>
      <c r="BE69" s="1164"/>
      <c r="BF69" s="1056"/>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50"/>
      <c r="AI70" s="1040"/>
      <c r="AJ70" s="1089"/>
      <c r="AK70" s="1089"/>
      <c r="AL70" s="1089"/>
      <c r="AM70" s="1089"/>
      <c r="AN70" s="1089"/>
      <c r="AO70" s="1089"/>
      <c r="AP70" s="1089"/>
      <c r="AQ70" s="1089"/>
      <c r="AR70" s="1089"/>
      <c r="AS70" s="1089"/>
      <c r="AT70" s="1089"/>
      <c r="AU70" s="1089"/>
      <c r="AV70" s="1089"/>
      <c r="AW70" s="1089"/>
      <c r="AX70" s="1089"/>
      <c r="AY70" s="1089"/>
      <c r="AZ70" s="1056"/>
      <c r="BA70" s="1164"/>
      <c r="BB70" s="1164"/>
      <c r="BC70" s="1164"/>
      <c r="BD70" s="1164"/>
      <c r="BE70" s="1164"/>
      <c r="BF70" s="1056"/>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50"/>
      <c r="AI71" s="1040"/>
      <c r="AJ71" s="1089"/>
      <c r="AK71" s="1089"/>
      <c r="AL71" s="1089"/>
      <c r="AM71" s="1089"/>
      <c r="AN71" s="1089"/>
      <c r="AO71" s="1089"/>
      <c r="AP71" s="1089"/>
      <c r="AQ71" s="1089"/>
      <c r="AR71" s="1089"/>
      <c r="AS71" s="1089"/>
      <c r="AT71" s="1089"/>
      <c r="AU71" s="1089"/>
      <c r="AV71" s="1089"/>
      <c r="AW71" s="1089"/>
      <c r="AX71" s="1089"/>
      <c r="AY71" s="1089"/>
      <c r="AZ71" s="1056"/>
      <c r="BA71" s="1164"/>
      <c r="BB71" s="1164"/>
      <c r="BC71" s="1164"/>
      <c r="BD71" s="1164"/>
      <c r="BE71" s="1164"/>
      <c r="BF71" s="1056"/>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50"/>
      <c r="AI72" s="1040"/>
      <c r="AJ72" s="1089"/>
      <c r="AK72" s="1089"/>
      <c r="AL72" s="1089"/>
      <c r="AM72" s="1089"/>
      <c r="AN72" s="1089"/>
      <c r="AO72" s="1089"/>
      <c r="AP72" s="1089"/>
      <c r="AQ72" s="1089"/>
      <c r="AR72" s="1089"/>
      <c r="AS72" s="1089"/>
      <c r="AT72" s="1089"/>
      <c r="AU72" s="1089"/>
      <c r="AV72" s="1089"/>
      <c r="AW72" s="1089"/>
      <c r="AX72" s="1089"/>
      <c r="AY72" s="1089"/>
      <c r="AZ72" s="1056"/>
      <c r="BA72" s="1164"/>
      <c r="BB72" s="1164"/>
      <c r="BC72" s="1164"/>
      <c r="BD72" s="1164"/>
      <c r="BE72" s="1164"/>
      <c r="BF72" s="1056"/>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50"/>
      <c r="AI73" s="1040"/>
      <c r="AJ73" s="1089"/>
      <c r="AK73" s="1089"/>
      <c r="AL73" s="1089"/>
      <c r="AM73" s="1089"/>
      <c r="AN73" s="1089"/>
      <c r="AO73" s="1089"/>
      <c r="AP73" s="1089"/>
      <c r="AQ73" s="1089"/>
      <c r="AR73" s="1089"/>
      <c r="AS73" s="1089"/>
      <c r="AT73" s="1089"/>
      <c r="AU73" s="1089"/>
      <c r="AV73" s="1089"/>
      <c r="AW73" s="1089"/>
      <c r="AX73" s="1089"/>
      <c r="AY73" s="1089"/>
      <c r="AZ73" s="1056"/>
      <c r="BA73" s="1164"/>
      <c r="BB73" s="1164"/>
      <c r="BC73" s="1164"/>
      <c r="BD73" s="1164"/>
      <c r="BE73" s="1164"/>
      <c r="BF73" s="1056"/>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50"/>
      <c r="AI74" s="1040"/>
      <c r="AJ74" s="1089"/>
      <c r="AK74" s="1089"/>
      <c r="AL74" s="1089"/>
      <c r="AM74" s="1089"/>
      <c r="AN74" s="1089"/>
      <c r="AO74" s="1089"/>
      <c r="AP74" s="1089"/>
      <c r="AQ74" s="1089"/>
      <c r="AR74" s="1089"/>
      <c r="AS74" s="1089"/>
      <c r="AT74" s="1089"/>
      <c r="AU74" s="1089"/>
      <c r="AV74" s="1089"/>
      <c r="AW74" s="1089"/>
      <c r="AX74" s="1089"/>
      <c r="AY74" s="1089"/>
      <c r="AZ74" s="1056"/>
      <c r="BA74" s="1164"/>
      <c r="BB74" s="1164"/>
      <c r="BC74" s="1164"/>
      <c r="BD74" s="1164"/>
      <c r="BE74" s="1164"/>
      <c r="BF74" s="1056"/>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50"/>
      <c r="AI75" s="1040"/>
      <c r="AJ75" s="1089"/>
      <c r="AK75" s="1089"/>
      <c r="AL75" s="1089"/>
      <c r="AM75" s="1089"/>
      <c r="AN75" s="1089"/>
      <c r="AO75" s="1089"/>
      <c r="AP75" s="1089"/>
      <c r="AQ75" s="1089"/>
      <c r="AR75" s="1089"/>
      <c r="AS75" s="1089"/>
      <c r="AT75" s="1089"/>
      <c r="AU75" s="1089"/>
      <c r="AV75" s="1089"/>
      <c r="AW75" s="1089"/>
      <c r="AX75" s="1089"/>
      <c r="AY75" s="1089"/>
      <c r="AZ75" s="1056"/>
      <c r="BA75" s="1164"/>
      <c r="BB75" s="1164"/>
      <c r="BC75" s="1164"/>
      <c r="BD75" s="1164"/>
      <c r="BE75" s="1164"/>
      <c r="BF75" s="1056"/>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50"/>
      <c r="AI76" s="1040"/>
      <c r="AJ76" s="1089"/>
      <c r="AK76" s="1089"/>
      <c r="AL76" s="1089"/>
      <c r="AM76" s="1089"/>
      <c r="AN76" s="1089"/>
      <c r="AO76" s="1089"/>
      <c r="AP76" s="1089"/>
      <c r="AQ76" s="1089"/>
      <c r="AR76" s="1089"/>
      <c r="AS76" s="1089"/>
      <c r="AT76" s="1089"/>
      <c r="AU76" s="1089"/>
      <c r="AV76" s="1089"/>
      <c r="AW76" s="1089"/>
      <c r="AX76" s="1089"/>
      <c r="AY76" s="1089"/>
      <c r="AZ76" s="1056"/>
      <c r="BA76" s="1164"/>
      <c r="BB76" s="1164"/>
      <c r="BC76" s="1164"/>
      <c r="BD76" s="1164"/>
      <c r="BE76" s="1164"/>
      <c r="BF76" s="1056"/>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50"/>
      <c r="AI77" s="1040"/>
      <c r="AJ77" s="1089"/>
      <c r="AK77" s="1089"/>
      <c r="AL77" s="1089"/>
      <c r="AM77" s="1089"/>
      <c r="AN77" s="1089"/>
      <c r="AO77" s="1089"/>
      <c r="AP77" s="1089"/>
      <c r="AQ77" s="1089"/>
      <c r="AR77" s="1089"/>
      <c r="AS77" s="1089"/>
      <c r="AT77" s="1089"/>
      <c r="AU77" s="1089"/>
      <c r="AV77" s="1089"/>
      <c r="AW77" s="1089"/>
      <c r="AX77" s="1089"/>
      <c r="AY77" s="1089"/>
      <c r="AZ77" s="1056"/>
      <c r="BA77" s="1164"/>
      <c r="BB77" s="1164"/>
      <c r="BC77" s="1164"/>
      <c r="BD77" s="1164"/>
      <c r="BE77" s="1164"/>
      <c r="BF77" s="1056"/>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50"/>
      <c r="AI78" s="1040"/>
      <c r="AJ78" s="1089"/>
      <c r="AK78" s="1089"/>
      <c r="AL78" s="1089"/>
      <c r="AM78" s="1089"/>
      <c r="AN78" s="1089"/>
      <c r="AO78" s="1089"/>
      <c r="AP78" s="1089"/>
      <c r="AQ78" s="1089"/>
      <c r="AR78" s="1089"/>
      <c r="AS78" s="1089"/>
      <c r="AT78" s="1089"/>
      <c r="AU78" s="1089"/>
      <c r="AV78" s="1089"/>
      <c r="AW78" s="1089"/>
      <c r="AX78" s="1089"/>
      <c r="AY78" s="1089"/>
      <c r="AZ78" s="1056"/>
      <c r="BA78" s="1164"/>
      <c r="BB78" s="1164"/>
      <c r="BC78" s="1164"/>
      <c r="BD78" s="1164"/>
      <c r="BE78" s="1164"/>
      <c r="BF78" s="1056"/>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50"/>
      <c r="AI79" s="1040"/>
      <c r="AJ79" s="1089"/>
      <c r="AK79" s="1089"/>
      <c r="AL79" s="1089"/>
      <c r="AM79" s="1089"/>
      <c r="AN79" s="1089"/>
      <c r="AO79" s="1089"/>
      <c r="AP79" s="1089"/>
      <c r="AQ79" s="1089"/>
      <c r="AR79" s="1089"/>
      <c r="AS79" s="1089"/>
      <c r="AT79" s="1089"/>
      <c r="AU79" s="1089"/>
      <c r="AV79" s="1089"/>
      <c r="AW79" s="1089"/>
      <c r="AX79" s="1089"/>
      <c r="AY79" s="1089"/>
      <c r="AZ79" s="1056"/>
      <c r="BA79" s="1164"/>
      <c r="BB79" s="1164"/>
      <c r="BC79" s="1164"/>
      <c r="BD79" s="1164"/>
      <c r="BE79" s="1164"/>
      <c r="BF79" s="1056"/>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50"/>
      <c r="AI80" s="1040"/>
      <c r="AJ80" s="1089"/>
      <c r="AK80" s="1089"/>
      <c r="AL80" s="1089"/>
      <c r="AM80" s="1089"/>
      <c r="AN80" s="1089"/>
      <c r="AO80" s="1089"/>
      <c r="AP80" s="1089"/>
      <c r="AQ80" s="1089"/>
      <c r="AR80" s="1089"/>
      <c r="AS80" s="1089"/>
      <c r="AT80" s="1089"/>
      <c r="AU80" s="1089"/>
      <c r="AV80" s="1089"/>
      <c r="AW80" s="1089"/>
      <c r="AX80" s="1089"/>
      <c r="AY80" s="1089"/>
      <c r="AZ80" s="1056"/>
      <c r="BA80" s="1164"/>
      <c r="BB80" s="1164"/>
      <c r="BC80" s="1164"/>
      <c r="BD80" s="1164"/>
      <c r="BE80" s="1164"/>
      <c r="BF80" s="1056"/>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50"/>
      <c r="AI81" s="1040"/>
      <c r="AJ81" s="1089"/>
      <c r="AK81" s="1089"/>
      <c r="AL81" s="1089"/>
      <c r="AM81" s="1089"/>
      <c r="AN81" s="1089"/>
      <c r="AO81" s="1089"/>
      <c r="AP81" s="1089"/>
      <c r="AQ81" s="1089"/>
      <c r="AR81" s="1089"/>
      <c r="AS81" s="1089"/>
      <c r="AT81" s="1089"/>
      <c r="AU81" s="1089"/>
      <c r="AV81" s="1089"/>
      <c r="AW81" s="1089"/>
      <c r="AX81" s="1089"/>
      <c r="AY81" s="1089"/>
      <c r="AZ81" s="1056"/>
      <c r="BA81" s="1164"/>
      <c r="BB81" s="1164"/>
      <c r="BC81" s="1164"/>
      <c r="BD81" s="1164"/>
      <c r="BE81" s="1164"/>
      <c r="BF81" s="1056"/>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50"/>
      <c r="AI82" s="1040"/>
      <c r="AJ82" s="1089"/>
      <c r="AK82" s="1089"/>
      <c r="AL82" s="1089"/>
      <c r="AM82" s="1089"/>
      <c r="AN82" s="1089"/>
      <c r="AO82" s="1089"/>
      <c r="AP82" s="1089"/>
      <c r="AQ82" s="1089"/>
      <c r="AR82" s="1089"/>
      <c r="AS82" s="1089"/>
      <c r="AT82" s="1089"/>
      <c r="AU82" s="1089"/>
      <c r="AV82" s="1089"/>
      <c r="AW82" s="1089"/>
      <c r="AX82" s="1089"/>
      <c r="AY82" s="1089"/>
      <c r="AZ82" s="1056"/>
      <c r="BA82" s="1164"/>
      <c r="BB82" s="1164"/>
      <c r="BC82" s="1164"/>
      <c r="BD82" s="1164"/>
      <c r="BE82" s="1164"/>
      <c r="BF82" s="1056"/>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50"/>
      <c r="AI83" s="1040"/>
      <c r="AJ83" s="1089"/>
      <c r="AK83" s="1089"/>
      <c r="AL83" s="1089"/>
      <c r="AM83" s="1089"/>
      <c r="AN83" s="1089"/>
      <c r="AO83" s="1089"/>
      <c r="AP83" s="1089"/>
      <c r="AQ83" s="1089"/>
      <c r="AR83" s="1089"/>
      <c r="AS83" s="1089"/>
      <c r="AT83" s="1089"/>
      <c r="AU83" s="1089"/>
      <c r="AV83" s="1089"/>
      <c r="AW83" s="1089"/>
      <c r="AX83" s="1089"/>
      <c r="AY83" s="1089"/>
      <c r="AZ83" s="1056"/>
      <c r="BA83" s="1164"/>
      <c r="BB83" s="1164"/>
      <c r="BC83" s="1164"/>
      <c r="BD83" s="1164"/>
      <c r="BE83" s="1164"/>
      <c r="BF83" s="1056"/>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50"/>
      <c r="AI84" s="1040"/>
      <c r="AJ84" s="1089"/>
      <c r="AK84" s="1089"/>
      <c r="AL84" s="1089"/>
      <c r="AM84" s="1089"/>
      <c r="AN84" s="1089"/>
      <c r="AO84" s="1089"/>
      <c r="AP84" s="1089"/>
      <c r="AQ84" s="1089"/>
      <c r="AR84" s="1089"/>
      <c r="AS84" s="1089"/>
      <c r="AT84" s="1089"/>
      <c r="AU84" s="1089"/>
      <c r="AV84" s="1089"/>
      <c r="AW84" s="1089"/>
      <c r="AX84" s="1089"/>
      <c r="AY84" s="1089"/>
      <c r="AZ84" s="1056"/>
      <c r="BA84" s="1164"/>
      <c r="BB84" s="1164"/>
      <c r="BC84" s="1164"/>
      <c r="BD84" s="1164"/>
      <c r="BE84" s="1164"/>
      <c r="BF84" s="1056"/>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50"/>
      <c r="AI85" s="1040"/>
      <c r="AJ85" s="1089"/>
      <c r="AK85" s="1089"/>
      <c r="AL85" s="1089"/>
      <c r="AM85" s="1089"/>
      <c r="AN85" s="1089"/>
      <c r="AO85" s="1089"/>
      <c r="AP85" s="1089"/>
      <c r="AQ85" s="1089"/>
      <c r="AR85" s="1089"/>
      <c r="AS85" s="1089"/>
      <c r="AT85" s="1089"/>
      <c r="AU85" s="1089"/>
      <c r="AV85" s="1089"/>
      <c r="AW85" s="1089"/>
      <c r="AX85" s="1089"/>
      <c r="AY85" s="1089"/>
      <c r="AZ85" s="1056"/>
      <c r="BA85" s="1164"/>
      <c r="BB85" s="1164"/>
      <c r="BC85" s="1164"/>
      <c r="BD85" s="1164"/>
      <c r="BE85" s="1164"/>
      <c r="BF85" s="1056"/>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50"/>
      <c r="AI86" s="1040"/>
      <c r="AJ86" s="1089"/>
      <c r="AK86" s="1089"/>
      <c r="AL86" s="1089"/>
      <c r="AM86" s="1089"/>
      <c r="AN86" s="1089"/>
      <c r="AO86" s="1089"/>
      <c r="AP86" s="1089"/>
      <c r="AQ86" s="1089"/>
      <c r="AR86" s="1089"/>
      <c r="AS86" s="1089"/>
      <c r="AT86" s="1089"/>
      <c r="AU86" s="1089"/>
      <c r="AV86" s="1089"/>
      <c r="AW86" s="1089"/>
      <c r="AX86" s="1089"/>
      <c r="AY86" s="1089"/>
      <c r="AZ86" s="1056"/>
      <c r="BA86" s="1164"/>
      <c r="BB86" s="1164"/>
      <c r="BC86" s="1164"/>
      <c r="BD86" s="1164"/>
      <c r="BE86" s="1164"/>
      <c r="BF86" s="1056"/>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50"/>
      <c r="AI87" s="1040"/>
      <c r="AJ87" s="1089"/>
      <c r="AK87" s="1089"/>
      <c r="AL87" s="1089"/>
      <c r="AM87" s="1089"/>
      <c r="AN87" s="1089"/>
      <c r="AO87" s="1089"/>
      <c r="AP87" s="1089"/>
      <c r="AQ87" s="1089"/>
      <c r="AR87" s="1089"/>
      <c r="AS87" s="1089"/>
      <c r="AT87" s="1089"/>
      <c r="AU87" s="1089"/>
      <c r="AV87" s="1089"/>
      <c r="AW87" s="1089"/>
      <c r="AX87" s="1089"/>
      <c r="AY87" s="1089"/>
      <c r="AZ87" s="1056"/>
      <c r="BA87" s="1164"/>
      <c r="BB87" s="1164"/>
      <c r="BC87" s="1164"/>
      <c r="BD87" s="1164"/>
      <c r="BE87" s="1164"/>
      <c r="BF87" s="1056"/>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50"/>
      <c r="AI88" s="1040"/>
      <c r="AJ88" s="1089"/>
      <c r="AK88" s="1089"/>
      <c r="AL88" s="1089"/>
      <c r="AM88" s="1089"/>
      <c r="AN88" s="1089"/>
      <c r="AO88" s="1089"/>
      <c r="AP88" s="1089"/>
      <c r="AQ88" s="1089"/>
      <c r="AR88" s="1089"/>
      <c r="AS88" s="1089"/>
      <c r="AT88" s="1089"/>
      <c r="AU88" s="1089"/>
      <c r="AV88" s="1089"/>
      <c r="AW88" s="1089"/>
      <c r="AX88" s="1089"/>
      <c r="AY88" s="1089"/>
      <c r="AZ88" s="1056"/>
      <c r="BA88" s="1164"/>
      <c r="BB88" s="1164"/>
      <c r="BC88" s="1164"/>
      <c r="BD88" s="1164"/>
      <c r="BE88" s="1164"/>
      <c r="BF88" s="1056"/>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50"/>
      <c r="AI89" s="1040"/>
      <c r="AJ89" s="1089"/>
      <c r="AK89" s="1089"/>
      <c r="AL89" s="1089"/>
      <c r="AM89" s="1089"/>
      <c r="AN89" s="1089"/>
      <c r="AO89" s="1089"/>
      <c r="AP89" s="1089"/>
      <c r="AQ89" s="1089"/>
      <c r="AR89" s="1089"/>
      <c r="AS89" s="1089"/>
      <c r="AT89" s="1089"/>
      <c r="AU89" s="1089"/>
      <c r="AV89" s="1089"/>
      <c r="AW89" s="1089"/>
      <c r="AX89" s="1089"/>
      <c r="AY89" s="1089"/>
      <c r="AZ89" s="1056"/>
      <c r="BA89" s="1164"/>
      <c r="BB89" s="1164"/>
      <c r="BC89" s="1164"/>
      <c r="BD89" s="1164"/>
      <c r="BE89" s="1164"/>
      <c r="BF89" s="1056"/>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50"/>
      <c r="AI90" s="1040"/>
      <c r="AJ90" s="1089"/>
      <c r="AK90" s="1089"/>
      <c r="AL90" s="1089"/>
      <c r="AM90" s="1089"/>
      <c r="AN90" s="1089"/>
      <c r="AO90" s="1089"/>
      <c r="AP90" s="1089"/>
      <c r="AQ90" s="1089"/>
      <c r="AR90" s="1089"/>
      <c r="AS90" s="1089"/>
      <c r="AT90" s="1089"/>
      <c r="AU90" s="1089"/>
      <c r="AV90" s="1089"/>
      <c r="AW90" s="1089"/>
      <c r="AX90" s="1089"/>
      <c r="AY90" s="1089"/>
      <c r="AZ90" s="1056"/>
      <c r="BA90" s="1164"/>
      <c r="BB90" s="1164"/>
      <c r="BC90" s="1164"/>
      <c r="BD90" s="1164"/>
      <c r="BE90" s="1164"/>
      <c r="BF90" s="1056"/>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50"/>
      <c r="AI91" s="1040"/>
      <c r="AJ91" s="1089"/>
      <c r="AK91" s="1089"/>
      <c r="AL91" s="1089"/>
      <c r="AM91" s="1089"/>
      <c r="AN91" s="1089"/>
      <c r="AO91" s="1089"/>
      <c r="AP91" s="1089"/>
      <c r="AQ91" s="1089"/>
      <c r="AR91" s="1089"/>
      <c r="AS91" s="1089"/>
      <c r="AT91" s="1089"/>
      <c r="AU91" s="1089"/>
      <c r="AV91" s="1089"/>
      <c r="AW91" s="1089"/>
      <c r="AX91" s="1089"/>
      <c r="AY91" s="1089"/>
      <c r="AZ91" s="1056"/>
      <c r="BA91" s="1164"/>
      <c r="BB91" s="1164"/>
      <c r="BC91" s="1164"/>
      <c r="BD91" s="1164"/>
      <c r="BE91" s="1164"/>
      <c r="BF91" s="1056"/>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50"/>
      <c r="AI92" s="1040"/>
      <c r="AJ92" s="1089"/>
      <c r="AK92" s="1089"/>
      <c r="AL92" s="1089"/>
      <c r="AM92" s="1089"/>
      <c r="AN92" s="1089"/>
      <c r="AO92" s="1089"/>
      <c r="AP92" s="1089"/>
      <c r="AQ92" s="1089"/>
      <c r="AR92" s="1089"/>
      <c r="AS92" s="1089"/>
      <c r="AT92" s="1089"/>
      <c r="AU92" s="1089"/>
      <c r="AV92" s="1089"/>
      <c r="AW92" s="1089"/>
      <c r="AX92" s="1089"/>
      <c r="AY92" s="1089"/>
      <c r="AZ92" s="1056"/>
      <c r="BA92" s="1164"/>
      <c r="BB92" s="1164"/>
      <c r="BC92" s="1164"/>
      <c r="BD92" s="1164"/>
      <c r="BE92" s="1164"/>
      <c r="BF92" s="1056"/>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50"/>
      <c r="AI93" s="1040"/>
      <c r="AJ93" s="1089"/>
      <c r="AK93" s="1089"/>
      <c r="AL93" s="1089"/>
      <c r="AM93" s="1089"/>
      <c r="AN93" s="1089"/>
      <c r="AO93" s="1089"/>
      <c r="AP93" s="1089"/>
      <c r="AQ93" s="1089"/>
      <c r="AR93" s="1089"/>
      <c r="AS93" s="1089"/>
      <c r="AT93" s="1089"/>
      <c r="AU93" s="1089"/>
      <c r="AV93" s="1089"/>
      <c r="AW93" s="1089"/>
      <c r="AX93" s="1089"/>
      <c r="AY93" s="1089"/>
      <c r="AZ93" s="1056"/>
      <c r="BA93" s="1164"/>
      <c r="BB93" s="1164"/>
      <c r="BC93" s="1164"/>
      <c r="BD93" s="1164"/>
      <c r="BE93" s="1164"/>
      <c r="BF93" s="1056"/>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50"/>
      <c r="AI94" s="1040"/>
      <c r="AJ94" s="1089"/>
      <c r="AK94" s="1089"/>
      <c r="AL94" s="1089"/>
      <c r="AM94" s="1089"/>
      <c r="AN94" s="1089"/>
      <c r="AO94" s="1089"/>
      <c r="AP94" s="1089"/>
      <c r="AQ94" s="1089"/>
      <c r="AR94" s="1089"/>
      <c r="AS94" s="1089"/>
      <c r="AT94" s="1089"/>
      <c r="AU94" s="1089"/>
      <c r="AV94" s="1089"/>
      <c r="AW94" s="1089"/>
      <c r="AX94" s="1089"/>
      <c r="AY94" s="1089"/>
      <c r="AZ94" s="1056"/>
      <c r="BA94" s="1164"/>
      <c r="BB94" s="1164"/>
      <c r="BC94" s="1164"/>
      <c r="BD94" s="1164"/>
      <c r="BE94" s="1164"/>
      <c r="BF94" s="1056"/>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50"/>
      <c r="AI95" s="1040"/>
      <c r="AJ95" s="1089"/>
      <c r="AK95" s="1089"/>
      <c r="AL95" s="1089"/>
      <c r="AM95" s="1089"/>
      <c r="AN95" s="1089"/>
      <c r="AO95" s="1089"/>
      <c r="AP95" s="1089"/>
      <c r="AQ95" s="1089"/>
      <c r="AR95" s="1089"/>
      <c r="AS95" s="1089"/>
      <c r="AT95" s="1089"/>
      <c r="AU95" s="1089"/>
      <c r="AV95" s="1089"/>
      <c r="AW95" s="1089"/>
      <c r="AX95" s="1089"/>
      <c r="AY95" s="1089"/>
      <c r="AZ95" s="1056"/>
      <c r="BA95" s="1164"/>
      <c r="BB95" s="1164"/>
      <c r="BC95" s="1164"/>
      <c r="BD95" s="1164"/>
      <c r="BE95" s="1164"/>
      <c r="BF95" s="1056"/>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50"/>
      <c r="AI96" s="1040"/>
      <c r="AJ96" s="1089"/>
      <c r="AK96" s="1089"/>
      <c r="AL96" s="1089"/>
      <c r="AM96" s="1089"/>
      <c r="AN96" s="1089"/>
      <c r="AO96" s="1089"/>
      <c r="AP96" s="1089"/>
      <c r="AQ96" s="1089"/>
      <c r="AR96" s="1089"/>
      <c r="AS96" s="1089"/>
      <c r="AT96" s="1089"/>
      <c r="AU96" s="1089"/>
      <c r="AV96" s="1089"/>
      <c r="AW96" s="1089"/>
      <c r="AX96" s="1089"/>
      <c r="AY96" s="1089"/>
      <c r="AZ96" s="1056"/>
      <c r="BA96" s="1164"/>
      <c r="BB96" s="1164"/>
      <c r="BC96" s="1164"/>
      <c r="BD96" s="1164"/>
      <c r="BE96" s="1164"/>
      <c r="BF96" s="1056"/>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50"/>
      <c r="AI97" s="1040"/>
      <c r="AJ97" s="1089"/>
      <c r="AK97" s="1089"/>
      <c r="AL97" s="1089"/>
      <c r="AM97" s="1089"/>
      <c r="AN97" s="1089"/>
      <c r="AO97" s="1089"/>
      <c r="AP97" s="1089"/>
      <c r="AQ97" s="1089"/>
      <c r="AR97" s="1089"/>
      <c r="AS97" s="1089"/>
      <c r="AT97" s="1089"/>
      <c r="AU97" s="1089"/>
      <c r="AV97" s="1089"/>
      <c r="AW97" s="1089"/>
      <c r="AX97" s="1089"/>
      <c r="AY97" s="1089"/>
      <c r="AZ97" s="1056"/>
      <c r="BA97" s="1164"/>
      <c r="BB97" s="1164"/>
      <c r="BC97" s="1164"/>
      <c r="BD97" s="1164"/>
      <c r="BE97" s="1164"/>
      <c r="BF97" s="1056"/>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50"/>
      <c r="AI98" s="1040"/>
      <c r="AJ98" s="1089"/>
      <c r="AK98" s="1089"/>
      <c r="AL98" s="1089"/>
      <c r="AM98" s="1089"/>
      <c r="AN98" s="1089"/>
      <c r="AO98" s="1089"/>
      <c r="AP98" s="1089"/>
      <c r="AQ98" s="1089"/>
      <c r="AR98" s="1089"/>
      <c r="AS98" s="1089"/>
      <c r="AT98" s="1089"/>
      <c r="AU98" s="1089"/>
      <c r="AV98" s="1089"/>
      <c r="AW98" s="1089"/>
      <c r="AX98" s="1089"/>
      <c r="AY98" s="1089"/>
      <c r="AZ98" s="1056"/>
      <c r="BA98" s="1164"/>
      <c r="BB98" s="1164"/>
      <c r="BC98" s="1164"/>
      <c r="BD98" s="1164"/>
      <c r="BE98" s="1164"/>
      <c r="BF98" s="1056"/>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50"/>
      <c r="AI99" s="1040"/>
      <c r="AJ99" s="1089"/>
      <c r="AK99" s="1089"/>
      <c r="AL99" s="1089"/>
      <c r="AM99" s="1089"/>
      <c r="AN99" s="1089"/>
      <c r="AO99" s="1089"/>
      <c r="AP99" s="1089"/>
      <c r="AQ99" s="1089"/>
      <c r="AR99" s="1089"/>
      <c r="AS99" s="1089"/>
      <c r="AT99" s="1089"/>
      <c r="AU99" s="1089"/>
      <c r="AV99" s="1089"/>
      <c r="AW99" s="1089"/>
      <c r="AX99" s="1089"/>
      <c r="AY99" s="1089"/>
      <c r="AZ99" s="1056"/>
      <c r="BA99" s="1164"/>
      <c r="BB99" s="1164"/>
      <c r="BC99" s="1164"/>
      <c r="BD99" s="1164"/>
      <c r="BE99" s="1164"/>
      <c r="BF99" s="1056"/>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50"/>
      <c r="AI100" s="1040"/>
      <c r="AJ100" s="1089"/>
      <c r="AK100" s="1089"/>
      <c r="AL100" s="1089"/>
      <c r="AM100" s="1089"/>
      <c r="AN100" s="1089"/>
      <c r="AO100" s="1089"/>
      <c r="AP100" s="1089"/>
      <c r="AQ100" s="1089"/>
      <c r="AR100" s="1089"/>
      <c r="AS100" s="1089"/>
      <c r="AT100" s="1089"/>
      <c r="AU100" s="1089"/>
      <c r="AV100" s="1089"/>
      <c r="AW100" s="1089"/>
      <c r="AX100" s="1089"/>
      <c r="AY100" s="1089"/>
      <c r="AZ100" s="1056"/>
      <c r="BA100" s="1164"/>
      <c r="BB100" s="1164"/>
      <c r="BC100" s="1164"/>
      <c r="BD100" s="1164"/>
      <c r="BE100" s="1164"/>
      <c r="BF100" s="1056"/>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50"/>
      <c r="AI101" s="1040"/>
      <c r="AJ101" s="1089"/>
      <c r="AK101" s="1089"/>
      <c r="AL101" s="1089"/>
      <c r="AM101" s="1089"/>
      <c r="AN101" s="1089"/>
      <c r="AO101" s="1089"/>
      <c r="AP101" s="1089"/>
      <c r="AQ101" s="1089"/>
      <c r="AR101" s="1089"/>
      <c r="AS101" s="1089"/>
      <c r="AT101" s="1089"/>
      <c r="AU101" s="1089"/>
      <c r="AV101" s="1089"/>
      <c r="AW101" s="1089"/>
      <c r="AX101" s="1089"/>
      <c r="AY101" s="1089"/>
      <c r="AZ101" s="1056"/>
      <c r="BA101" s="1164"/>
      <c r="BB101" s="1164"/>
      <c r="BC101" s="1164"/>
      <c r="BD101" s="1164"/>
      <c r="BE101" s="1164"/>
      <c r="BF101" s="1056"/>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50"/>
      <c r="AI102" s="1040"/>
      <c r="AJ102" s="1089"/>
      <c r="AK102" s="1089"/>
      <c r="AL102" s="1089"/>
      <c r="AM102" s="1089"/>
      <c r="AN102" s="1089"/>
      <c r="AO102" s="1089"/>
      <c r="AP102" s="1089"/>
      <c r="AQ102" s="1089"/>
      <c r="AR102" s="1089"/>
      <c r="AS102" s="1089"/>
      <c r="AT102" s="1089"/>
      <c r="AU102" s="1089"/>
      <c r="AV102" s="1089"/>
      <c r="AW102" s="1089"/>
      <c r="AX102" s="1089"/>
      <c r="AY102" s="1089"/>
      <c r="AZ102" s="1056"/>
      <c r="BA102" s="1164"/>
      <c r="BB102" s="1164"/>
      <c r="BC102" s="1164"/>
      <c r="BD102" s="1164"/>
      <c r="BE102" s="1164"/>
      <c r="BF102" s="1056"/>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50"/>
      <c r="AI103" s="1040"/>
      <c r="AJ103" s="1089"/>
      <c r="AK103" s="1089"/>
      <c r="AL103" s="1089"/>
      <c r="AM103" s="1089"/>
      <c r="AN103" s="1089"/>
      <c r="AO103" s="1089"/>
      <c r="AP103" s="1089"/>
      <c r="AQ103" s="1089"/>
      <c r="AR103" s="1089"/>
      <c r="AS103" s="1089"/>
      <c r="AT103" s="1089"/>
      <c r="AU103" s="1089"/>
      <c r="AV103" s="1089"/>
      <c r="AW103" s="1089"/>
      <c r="AX103" s="1089"/>
      <c r="AY103" s="1089"/>
      <c r="AZ103" s="1056"/>
      <c r="BA103" s="1164"/>
      <c r="BB103" s="1164"/>
      <c r="BC103" s="1164"/>
      <c r="BD103" s="1164"/>
      <c r="BE103" s="1164"/>
      <c r="BF103" s="1056"/>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50"/>
      <c r="AI104" s="1040"/>
      <c r="AJ104" s="1089"/>
      <c r="AK104" s="1089"/>
      <c r="AL104" s="1089"/>
      <c r="AM104" s="1089"/>
      <c r="AN104" s="1089"/>
      <c r="AO104" s="1089"/>
      <c r="AP104" s="1089"/>
      <c r="AQ104" s="1089"/>
      <c r="AR104" s="1089"/>
      <c r="AS104" s="1089"/>
      <c r="AT104" s="1089"/>
      <c r="AU104" s="1089"/>
      <c r="AV104" s="1089"/>
      <c r="AW104" s="1089"/>
      <c r="AX104" s="1089"/>
      <c r="AY104" s="1089"/>
      <c r="AZ104" s="1056"/>
      <c r="BA104" s="1164"/>
      <c r="BB104" s="1164"/>
      <c r="BC104" s="1164"/>
      <c r="BD104" s="1164"/>
      <c r="BE104" s="1164"/>
      <c r="BF104" s="1056"/>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50"/>
      <c r="AI105" s="1040"/>
      <c r="AJ105" s="1089"/>
      <c r="AK105" s="1089"/>
      <c r="AL105" s="1089"/>
      <c r="AM105" s="1089"/>
      <c r="AN105" s="1089"/>
      <c r="AO105" s="1089"/>
      <c r="AP105" s="1089"/>
      <c r="AQ105" s="1089"/>
      <c r="AR105" s="1089"/>
      <c r="AS105" s="1089"/>
      <c r="AT105" s="1089"/>
      <c r="AU105" s="1089"/>
      <c r="AV105" s="1089"/>
      <c r="AW105" s="1089"/>
      <c r="AX105" s="1089"/>
      <c r="AY105" s="1089"/>
      <c r="AZ105" s="1056"/>
      <c r="BA105" s="1164"/>
      <c r="BB105" s="1164"/>
      <c r="BC105" s="1164"/>
      <c r="BD105" s="1164"/>
      <c r="BE105" s="1164"/>
      <c r="BF105" s="1056"/>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50"/>
      <c r="AI106" s="1040"/>
      <c r="AJ106" s="1089"/>
      <c r="AK106" s="1089"/>
      <c r="AL106" s="1089"/>
      <c r="AM106" s="1089"/>
      <c r="AN106" s="1089"/>
      <c r="AO106" s="1089"/>
      <c r="AP106" s="1089"/>
      <c r="AQ106" s="1089"/>
      <c r="AR106" s="1089"/>
      <c r="AS106" s="1089"/>
      <c r="AT106" s="1089"/>
      <c r="AU106" s="1089"/>
      <c r="AV106" s="1089"/>
      <c r="AW106" s="1089"/>
      <c r="AX106" s="1089"/>
      <c r="AY106" s="1089"/>
      <c r="AZ106" s="1056"/>
      <c r="BA106" s="1164"/>
      <c r="BB106" s="1164"/>
      <c r="BC106" s="1164"/>
      <c r="BD106" s="1164"/>
      <c r="BE106" s="1164"/>
      <c r="BF106" s="1056"/>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50"/>
      <c r="AI107" s="1040"/>
      <c r="AJ107" s="1089"/>
      <c r="AK107" s="1089"/>
      <c r="AL107" s="1089"/>
      <c r="AM107" s="1089"/>
      <c r="AN107" s="1089"/>
      <c r="AO107" s="1089"/>
      <c r="AP107" s="1089"/>
      <c r="AQ107" s="1089"/>
      <c r="AR107" s="1089"/>
      <c r="AS107" s="1089"/>
      <c r="AT107" s="1089"/>
      <c r="AU107" s="1089"/>
      <c r="AV107" s="1089"/>
      <c r="AW107" s="1089"/>
      <c r="AX107" s="1089"/>
      <c r="AY107" s="1089"/>
      <c r="AZ107" s="1056"/>
      <c r="BA107" s="1164"/>
      <c r="BB107" s="1164"/>
      <c r="BC107" s="1164"/>
      <c r="BD107" s="1164"/>
      <c r="BE107" s="1164"/>
      <c r="BF107" s="1056"/>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50"/>
      <c r="AI108" s="1040"/>
      <c r="AJ108" s="1089"/>
      <c r="AK108" s="1089"/>
      <c r="AL108" s="1089"/>
      <c r="AM108" s="1089"/>
      <c r="AN108" s="1089"/>
      <c r="AO108" s="1089"/>
      <c r="AP108" s="1089"/>
      <c r="AQ108" s="1089"/>
      <c r="AR108" s="1089"/>
      <c r="AS108" s="1089"/>
      <c r="AT108" s="1089"/>
      <c r="AU108" s="1089"/>
      <c r="AV108" s="1089"/>
      <c r="AW108" s="1089"/>
      <c r="AX108" s="1089"/>
      <c r="AY108" s="1089"/>
      <c r="AZ108" s="1056"/>
      <c r="BA108" s="1164"/>
      <c r="BB108" s="1164"/>
      <c r="BC108" s="1164"/>
      <c r="BD108" s="1164"/>
      <c r="BE108" s="1164"/>
      <c r="BF108" s="1056"/>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50"/>
      <c r="AI109" s="1040"/>
      <c r="AJ109" s="1089"/>
      <c r="AK109" s="1089"/>
      <c r="AL109" s="1089"/>
      <c r="AM109" s="1089"/>
      <c r="AN109" s="1089"/>
      <c r="AO109" s="1089"/>
      <c r="AP109" s="1089"/>
      <c r="AQ109" s="1089"/>
      <c r="AR109" s="1089"/>
      <c r="AS109" s="1089"/>
      <c r="AT109" s="1089"/>
      <c r="AU109" s="1089"/>
      <c r="AV109" s="1089"/>
      <c r="AW109" s="1089"/>
      <c r="AX109" s="1089"/>
      <c r="AY109" s="1089"/>
      <c r="AZ109" s="1056"/>
      <c r="BA109" s="1164"/>
      <c r="BB109" s="1164"/>
      <c r="BC109" s="1164"/>
      <c r="BD109" s="1164"/>
      <c r="BE109" s="1164"/>
      <c r="BF109" s="1056"/>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50"/>
      <c r="AI110" s="1040"/>
      <c r="AJ110" s="1089"/>
      <c r="AK110" s="1089"/>
      <c r="AL110" s="1089"/>
      <c r="AM110" s="1089"/>
      <c r="AN110" s="1089"/>
      <c r="AO110" s="1089"/>
      <c r="AP110" s="1089"/>
      <c r="AQ110" s="1089"/>
      <c r="AR110" s="1089"/>
      <c r="AS110" s="1089"/>
      <c r="AT110" s="1089"/>
      <c r="AU110" s="1089"/>
      <c r="AV110" s="1089"/>
      <c r="AW110" s="1089"/>
      <c r="AX110" s="1089"/>
      <c r="AY110" s="1089"/>
      <c r="AZ110" s="1056"/>
      <c r="BA110" s="1164"/>
      <c r="BB110" s="1164"/>
      <c r="BC110" s="1164"/>
      <c r="BD110" s="1164"/>
      <c r="BE110" s="1164"/>
      <c r="BF110" s="1056"/>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50"/>
      <c r="AI111" s="1040"/>
      <c r="AJ111" s="1089"/>
      <c r="AK111" s="1089"/>
      <c r="AL111" s="1089"/>
      <c r="AM111" s="1089"/>
      <c r="AN111" s="1089"/>
      <c r="AO111" s="1089"/>
      <c r="AP111" s="1089"/>
      <c r="AQ111" s="1089"/>
      <c r="AR111" s="1089"/>
      <c r="AS111" s="1089"/>
      <c r="AT111" s="1089"/>
      <c r="AU111" s="1089"/>
      <c r="AV111" s="1089"/>
      <c r="AW111" s="1089"/>
      <c r="AX111" s="1089"/>
      <c r="AY111" s="1089"/>
      <c r="AZ111" s="1056"/>
      <c r="BA111" s="1164"/>
      <c r="BB111" s="1164"/>
      <c r="BC111" s="1164"/>
      <c r="BD111" s="1164"/>
      <c r="BE111" s="1164"/>
      <c r="BF111" s="1056"/>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50"/>
      <c r="AI112" s="1040"/>
      <c r="AJ112" s="1089"/>
      <c r="AK112" s="1089"/>
      <c r="AL112" s="1089"/>
      <c r="AM112" s="1089"/>
      <c r="AN112" s="1089"/>
      <c r="AO112" s="1089"/>
      <c r="AP112" s="1089"/>
      <c r="AQ112" s="1089"/>
      <c r="AR112" s="1089"/>
      <c r="AS112" s="1089"/>
      <c r="AT112" s="1089"/>
      <c r="AU112" s="1089"/>
      <c r="AV112" s="1089"/>
      <c r="AW112" s="1089"/>
      <c r="AX112" s="1089"/>
      <c r="AY112" s="1089"/>
      <c r="AZ112" s="1056"/>
      <c r="BA112" s="1164"/>
      <c r="BB112" s="1164"/>
      <c r="BC112" s="1164"/>
      <c r="BD112" s="1164"/>
      <c r="BE112" s="1164"/>
      <c r="BF112" s="1056"/>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50"/>
      <c r="AI113" s="1040"/>
      <c r="AJ113" s="1089"/>
      <c r="AK113" s="1089"/>
      <c r="AL113" s="1089"/>
      <c r="AM113" s="1089"/>
      <c r="AN113" s="1089"/>
      <c r="AO113" s="1089"/>
      <c r="AP113" s="1089"/>
      <c r="AQ113" s="1089"/>
      <c r="AR113" s="1089"/>
      <c r="AS113" s="1089"/>
      <c r="AT113" s="1089"/>
      <c r="AU113" s="1089"/>
      <c r="AV113" s="1089"/>
      <c r="AW113" s="1089"/>
      <c r="AX113" s="1089"/>
      <c r="AY113" s="1089"/>
      <c r="AZ113" s="1056"/>
      <c r="BA113" s="1164"/>
      <c r="BB113" s="1164"/>
      <c r="BC113" s="1164"/>
      <c r="BD113" s="1164"/>
      <c r="BE113" s="1164"/>
      <c r="BF113" s="1056"/>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50"/>
      <c r="AI114" s="1040"/>
      <c r="AJ114" s="1089"/>
      <c r="AK114" s="1089"/>
      <c r="AL114" s="1089"/>
      <c r="AM114" s="1089"/>
      <c r="AN114" s="1089"/>
      <c r="AO114" s="1089"/>
      <c r="AP114" s="1089"/>
      <c r="AQ114" s="1089"/>
      <c r="AR114" s="1089"/>
      <c r="AS114" s="1089"/>
      <c r="AT114" s="1089"/>
      <c r="AU114" s="1089"/>
      <c r="AV114" s="1089"/>
      <c r="AW114" s="1089"/>
      <c r="AX114" s="1089"/>
      <c r="AY114" s="1089"/>
      <c r="AZ114" s="1056"/>
      <c r="BA114" s="1164"/>
      <c r="BB114" s="1164"/>
      <c r="BC114" s="1164"/>
      <c r="BD114" s="1164"/>
      <c r="BE114" s="1164"/>
      <c r="BF114" s="1056"/>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50"/>
      <c r="AI115" s="1040"/>
      <c r="AJ115" s="1089"/>
      <c r="AK115" s="1089"/>
      <c r="AL115" s="1089"/>
      <c r="AM115" s="1089"/>
      <c r="AN115" s="1089"/>
      <c r="AO115" s="1089"/>
      <c r="AP115" s="1089"/>
      <c r="AQ115" s="1089"/>
      <c r="AR115" s="1089"/>
      <c r="AS115" s="1089"/>
      <c r="AT115" s="1089"/>
      <c r="AU115" s="1089"/>
      <c r="AV115" s="1089"/>
      <c r="AW115" s="1089"/>
      <c r="AX115" s="1089"/>
      <c r="AY115" s="1089"/>
      <c r="AZ115" s="1056"/>
      <c r="BA115" s="1164"/>
      <c r="BB115" s="1164"/>
      <c r="BC115" s="1164"/>
      <c r="BD115" s="1164"/>
      <c r="BE115" s="1164"/>
      <c r="BF115" s="1056"/>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50"/>
      <c r="AI116" s="1040"/>
      <c r="AJ116" s="1089"/>
      <c r="AK116" s="1089"/>
      <c r="AL116" s="1089"/>
      <c r="AM116" s="1089"/>
      <c r="AN116" s="1089"/>
      <c r="AO116" s="1089"/>
      <c r="AP116" s="1089"/>
      <c r="AQ116" s="1089"/>
      <c r="AR116" s="1089"/>
      <c r="AS116" s="1089"/>
      <c r="AT116" s="1089"/>
      <c r="AU116" s="1089"/>
      <c r="AV116" s="1089"/>
      <c r="AW116" s="1089"/>
      <c r="AX116" s="1089"/>
      <c r="AY116" s="1089"/>
      <c r="AZ116" s="1056"/>
      <c r="BA116" s="1164"/>
      <c r="BB116" s="1164"/>
      <c r="BC116" s="1164"/>
      <c r="BD116" s="1164"/>
      <c r="BE116" s="1164"/>
      <c r="BF116" s="1056"/>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50"/>
      <c r="AI117" s="1040"/>
      <c r="AJ117" s="1089"/>
      <c r="AK117" s="1089"/>
      <c r="AL117" s="1089"/>
      <c r="AM117" s="1089"/>
      <c r="AN117" s="1089"/>
      <c r="AO117" s="1089"/>
      <c r="AP117" s="1089"/>
      <c r="AQ117" s="1089"/>
      <c r="AR117" s="1089"/>
      <c r="AS117" s="1089"/>
      <c r="AT117" s="1089"/>
      <c r="AU117" s="1089"/>
      <c r="AV117" s="1089"/>
      <c r="AW117" s="1089"/>
      <c r="AX117" s="1089"/>
      <c r="AY117" s="1089"/>
      <c r="AZ117" s="1056"/>
      <c r="BA117" s="1164"/>
      <c r="BB117" s="1164"/>
      <c r="BC117" s="1164"/>
      <c r="BD117" s="1164"/>
      <c r="BE117" s="1164"/>
      <c r="BF117" s="1056"/>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50"/>
      <c r="AI118" s="1040"/>
      <c r="AJ118" s="1089"/>
      <c r="AK118" s="1089"/>
      <c r="AL118" s="1089"/>
      <c r="AM118" s="1089"/>
      <c r="AN118" s="1089"/>
      <c r="AO118" s="1089"/>
      <c r="AP118" s="1089"/>
      <c r="AQ118" s="1089"/>
      <c r="AR118" s="1089"/>
      <c r="AS118" s="1089"/>
      <c r="AT118" s="1089"/>
      <c r="AU118" s="1089"/>
      <c r="AV118" s="1089"/>
      <c r="AW118" s="1089"/>
      <c r="AX118" s="1089"/>
      <c r="AY118" s="1089"/>
      <c r="AZ118" s="1056"/>
      <c r="BA118" s="1164"/>
      <c r="BB118" s="1164"/>
      <c r="BC118" s="1164"/>
      <c r="BD118" s="1164"/>
      <c r="BE118" s="1164"/>
      <c r="BF118" s="1056"/>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50"/>
      <c r="AI119" s="1040"/>
      <c r="AJ119" s="1089"/>
      <c r="AK119" s="1089"/>
      <c r="AL119" s="1089"/>
      <c r="AM119" s="1089"/>
      <c r="AN119" s="1089"/>
      <c r="AO119" s="1089"/>
      <c r="AP119" s="1089"/>
      <c r="AQ119" s="1089"/>
      <c r="AR119" s="1089"/>
      <c r="AS119" s="1089"/>
      <c r="AT119" s="1089"/>
      <c r="AU119" s="1089"/>
      <c r="AV119" s="1089"/>
      <c r="AW119" s="1089"/>
      <c r="AX119" s="1089"/>
      <c r="AY119" s="1089"/>
      <c r="AZ119" s="1056"/>
      <c r="BA119" s="1164"/>
      <c r="BB119" s="1164"/>
      <c r="BC119" s="1164"/>
      <c r="BD119" s="1164"/>
      <c r="BE119" s="1164"/>
      <c r="BF119" s="1056"/>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50"/>
      <c r="AI120" s="1040"/>
      <c r="AJ120" s="1089"/>
      <c r="AK120" s="1089"/>
      <c r="AL120" s="1089"/>
      <c r="AM120" s="1089"/>
      <c r="AN120" s="1089"/>
      <c r="AO120" s="1089"/>
      <c r="AP120" s="1089"/>
      <c r="AQ120" s="1089"/>
      <c r="AR120" s="1089"/>
      <c r="AS120" s="1089"/>
      <c r="AT120" s="1089"/>
      <c r="AU120" s="1089"/>
      <c r="AV120" s="1089"/>
      <c r="AW120" s="1089"/>
      <c r="AX120" s="1089"/>
      <c r="AY120" s="1089"/>
      <c r="AZ120" s="1056"/>
      <c r="BA120" s="1164"/>
      <c r="BB120" s="1164"/>
      <c r="BC120" s="1164"/>
      <c r="BD120" s="1164"/>
      <c r="BE120" s="1164"/>
      <c r="BF120" s="1056"/>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50"/>
      <c r="AI121" s="1040"/>
      <c r="AJ121" s="1089"/>
      <c r="AK121" s="1089"/>
      <c r="AL121" s="1089"/>
      <c r="AM121" s="1089"/>
      <c r="AN121" s="1089"/>
      <c r="AO121" s="1089"/>
      <c r="AP121" s="1089"/>
      <c r="AQ121" s="1089"/>
      <c r="AR121" s="1089"/>
      <c r="AS121" s="1089"/>
      <c r="AT121" s="1089"/>
      <c r="AU121" s="1089"/>
      <c r="AV121" s="1089"/>
      <c r="AW121" s="1089"/>
      <c r="AX121" s="1089"/>
      <c r="AY121" s="1089"/>
      <c r="AZ121" s="1056"/>
      <c r="BA121" s="1164"/>
      <c r="BB121" s="1164"/>
      <c r="BC121" s="1164"/>
      <c r="BD121" s="1164"/>
      <c r="BE121" s="1164"/>
      <c r="BF121" s="1056"/>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50"/>
      <c r="AI122" s="1040"/>
      <c r="AJ122" s="1089"/>
      <c r="AK122" s="1089"/>
      <c r="AL122" s="1089"/>
      <c r="AM122" s="1089"/>
      <c r="AN122" s="1089"/>
      <c r="AO122" s="1089"/>
      <c r="AP122" s="1089"/>
      <c r="AQ122" s="1089"/>
      <c r="AR122" s="1089"/>
      <c r="AS122" s="1089"/>
      <c r="AT122" s="1089"/>
      <c r="AU122" s="1089"/>
      <c r="AV122" s="1089"/>
      <c r="AW122" s="1089"/>
      <c r="AX122" s="1089"/>
      <c r="AY122" s="1089"/>
      <c r="AZ122" s="1056"/>
      <c r="BA122" s="1164"/>
      <c r="BB122" s="1164"/>
      <c r="BC122" s="1164"/>
      <c r="BD122" s="1164"/>
      <c r="BE122" s="1164"/>
      <c r="BF122" s="1056"/>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50"/>
      <c r="AI123" s="1040"/>
      <c r="AJ123" s="1089"/>
      <c r="AK123" s="1089"/>
      <c r="AL123" s="1089"/>
      <c r="AM123" s="1089"/>
      <c r="AN123" s="1089"/>
      <c r="AO123" s="1089"/>
      <c r="AP123" s="1089"/>
      <c r="AQ123" s="1089"/>
      <c r="AR123" s="1089"/>
      <c r="AS123" s="1089"/>
      <c r="AT123" s="1089"/>
      <c r="AU123" s="1089"/>
      <c r="AV123" s="1089"/>
      <c r="AW123" s="1089"/>
      <c r="AX123" s="1089"/>
      <c r="AY123" s="1089"/>
      <c r="AZ123" s="1056"/>
      <c r="BA123" s="1164"/>
      <c r="BB123" s="1164"/>
      <c r="BC123" s="1164"/>
      <c r="BD123" s="1164"/>
      <c r="BE123" s="1164"/>
      <c r="BF123" s="1056"/>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50"/>
      <c r="AI124" s="1040"/>
      <c r="AJ124" s="1089"/>
      <c r="AK124" s="1089"/>
      <c r="AL124" s="1089"/>
      <c r="AM124" s="1089"/>
      <c r="AN124" s="1089"/>
      <c r="AO124" s="1089"/>
      <c r="AP124" s="1089"/>
      <c r="AQ124" s="1089"/>
      <c r="AR124" s="1089"/>
      <c r="AS124" s="1089"/>
      <c r="AT124" s="1089"/>
      <c r="AU124" s="1089"/>
      <c r="AV124" s="1089"/>
      <c r="AW124" s="1089"/>
      <c r="AX124" s="1089"/>
      <c r="AY124" s="1089"/>
      <c r="AZ124" s="1056"/>
      <c r="BA124" s="1164"/>
      <c r="BB124" s="1164"/>
      <c r="BC124" s="1164"/>
      <c r="BD124" s="1164"/>
      <c r="BE124" s="1164"/>
      <c r="BF124" s="1056"/>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50"/>
      <c r="AI125" s="1040"/>
      <c r="AJ125" s="1089"/>
      <c r="AK125" s="1089"/>
      <c r="AL125" s="1089"/>
      <c r="AM125" s="1089"/>
      <c r="AN125" s="1089"/>
      <c r="AO125" s="1089"/>
      <c r="AP125" s="1089"/>
      <c r="AQ125" s="1089"/>
      <c r="AR125" s="1089"/>
      <c r="AS125" s="1089"/>
      <c r="AT125" s="1089"/>
      <c r="AU125" s="1089"/>
      <c r="AV125" s="1089"/>
      <c r="AW125" s="1089"/>
      <c r="AX125" s="1089"/>
      <c r="AY125" s="1089"/>
      <c r="AZ125" s="1056"/>
      <c r="BA125" s="1164"/>
      <c r="BB125" s="1164"/>
      <c r="BC125" s="1164"/>
      <c r="BD125" s="1164"/>
      <c r="BE125" s="1164"/>
      <c r="BF125" s="1056"/>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50"/>
      <c r="AI126" s="1040"/>
      <c r="AJ126" s="1089"/>
      <c r="AK126" s="1089"/>
      <c r="AL126" s="1089"/>
      <c r="AM126" s="1089"/>
      <c r="AN126" s="1089"/>
      <c r="AO126" s="1089"/>
      <c r="AP126" s="1089"/>
      <c r="AQ126" s="1089"/>
      <c r="AR126" s="1089"/>
      <c r="AS126" s="1089"/>
      <c r="AT126" s="1089"/>
      <c r="AU126" s="1089"/>
      <c r="AV126" s="1089"/>
      <c r="AW126" s="1089"/>
      <c r="AX126" s="1089"/>
      <c r="AY126" s="1089"/>
      <c r="AZ126" s="1056"/>
      <c r="BA126" s="1164"/>
      <c r="BB126" s="1164"/>
      <c r="BC126" s="1164"/>
      <c r="BD126" s="1164"/>
      <c r="BE126" s="1164"/>
      <c r="BF126" s="1056"/>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50"/>
      <c r="AI127" s="1040"/>
      <c r="AJ127" s="1089"/>
      <c r="AK127" s="1089"/>
      <c r="AL127" s="1089"/>
      <c r="AM127" s="1089"/>
      <c r="AN127" s="1089"/>
      <c r="AO127" s="1089"/>
      <c r="AP127" s="1089"/>
      <c r="AQ127" s="1089"/>
      <c r="AR127" s="1089"/>
      <c r="AS127" s="1089"/>
      <c r="AT127" s="1089"/>
      <c r="AU127" s="1089"/>
      <c r="AV127" s="1089"/>
      <c r="AW127" s="1089"/>
      <c r="AX127" s="1089"/>
      <c r="AY127" s="1089"/>
      <c r="AZ127" s="1056"/>
      <c r="BA127" s="1164"/>
      <c r="BB127" s="1164"/>
      <c r="BC127" s="1164"/>
      <c r="BD127" s="1164"/>
      <c r="BE127" s="1164"/>
      <c r="BF127" s="1056"/>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50"/>
      <c r="AI128" s="1040"/>
      <c r="AJ128" s="1089"/>
      <c r="AK128" s="1089"/>
      <c r="AL128" s="1089"/>
      <c r="AM128" s="1089"/>
      <c r="AN128" s="1089"/>
      <c r="AO128" s="1089"/>
      <c r="AP128" s="1089"/>
      <c r="AQ128" s="1089"/>
      <c r="AR128" s="1089"/>
      <c r="AS128" s="1089"/>
      <c r="AT128" s="1089"/>
      <c r="AU128" s="1089"/>
      <c r="AV128" s="1089"/>
      <c r="AW128" s="1089"/>
      <c r="AX128" s="1089"/>
      <c r="AY128" s="1089"/>
      <c r="AZ128" s="1056"/>
      <c r="BA128" s="1164"/>
      <c r="BB128" s="1164"/>
      <c r="BC128" s="1164"/>
      <c r="BD128" s="1164"/>
      <c r="BE128" s="1164"/>
      <c r="BF128" s="1056"/>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50"/>
      <c r="AI129" s="1040"/>
      <c r="AJ129" s="1089"/>
      <c r="AK129" s="1089"/>
      <c r="AL129" s="1089"/>
      <c r="AM129" s="1089"/>
      <c r="AN129" s="1089"/>
      <c r="AO129" s="1089"/>
      <c r="AP129" s="1089"/>
      <c r="AQ129" s="1089"/>
      <c r="AR129" s="1089"/>
      <c r="AS129" s="1089"/>
      <c r="AT129" s="1089"/>
      <c r="AU129" s="1089"/>
      <c r="AV129" s="1089"/>
      <c r="AW129" s="1089"/>
      <c r="AX129" s="1089"/>
      <c r="AY129" s="1089"/>
      <c r="AZ129" s="1056"/>
      <c r="BA129" s="1164"/>
      <c r="BB129" s="1164"/>
      <c r="BC129" s="1164"/>
      <c r="BD129" s="1164"/>
      <c r="BE129" s="1164"/>
      <c r="BF129" s="1056"/>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50"/>
      <c r="AI130" s="1040"/>
      <c r="AJ130" s="1089"/>
      <c r="AK130" s="1089"/>
      <c r="AL130" s="1089"/>
      <c r="AM130" s="1089"/>
      <c r="AN130" s="1089"/>
      <c r="AO130" s="1089"/>
      <c r="AP130" s="1089"/>
      <c r="AQ130" s="1089"/>
      <c r="AR130" s="1089"/>
      <c r="AS130" s="1089"/>
      <c r="AT130" s="1089"/>
      <c r="AU130" s="1089"/>
      <c r="AV130" s="1089"/>
      <c r="AW130" s="1089"/>
      <c r="AX130" s="1089"/>
      <c r="AY130" s="1089"/>
      <c r="AZ130" s="1056"/>
      <c r="BA130" s="1164"/>
      <c r="BB130" s="1164"/>
      <c r="BC130" s="1164"/>
      <c r="BD130" s="1164"/>
      <c r="BE130" s="1164"/>
      <c r="BF130" s="1056"/>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50"/>
      <c r="AI131" s="1040"/>
      <c r="AJ131" s="1089"/>
      <c r="AK131" s="1089"/>
      <c r="AL131" s="1089"/>
      <c r="AM131" s="1089"/>
      <c r="AN131" s="1089"/>
      <c r="AO131" s="1089"/>
      <c r="AP131" s="1089"/>
      <c r="AQ131" s="1089"/>
      <c r="AR131" s="1089"/>
      <c r="AS131" s="1089"/>
      <c r="AT131" s="1089"/>
      <c r="AU131" s="1089"/>
      <c r="AV131" s="1089"/>
      <c r="AW131" s="1089"/>
      <c r="AX131" s="1089"/>
      <c r="AY131" s="1089"/>
      <c r="AZ131" s="1056"/>
      <c r="BA131" s="1164"/>
      <c r="BB131" s="1164"/>
      <c r="BC131" s="1164"/>
      <c r="BD131" s="1164"/>
      <c r="BE131" s="1164"/>
      <c r="BF131" s="1056"/>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50"/>
      <c r="AI132" s="1040"/>
      <c r="AJ132" s="1089"/>
      <c r="AK132" s="1089"/>
      <c r="AL132" s="1089"/>
      <c r="AM132" s="1089"/>
      <c r="AN132" s="1089"/>
      <c r="AO132" s="1089"/>
      <c r="AP132" s="1089"/>
      <c r="AQ132" s="1089"/>
      <c r="AR132" s="1089"/>
      <c r="AS132" s="1089"/>
      <c r="AT132" s="1089"/>
      <c r="AU132" s="1089"/>
      <c r="AV132" s="1089"/>
      <c r="AW132" s="1089"/>
      <c r="AX132" s="1089"/>
      <c r="AY132" s="1089"/>
      <c r="AZ132" s="1056"/>
      <c r="BA132" s="1164"/>
      <c r="BB132" s="1164"/>
      <c r="BC132" s="1164"/>
      <c r="BD132" s="1164"/>
      <c r="BE132" s="1164"/>
      <c r="BF132" s="1056"/>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50"/>
      <c r="AI133" s="1040"/>
      <c r="AJ133" s="1089"/>
      <c r="AK133" s="1089"/>
      <c r="AL133" s="1089"/>
      <c r="AM133" s="1089"/>
      <c r="AN133" s="1089"/>
      <c r="AO133" s="1089"/>
      <c r="AP133" s="1089"/>
      <c r="AQ133" s="1089"/>
      <c r="AR133" s="1089"/>
      <c r="AS133" s="1089"/>
      <c r="AT133" s="1089"/>
      <c r="AU133" s="1089"/>
      <c r="AV133" s="1089"/>
      <c r="AW133" s="1089"/>
      <c r="AX133" s="1089"/>
      <c r="AY133" s="1089"/>
      <c r="AZ133" s="1056"/>
      <c r="BA133" s="1164"/>
      <c r="BB133" s="1164"/>
      <c r="BC133" s="1164"/>
      <c r="BD133" s="1164"/>
      <c r="BE133" s="1164"/>
      <c r="BF133" s="1056"/>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50"/>
      <c r="AI134" s="1040"/>
      <c r="AJ134" s="1089"/>
      <c r="AK134" s="1089"/>
      <c r="AL134" s="1089"/>
      <c r="AM134" s="1089"/>
      <c r="AN134" s="1089"/>
      <c r="AO134" s="1089"/>
      <c r="AP134" s="1089"/>
      <c r="AQ134" s="1089"/>
      <c r="AR134" s="1089"/>
      <c r="AS134" s="1089"/>
      <c r="AT134" s="1089"/>
      <c r="AU134" s="1089"/>
      <c r="AV134" s="1089"/>
      <c r="AW134" s="1089"/>
      <c r="AX134" s="1089"/>
      <c r="AY134" s="1089"/>
      <c r="AZ134" s="1056"/>
      <c r="BA134" s="1164"/>
      <c r="BB134" s="1164"/>
      <c r="BC134" s="1164"/>
      <c r="BD134" s="1164"/>
      <c r="BE134" s="1164"/>
      <c r="BF134" s="1056"/>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50"/>
      <c r="AI135" s="1040"/>
      <c r="AJ135" s="1089"/>
      <c r="AK135" s="1089"/>
      <c r="AL135" s="1089"/>
      <c r="AM135" s="1089"/>
      <c r="AN135" s="1089"/>
      <c r="AO135" s="1089"/>
      <c r="AP135" s="1089"/>
      <c r="AQ135" s="1089"/>
      <c r="AR135" s="1089"/>
      <c r="AS135" s="1089"/>
      <c r="AT135" s="1089"/>
      <c r="AU135" s="1089"/>
      <c r="AV135" s="1089"/>
      <c r="AW135" s="1089"/>
      <c r="AX135" s="1089"/>
      <c r="AY135" s="1089"/>
      <c r="AZ135" s="1056"/>
      <c r="BA135" s="1164"/>
      <c r="BB135" s="1164"/>
      <c r="BC135" s="1164"/>
      <c r="BD135" s="1164"/>
      <c r="BE135" s="1164"/>
      <c r="BF135" s="1056"/>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50"/>
      <c r="AI136" s="1040"/>
      <c r="AJ136" s="1089"/>
      <c r="AK136" s="1089"/>
      <c r="AL136" s="1089"/>
      <c r="AM136" s="1089"/>
      <c r="AN136" s="1089"/>
      <c r="AO136" s="1089"/>
      <c r="AP136" s="1089"/>
      <c r="AQ136" s="1089"/>
      <c r="AR136" s="1089"/>
      <c r="AS136" s="1089"/>
      <c r="AT136" s="1089"/>
      <c r="AU136" s="1089"/>
      <c r="AV136" s="1089"/>
      <c r="AW136" s="1089"/>
      <c r="AX136" s="1089"/>
      <c r="AY136" s="1089"/>
      <c r="AZ136" s="1056"/>
      <c r="BA136" s="1164"/>
      <c r="BB136" s="1164"/>
      <c r="BC136" s="1164"/>
      <c r="BD136" s="1164"/>
      <c r="BE136" s="1164"/>
      <c r="BF136" s="1056"/>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50"/>
      <c r="AI137" s="1040"/>
      <c r="AJ137" s="1089"/>
      <c r="AK137" s="1089"/>
      <c r="AL137" s="1089"/>
      <c r="AM137" s="1089"/>
      <c r="AN137" s="1089"/>
      <c r="AO137" s="1089"/>
      <c r="AP137" s="1089"/>
      <c r="AQ137" s="1089"/>
      <c r="AR137" s="1089"/>
      <c r="AS137" s="1089"/>
      <c r="AT137" s="1089"/>
      <c r="AU137" s="1089"/>
      <c r="AV137" s="1089"/>
      <c r="AW137" s="1089"/>
      <c r="AX137" s="1089"/>
      <c r="AY137" s="1089"/>
      <c r="AZ137" s="1056"/>
      <c r="BA137" s="1164"/>
      <c r="BB137" s="1164"/>
      <c r="BC137" s="1164"/>
      <c r="BD137" s="1164"/>
      <c r="BE137" s="1164"/>
      <c r="BF137" s="1056"/>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50"/>
      <c r="AI138" s="1040"/>
      <c r="AJ138" s="1089"/>
      <c r="AK138" s="1089"/>
      <c r="AL138" s="1089"/>
      <c r="AM138" s="1089"/>
      <c r="AN138" s="1089"/>
      <c r="AO138" s="1089"/>
      <c r="AP138" s="1089"/>
      <c r="AQ138" s="1089"/>
      <c r="AR138" s="1089"/>
      <c r="AS138" s="1089"/>
      <c r="AT138" s="1089"/>
      <c r="AU138" s="1089"/>
      <c r="AV138" s="1089"/>
      <c r="AW138" s="1089"/>
      <c r="AX138" s="1089"/>
      <c r="AY138" s="1089"/>
      <c r="AZ138" s="1056"/>
      <c r="BA138" s="1164"/>
      <c r="BB138" s="1164"/>
      <c r="BC138" s="1164"/>
      <c r="BD138" s="1164"/>
      <c r="BE138" s="1164"/>
      <c r="BF138" s="1056"/>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50"/>
      <c r="AI139" s="1040"/>
      <c r="AJ139" s="1089"/>
      <c r="AK139" s="1089"/>
      <c r="AL139" s="1089"/>
      <c r="AM139" s="1089"/>
      <c r="AN139" s="1089"/>
      <c r="AO139" s="1089"/>
      <c r="AP139" s="1089"/>
      <c r="AQ139" s="1089"/>
      <c r="AR139" s="1089"/>
      <c r="AS139" s="1089"/>
      <c r="AT139" s="1089"/>
      <c r="AU139" s="1089"/>
      <c r="AV139" s="1089"/>
      <c r="AW139" s="1089"/>
      <c r="AX139" s="1089"/>
      <c r="AY139" s="1089"/>
      <c r="AZ139" s="1056"/>
      <c r="BA139" s="1164"/>
      <c r="BB139" s="1164"/>
      <c r="BC139" s="1164"/>
      <c r="BD139" s="1164"/>
      <c r="BE139" s="1164"/>
      <c r="BF139" s="1056"/>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50"/>
      <c r="AI140" s="1040"/>
      <c r="AJ140" s="1089"/>
      <c r="AK140" s="1089"/>
      <c r="AL140" s="1089"/>
      <c r="AM140" s="1089"/>
      <c r="AN140" s="1089"/>
      <c r="AO140" s="1089"/>
      <c r="AP140" s="1089"/>
      <c r="AQ140" s="1089"/>
      <c r="AR140" s="1089"/>
      <c r="AS140" s="1089"/>
      <c r="AT140" s="1089"/>
      <c r="AU140" s="1089"/>
      <c r="AV140" s="1089"/>
      <c r="AW140" s="1089"/>
      <c r="AX140" s="1089"/>
      <c r="AY140" s="1089"/>
      <c r="AZ140" s="1056"/>
      <c r="BA140" s="1164"/>
      <c r="BB140" s="1164"/>
      <c r="BC140" s="1164"/>
      <c r="BD140" s="1164"/>
      <c r="BE140" s="1164"/>
      <c r="BF140" s="1056"/>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50"/>
      <c r="AI141" s="1040"/>
      <c r="AJ141" s="1089"/>
      <c r="AK141" s="1089"/>
      <c r="AL141" s="1089"/>
      <c r="AM141" s="1089"/>
      <c r="AN141" s="1089"/>
      <c r="AO141" s="1089"/>
      <c r="AP141" s="1089"/>
      <c r="AQ141" s="1089"/>
      <c r="AR141" s="1089"/>
      <c r="AS141" s="1089"/>
      <c r="AT141" s="1089"/>
      <c r="AU141" s="1089"/>
      <c r="AV141" s="1089"/>
      <c r="AW141" s="1089"/>
      <c r="AX141" s="1089"/>
      <c r="AY141" s="1089"/>
      <c r="AZ141" s="1056"/>
      <c r="BA141" s="1164"/>
      <c r="BB141" s="1164"/>
      <c r="BC141" s="1164"/>
      <c r="BD141" s="1164"/>
      <c r="BE141" s="1164"/>
      <c r="BF141" s="1056"/>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50"/>
      <c r="AI142" s="1040"/>
      <c r="AJ142" s="1089"/>
      <c r="AK142" s="1089"/>
      <c r="AL142" s="1089"/>
      <c r="AM142" s="1089"/>
      <c r="AN142" s="1089"/>
      <c r="AO142" s="1089"/>
      <c r="AP142" s="1089"/>
      <c r="AQ142" s="1089"/>
      <c r="AR142" s="1089"/>
      <c r="AS142" s="1089"/>
      <c r="AT142" s="1089"/>
      <c r="AU142" s="1089"/>
      <c r="AV142" s="1089"/>
      <c r="AW142" s="1089"/>
      <c r="AX142" s="1089"/>
      <c r="AY142" s="1089"/>
      <c r="AZ142" s="1056"/>
      <c r="BA142" s="1164"/>
      <c r="BB142" s="1164"/>
      <c r="BC142" s="1164"/>
      <c r="BD142" s="1164"/>
      <c r="BE142" s="1164"/>
      <c r="BF142" s="1056"/>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50"/>
      <c r="AI143" s="1040"/>
      <c r="AJ143" s="1089"/>
      <c r="AK143" s="1089"/>
      <c r="AL143" s="1089"/>
      <c r="AM143" s="1089"/>
      <c r="AN143" s="1089"/>
      <c r="AO143" s="1089"/>
      <c r="AP143" s="1089"/>
      <c r="AQ143" s="1089"/>
      <c r="AR143" s="1089"/>
      <c r="AS143" s="1089"/>
      <c r="AT143" s="1089"/>
      <c r="AU143" s="1089"/>
      <c r="AV143" s="1089"/>
      <c r="AW143" s="1089"/>
      <c r="AX143" s="1089"/>
      <c r="AY143" s="1089"/>
      <c r="AZ143" s="1056"/>
      <c r="BA143" s="1164"/>
      <c r="BB143" s="1164"/>
      <c r="BC143" s="1164"/>
      <c r="BD143" s="1164"/>
      <c r="BE143" s="1164"/>
      <c r="BF143" s="1056"/>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50"/>
      <c r="AI144" s="1040"/>
      <c r="AJ144" s="1089"/>
      <c r="AK144" s="1089"/>
      <c r="AL144" s="1089"/>
      <c r="AM144" s="1089"/>
      <c r="AN144" s="1089"/>
      <c r="AO144" s="1089"/>
      <c r="AP144" s="1089"/>
      <c r="AQ144" s="1089"/>
      <c r="AR144" s="1089"/>
      <c r="AS144" s="1089"/>
      <c r="AT144" s="1089"/>
      <c r="AU144" s="1089"/>
      <c r="AV144" s="1089"/>
      <c r="AW144" s="1089"/>
      <c r="AX144" s="1089"/>
      <c r="AY144" s="1089"/>
      <c r="AZ144" s="1056"/>
      <c r="BA144" s="1164"/>
      <c r="BB144" s="1164"/>
      <c r="BC144" s="1164"/>
      <c r="BD144" s="1164"/>
      <c r="BE144" s="1164"/>
      <c r="BF144" s="1056"/>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50"/>
      <c r="AI145" s="1040"/>
      <c r="AJ145" s="1089"/>
      <c r="AK145" s="1089"/>
      <c r="AL145" s="1089"/>
      <c r="AM145" s="1089"/>
      <c r="AN145" s="1089"/>
      <c r="AO145" s="1089"/>
      <c r="AP145" s="1089"/>
      <c r="AQ145" s="1089"/>
      <c r="AR145" s="1089"/>
      <c r="AS145" s="1089"/>
      <c r="AT145" s="1089"/>
      <c r="AU145" s="1089"/>
      <c r="AV145" s="1089"/>
      <c r="AW145" s="1089"/>
      <c r="AX145" s="1089"/>
      <c r="AY145" s="1089"/>
      <c r="AZ145" s="1056"/>
      <c r="BA145" s="1164"/>
      <c r="BB145" s="1164"/>
      <c r="BC145" s="1164"/>
      <c r="BD145" s="1164"/>
      <c r="BE145" s="1164"/>
      <c r="BF145" s="1056"/>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50"/>
      <c r="AI146" s="1040"/>
      <c r="AJ146" s="1089"/>
      <c r="AK146" s="1089"/>
      <c r="AL146" s="1089"/>
      <c r="AM146" s="1089"/>
      <c r="AN146" s="1089"/>
      <c r="AO146" s="1089"/>
      <c r="AP146" s="1089"/>
      <c r="AQ146" s="1089"/>
      <c r="AR146" s="1089"/>
      <c r="AS146" s="1089"/>
      <c r="AT146" s="1089"/>
      <c r="AU146" s="1089"/>
      <c r="AV146" s="1089"/>
      <c r="AW146" s="1089"/>
      <c r="AX146" s="1089"/>
      <c r="AY146" s="1089"/>
      <c r="AZ146" s="1056"/>
      <c r="BA146" s="1164"/>
      <c r="BB146" s="1164"/>
      <c r="BC146" s="1164"/>
      <c r="BD146" s="1164"/>
      <c r="BE146" s="1164"/>
      <c r="BF146" s="1056"/>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50"/>
      <c r="AI147" s="1040"/>
      <c r="AJ147" s="1089"/>
      <c r="AK147" s="1089"/>
      <c r="AL147" s="1089"/>
      <c r="AM147" s="1089"/>
      <c r="AN147" s="1089"/>
      <c r="AO147" s="1089"/>
      <c r="AP147" s="1089"/>
      <c r="AQ147" s="1089"/>
      <c r="AR147" s="1089"/>
      <c r="AS147" s="1089"/>
      <c r="AT147" s="1089"/>
      <c r="AU147" s="1089"/>
      <c r="AV147" s="1089"/>
      <c r="AW147" s="1089"/>
      <c r="AX147" s="1089"/>
      <c r="AY147" s="1089"/>
      <c r="AZ147" s="1056"/>
      <c r="BA147" s="1164"/>
      <c r="BB147" s="1164"/>
      <c r="BC147" s="1164"/>
      <c r="BD147" s="1164"/>
      <c r="BE147" s="1164"/>
      <c r="BF147" s="1056"/>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50"/>
      <c r="AI148" s="1040"/>
      <c r="AJ148" s="1089"/>
      <c r="AK148" s="1089"/>
      <c r="AL148" s="1089"/>
      <c r="AM148" s="1089"/>
      <c r="AN148" s="1089"/>
      <c r="AO148" s="1089"/>
      <c r="AP148" s="1089"/>
      <c r="AQ148" s="1089"/>
      <c r="AR148" s="1089"/>
      <c r="AS148" s="1089"/>
      <c r="AT148" s="1089"/>
      <c r="AU148" s="1089"/>
      <c r="AV148" s="1089"/>
      <c r="AW148" s="1089"/>
      <c r="AX148" s="1089"/>
      <c r="AY148" s="1089"/>
      <c r="AZ148" s="1056"/>
      <c r="BA148" s="1164"/>
      <c r="BB148" s="1164"/>
      <c r="BC148" s="1164"/>
      <c r="BD148" s="1164"/>
      <c r="BE148" s="1164"/>
      <c r="BF148" s="1056"/>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50"/>
      <c r="AI149" s="1040"/>
      <c r="AJ149" s="1089"/>
      <c r="AK149" s="1089"/>
      <c r="AL149" s="1089"/>
      <c r="AM149" s="1089"/>
      <c r="AN149" s="1089"/>
      <c r="AO149" s="1089"/>
      <c r="AP149" s="1089"/>
      <c r="AQ149" s="1089"/>
      <c r="AR149" s="1089"/>
      <c r="AS149" s="1089"/>
      <c r="AT149" s="1089"/>
      <c r="AU149" s="1089"/>
      <c r="AV149" s="1089"/>
      <c r="AW149" s="1089"/>
      <c r="AX149" s="1089"/>
      <c r="AY149" s="1089"/>
      <c r="AZ149" s="1056"/>
      <c r="BA149" s="1164"/>
      <c r="BB149" s="1164"/>
      <c r="BC149" s="1164"/>
      <c r="BD149" s="1164"/>
      <c r="BE149" s="1164"/>
      <c r="BF149" s="1056"/>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50"/>
      <c r="AI150" s="1040"/>
      <c r="AJ150" s="1089"/>
      <c r="AK150" s="1089"/>
      <c r="AL150" s="1089"/>
      <c r="AM150" s="1089"/>
      <c r="AN150" s="1089"/>
      <c r="AO150" s="1089"/>
      <c r="AP150" s="1089"/>
      <c r="AQ150" s="1089"/>
      <c r="AR150" s="1089"/>
      <c r="AS150" s="1089"/>
      <c r="AT150" s="1089"/>
      <c r="AU150" s="1089"/>
      <c r="AV150" s="1089"/>
      <c r="AW150" s="1089"/>
      <c r="AX150" s="1089"/>
      <c r="AY150" s="1089"/>
      <c r="AZ150" s="1056"/>
      <c r="BA150" s="1164"/>
      <c r="BB150" s="1164"/>
      <c r="BC150" s="1164"/>
      <c r="BD150" s="1164"/>
      <c r="BE150" s="1164"/>
      <c r="BF150" s="1056"/>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50"/>
      <c r="AI151" s="1040"/>
      <c r="AJ151" s="1089"/>
      <c r="AK151" s="1089"/>
      <c r="AL151" s="1089"/>
      <c r="AM151" s="1089"/>
      <c r="AN151" s="1089"/>
      <c r="AO151" s="1089"/>
      <c r="AP151" s="1089"/>
      <c r="AQ151" s="1089"/>
      <c r="AR151" s="1089"/>
      <c r="AS151" s="1089"/>
      <c r="AT151" s="1089"/>
      <c r="AU151" s="1089"/>
      <c r="AV151" s="1089"/>
      <c r="AW151" s="1089"/>
      <c r="AX151" s="1089"/>
      <c r="AY151" s="1089"/>
      <c r="AZ151" s="1056"/>
      <c r="BA151" s="1164"/>
      <c r="BB151" s="1164"/>
      <c r="BC151" s="1164"/>
      <c r="BD151" s="1164"/>
      <c r="BE151" s="1164"/>
      <c r="BF151" s="1056"/>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50"/>
      <c r="AI152" s="1040"/>
      <c r="AJ152" s="1089"/>
      <c r="AK152" s="1089"/>
      <c r="AL152" s="1089"/>
      <c r="AM152" s="1089"/>
      <c r="AN152" s="1089"/>
      <c r="AO152" s="1089"/>
      <c r="AP152" s="1089"/>
      <c r="AQ152" s="1089"/>
      <c r="AR152" s="1089"/>
      <c r="AS152" s="1089"/>
      <c r="AT152" s="1089"/>
      <c r="AU152" s="1089"/>
      <c r="AV152" s="1089"/>
      <c r="AW152" s="1089"/>
      <c r="AX152" s="1089"/>
      <c r="AY152" s="1089"/>
      <c r="AZ152" s="1056"/>
      <c r="BA152" s="1164"/>
      <c r="BB152" s="1164"/>
      <c r="BC152" s="1164"/>
      <c r="BD152" s="1164"/>
      <c r="BE152" s="1164"/>
      <c r="BF152" s="1056"/>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50"/>
      <c r="AI153" s="1040"/>
      <c r="AJ153" s="1089"/>
      <c r="AK153" s="1089"/>
      <c r="AL153" s="1089"/>
      <c r="AM153" s="1089"/>
      <c r="AN153" s="1089"/>
      <c r="AO153" s="1089"/>
      <c r="AP153" s="1089"/>
      <c r="AQ153" s="1089"/>
      <c r="AR153" s="1089"/>
      <c r="AS153" s="1089"/>
      <c r="AT153" s="1089"/>
      <c r="AU153" s="1089"/>
      <c r="AV153" s="1089"/>
      <c r="AW153" s="1089"/>
      <c r="AX153" s="1089"/>
      <c r="AY153" s="1089"/>
      <c r="AZ153" s="1056"/>
      <c r="BA153" s="1164"/>
      <c r="BB153" s="1164"/>
      <c r="BC153" s="1164"/>
      <c r="BD153" s="1164"/>
      <c r="BE153" s="1164"/>
      <c r="BF153" s="1056"/>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50"/>
      <c r="AI154" s="1040"/>
      <c r="AJ154" s="1089"/>
      <c r="AK154" s="1089"/>
      <c r="AL154" s="1089"/>
      <c r="AM154" s="1089"/>
      <c r="AN154" s="1089"/>
      <c r="AO154" s="1089"/>
      <c r="AP154" s="1089"/>
      <c r="AQ154" s="1089"/>
      <c r="AR154" s="1089"/>
      <c r="AS154" s="1089"/>
      <c r="AT154" s="1089"/>
      <c r="AU154" s="1089"/>
      <c r="AV154" s="1089"/>
      <c r="AW154" s="1089"/>
      <c r="AX154" s="1089"/>
      <c r="AY154" s="1089"/>
      <c r="AZ154" s="1056"/>
      <c r="BA154" s="1164"/>
      <c r="BB154" s="1164"/>
      <c r="BC154" s="1164"/>
      <c r="BD154" s="1164"/>
      <c r="BE154" s="1164"/>
      <c r="BF154" s="1056"/>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50"/>
      <c r="AI155" s="1040"/>
      <c r="AJ155" s="1089"/>
      <c r="AK155" s="1089"/>
      <c r="AL155" s="1089"/>
      <c r="AM155" s="1089"/>
      <c r="AN155" s="1089"/>
      <c r="AO155" s="1089"/>
      <c r="AP155" s="1089"/>
      <c r="AQ155" s="1089"/>
      <c r="AR155" s="1089"/>
      <c r="AS155" s="1089"/>
      <c r="AT155" s="1089"/>
      <c r="AU155" s="1089"/>
      <c r="AV155" s="1089"/>
      <c r="AW155" s="1089"/>
      <c r="AX155" s="1089"/>
      <c r="AY155" s="1089"/>
      <c r="AZ155" s="1056"/>
      <c r="BA155" s="1164"/>
      <c r="BB155" s="1164"/>
      <c r="BC155" s="1164"/>
      <c r="BD155" s="1164"/>
      <c r="BE155" s="1164"/>
      <c r="BF155" s="1056"/>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50"/>
      <c r="AI156" s="1040"/>
      <c r="AJ156" s="1089"/>
      <c r="AK156" s="1089"/>
      <c r="AL156" s="1089"/>
      <c r="AM156" s="1089"/>
      <c r="AN156" s="1089"/>
      <c r="AO156" s="1089"/>
      <c r="AP156" s="1089"/>
      <c r="AQ156" s="1089"/>
      <c r="AR156" s="1089"/>
      <c r="AS156" s="1089"/>
      <c r="AT156" s="1089"/>
      <c r="AU156" s="1089"/>
      <c r="AV156" s="1089"/>
      <c r="AW156" s="1089"/>
      <c r="AX156" s="1089"/>
      <c r="AY156" s="1089"/>
      <c r="AZ156" s="1056"/>
      <c r="BA156" s="1164"/>
      <c r="BB156" s="1164"/>
      <c r="BC156" s="1164"/>
      <c r="BD156" s="1164"/>
      <c r="BE156" s="1164"/>
      <c r="BF156" s="1056"/>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50"/>
      <c r="AI157" s="1040"/>
      <c r="AJ157" s="1089"/>
      <c r="AK157" s="1089"/>
      <c r="AL157" s="1089"/>
      <c r="AM157" s="1089"/>
      <c r="AN157" s="1089"/>
      <c r="AO157" s="1089"/>
      <c r="AP157" s="1089"/>
      <c r="AQ157" s="1089"/>
      <c r="AR157" s="1089"/>
      <c r="AS157" s="1089"/>
      <c r="AT157" s="1089"/>
      <c r="AU157" s="1089"/>
      <c r="AV157" s="1089"/>
      <c r="AW157" s="1089"/>
      <c r="AX157" s="1089"/>
      <c r="AY157" s="1089"/>
      <c r="AZ157" s="1056"/>
      <c r="BA157" s="1164"/>
      <c r="BB157" s="1164"/>
      <c r="BC157" s="1164"/>
      <c r="BD157" s="1164"/>
      <c r="BE157" s="1164"/>
      <c r="BF157" s="1056"/>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50"/>
      <c r="AI158" s="1040"/>
      <c r="AJ158" s="1089"/>
      <c r="AK158" s="1089"/>
      <c r="AL158" s="1089"/>
      <c r="AM158" s="1089"/>
      <c r="AN158" s="1089"/>
      <c r="AO158" s="1089"/>
      <c r="AP158" s="1089"/>
      <c r="AQ158" s="1089"/>
      <c r="AR158" s="1089"/>
      <c r="AS158" s="1089"/>
      <c r="AT158" s="1089"/>
      <c r="AU158" s="1089"/>
      <c r="AV158" s="1089"/>
      <c r="AW158" s="1089"/>
      <c r="AX158" s="1089"/>
      <c r="AY158" s="1089"/>
      <c r="AZ158" s="1056"/>
      <c r="BA158" s="1164"/>
      <c r="BB158" s="1164"/>
      <c r="BC158" s="1164"/>
      <c r="BD158" s="1164"/>
      <c r="BE158" s="1164"/>
      <c r="BF158" s="1056"/>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50"/>
      <c r="AI159" s="1040"/>
      <c r="AJ159" s="1089"/>
      <c r="AK159" s="1089"/>
      <c r="AL159" s="1089"/>
      <c r="AM159" s="1089"/>
      <c r="AN159" s="1089"/>
      <c r="AO159" s="1089"/>
      <c r="AP159" s="1089"/>
      <c r="AQ159" s="1089"/>
      <c r="AR159" s="1089"/>
      <c r="AS159" s="1089"/>
      <c r="AT159" s="1089"/>
      <c r="AU159" s="1089"/>
      <c r="AV159" s="1089"/>
      <c r="AW159" s="1089"/>
      <c r="AX159" s="1089"/>
      <c r="AY159" s="1089"/>
      <c r="AZ159" s="1056"/>
      <c r="BA159" s="1164"/>
      <c r="BB159" s="1164"/>
      <c r="BC159" s="1164"/>
      <c r="BD159" s="1164"/>
      <c r="BE159" s="1164"/>
      <c r="BF159" s="1056"/>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50"/>
      <c r="AI160" s="1040"/>
      <c r="AJ160" s="1089"/>
      <c r="AK160" s="1089"/>
      <c r="AL160" s="1089"/>
      <c r="AM160" s="1089"/>
      <c r="AN160" s="1089"/>
      <c r="AO160" s="1089"/>
      <c r="AP160" s="1089"/>
      <c r="AQ160" s="1089"/>
      <c r="AR160" s="1089"/>
      <c r="AS160" s="1089"/>
      <c r="AT160" s="1089"/>
      <c r="AU160" s="1089"/>
      <c r="AV160" s="1089"/>
      <c r="AW160" s="1089"/>
      <c r="AX160" s="1089"/>
      <c r="AY160" s="1089"/>
      <c r="AZ160" s="1056"/>
      <c r="BA160" s="1164"/>
      <c r="BB160" s="1164"/>
      <c r="BC160" s="1164"/>
      <c r="BD160" s="1164"/>
      <c r="BE160" s="1164"/>
      <c r="BF160" s="1056"/>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50"/>
      <c r="AI161" s="1040"/>
      <c r="AJ161" s="1089"/>
      <c r="AK161" s="1089"/>
      <c r="AL161" s="1089"/>
      <c r="AM161" s="1089"/>
      <c r="AN161" s="1089"/>
      <c r="AO161" s="1089"/>
      <c r="AP161" s="1089"/>
      <c r="AQ161" s="1089"/>
      <c r="AR161" s="1089"/>
      <c r="AS161" s="1089"/>
      <c r="AT161" s="1089"/>
      <c r="AU161" s="1089"/>
      <c r="AV161" s="1089"/>
      <c r="AW161" s="1089"/>
      <c r="AX161" s="1089"/>
      <c r="AY161" s="1089"/>
      <c r="AZ161" s="1056"/>
      <c r="BA161" s="1164"/>
      <c r="BB161" s="1164"/>
      <c r="BC161" s="1164"/>
      <c r="BD161" s="1164"/>
      <c r="BE161" s="1164"/>
      <c r="BF161" s="1056"/>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50"/>
      <c r="AI162" s="1040"/>
      <c r="AJ162" s="1089"/>
      <c r="AK162" s="1089"/>
      <c r="AL162" s="1089"/>
      <c r="AM162" s="1089"/>
      <c r="AN162" s="1089"/>
      <c r="AO162" s="1089"/>
      <c r="AP162" s="1089"/>
      <c r="AQ162" s="1089"/>
      <c r="AR162" s="1089"/>
      <c r="AS162" s="1089"/>
      <c r="AT162" s="1089"/>
      <c r="AU162" s="1089"/>
      <c r="AV162" s="1089"/>
      <c r="AW162" s="1089"/>
      <c r="AX162" s="1089"/>
      <c r="AY162" s="1089"/>
      <c r="AZ162" s="1056"/>
      <c r="BA162" s="1164"/>
      <c r="BB162" s="1164"/>
      <c r="BC162" s="1164"/>
      <c r="BD162" s="1164"/>
      <c r="BE162" s="1164"/>
      <c r="BF162" s="1056"/>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50"/>
      <c r="AI163" s="1040"/>
      <c r="AJ163" s="1089"/>
      <c r="AK163" s="1089"/>
      <c r="AL163" s="1089"/>
      <c r="AM163" s="1089"/>
      <c r="AN163" s="1089"/>
      <c r="AO163" s="1089"/>
      <c r="AP163" s="1089"/>
      <c r="AQ163" s="1089"/>
      <c r="AR163" s="1089"/>
      <c r="AS163" s="1089"/>
      <c r="AT163" s="1089"/>
      <c r="AU163" s="1089"/>
      <c r="AV163" s="1089"/>
      <c r="AW163" s="1089"/>
      <c r="AX163" s="1089"/>
      <c r="AY163" s="1089"/>
      <c r="AZ163" s="1056"/>
      <c r="BA163" s="1164"/>
      <c r="BB163" s="1164"/>
      <c r="BC163" s="1164"/>
      <c r="BD163" s="1164"/>
      <c r="BE163" s="1164"/>
      <c r="BF163" s="1056"/>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50"/>
      <c r="AI164" s="1040"/>
      <c r="AJ164" s="1089"/>
      <c r="AK164" s="1089"/>
      <c r="AL164" s="1089"/>
      <c r="AM164" s="1089"/>
      <c r="AN164" s="1089"/>
      <c r="AO164" s="1089"/>
      <c r="AP164" s="1089"/>
      <c r="AQ164" s="1089"/>
      <c r="AR164" s="1089"/>
      <c r="AS164" s="1089"/>
      <c r="AT164" s="1089"/>
      <c r="AU164" s="1089"/>
      <c r="AV164" s="1089"/>
      <c r="AW164" s="1089"/>
      <c r="AX164" s="1089"/>
      <c r="AY164" s="1089"/>
      <c r="AZ164" s="1056"/>
      <c r="BA164" s="1164"/>
      <c r="BB164" s="1164"/>
      <c r="BC164" s="1164"/>
      <c r="BD164" s="1164"/>
      <c r="BE164" s="1164"/>
      <c r="BF164" s="1056"/>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50"/>
      <c r="AI165" s="1040"/>
      <c r="AJ165" s="1089"/>
      <c r="AK165" s="1089"/>
      <c r="AL165" s="1089"/>
      <c r="AM165" s="1089"/>
      <c r="AN165" s="1089"/>
      <c r="AO165" s="1089"/>
      <c r="AP165" s="1089"/>
      <c r="AQ165" s="1089"/>
      <c r="AR165" s="1089"/>
      <c r="AS165" s="1089"/>
      <c r="AT165" s="1089"/>
      <c r="AU165" s="1089"/>
      <c r="AV165" s="1089"/>
      <c r="AW165" s="1089"/>
      <c r="AX165" s="1089"/>
      <c r="AY165" s="1089"/>
      <c r="AZ165" s="1056"/>
      <c r="BA165" s="1164"/>
      <c r="BB165" s="1164"/>
      <c r="BC165" s="1164"/>
      <c r="BD165" s="1164"/>
      <c r="BE165" s="1164"/>
      <c r="BF165" s="1056"/>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50"/>
      <c r="AI166" s="1040"/>
      <c r="AJ166" s="1089"/>
      <c r="AK166" s="1089"/>
      <c r="AL166" s="1089"/>
      <c r="AM166" s="1089"/>
      <c r="AN166" s="1089"/>
      <c r="AO166" s="1089"/>
      <c r="AP166" s="1089"/>
      <c r="AQ166" s="1089"/>
      <c r="AR166" s="1089"/>
      <c r="AS166" s="1089"/>
      <c r="AT166" s="1089"/>
      <c r="AU166" s="1089"/>
      <c r="AV166" s="1089"/>
      <c r="AW166" s="1089"/>
      <c r="AX166" s="1089"/>
      <c r="AY166" s="1089"/>
      <c r="AZ166" s="1056"/>
      <c r="BA166" s="1164"/>
      <c r="BB166" s="1164"/>
      <c r="BC166" s="1164"/>
      <c r="BD166" s="1164"/>
      <c r="BE166" s="1164"/>
      <c r="BF166" s="1056"/>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50"/>
      <c r="AI167" s="1040"/>
      <c r="AJ167" s="1089"/>
      <c r="AK167" s="1089"/>
      <c r="AL167" s="1089"/>
      <c r="AM167" s="1089"/>
      <c r="AN167" s="1089"/>
      <c r="AO167" s="1089"/>
      <c r="AP167" s="1089"/>
      <c r="AQ167" s="1089"/>
      <c r="AR167" s="1089"/>
      <c r="AS167" s="1089"/>
      <c r="AT167" s="1089"/>
      <c r="AU167" s="1089"/>
      <c r="AV167" s="1089"/>
      <c r="AW167" s="1089"/>
      <c r="AX167" s="1089"/>
      <c r="AY167" s="1089"/>
      <c r="AZ167" s="1056"/>
      <c r="BA167" s="1164"/>
      <c r="BB167" s="1164"/>
      <c r="BC167" s="1164"/>
      <c r="BD167" s="1164"/>
      <c r="BE167" s="1164"/>
      <c r="BF167" s="1056"/>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50"/>
      <c r="AI168" s="1040"/>
      <c r="AJ168" s="1089"/>
      <c r="AK168" s="1089"/>
      <c r="AL168" s="1089"/>
      <c r="AM168" s="1089"/>
      <c r="AN168" s="1089"/>
      <c r="AO168" s="1089"/>
      <c r="AP168" s="1089"/>
      <c r="AQ168" s="1089"/>
      <c r="AR168" s="1089"/>
      <c r="AS168" s="1089"/>
      <c r="AT168" s="1089"/>
      <c r="AU168" s="1089"/>
      <c r="AV168" s="1089"/>
      <c r="AW168" s="1089"/>
      <c r="AX168" s="1089"/>
      <c r="AY168" s="1089"/>
      <c r="AZ168" s="1056"/>
      <c r="BA168" s="1164"/>
      <c r="BB168" s="1164"/>
      <c r="BC168" s="1164"/>
      <c r="BD168" s="1164"/>
      <c r="BE168" s="1164"/>
      <c r="BF168" s="1056"/>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50"/>
      <c r="AI169" s="1040"/>
      <c r="AJ169" s="1089"/>
      <c r="AK169" s="1089"/>
      <c r="AL169" s="1089"/>
      <c r="AM169" s="1089"/>
      <c r="AN169" s="1089"/>
      <c r="AO169" s="1089"/>
      <c r="AP169" s="1089"/>
      <c r="AQ169" s="1089"/>
      <c r="AR169" s="1089"/>
      <c r="AS169" s="1089"/>
      <c r="AT169" s="1089"/>
      <c r="AU169" s="1089"/>
      <c r="AV169" s="1089"/>
      <c r="AW169" s="1089"/>
      <c r="AX169" s="1089"/>
      <c r="AY169" s="1089"/>
      <c r="AZ169" s="1056"/>
      <c r="BA169" s="1164"/>
      <c r="BB169" s="1164"/>
      <c r="BC169" s="1164"/>
      <c r="BD169" s="1164"/>
      <c r="BE169" s="1164"/>
      <c r="BF169" s="1056"/>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50"/>
      <c r="AI170" s="1040"/>
      <c r="AJ170" s="1089"/>
      <c r="AK170" s="1089"/>
      <c r="AL170" s="1089"/>
      <c r="AM170" s="1089"/>
      <c r="AN170" s="1089"/>
      <c r="AO170" s="1089"/>
      <c r="AP170" s="1089"/>
      <c r="AQ170" s="1089"/>
      <c r="AR170" s="1089"/>
      <c r="AS170" s="1089"/>
      <c r="AT170" s="1089"/>
      <c r="AU170" s="1089"/>
      <c r="AV170" s="1089"/>
      <c r="AW170" s="1089"/>
      <c r="AX170" s="1089"/>
      <c r="AY170" s="1089"/>
      <c r="AZ170" s="1056"/>
      <c r="BA170" s="1164"/>
      <c r="BB170" s="1164"/>
      <c r="BC170" s="1164"/>
      <c r="BD170" s="1164"/>
      <c r="BE170" s="1164"/>
      <c r="BF170" s="1056"/>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50"/>
      <c r="AI171" s="1040"/>
      <c r="AJ171" s="1089"/>
      <c r="AK171" s="1089"/>
      <c r="AL171" s="1089"/>
      <c r="AM171" s="1089"/>
      <c r="AN171" s="1089"/>
      <c r="AO171" s="1089"/>
      <c r="AP171" s="1089"/>
      <c r="AQ171" s="1089"/>
      <c r="AR171" s="1089"/>
      <c r="AS171" s="1089"/>
      <c r="AT171" s="1089"/>
      <c r="AU171" s="1089"/>
      <c r="AV171" s="1089"/>
      <c r="AW171" s="1089"/>
      <c r="AX171" s="1089"/>
      <c r="AY171" s="1089"/>
      <c r="AZ171" s="1056"/>
      <c r="BA171" s="1164"/>
      <c r="BB171" s="1164"/>
      <c r="BC171" s="1164"/>
      <c r="BD171" s="1164"/>
      <c r="BE171" s="1164"/>
      <c r="BF171" s="1056"/>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50"/>
      <c r="AI172" s="1040"/>
      <c r="AJ172" s="1089"/>
      <c r="AK172" s="1089"/>
      <c r="AL172" s="1089"/>
      <c r="AM172" s="1089"/>
      <c r="AN172" s="1089"/>
      <c r="AO172" s="1089"/>
      <c r="AP172" s="1089"/>
      <c r="AQ172" s="1089"/>
      <c r="AR172" s="1089"/>
      <c r="AS172" s="1089"/>
      <c r="AT172" s="1089"/>
      <c r="AU172" s="1089"/>
      <c r="AV172" s="1089"/>
      <c r="AW172" s="1089"/>
      <c r="AX172" s="1089"/>
      <c r="AY172" s="1089"/>
      <c r="AZ172" s="1056"/>
      <c r="BA172" s="1164"/>
      <c r="BB172" s="1164"/>
      <c r="BC172" s="1164"/>
      <c r="BD172" s="1164"/>
      <c r="BE172" s="1164"/>
      <c r="BF172" s="1056"/>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50"/>
      <c r="AI173" s="1040"/>
      <c r="AJ173" s="1089"/>
      <c r="AK173" s="1089"/>
      <c r="AL173" s="1089"/>
      <c r="AM173" s="1089"/>
      <c r="AN173" s="1089"/>
      <c r="AO173" s="1089"/>
      <c r="AP173" s="1089"/>
      <c r="AQ173" s="1089"/>
      <c r="AR173" s="1089"/>
      <c r="AS173" s="1089"/>
      <c r="AT173" s="1089"/>
      <c r="AU173" s="1089"/>
      <c r="AV173" s="1089"/>
      <c r="AW173" s="1089"/>
      <c r="AX173" s="1089"/>
      <c r="AY173" s="1089"/>
      <c r="AZ173" s="1056"/>
      <c r="BA173" s="1164"/>
      <c r="BB173" s="1164"/>
      <c r="BC173" s="1164"/>
      <c r="BD173" s="1164"/>
      <c r="BE173" s="1164"/>
      <c r="BF173" s="1056"/>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50"/>
      <c r="AI174" s="1040"/>
      <c r="AJ174" s="1089"/>
      <c r="AK174" s="1089"/>
      <c r="AL174" s="1089"/>
      <c r="AM174" s="1089"/>
      <c r="AN174" s="1089"/>
      <c r="AO174" s="1089"/>
      <c r="AP174" s="1089"/>
      <c r="AQ174" s="1089"/>
      <c r="AR174" s="1089"/>
      <c r="AS174" s="1089"/>
      <c r="AT174" s="1089"/>
      <c r="AU174" s="1089"/>
      <c r="AV174" s="1089"/>
      <c r="AW174" s="1089"/>
      <c r="AX174" s="1089"/>
      <c r="AY174" s="1089"/>
      <c r="AZ174" s="1056"/>
      <c r="BA174" s="1164"/>
      <c r="BB174" s="1164"/>
      <c r="BC174" s="1164"/>
      <c r="BD174" s="1164"/>
      <c r="BE174" s="1164"/>
      <c r="BF174" s="1056"/>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50"/>
      <c r="AI175" s="1040"/>
      <c r="AJ175" s="1089"/>
      <c r="AK175" s="1089"/>
      <c r="AL175" s="1089"/>
      <c r="AM175" s="1089"/>
      <c r="AN175" s="1089"/>
      <c r="AO175" s="1089"/>
      <c r="AP175" s="1089"/>
      <c r="AQ175" s="1089"/>
      <c r="AR175" s="1089"/>
      <c r="AS175" s="1089"/>
      <c r="AT175" s="1089"/>
      <c r="AU175" s="1089"/>
      <c r="AV175" s="1089"/>
      <c r="AW175" s="1089"/>
      <c r="AX175" s="1089"/>
      <c r="AY175" s="1089"/>
      <c r="AZ175" s="1056"/>
      <c r="BA175" s="1164"/>
      <c r="BB175" s="1164"/>
      <c r="BC175" s="1164"/>
      <c r="BD175" s="1164"/>
      <c r="BE175" s="1164"/>
      <c r="BF175" s="1056"/>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50"/>
      <c r="AI176" s="1040"/>
      <c r="AJ176" s="1089"/>
      <c r="AK176" s="1089"/>
      <c r="AL176" s="1089"/>
      <c r="AM176" s="1089"/>
      <c r="AN176" s="1089"/>
      <c r="AO176" s="1089"/>
      <c r="AP176" s="1089"/>
      <c r="AQ176" s="1089"/>
      <c r="AR176" s="1089"/>
      <c r="AS176" s="1089"/>
      <c r="AT176" s="1089"/>
      <c r="AU176" s="1089"/>
      <c r="AV176" s="1089"/>
      <c r="AW176" s="1089"/>
      <c r="AX176" s="1089"/>
      <c r="AY176" s="1089"/>
      <c r="AZ176" s="1056"/>
      <c r="BA176" s="1164"/>
      <c r="BB176" s="1164"/>
      <c r="BC176" s="1164"/>
      <c r="BD176" s="1164"/>
      <c r="BE176" s="1164"/>
      <c r="BF176" s="1056"/>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50"/>
      <c r="AI177" s="1040"/>
      <c r="AJ177" s="1089"/>
      <c r="AK177" s="1089"/>
      <c r="AL177" s="1089"/>
      <c r="AM177" s="1089"/>
      <c r="AN177" s="1089"/>
      <c r="AO177" s="1089"/>
      <c r="AP177" s="1089"/>
      <c r="AQ177" s="1089"/>
      <c r="AR177" s="1089"/>
      <c r="AS177" s="1089"/>
      <c r="AT177" s="1089"/>
      <c r="AU177" s="1089"/>
      <c r="AV177" s="1089"/>
      <c r="AW177" s="1089"/>
      <c r="AX177" s="1089"/>
      <c r="AY177" s="1089"/>
      <c r="AZ177" s="1056"/>
      <c r="BA177" s="1164"/>
      <c r="BB177" s="1164"/>
      <c r="BC177" s="1164"/>
      <c r="BD177" s="1164"/>
      <c r="BE177" s="1164"/>
      <c r="BF177" s="1056"/>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50"/>
      <c r="AI178" s="1040"/>
      <c r="AJ178" s="1089"/>
      <c r="AK178" s="1089"/>
      <c r="AL178" s="1089"/>
      <c r="AM178" s="1089"/>
      <c r="AN178" s="1089"/>
      <c r="AO178" s="1089"/>
      <c r="AP178" s="1089"/>
      <c r="AQ178" s="1089"/>
      <c r="AR178" s="1089"/>
      <c r="AS178" s="1089"/>
      <c r="AT178" s="1089"/>
      <c r="AU178" s="1089"/>
      <c r="AV178" s="1089"/>
      <c r="AW178" s="1089"/>
      <c r="AX178" s="1089"/>
      <c r="AY178" s="1089"/>
      <c r="AZ178" s="1056"/>
      <c r="BA178" s="1164"/>
      <c r="BB178" s="1164"/>
      <c r="BC178" s="1164"/>
      <c r="BD178" s="1164"/>
      <c r="BE178" s="1164"/>
      <c r="BF178" s="1056"/>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50"/>
      <c r="AI179" s="1040"/>
      <c r="AJ179" s="1089"/>
      <c r="AK179" s="1089"/>
      <c r="AL179" s="1089"/>
      <c r="AM179" s="1089"/>
      <c r="AN179" s="1089"/>
      <c r="AO179" s="1089"/>
      <c r="AP179" s="1089"/>
      <c r="AQ179" s="1089"/>
      <c r="AR179" s="1089"/>
      <c r="AS179" s="1089"/>
      <c r="AT179" s="1089"/>
      <c r="AU179" s="1089"/>
      <c r="AV179" s="1089"/>
      <c r="AW179" s="1089"/>
      <c r="AX179" s="1089"/>
      <c r="AY179" s="1089"/>
      <c r="AZ179" s="1056"/>
      <c r="BA179" s="1164"/>
      <c r="BB179" s="1164"/>
      <c r="BC179" s="1164"/>
      <c r="BD179" s="1164"/>
      <c r="BE179" s="1164"/>
      <c r="BF179" s="1056"/>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50"/>
      <c r="AI180" s="1040"/>
      <c r="AJ180" s="1089"/>
      <c r="AK180" s="1089"/>
      <c r="AL180" s="1089"/>
      <c r="AM180" s="1089"/>
      <c r="AN180" s="1089"/>
      <c r="AO180" s="1089"/>
      <c r="AP180" s="1089"/>
      <c r="AQ180" s="1089"/>
      <c r="AR180" s="1089"/>
      <c r="AS180" s="1089"/>
      <c r="AT180" s="1089"/>
      <c r="AU180" s="1089"/>
      <c r="AV180" s="1089"/>
      <c r="AW180" s="1089"/>
      <c r="AX180" s="1089"/>
      <c r="AY180" s="1089"/>
      <c r="AZ180" s="1056"/>
      <c r="BA180" s="1164"/>
      <c r="BB180" s="1164"/>
      <c r="BC180" s="1164"/>
      <c r="BD180" s="1164"/>
      <c r="BE180" s="1164"/>
      <c r="BF180" s="1056"/>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50"/>
      <c r="AI181" s="1040"/>
      <c r="AJ181" s="1089"/>
      <c r="AK181" s="1089"/>
      <c r="AL181" s="1089"/>
      <c r="AM181" s="1089"/>
      <c r="AN181" s="1089"/>
      <c r="AO181" s="1089"/>
      <c r="AP181" s="1089"/>
      <c r="AQ181" s="1089"/>
      <c r="AR181" s="1089"/>
      <c r="AS181" s="1089"/>
      <c r="AT181" s="1089"/>
      <c r="AU181" s="1089"/>
      <c r="AV181" s="1089"/>
      <c r="AW181" s="1089"/>
      <c r="AX181" s="1089"/>
      <c r="AY181" s="1089"/>
      <c r="AZ181" s="1056"/>
      <c r="BA181" s="1164"/>
      <c r="BB181" s="1164"/>
      <c r="BC181" s="1164"/>
      <c r="BD181" s="1164"/>
      <c r="BE181" s="1164"/>
      <c r="BF181" s="1056"/>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50"/>
      <c r="AI182" s="1040"/>
      <c r="AJ182" s="1089"/>
      <c r="AK182" s="1089"/>
      <c r="AL182" s="1089"/>
      <c r="AM182" s="1089"/>
      <c r="AN182" s="1089"/>
      <c r="AO182" s="1089"/>
      <c r="AP182" s="1089"/>
      <c r="AQ182" s="1089"/>
      <c r="AR182" s="1089"/>
      <c r="AS182" s="1089"/>
      <c r="AT182" s="1089"/>
      <c r="AU182" s="1089"/>
      <c r="AV182" s="1089"/>
      <c r="AW182" s="1089"/>
      <c r="AX182" s="1089"/>
      <c r="AY182" s="1089"/>
      <c r="AZ182" s="1056"/>
      <c r="BA182" s="1164"/>
      <c r="BB182" s="1164"/>
      <c r="BC182" s="1164"/>
      <c r="BD182" s="1164"/>
      <c r="BE182" s="1164"/>
      <c r="BF182" s="1056"/>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50"/>
      <c r="AI183" s="1040"/>
      <c r="AJ183" s="1089"/>
      <c r="AK183" s="1089"/>
      <c r="AL183" s="1089"/>
      <c r="AM183" s="1089"/>
      <c r="AN183" s="1089"/>
      <c r="AO183" s="1089"/>
      <c r="AP183" s="1089"/>
      <c r="AQ183" s="1089"/>
      <c r="AR183" s="1089"/>
      <c r="AS183" s="1089"/>
      <c r="AT183" s="1089"/>
      <c r="AU183" s="1089"/>
      <c r="AV183" s="1089"/>
      <c r="AW183" s="1089"/>
      <c r="AX183" s="1089"/>
      <c r="AY183" s="1089"/>
      <c r="AZ183" s="1056"/>
      <c r="BA183" s="1164"/>
      <c r="BB183" s="1164"/>
      <c r="BC183" s="1164"/>
      <c r="BD183" s="1164"/>
      <c r="BE183" s="1164"/>
      <c r="BF183" s="1056"/>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50"/>
      <c r="AI184" s="1040"/>
      <c r="AJ184" s="1089"/>
      <c r="AK184" s="1089"/>
      <c r="AL184" s="1089"/>
      <c r="AM184" s="1089"/>
      <c r="AN184" s="1089"/>
      <c r="AO184" s="1089"/>
      <c r="AP184" s="1089"/>
      <c r="AQ184" s="1089"/>
      <c r="AR184" s="1089"/>
      <c r="AS184" s="1089"/>
      <c r="AT184" s="1089"/>
      <c r="AU184" s="1089"/>
      <c r="AV184" s="1089"/>
      <c r="AW184" s="1089"/>
      <c r="AX184" s="1089"/>
      <c r="AY184" s="1089"/>
      <c r="AZ184" s="1056"/>
      <c r="BA184" s="1164"/>
      <c r="BB184" s="1164"/>
      <c r="BC184" s="1164"/>
      <c r="BD184" s="1164"/>
      <c r="BE184" s="1164"/>
      <c r="BF184" s="1056"/>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50"/>
      <c r="AI185" s="1040"/>
      <c r="AJ185" s="1089"/>
      <c r="AK185" s="1089"/>
      <c r="AL185" s="1089"/>
      <c r="AM185" s="1089"/>
      <c r="AN185" s="1089"/>
      <c r="AO185" s="1089"/>
      <c r="AP185" s="1089"/>
      <c r="AQ185" s="1089"/>
      <c r="AR185" s="1089"/>
      <c r="AS185" s="1089"/>
      <c r="AT185" s="1089"/>
      <c r="AU185" s="1089"/>
      <c r="AV185" s="1089"/>
      <c r="AW185" s="1089"/>
      <c r="AX185" s="1089"/>
      <c r="AY185" s="1089"/>
      <c r="AZ185" s="1056"/>
      <c r="BA185" s="1164"/>
      <c r="BB185" s="1164"/>
      <c r="BC185" s="1164"/>
      <c r="BD185" s="1164"/>
      <c r="BE185" s="1164"/>
      <c r="BF185" s="1056"/>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50"/>
      <c r="AI186" s="1040"/>
      <c r="AJ186" s="1089"/>
      <c r="AK186" s="1089"/>
      <c r="AL186" s="1089"/>
      <c r="AM186" s="1089"/>
      <c r="AN186" s="1089"/>
      <c r="AO186" s="1089"/>
      <c r="AP186" s="1089"/>
      <c r="AQ186" s="1089"/>
      <c r="AR186" s="1089"/>
      <c r="AS186" s="1089"/>
      <c r="AT186" s="1089"/>
      <c r="AU186" s="1089"/>
      <c r="AV186" s="1089"/>
      <c r="AW186" s="1089"/>
      <c r="AX186" s="1089"/>
      <c r="AY186" s="1089"/>
      <c r="AZ186" s="1056"/>
      <c r="BA186" s="1164"/>
      <c r="BB186" s="1164"/>
      <c r="BC186" s="1164"/>
      <c r="BD186" s="1164"/>
      <c r="BE186" s="1164"/>
      <c r="BF186" s="1056"/>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50"/>
      <c r="AI187" s="1040"/>
      <c r="AJ187" s="1089"/>
      <c r="AK187" s="1089"/>
      <c r="AL187" s="1089"/>
      <c r="AM187" s="1089"/>
      <c r="AN187" s="1089"/>
      <c r="AO187" s="1089"/>
      <c r="AP187" s="1089"/>
      <c r="AQ187" s="1089"/>
      <c r="AR187" s="1089"/>
      <c r="AS187" s="1089"/>
      <c r="AT187" s="1089"/>
      <c r="AU187" s="1089"/>
      <c r="AV187" s="1089"/>
      <c r="AW187" s="1089"/>
      <c r="AX187" s="1089"/>
      <c r="AY187" s="1089"/>
      <c r="AZ187" s="1056"/>
      <c r="BA187" s="1164"/>
      <c r="BB187" s="1164"/>
      <c r="BC187" s="1164"/>
      <c r="BD187" s="1164"/>
      <c r="BE187" s="1164"/>
      <c r="BF187" s="1056"/>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50"/>
      <c r="AI188" s="1040"/>
      <c r="AJ188" s="1089"/>
      <c r="AK188" s="1089"/>
      <c r="AL188" s="1089"/>
      <c r="AM188" s="1089"/>
      <c r="AN188" s="1089"/>
      <c r="AO188" s="1089"/>
      <c r="AP188" s="1089"/>
      <c r="AQ188" s="1089"/>
      <c r="AR188" s="1089"/>
      <c r="AS188" s="1089"/>
      <c r="AT188" s="1089"/>
      <c r="AU188" s="1089"/>
      <c r="AV188" s="1089"/>
      <c r="AW188" s="1089"/>
      <c r="AX188" s="1089"/>
      <c r="AY188" s="1089"/>
      <c r="AZ188" s="1056"/>
      <c r="BA188" s="1164"/>
      <c r="BB188" s="1164"/>
      <c r="BC188" s="1164"/>
      <c r="BD188" s="1164"/>
      <c r="BE188" s="1164"/>
      <c r="BF188" s="1056"/>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50"/>
      <c r="AI189" s="1040"/>
      <c r="AJ189" s="1089"/>
      <c r="AK189" s="1089"/>
      <c r="AL189" s="1089"/>
      <c r="AM189" s="1089"/>
      <c r="AN189" s="1089"/>
      <c r="AO189" s="1089"/>
      <c r="AP189" s="1089"/>
      <c r="AQ189" s="1089"/>
      <c r="AR189" s="1089"/>
      <c r="AS189" s="1089"/>
      <c r="AT189" s="1089"/>
      <c r="AU189" s="1089"/>
      <c r="AV189" s="1089"/>
      <c r="AW189" s="1089"/>
      <c r="AX189" s="1089"/>
      <c r="AY189" s="1089"/>
      <c r="AZ189" s="1056"/>
      <c r="BA189" s="1164"/>
      <c r="BB189" s="1164"/>
      <c r="BC189" s="1164"/>
      <c r="BD189" s="1164"/>
      <c r="BE189" s="1164"/>
      <c r="BF189" s="1056"/>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50"/>
      <c r="AI190" s="1040"/>
      <c r="AJ190" s="1089"/>
      <c r="AK190" s="1089"/>
      <c r="AL190" s="1089"/>
      <c r="AM190" s="1089"/>
      <c r="AN190" s="1089"/>
      <c r="AO190" s="1089"/>
      <c r="AP190" s="1089"/>
      <c r="AQ190" s="1089"/>
      <c r="AR190" s="1089"/>
      <c r="AS190" s="1089"/>
      <c r="AT190" s="1089"/>
      <c r="AU190" s="1089"/>
      <c r="AV190" s="1089"/>
      <c r="AW190" s="1089"/>
      <c r="AX190" s="1089"/>
      <c r="AY190" s="1089"/>
      <c r="AZ190" s="1056"/>
      <c r="BA190" s="1164"/>
      <c r="BB190" s="1164"/>
      <c r="BC190" s="1164"/>
      <c r="BD190" s="1164"/>
      <c r="BE190" s="1164"/>
      <c r="BF190" s="1056"/>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50"/>
      <c r="AI191" s="1040"/>
      <c r="AJ191" s="1089"/>
      <c r="AK191" s="1089"/>
      <c r="AL191" s="1089"/>
      <c r="AM191" s="1089"/>
      <c r="AN191" s="1089"/>
      <c r="AO191" s="1089"/>
      <c r="AP191" s="1089"/>
      <c r="AQ191" s="1089"/>
      <c r="AR191" s="1089"/>
      <c r="AS191" s="1089"/>
      <c r="AT191" s="1089"/>
      <c r="AU191" s="1089"/>
      <c r="AV191" s="1089"/>
      <c r="AW191" s="1089"/>
      <c r="AX191" s="1089"/>
      <c r="AY191" s="1089"/>
      <c r="AZ191" s="1056"/>
      <c r="BA191" s="1164"/>
      <c r="BB191" s="1164"/>
      <c r="BC191" s="1164"/>
      <c r="BD191" s="1164"/>
      <c r="BE191" s="1164"/>
      <c r="BF191" s="1056"/>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50"/>
      <c r="AI192" s="1040"/>
      <c r="AJ192" s="1089"/>
      <c r="AK192" s="1089"/>
      <c r="AL192" s="1089"/>
      <c r="AM192" s="1089"/>
      <c r="AN192" s="1089"/>
      <c r="AO192" s="1089"/>
      <c r="AP192" s="1089"/>
      <c r="AQ192" s="1089"/>
      <c r="AR192" s="1089"/>
      <c r="AS192" s="1089"/>
      <c r="AT192" s="1089"/>
      <c r="AU192" s="1089"/>
      <c r="AV192" s="1089"/>
      <c r="AW192" s="1089"/>
      <c r="AX192" s="1089"/>
      <c r="AY192" s="1089"/>
      <c r="AZ192" s="1056"/>
      <c r="BA192" s="1164"/>
      <c r="BB192" s="1164"/>
      <c r="BC192" s="1164"/>
      <c r="BD192" s="1164"/>
      <c r="BE192" s="1164"/>
      <c r="BF192" s="1056"/>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50"/>
      <c r="AI193" s="1040"/>
      <c r="AJ193" s="1089"/>
      <c r="AK193" s="1089"/>
      <c r="AL193" s="1089"/>
      <c r="AM193" s="1089"/>
      <c r="AN193" s="1089"/>
      <c r="AO193" s="1089"/>
      <c r="AP193" s="1089"/>
      <c r="AQ193" s="1089"/>
      <c r="AR193" s="1089"/>
      <c r="AS193" s="1089"/>
      <c r="AT193" s="1089"/>
      <c r="AU193" s="1089"/>
      <c r="AV193" s="1089"/>
      <c r="AW193" s="1089"/>
      <c r="AX193" s="1089"/>
      <c r="AY193" s="1089"/>
      <c r="AZ193" s="1056"/>
      <c r="BA193" s="1164"/>
      <c r="BB193" s="1164"/>
      <c r="BC193" s="1164"/>
      <c r="BD193" s="1164"/>
      <c r="BE193" s="1164"/>
      <c r="BF193" s="1056"/>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50"/>
      <c r="AI194" s="1040"/>
      <c r="AJ194" s="1089"/>
      <c r="AK194" s="1089"/>
      <c r="AL194" s="1089"/>
      <c r="AM194" s="1089"/>
      <c r="AN194" s="1089"/>
      <c r="AO194" s="1089"/>
      <c r="AP194" s="1089"/>
      <c r="AQ194" s="1089"/>
      <c r="AR194" s="1089"/>
      <c r="AS194" s="1089"/>
      <c r="AT194" s="1089"/>
      <c r="AU194" s="1089"/>
      <c r="AV194" s="1089"/>
      <c r="AW194" s="1089"/>
      <c r="AX194" s="1089"/>
      <c r="AY194" s="1089"/>
      <c r="AZ194" s="1056"/>
      <c r="BA194" s="1164"/>
      <c r="BB194" s="1164"/>
      <c r="BC194" s="1164"/>
      <c r="BD194" s="1164"/>
      <c r="BE194" s="1164"/>
      <c r="BF194" s="1056"/>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50"/>
      <c r="AI195" s="1040"/>
      <c r="AJ195" s="1089"/>
      <c r="AK195" s="1089"/>
      <c r="AL195" s="1089"/>
      <c r="AM195" s="1089"/>
      <c r="AN195" s="1089"/>
      <c r="AO195" s="1089"/>
      <c r="AP195" s="1089"/>
      <c r="AQ195" s="1089"/>
      <c r="AR195" s="1089"/>
      <c r="AS195" s="1089"/>
      <c r="AT195" s="1089"/>
      <c r="AU195" s="1089"/>
      <c r="AV195" s="1089"/>
      <c r="AW195" s="1089"/>
      <c r="AX195" s="1089"/>
      <c r="AY195" s="1089"/>
      <c r="AZ195" s="1056"/>
      <c r="BA195" s="1164"/>
      <c r="BB195" s="1164"/>
      <c r="BC195" s="1164"/>
      <c r="BD195" s="1164"/>
      <c r="BE195" s="1164"/>
      <c r="BF195" s="1056"/>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50"/>
      <c r="AI196" s="1040"/>
      <c r="AJ196" s="1089"/>
      <c r="AK196" s="1089"/>
      <c r="AL196" s="1089"/>
      <c r="AM196" s="1089"/>
      <c r="AN196" s="1089"/>
      <c r="AO196" s="1089"/>
      <c r="AP196" s="1089"/>
      <c r="AQ196" s="1089"/>
      <c r="AR196" s="1089"/>
      <c r="AS196" s="1089"/>
      <c r="AT196" s="1089"/>
      <c r="AU196" s="1089"/>
      <c r="AV196" s="1089"/>
      <c r="AW196" s="1089"/>
      <c r="AX196" s="1089"/>
      <c r="AY196" s="1089"/>
      <c r="AZ196" s="1056"/>
      <c r="BA196" s="1164"/>
      <c r="BB196" s="1164"/>
      <c r="BC196" s="1164"/>
      <c r="BD196" s="1164"/>
      <c r="BE196" s="1164"/>
      <c r="BF196" s="1056"/>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50"/>
      <c r="AI197" s="1040"/>
      <c r="AJ197" s="1089"/>
      <c r="AK197" s="1089"/>
      <c r="AL197" s="1089"/>
      <c r="AM197" s="1089"/>
      <c r="AN197" s="1089"/>
      <c r="AO197" s="1089"/>
      <c r="AP197" s="1089"/>
      <c r="AQ197" s="1089"/>
      <c r="AR197" s="1089"/>
      <c r="AS197" s="1089"/>
      <c r="AT197" s="1089"/>
      <c r="AU197" s="1089"/>
      <c r="AV197" s="1089"/>
      <c r="AW197" s="1089"/>
      <c r="AX197" s="1089"/>
      <c r="AY197" s="1089"/>
      <c r="AZ197" s="1056"/>
      <c r="BA197" s="1164"/>
      <c r="BB197" s="1164"/>
      <c r="BC197" s="1164"/>
      <c r="BD197" s="1164"/>
      <c r="BE197" s="1164"/>
      <c r="BF197" s="1056"/>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50"/>
      <c r="AI198" s="1040"/>
      <c r="AJ198" s="1089"/>
      <c r="AK198" s="1089"/>
      <c r="AL198" s="1089"/>
      <c r="AM198" s="1089"/>
      <c r="AN198" s="1089"/>
      <c r="AO198" s="1089"/>
      <c r="AP198" s="1089"/>
      <c r="AQ198" s="1089"/>
      <c r="AR198" s="1089"/>
      <c r="AS198" s="1089"/>
      <c r="AT198" s="1089"/>
      <c r="AU198" s="1089"/>
      <c r="AV198" s="1089"/>
      <c r="AW198" s="1089"/>
      <c r="AX198" s="1089"/>
      <c r="AY198" s="1089"/>
      <c r="AZ198" s="1056"/>
      <c r="BA198" s="1164"/>
      <c r="BB198" s="1164"/>
      <c r="BC198" s="1164"/>
      <c r="BD198" s="1164"/>
      <c r="BE198" s="1164"/>
      <c r="BF198" s="1056"/>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50"/>
      <c r="AI199" s="1040"/>
      <c r="AJ199" s="1089"/>
      <c r="AK199" s="1089"/>
      <c r="AL199" s="1089"/>
      <c r="AM199" s="1089"/>
      <c r="AN199" s="1089"/>
      <c r="AO199" s="1089"/>
      <c r="AP199" s="1089"/>
      <c r="AQ199" s="1089"/>
      <c r="AR199" s="1089"/>
      <c r="AS199" s="1089"/>
      <c r="AT199" s="1089"/>
      <c r="AU199" s="1089"/>
      <c r="AV199" s="1089"/>
      <c r="AW199" s="1089"/>
      <c r="AX199" s="1089"/>
      <c r="AY199" s="1089"/>
      <c r="AZ199" s="1056"/>
      <c r="BA199" s="1164"/>
      <c r="BB199" s="1164"/>
      <c r="BC199" s="1164"/>
      <c r="BD199" s="1164"/>
      <c r="BE199" s="1164"/>
      <c r="BF199" s="1056"/>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50"/>
      <c r="AI200" s="1040"/>
      <c r="AJ200" s="1089"/>
      <c r="AK200" s="1089"/>
      <c r="AL200" s="1089"/>
      <c r="AM200" s="1089"/>
      <c r="AN200" s="1089"/>
      <c r="AO200" s="1089"/>
      <c r="AP200" s="1089"/>
      <c r="AQ200" s="1089"/>
      <c r="AR200" s="1089"/>
      <c r="AS200" s="1089"/>
      <c r="AT200" s="1089"/>
      <c r="AU200" s="1089"/>
      <c r="AV200" s="1089"/>
      <c r="AW200" s="1089"/>
      <c r="AX200" s="1089"/>
      <c r="AY200" s="1089"/>
      <c r="AZ200" s="1056"/>
      <c r="BA200" s="1164"/>
      <c r="BB200" s="1164"/>
      <c r="BC200" s="1164"/>
      <c r="BD200" s="1164"/>
      <c r="BE200" s="1164"/>
      <c r="BF200" s="1056"/>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50"/>
      <c r="AI201" s="1040"/>
      <c r="AJ201" s="1089"/>
      <c r="AK201" s="1089"/>
      <c r="AL201" s="1089"/>
      <c r="AM201" s="1089"/>
      <c r="AN201" s="1089"/>
      <c r="AO201" s="1089"/>
      <c r="AP201" s="1089"/>
      <c r="AQ201" s="1089"/>
      <c r="AR201" s="1089"/>
      <c r="AS201" s="1089"/>
      <c r="AT201" s="1089"/>
      <c r="AU201" s="1089"/>
      <c r="AV201" s="1089"/>
      <c r="AW201" s="1089"/>
      <c r="AX201" s="1089"/>
      <c r="AY201" s="1089"/>
      <c r="AZ201" s="1056"/>
      <c r="BA201" s="1164"/>
      <c r="BB201" s="1164"/>
      <c r="BC201" s="1164"/>
      <c r="BD201" s="1164"/>
      <c r="BE201" s="1164"/>
      <c r="BF201" s="1056"/>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50"/>
      <c r="AI202" s="1040"/>
      <c r="AJ202" s="1089"/>
      <c r="AK202" s="1089"/>
      <c r="AL202" s="1089"/>
      <c r="AM202" s="1089"/>
      <c r="AN202" s="1089"/>
      <c r="AO202" s="1089"/>
      <c r="AP202" s="1089"/>
      <c r="AQ202" s="1089"/>
      <c r="AR202" s="1089"/>
      <c r="AS202" s="1089"/>
      <c r="AT202" s="1089"/>
      <c r="AU202" s="1089"/>
      <c r="AV202" s="1089"/>
      <c r="AW202" s="1089"/>
      <c r="AX202" s="1089"/>
      <c r="AY202" s="1089"/>
      <c r="AZ202" s="1056"/>
      <c r="BA202" s="1164"/>
      <c r="BB202" s="1164"/>
      <c r="BC202" s="1164"/>
      <c r="BD202" s="1164"/>
      <c r="BE202" s="1164"/>
      <c r="BF202" s="1056"/>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50"/>
      <c r="AI203" s="1040"/>
      <c r="AJ203" s="1089"/>
      <c r="AK203" s="1089"/>
      <c r="AL203" s="1089"/>
      <c r="AM203" s="1089"/>
      <c r="AN203" s="1089"/>
      <c r="AO203" s="1089"/>
      <c r="AP203" s="1089"/>
      <c r="AQ203" s="1089"/>
      <c r="AR203" s="1089"/>
      <c r="AS203" s="1089"/>
      <c r="AT203" s="1089"/>
      <c r="AU203" s="1089"/>
      <c r="AV203" s="1089"/>
      <c r="AW203" s="1089"/>
      <c r="AX203" s="1089"/>
      <c r="AY203" s="1089"/>
      <c r="AZ203" s="1056"/>
      <c r="BA203" s="1164"/>
      <c r="BB203" s="1164"/>
      <c r="BC203" s="1164"/>
      <c r="BD203" s="1164"/>
      <c r="BE203" s="1164"/>
      <c r="BF203" s="1056"/>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50"/>
      <c r="AI204" s="1040"/>
      <c r="AJ204" s="1089"/>
      <c r="AK204" s="1089"/>
      <c r="AL204" s="1089"/>
      <c r="AM204" s="1089"/>
      <c r="AN204" s="1089"/>
      <c r="AO204" s="1089"/>
      <c r="AP204" s="1089"/>
      <c r="AQ204" s="1089"/>
      <c r="AR204" s="1089"/>
      <c r="AS204" s="1089"/>
      <c r="AT204" s="1089"/>
      <c r="AU204" s="1089"/>
      <c r="AV204" s="1089"/>
      <c r="AW204" s="1089"/>
      <c r="AX204" s="1089"/>
      <c r="AY204" s="1089"/>
      <c r="AZ204" s="1056"/>
      <c r="BA204" s="1164"/>
      <c r="BB204" s="1164"/>
      <c r="BC204" s="1164"/>
      <c r="BD204" s="1164"/>
      <c r="BE204" s="1164"/>
      <c r="BF204" s="1056"/>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50"/>
      <c r="AI205" s="1040"/>
      <c r="AJ205" s="1089"/>
      <c r="AK205" s="1089"/>
      <c r="AL205" s="1089"/>
      <c r="AM205" s="1089"/>
      <c r="AN205" s="1089"/>
      <c r="AO205" s="1089"/>
      <c r="AP205" s="1089"/>
      <c r="AQ205" s="1089"/>
      <c r="AR205" s="1089"/>
      <c r="AS205" s="1089"/>
      <c r="AT205" s="1089"/>
      <c r="AU205" s="1089"/>
      <c r="AV205" s="1089"/>
      <c r="AW205" s="1089"/>
      <c r="AX205" s="1089"/>
      <c r="AY205" s="1089"/>
      <c r="AZ205" s="1056"/>
      <c r="BA205" s="1164"/>
      <c r="BB205" s="1164"/>
      <c r="BC205" s="1164"/>
      <c r="BD205" s="1164"/>
      <c r="BE205" s="1164"/>
      <c r="BF205" s="1056"/>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50"/>
      <c r="AI206" s="1040"/>
      <c r="AJ206" s="1089"/>
      <c r="AK206" s="1089"/>
      <c r="AL206" s="1089"/>
      <c r="AM206" s="1089"/>
      <c r="AN206" s="1089"/>
      <c r="AO206" s="1089"/>
      <c r="AP206" s="1089"/>
      <c r="AQ206" s="1089"/>
      <c r="AR206" s="1089"/>
      <c r="AS206" s="1089"/>
      <c r="AT206" s="1089"/>
      <c r="AU206" s="1089"/>
      <c r="AV206" s="1089"/>
      <c r="AW206" s="1089"/>
      <c r="AX206" s="1089"/>
      <c r="AY206" s="1089"/>
      <c r="AZ206" s="1056"/>
      <c r="BA206" s="1164"/>
      <c r="BB206" s="1164"/>
      <c r="BC206" s="1164"/>
      <c r="BD206" s="1164"/>
      <c r="BE206" s="1164"/>
      <c r="BF206" s="1056"/>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50"/>
      <c r="AI207" s="1040"/>
      <c r="AJ207" s="1089"/>
      <c r="AK207" s="1089"/>
      <c r="AL207" s="1089"/>
      <c r="AM207" s="1089"/>
      <c r="AN207" s="1089"/>
      <c r="AO207" s="1089"/>
      <c r="AP207" s="1089"/>
      <c r="AQ207" s="1089"/>
      <c r="AR207" s="1089"/>
      <c r="AS207" s="1089"/>
      <c r="AT207" s="1089"/>
      <c r="AU207" s="1089"/>
      <c r="AV207" s="1089"/>
      <c r="AW207" s="1089"/>
      <c r="AX207" s="1089"/>
      <c r="AY207" s="1089"/>
      <c r="AZ207" s="1056"/>
      <c r="BA207" s="1164"/>
      <c r="BB207" s="1164"/>
      <c r="BC207" s="1164"/>
      <c r="BD207" s="1164"/>
      <c r="BE207" s="1164"/>
      <c r="BF207" s="1056"/>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50"/>
      <c r="AI208" s="1040"/>
      <c r="AJ208" s="1089"/>
      <c r="AK208" s="1089"/>
      <c r="AL208" s="1089"/>
      <c r="AM208" s="1089"/>
      <c r="AN208" s="1089"/>
      <c r="AO208" s="1089"/>
      <c r="AP208" s="1089"/>
      <c r="AQ208" s="1089"/>
      <c r="AR208" s="1089"/>
      <c r="AS208" s="1089"/>
      <c r="AT208" s="1089"/>
      <c r="AU208" s="1089"/>
      <c r="AV208" s="1089"/>
      <c r="AW208" s="1089"/>
      <c r="AX208" s="1089"/>
      <c r="AY208" s="1089"/>
      <c r="AZ208" s="1056"/>
      <c r="BA208" s="1164"/>
      <c r="BB208" s="1164"/>
      <c r="BC208" s="1164"/>
      <c r="BD208" s="1164"/>
      <c r="BE208" s="1164"/>
      <c r="BF208" s="1056"/>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50"/>
      <c r="AI209" s="1040"/>
      <c r="AJ209" s="1089"/>
      <c r="AK209" s="1089"/>
      <c r="AL209" s="1089"/>
      <c r="AM209" s="1089"/>
      <c r="AN209" s="1089"/>
      <c r="AO209" s="1089"/>
      <c r="AP209" s="1089"/>
      <c r="AQ209" s="1089"/>
      <c r="AR209" s="1089"/>
      <c r="AS209" s="1089"/>
      <c r="AT209" s="1089"/>
      <c r="AU209" s="1089"/>
      <c r="AV209" s="1089"/>
      <c r="AW209" s="1089"/>
      <c r="AX209" s="1089"/>
      <c r="AY209" s="1089"/>
      <c r="AZ209" s="1056"/>
      <c r="BA209" s="1164"/>
      <c r="BB209" s="1164"/>
      <c r="BC209" s="1164"/>
      <c r="BD209" s="1164"/>
      <c r="BE209" s="1164"/>
      <c r="BF209" s="1056"/>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50"/>
      <c r="AI210" s="1040"/>
      <c r="AJ210" s="1089"/>
      <c r="AK210" s="1089"/>
      <c r="AL210" s="1089"/>
      <c r="AM210" s="1089"/>
      <c r="AN210" s="1089"/>
      <c r="AO210" s="1089"/>
      <c r="AP210" s="1089"/>
      <c r="AQ210" s="1089"/>
      <c r="AR210" s="1089"/>
      <c r="AS210" s="1089"/>
      <c r="AT210" s="1089"/>
      <c r="AU210" s="1089"/>
      <c r="AV210" s="1089"/>
      <c r="AW210" s="1089"/>
      <c r="AX210" s="1089"/>
      <c r="AY210" s="1089"/>
      <c r="AZ210" s="1056"/>
      <c r="BA210" s="1164"/>
      <c r="BB210" s="1164"/>
      <c r="BC210" s="1164"/>
      <c r="BD210" s="1164"/>
      <c r="BE210" s="1164"/>
      <c r="BF210" s="1056"/>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50"/>
      <c r="AI211" s="1040"/>
      <c r="AJ211" s="1089"/>
      <c r="AK211" s="1089"/>
      <c r="AL211" s="1089"/>
      <c r="AM211" s="1089"/>
      <c r="AN211" s="1089"/>
      <c r="AO211" s="1089"/>
      <c r="AP211" s="1089"/>
      <c r="AQ211" s="1089"/>
      <c r="AR211" s="1089"/>
      <c r="AS211" s="1089"/>
      <c r="AT211" s="1089"/>
      <c r="AU211" s="1089"/>
      <c r="AV211" s="1089"/>
      <c r="AW211" s="1089"/>
      <c r="AX211" s="1089"/>
      <c r="AY211" s="1089"/>
      <c r="AZ211" s="1056"/>
      <c r="BA211" s="1164"/>
      <c r="BB211" s="1164"/>
      <c r="BC211" s="1164"/>
      <c r="BD211" s="1164"/>
      <c r="BE211" s="1164"/>
      <c r="BF211" s="1056"/>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50"/>
      <c r="AI212" s="1040"/>
      <c r="AJ212" s="1089"/>
      <c r="AK212" s="1089"/>
      <c r="AL212" s="1089"/>
      <c r="AM212" s="1089"/>
      <c r="AN212" s="1089"/>
      <c r="AO212" s="1089"/>
      <c r="AP212" s="1089"/>
      <c r="AQ212" s="1089"/>
      <c r="AR212" s="1089"/>
      <c r="AS212" s="1089"/>
      <c r="AT212" s="1089"/>
      <c r="AU212" s="1089"/>
      <c r="AV212" s="1089"/>
      <c r="AW212" s="1089"/>
      <c r="AX212" s="1089"/>
      <c r="AY212" s="1089"/>
      <c r="AZ212" s="1056"/>
      <c r="BA212" s="1164"/>
      <c r="BB212" s="1164"/>
      <c r="BC212" s="1164"/>
      <c r="BD212" s="1164"/>
      <c r="BE212" s="1164"/>
      <c r="BF212" s="1056"/>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50"/>
      <c r="AI213" s="1040"/>
      <c r="AJ213" s="1089"/>
      <c r="AK213" s="1089"/>
      <c r="AL213" s="1089"/>
      <c r="AM213" s="1089"/>
      <c r="AN213" s="1089"/>
      <c r="AO213" s="1089"/>
      <c r="AP213" s="1089"/>
      <c r="AQ213" s="1089"/>
      <c r="AR213" s="1089"/>
      <c r="AS213" s="1089"/>
      <c r="AT213" s="1089"/>
      <c r="AU213" s="1089"/>
      <c r="AV213" s="1089"/>
      <c r="AW213" s="1089"/>
      <c r="AX213" s="1089"/>
      <c r="AY213" s="1089"/>
      <c r="AZ213" s="1056"/>
      <c r="BA213" s="1164"/>
      <c r="BB213" s="1164"/>
      <c r="BC213" s="1164"/>
      <c r="BD213" s="1164"/>
      <c r="BE213" s="1164"/>
      <c r="BF213" s="1056"/>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50"/>
      <c r="AI214" s="1040"/>
      <c r="AJ214" s="1089"/>
      <c r="AK214" s="1089"/>
      <c r="AL214" s="1089"/>
      <c r="AM214" s="1089"/>
      <c r="AN214" s="1089"/>
      <c r="AO214" s="1089"/>
      <c r="AP214" s="1089"/>
      <c r="AQ214" s="1089"/>
      <c r="AR214" s="1089"/>
      <c r="AS214" s="1089"/>
      <c r="AT214" s="1089"/>
      <c r="AU214" s="1089"/>
      <c r="AV214" s="1089"/>
      <c r="AW214" s="1089"/>
      <c r="AX214" s="1089"/>
      <c r="AY214" s="1089"/>
      <c r="AZ214" s="1056"/>
      <c r="BA214" s="1164"/>
      <c r="BB214" s="1164"/>
      <c r="BC214" s="1164"/>
      <c r="BD214" s="1164"/>
      <c r="BE214" s="1164"/>
      <c r="BF214" s="1056"/>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50"/>
      <c r="AI215" s="1040"/>
      <c r="AJ215" s="1089"/>
      <c r="AK215" s="1089"/>
      <c r="AL215" s="1089"/>
      <c r="AM215" s="1089"/>
      <c r="AN215" s="1089"/>
      <c r="AO215" s="1089"/>
      <c r="AP215" s="1089"/>
      <c r="AQ215" s="1089"/>
      <c r="AR215" s="1089"/>
      <c r="AS215" s="1089"/>
      <c r="AT215" s="1089"/>
      <c r="AU215" s="1089"/>
      <c r="AV215" s="1089"/>
      <c r="AW215" s="1089"/>
      <c r="AX215" s="1089"/>
      <c r="AY215" s="1089"/>
      <c r="AZ215" s="1056"/>
      <c r="BA215" s="1164"/>
      <c r="BB215" s="1164"/>
      <c r="BC215" s="1164"/>
      <c r="BD215" s="1164"/>
      <c r="BE215" s="1164"/>
      <c r="BF215" s="1056"/>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50"/>
      <c r="AI216" s="1040"/>
      <c r="AJ216" s="1089"/>
      <c r="AK216" s="1089"/>
      <c r="AL216" s="1089"/>
      <c r="AM216" s="1089"/>
      <c r="AN216" s="1089"/>
      <c r="AO216" s="1089"/>
      <c r="AP216" s="1089"/>
      <c r="AQ216" s="1089"/>
      <c r="AR216" s="1089"/>
      <c r="AS216" s="1089"/>
      <c r="AT216" s="1089"/>
      <c r="AU216" s="1089"/>
      <c r="AV216" s="1089"/>
      <c r="AW216" s="1089"/>
      <c r="AX216" s="1089"/>
      <c r="AY216" s="1089"/>
      <c r="AZ216" s="1056"/>
      <c r="BA216" s="1164"/>
      <c r="BB216" s="1164"/>
      <c r="BC216" s="1164"/>
      <c r="BD216" s="1164"/>
      <c r="BE216" s="1164"/>
      <c r="BF216" s="1056"/>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50"/>
      <c r="AI217" s="1040"/>
      <c r="AJ217" s="1089"/>
      <c r="AK217" s="1089"/>
      <c r="AL217" s="1089"/>
      <c r="AM217" s="1089"/>
      <c r="AN217" s="1089"/>
      <c r="AO217" s="1089"/>
      <c r="AP217" s="1089"/>
      <c r="AQ217" s="1089"/>
      <c r="AR217" s="1089"/>
      <c r="AS217" s="1089"/>
      <c r="AT217" s="1089"/>
      <c r="AU217" s="1089"/>
      <c r="AV217" s="1089"/>
      <c r="AW217" s="1089"/>
      <c r="AX217" s="1089"/>
      <c r="AY217" s="1089"/>
      <c r="AZ217" s="1056"/>
      <c r="BA217" s="1164"/>
      <c r="BB217" s="1164"/>
      <c r="BC217" s="1164"/>
      <c r="BD217" s="1164"/>
      <c r="BE217" s="1164"/>
      <c r="BF217" s="1056"/>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50"/>
      <c r="AI218" s="1040"/>
      <c r="AJ218" s="1089"/>
      <c r="AK218" s="1089"/>
      <c r="AL218" s="1089"/>
      <c r="AM218" s="1089"/>
      <c r="AN218" s="1089"/>
      <c r="AO218" s="1089"/>
      <c r="AP218" s="1089"/>
      <c r="AQ218" s="1089"/>
      <c r="AR218" s="1089"/>
      <c r="AS218" s="1089"/>
      <c r="AT218" s="1089"/>
      <c r="AU218" s="1089"/>
      <c r="AV218" s="1089"/>
      <c r="AW218" s="1089"/>
      <c r="AX218" s="1089"/>
      <c r="AY218" s="1089"/>
      <c r="AZ218" s="1056"/>
      <c r="BA218" s="1164"/>
      <c r="BB218" s="1164"/>
      <c r="BC218" s="1164"/>
      <c r="BD218" s="1164"/>
      <c r="BE218" s="1164"/>
      <c r="BF218" s="1056"/>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50"/>
      <c r="AI219" s="1040"/>
      <c r="AJ219" s="1089"/>
      <c r="AK219" s="1089"/>
      <c r="AL219" s="1089"/>
      <c r="AM219" s="1089"/>
      <c r="AN219" s="1089"/>
      <c r="AO219" s="1089"/>
      <c r="AP219" s="1089"/>
      <c r="AQ219" s="1089"/>
      <c r="AR219" s="1089"/>
      <c r="AS219" s="1089"/>
      <c r="AT219" s="1089"/>
      <c r="AU219" s="1089"/>
      <c r="AV219" s="1089"/>
      <c r="AW219" s="1089"/>
      <c r="AX219" s="1089"/>
      <c r="AY219" s="1089"/>
      <c r="AZ219" s="1056"/>
      <c r="BA219" s="1164"/>
      <c r="BB219" s="1164"/>
      <c r="BC219" s="1164"/>
      <c r="BD219" s="1164"/>
      <c r="BE219" s="1164"/>
      <c r="BF219" s="1056"/>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50"/>
      <c r="AI220" s="1040"/>
      <c r="AJ220" s="1089"/>
      <c r="AK220" s="1089"/>
      <c r="AL220" s="1089"/>
      <c r="AM220" s="1089"/>
      <c r="AN220" s="1089"/>
      <c r="AO220" s="1089"/>
      <c r="AP220" s="1089"/>
      <c r="AQ220" s="1089"/>
      <c r="AR220" s="1089"/>
      <c r="AS220" s="1089"/>
      <c r="AT220" s="1089"/>
      <c r="AU220" s="1089"/>
      <c r="AV220" s="1089"/>
      <c r="AW220" s="1089"/>
      <c r="AX220" s="1089"/>
      <c r="AY220" s="1089"/>
      <c r="AZ220" s="1056"/>
      <c r="BA220" s="1164"/>
      <c r="BB220" s="1164"/>
      <c r="BC220" s="1164"/>
      <c r="BD220" s="1164"/>
      <c r="BE220" s="1164"/>
      <c r="BF220" s="1056"/>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50"/>
      <c r="AI221" s="1040"/>
      <c r="AJ221" s="1089"/>
      <c r="AK221" s="1089"/>
      <c r="AL221" s="1089"/>
      <c r="AM221" s="1089"/>
      <c r="AN221" s="1089"/>
      <c r="AO221" s="1089"/>
      <c r="AP221" s="1089"/>
      <c r="AQ221" s="1089"/>
      <c r="AR221" s="1089"/>
      <c r="AS221" s="1089"/>
      <c r="AT221" s="1089"/>
      <c r="AU221" s="1089"/>
      <c r="AV221" s="1089"/>
      <c r="AW221" s="1089"/>
      <c r="AX221" s="1089"/>
      <c r="AY221" s="1089"/>
      <c r="AZ221" s="1056"/>
      <c r="BA221" s="1164"/>
      <c r="BB221" s="1164"/>
      <c r="BC221" s="1164"/>
      <c r="BD221" s="1164"/>
      <c r="BE221" s="1164"/>
      <c r="BF221" s="1056"/>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50"/>
      <c r="AI222" s="1040"/>
      <c r="AJ222" s="1089"/>
      <c r="AK222" s="1089"/>
      <c r="AL222" s="1089"/>
      <c r="AM222" s="1089"/>
      <c r="AN222" s="1089"/>
      <c r="AO222" s="1089"/>
      <c r="AP222" s="1089"/>
      <c r="AQ222" s="1089"/>
      <c r="AR222" s="1089"/>
      <c r="AS222" s="1089"/>
      <c r="AT222" s="1089"/>
      <c r="AU222" s="1089"/>
      <c r="AV222" s="1089"/>
      <c r="AW222" s="1089"/>
      <c r="AX222" s="1089"/>
      <c r="AY222" s="1089"/>
      <c r="AZ222" s="1056"/>
      <c r="BA222" s="1164"/>
      <c r="BB222" s="1164"/>
      <c r="BC222" s="1164"/>
      <c r="BD222" s="1164"/>
      <c r="BE222" s="1164"/>
      <c r="BF222" s="1056"/>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50"/>
      <c r="AI223" s="1040"/>
      <c r="AJ223" s="1089"/>
      <c r="AK223" s="1089"/>
      <c r="AL223" s="1089"/>
      <c r="AM223" s="1089"/>
      <c r="AN223" s="1089"/>
      <c r="AO223" s="1089"/>
      <c r="AP223" s="1089"/>
      <c r="AQ223" s="1089"/>
      <c r="AR223" s="1089"/>
      <c r="AS223" s="1089"/>
      <c r="AT223" s="1089"/>
      <c r="AU223" s="1089"/>
      <c r="AV223" s="1089"/>
      <c r="AW223" s="1089"/>
      <c r="AX223" s="1089"/>
      <c r="AY223" s="1089"/>
      <c r="AZ223" s="1056"/>
      <c r="BA223" s="1164"/>
      <c r="BB223" s="1164"/>
      <c r="BC223" s="1164"/>
      <c r="BD223" s="1164"/>
      <c r="BE223" s="1164"/>
      <c r="BF223" s="1056"/>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50"/>
      <c r="AI224" s="1040"/>
      <c r="AJ224" s="1089"/>
      <c r="AK224" s="1089"/>
      <c r="AL224" s="1089"/>
      <c r="AM224" s="1089"/>
      <c r="AN224" s="1089"/>
      <c r="AO224" s="1089"/>
      <c r="AP224" s="1089"/>
      <c r="AQ224" s="1089"/>
      <c r="AR224" s="1089"/>
      <c r="AS224" s="1089"/>
      <c r="AT224" s="1089"/>
      <c r="AU224" s="1089"/>
      <c r="AV224" s="1089"/>
      <c r="AW224" s="1089"/>
      <c r="AX224" s="1089"/>
      <c r="AY224" s="1089"/>
      <c r="AZ224" s="1056"/>
      <c r="BA224" s="1164"/>
      <c r="BB224" s="1164"/>
      <c r="BC224" s="1164"/>
      <c r="BD224" s="1164"/>
      <c r="BE224" s="1164"/>
      <c r="BF224" s="1056"/>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50"/>
      <c r="AI225" s="1040"/>
      <c r="AJ225" s="1089"/>
      <c r="AK225" s="1089"/>
      <c r="AL225" s="1089"/>
      <c r="AM225" s="1089"/>
      <c r="AN225" s="1089"/>
      <c r="AO225" s="1089"/>
      <c r="AP225" s="1089"/>
      <c r="AQ225" s="1089"/>
      <c r="AR225" s="1089"/>
      <c r="AS225" s="1089"/>
      <c r="AT225" s="1089"/>
      <c r="AU225" s="1089"/>
      <c r="AV225" s="1089"/>
      <c r="AW225" s="1089"/>
      <c r="AX225" s="1089"/>
      <c r="AY225" s="1089"/>
      <c r="AZ225" s="1056"/>
      <c r="BA225" s="1164"/>
      <c r="BB225" s="1164"/>
      <c r="BC225" s="1164"/>
      <c r="BD225" s="1164"/>
      <c r="BE225" s="1164"/>
      <c r="BF225" s="1056"/>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50"/>
      <c r="AI226" s="1040"/>
      <c r="AJ226" s="1089"/>
      <c r="AK226" s="1089"/>
      <c r="AL226" s="1089"/>
      <c r="AM226" s="1089"/>
      <c r="AN226" s="1089"/>
      <c r="AO226" s="1089"/>
      <c r="AP226" s="1089"/>
      <c r="AQ226" s="1089"/>
      <c r="AR226" s="1089"/>
      <c r="AS226" s="1089"/>
      <c r="AT226" s="1089"/>
      <c r="AU226" s="1089"/>
      <c r="AV226" s="1089"/>
      <c r="AW226" s="1089"/>
      <c r="AX226" s="1089"/>
      <c r="AY226" s="1089"/>
      <c r="AZ226" s="1056"/>
      <c r="BA226" s="1164"/>
      <c r="BB226" s="1164"/>
      <c r="BC226" s="1164"/>
      <c r="BD226" s="1164"/>
      <c r="BE226" s="1164"/>
      <c r="BF226" s="1056"/>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50"/>
      <c r="AI227" s="1040"/>
      <c r="AJ227" s="1089"/>
      <c r="AK227" s="1089"/>
      <c r="AL227" s="1089"/>
      <c r="AM227" s="1089"/>
      <c r="AN227" s="1089"/>
      <c r="AO227" s="1089"/>
      <c r="AP227" s="1089"/>
      <c r="AQ227" s="1089"/>
      <c r="AR227" s="1089"/>
      <c r="AS227" s="1089"/>
      <c r="AT227" s="1089"/>
      <c r="AU227" s="1089"/>
      <c r="AV227" s="1089"/>
      <c r="AW227" s="1089"/>
      <c r="AX227" s="1089"/>
      <c r="AY227" s="1089"/>
      <c r="AZ227" s="1056"/>
      <c r="BA227" s="1164"/>
      <c r="BB227" s="1164"/>
      <c r="BC227" s="1164"/>
      <c r="BD227" s="1164"/>
      <c r="BE227" s="1164"/>
      <c r="BF227" s="1056"/>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50"/>
      <c r="AI228" s="1040"/>
      <c r="AJ228" s="1089"/>
      <c r="AK228" s="1089"/>
      <c r="AL228" s="1089"/>
      <c r="AM228" s="1089"/>
      <c r="AN228" s="1089"/>
      <c r="AO228" s="1089"/>
      <c r="AP228" s="1089"/>
      <c r="AQ228" s="1089"/>
      <c r="AR228" s="1089"/>
      <c r="AS228" s="1089"/>
      <c r="AT228" s="1089"/>
      <c r="AU228" s="1089"/>
      <c r="AV228" s="1089"/>
      <c r="AW228" s="1089"/>
      <c r="AX228" s="1089"/>
      <c r="AY228" s="1089"/>
      <c r="AZ228" s="1056"/>
      <c r="BA228" s="1164"/>
      <c r="BB228" s="1164"/>
      <c r="BC228" s="1164"/>
      <c r="BD228" s="1164"/>
      <c r="BE228" s="1164"/>
      <c r="BF228" s="1056"/>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50"/>
      <c r="AI229" s="1040"/>
      <c r="AJ229" s="1089"/>
      <c r="AK229" s="1089"/>
      <c r="AL229" s="1089"/>
      <c r="AM229" s="1089"/>
      <c r="AN229" s="1089"/>
      <c r="AO229" s="1089"/>
      <c r="AP229" s="1089"/>
      <c r="AQ229" s="1089"/>
      <c r="AR229" s="1089"/>
      <c r="AS229" s="1089"/>
      <c r="AT229" s="1089"/>
      <c r="AU229" s="1089"/>
      <c r="AV229" s="1089"/>
      <c r="AW229" s="1089"/>
      <c r="AX229" s="1089"/>
      <c r="AY229" s="1089"/>
      <c r="AZ229" s="1056"/>
      <c r="BA229" s="1164"/>
      <c r="BB229" s="1164"/>
      <c r="BC229" s="1164"/>
      <c r="BD229" s="1164"/>
      <c r="BE229" s="1164"/>
      <c r="BF229" s="1056"/>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50"/>
      <c r="AI230" s="1040"/>
      <c r="AJ230" s="1089"/>
      <c r="AK230" s="1089"/>
      <c r="AL230" s="1089"/>
      <c r="AM230" s="1089"/>
      <c r="AN230" s="1089"/>
      <c r="AO230" s="1089"/>
      <c r="AP230" s="1089"/>
      <c r="AQ230" s="1089"/>
      <c r="AR230" s="1089"/>
      <c r="AS230" s="1089"/>
      <c r="AT230" s="1089"/>
      <c r="AU230" s="1089"/>
      <c r="AV230" s="1089"/>
      <c r="AW230" s="1089"/>
      <c r="AX230" s="1089"/>
      <c r="AY230" s="1089"/>
      <c r="AZ230" s="1056"/>
      <c r="BA230" s="1164"/>
      <c r="BB230" s="1164"/>
      <c r="BC230" s="1164"/>
      <c r="BD230" s="1164"/>
      <c r="BE230" s="1164"/>
      <c r="BF230" s="1056"/>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50"/>
      <c r="AI231" s="1040"/>
      <c r="AJ231" s="1089"/>
      <c r="AK231" s="1089"/>
      <c r="AL231" s="1089"/>
      <c r="AM231" s="1089"/>
      <c r="AN231" s="1089"/>
      <c r="AO231" s="1089"/>
      <c r="AP231" s="1089"/>
      <c r="AQ231" s="1089"/>
      <c r="AR231" s="1089"/>
      <c r="AS231" s="1089"/>
      <c r="AT231" s="1089"/>
      <c r="AU231" s="1089"/>
      <c r="AV231" s="1089"/>
      <c r="AW231" s="1089"/>
      <c r="AX231" s="1089"/>
      <c r="AY231" s="1089"/>
      <c r="AZ231" s="1056"/>
      <c r="BA231" s="1164"/>
      <c r="BB231" s="1164"/>
      <c r="BC231" s="1164"/>
      <c r="BD231" s="1164"/>
      <c r="BE231" s="1164"/>
      <c r="BF231" s="1056"/>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50"/>
      <c r="AI232" s="1040"/>
      <c r="AJ232" s="1089"/>
      <c r="AK232" s="1089"/>
      <c r="AL232" s="1089"/>
      <c r="AM232" s="1089"/>
      <c r="AN232" s="1089"/>
      <c r="AO232" s="1089"/>
      <c r="AP232" s="1089"/>
      <c r="AQ232" s="1089"/>
      <c r="AR232" s="1089"/>
      <c r="AS232" s="1089"/>
      <c r="AT232" s="1089"/>
      <c r="AU232" s="1089"/>
      <c r="AV232" s="1089"/>
      <c r="AW232" s="1089"/>
      <c r="AX232" s="1089"/>
      <c r="AY232" s="1089"/>
      <c r="AZ232" s="1056"/>
      <c r="BA232" s="1164"/>
      <c r="BB232" s="1164"/>
      <c r="BC232" s="1164"/>
      <c r="BD232" s="1164"/>
      <c r="BE232" s="1164"/>
      <c r="BF232" s="1056"/>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50"/>
      <c r="AI233" s="1040"/>
      <c r="AJ233" s="1089"/>
      <c r="AK233" s="1089"/>
      <c r="AL233" s="1089"/>
      <c r="AM233" s="1089"/>
      <c r="AN233" s="1089"/>
      <c r="AO233" s="1089"/>
      <c r="AP233" s="1089"/>
      <c r="AQ233" s="1089"/>
      <c r="AR233" s="1089"/>
      <c r="AS233" s="1089"/>
      <c r="AT233" s="1089"/>
      <c r="AU233" s="1089"/>
      <c r="AV233" s="1089"/>
      <c r="AW233" s="1089"/>
      <c r="AX233" s="1089"/>
      <c r="AY233" s="1089"/>
      <c r="AZ233" s="1056"/>
      <c r="BA233" s="1164"/>
      <c r="BB233" s="1164"/>
      <c r="BC233" s="1164"/>
      <c r="BD233" s="1164"/>
      <c r="BE233" s="1164"/>
      <c r="BF233" s="1056"/>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50"/>
      <c r="AI234" s="1040"/>
      <c r="AJ234" s="1089"/>
      <c r="AK234" s="1089"/>
      <c r="AL234" s="1089"/>
      <c r="AM234" s="1089"/>
      <c r="AN234" s="1089"/>
      <c r="AO234" s="1089"/>
      <c r="AP234" s="1089"/>
      <c r="AQ234" s="1089"/>
      <c r="AR234" s="1089"/>
      <c r="AS234" s="1089"/>
      <c r="AT234" s="1089"/>
      <c r="AU234" s="1089"/>
      <c r="AV234" s="1089"/>
      <c r="AW234" s="1089"/>
      <c r="AX234" s="1089"/>
      <c r="AY234" s="1089"/>
      <c r="AZ234" s="1056"/>
      <c r="BA234" s="1164"/>
      <c r="BB234" s="1164"/>
      <c r="BC234" s="1164"/>
      <c r="BD234" s="1164"/>
      <c r="BE234" s="1164"/>
      <c r="BF234" s="1056"/>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50"/>
      <c r="AI235" s="1040"/>
      <c r="AJ235" s="1089"/>
      <c r="AK235" s="1089"/>
      <c r="AL235" s="1089"/>
      <c r="AM235" s="1089"/>
      <c r="AN235" s="1089"/>
      <c r="AO235" s="1089"/>
      <c r="AP235" s="1089"/>
      <c r="AQ235" s="1089"/>
      <c r="AR235" s="1089"/>
      <c r="AS235" s="1089"/>
      <c r="AT235" s="1089"/>
      <c r="AU235" s="1089"/>
      <c r="AV235" s="1089"/>
      <c r="AW235" s="1089"/>
      <c r="AX235" s="1089"/>
      <c r="AY235" s="1089"/>
      <c r="AZ235" s="1056"/>
      <c r="BA235" s="1164"/>
      <c r="BB235" s="1164"/>
      <c r="BC235" s="1164"/>
      <c r="BD235" s="1164"/>
      <c r="BE235" s="1164"/>
      <c r="BF235" s="1056"/>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50"/>
      <c r="AI236" s="1040"/>
      <c r="AJ236" s="1089"/>
      <c r="AK236" s="1089"/>
      <c r="AL236" s="1089"/>
      <c r="AM236" s="1089"/>
      <c r="AN236" s="1089"/>
      <c r="AO236" s="1089"/>
      <c r="AP236" s="1089"/>
      <c r="AQ236" s="1089"/>
      <c r="AR236" s="1089"/>
      <c r="AS236" s="1089"/>
      <c r="AT236" s="1089"/>
      <c r="AU236" s="1089"/>
      <c r="AV236" s="1089"/>
      <c r="AW236" s="1089"/>
      <c r="AX236" s="1089"/>
      <c r="AY236" s="1089"/>
      <c r="AZ236" s="1056"/>
      <c r="BA236" s="1164"/>
      <c r="BB236" s="1164"/>
      <c r="BC236" s="1164"/>
      <c r="BD236" s="1164"/>
      <c r="BE236" s="1164"/>
      <c r="BF236" s="1056"/>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50"/>
      <c r="AI237" s="1040"/>
      <c r="AJ237" s="1089"/>
      <c r="AK237" s="1089"/>
      <c r="AL237" s="1089"/>
      <c r="AM237" s="1089"/>
      <c r="AN237" s="1089"/>
      <c r="AO237" s="1089"/>
      <c r="AP237" s="1089"/>
      <c r="AQ237" s="1089"/>
      <c r="AR237" s="1089"/>
      <c r="AS237" s="1089"/>
      <c r="AT237" s="1089"/>
      <c r="AU237" s="1089"/>
      <c r="AV237" s="1089"/>
      <c r="AW237" s="1089"/>
      <c r="AX237" s="1089"/>
      <c r="AY237" s="1089"/>
      <c r="AZ237" s="1056"/>
      <c r="BA237" s="1164"/>
      <c r="BB237" s="1164"/>
      <c r="BC237" s="1164"/>
      <c r="BD237" s="1164"/>
      <c r="BE237" s="1164"/>
      <c r="BF237" s="1056"/>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50"/>
      <c r="AI238" s="1040"/>
      <c r="AJ238" s="1089"/>
      <c r="AK238" s="1089"/>
      <c r="AL238" s="1089"/>
      <c r="AM238" s="1089"/>
      <c r="AN238" s="1089"/>
      <c r="AO238" s="1089"/>
      <c r="AP238" s="1089"/>
      <c r="AQ238" s="1089"/>
      <c r="AR238" s="1089"/>
      <c r="AS238" s="1089"/>
      <c r="AT238" s="1089"/>
      <c r="AU238" s="1089"/>
      <c r="AV238" s="1089"/>
      <c r="AW238" s="1089"/>
      <c r="AX238" s="1089"/>
      <c r="AY238" s="1089"/>
      <c r="AZ238" s="1056"/>
      <c r="BA238" s="1164"/>
      <c r="BB238" s="1164"/>
      <c r="BC238" s="1164"/>
      <c r="BD238" s="1164"/>
      <c r="BE238" s="1164"/>
      <c r="BF238" s="1056"/>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50"/>
      <c r="AI239" s="1040"/>
      <c r="AJ239" s="1089"/>
      <c r="AK239" s="1089"/>
      <c r="AL239" s="1089"/>
      <c r="AM239" s="1089"/>
      <c r="AN239" s="1089"/>
      <c r="AO239" s="1089"/>
      <c r="AP239" s="1089"/>
      <c r="AQ239" s="1089"/>
      <c r="AR239" s="1089"/>
      <c r="AS239" s="1089"/>
      <c r="AT239" s="1089"/>
      <c r="AU239" s="1089"/>
      <c r="AV239" s="1089"/>
      <c r="AW239" s="1089"/>
      <c r="AX239" s="1089"/>
      <c r="AY239" s="1089"/>
      <c r="AZ239" s="1056"/>
      <c r="BA239" s="1164"/>
      <c r="BB239" s="1164"/>
      <c r="BC239" s="1164"/>
      <c r="BD239" s="1164"/>
      <c r="BE239" s="1164"/>
      <c r="BF239" s="1056"/>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50"/>
      <c r="AI240" s="1040"/>
      <c r="AJ240" s="1089"/>
      <c r="AK240" s="1089"/>
      <c r="AL240" s="1089"/>
      <c r="AM240" s="1089"/>
      <c r="AN240" s="1089"/>
      <c r="AO240" s="1089"/>
      <c r="AP240" s="1089"/>
      <c r="AQ240" s="1089"/>
      <c r="AR240" s="1089"/>
      <c r="AS240" s="1089"/>
      <c r="AT240" s="1089"/>
      <c r="AU240" s="1089"/>
      <c r="AV240" s="1089"/>
      <c r="AW240" s="1089"/>
      <c r="AX240" s="1089"/>
      <c r="AY240" s="1089"/>
      <c r="AZ240" s="1056"/>
      <c r="BA240" s="1164"/>
      <c r="BB240" s="1164"/>
      <c r="BC240" s="1164"/>
      <c r="BD240" s="1164"/>
      <c r="BE240" s="1164"/>
      <c r="BF240" s="1056"/>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50"/>
      <c r="AI241" s="1040"/>
      <c r="AJ241" s="1089"/>
      <c r="AK241" s="1089"/>
      <c r="AL241" s="1089"/>
      <c r="AM241" s="1089"/>
      <c r="AN241" s="1089"/>
      <c r="AO241" s="1089"/>
      <c r="AP241" s="1089"/>
      <c r="AQ241" s="1089"/>
      <c r="AR241" s="1089"/>
      <c r="AS241" s="1089"/>
      <c r="AT241" s="1089"/>
      <c r="AU241" s="1089"/>
      <c r="AV241" s="1089"/>
      <c r="AW241" s="1089"/>
      <c r="AX241" s="1089"/>
      <c r="AY241" s="1089"/>
      <c r="AZ241" s="1056"/>
      <c r="BA241" s="1164"/>
      <c r="BB241" s="1164"/>
      <c r="BC241" s="1164"/>
      <c r="BD241" s="1164"/>
      <c r="BE241" s="1164"/>
      <c r="BF241" s="1056"/>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50"/>
      <c r="AI242" s="1040"/>
      <c r="AJ242" s="1089"/>
      <c r="AK242" s="1089"/>
      <c r="AL242" s="1089"/>
      <c r="AM242" s="1089"/>
      <c r="AN242" s="1089"/>
      <c r="AO242" s="1089"/>
      <c r="AP242" s="1089"/>
      <c r="AQ242" s="1089"/>
      <c r="AR242" s="1089"/>
      <c r="AS242" s="1089"/>
      <c r="AT242" s="1089"/>
      <c r="AU242" s="1089"/>
      <c r="AV242" s="1089"/>
      <c r="AW242" s="1089"/>
      <c r="AX242" s="1089"/>
      <c r="AY242" s="1089"/>
      <c r="AZ242" s="1056"/>
      <c r="BA242" s="1164"/>
      <c r="BB242" s="1164"/>
      <c r="BC242" s="1164"/>
      <c r="BD242" s="1164"/>
      <c r="BE242" s="1164"/>
      <c r="BF242" s="1056"/>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50"/>
      <c r="AI243" s="1040"/>
      <c r="AJ243" s="1089"/>
      <c r="AK243" s="1089"/>
      <c r="AL243" s="1089"/>
      <c r="AM243" s="1089"/>
      <c r="AN243" s="1089"/>
      <c r="AO243" s="1089"/>
      <c r="AP243" s="1089"/>
      <c r="AQ243" s="1089"/>
      <c r="AR243" s="1089"/>
      <c r="AS243" s="1089"/>
      <c r="AT243" s="1089"/>
      <c r="AU243" s="1089"/>
      <c r="AV243" s="1089"/>
      <c r="AW243" s="1089"/>
      <c r="AX243" s="1089"/>
      <c r="AY243" s="1089"/>
      <c r="AZ243" s="1056"/>
      <c r="BA243" s="1164"/>
      <c r="BB243" s="1164"/>
      <c r="BC243" s="1164"/>
      <c r="BD243" s="1164"/>
      <c r="BE243" s="1164"/>
      <c r="BF243" s="1056"/>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50"/>
      <c r="AI244" s="1040"/>
      <c r="AJ244" s="1089"/>
      <c r="AK244" s="1089"/>
      <c r="AL244" s="1089"/>
      <c r="AM244" s="1089"/>
      <c r="AN244" s="1089"/>
      <c r="AO244" s="1089"/>
      <c r="AP244" s="1089"/>
      <c r="AQ244" s="1089"/>
      <c r="AR244" s="1089"/>
      <c r="AS244" s="1089"/>
      <c r="AT244" s="1089"/>
      <c r="AU244" s="1089"/>
      <c r="AV244" s="1089"/>
      <c r="AW244" s="1089"/>
      <c r="AX244" s="1089"/>
      <c r="AY244" s="1089"/>
      <c r="AZ244" s="1056"/>
      <c r="BA244" s="1164"/>
      <c r="BB244" s="1164"/>
      <c r="BC244" s="1164"/>
      <c r="BD244" s="1164"/>
      <c r="BE244" s="1164"/>
      <c r="BF244" s="1056"/>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50"/>
      <c r="AI245" s="1040"/>
      <c r="AJ245" s="1089"/>
      <c r="AK245" s="1089"/>
      <c r="AL245" s="1089"/>
      <c r="AM245" s="1089"/>
      <c r="AN245" s="1089"/>
      <c r="AO245" s="1089"/>
      <c r="AP245" s="1089"/>
      <c r="AQ245" s="1089"/>
      <c r="AR245" s="1089"/>
      <c r="AS245" s="1089"/>
      <c r="AT245" s="1089"/>
      <c r="AU245" s="1089"/>
      <c r="AV245" s="1089"/>
      <c r="AW245" s="1089"/>
      <c r="AX245" s="1089"/>
      <c r="AY245" s="1089"/>
      <c r="AZ245" s="1056"/>
      <c r="BA245" s="1164"/>
      <c r="BB245" s="1164"/>
      <c r="BC245" s="1164"/>
      <c r="BD245" s="1164"/>
      <c r="BE245" s="1164"/>
      <c r="BF245" s="1056"/>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50"/>
      <c r="AI246" s="1040"/>
      <c r="AJ246" s="1089"/>
      <c r="AK246" s="1089"/>
      <c r="AL246" s="1089"/>
      <c r="AM246" s="1089"/>
      <c r="AN246" s="1089"/>
      <c r="AO246" s="1089"/>
      <c r="AP246" s="1089"/>
      <c r="AQ246" s="1089"/>
      <c r="AR246" s="1089"/>
      <c r="AS246" s="1089"/>
      <c r="AT246" s="1089"/>
      <c r="AU246" s="1089"/>
      <c r="AV246" s="1089"/>
      <c r="AW246" s="1089"/>
      <c r="AX246" s="1089"/>
      <c r="AY246" s="1089"/>
      <c r="AZ246" s="1056"/>
      <c r="BA246" s="1164"/>
      <c r="BB246" s="1164"/>
      <c r="BC246" s="1164"/>
      <c r="BD246" s="1164"/>
      <c r="BE246" s="1164"/>
      <c r="BF246" s="1056"/>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50"/>
      <c r="AI247" s="1040"/>
      <c r="AJ247" s="1089"/>
      <c r="AK247" s="1089"/>
      <c r="AL247" s="1089"/>
      <c r="AM247" s="1089"/>
      <c r="AN247" s="1089"/>
      <c r="AO247" s="1089"/>
      <c r="AP247" s="1089"/>
      <c r="AQ247" s="1089"/>
      <c r="AR247" s="1089"/>
      <c r="AS247" s="1089"/>
      <c r="AT247" s="1089"/>
      <c r="AU247" s="1089"/>
      <c r="AV247" s="1089"/>
      <c r="AW247" s="1089"/>
      <c r="AX247" s="1089"/>
      <c r="AY247" s="1089"/>
      <c r="AZ247" s="1056"/>
      <c r="BA247" s="1164"/>
      <c r="BB247" s="1164"/>
      <c r="BC247" s="1164"/>
      <c r="BD247" s="1164"/>
      <c r="BE247" s="1164"/>
      <c r="BF247" s="1056"/>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50"/>
      <c r="AI248" s="1040"/>
      <c r="AJ248" s="1089"/>
      <c r="AK248" s="1089"/>
      <c r="AL248" s="1089"/>
      <c r="AM248" s="1089"/>
      <c r="AN248" s="1089"/>
      <c r="AO248" s="1089"/>
      <c r="AP248" s="1089"/>
      <c r="AQ248" s="1089"/>
      <c r="AR248" s="1089"/>
      <c r="AS248" s="1089"/>
      <c r="AT248" s="1089"/>
      <c r="AU248" s="1089"/>
      <c r="AV248" s="1089"/>
      <c r="AW248" s="1089"/>
      <c r="AX248" s="1089"/>
      <c r="AY248" s="1089"/>
      <c r="AZ248" s="1056"/>
      <c r="BA248" s="1164"/>
      <c r="BB248" s="1164"/>
      <c r="BC248" s="1164"/>
      <c r="BD248" s="1164"/>
      <c r="BE248" s="1164"/>
      <c r="BF248" s="1056"/>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50"/>
      <c r="AI249" s="1040"/>
      <c r="AJ249" s="1089"/>
      <c r="AK249" s="1089"/>
      <c r="AL249" s="1089"/>
      <c r="AM249" s="1089"/>
      <c r="AN249" s="1089"/>
      <c r="AO249" s="1089"/>
      <c r="AP249" s="1089"/>
      <c r="AQ249" s="1089"/>
      <c r="AR249" s="1089"/>
      <c r="AS249" s="1089"/>
      <c r="AT249" s="1089"/>
      <c r="AU249" s="1089"/>
      <c r="AV249" s="1089"/>
      <c r="AW249" s="1089"/>
      <c r="AX249" s="1089"/>
      <c r="AY249" s="1089"/>
      <c r="AZ249" s="1056"/>
      <c r="BA249" s="1164"/>
      <c r="BB249" s="1164"/>
      <c r="BC249" s="1164"/>
      <c r="BD249" s="1164"/>
      <c r="BE249" s="1164"/>
      <c r="BF249" s="1056"/>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50"/>
      <c r="AI250" s="1040"/>
      <c r="AJ250" s="1089"/>
      <c r="AK250" s="1089"/>
      <c r="AL250" s="1089"/>
      <c r="AM250" s="1089"/>
      <c r="AN250" s="1089"/>
      <c r="AO250" s="1089"/>
      <c r="AP250" s="1089"/>
      <c r="AQ250" s="1089"/>
      <c r="AR250" s="1089"/>
      <c r="AS250" s="1089"/>
      <c r="AT250" s="1089"/>
      <c r="AU250" s="1089"/>
      <c r="AV250" s="1089"/>
      <c r="AW250" s="1089"/>
      <c r="AX250" s="1089"/>
      <c r="AY250" s="1089"/>
      <c r="AZ250" s="1056"/>
      <c r="BA250" s="1164"/>
      <c r="BB250" s="1164"/>
      <c r="BC250" s="1164"/>
      <c r="BD250" s="1164"/>
      <c r="BE250" s="1164"/>
      <c r="BF250" s="1056"/>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50"/>
      <c r="AI251" s="1040"/>
      <c r="AJ251" s="1089"/>
      <c r="AK251" s="1089"/>
      <c r="AL251" s="1089"/>
      <c r="AM251" s="1089"/>
      <c r="AN251" s="1089"/>
      <c r="AO251" s="1089"/>
      <c r="AP251" s="1089"/>
      <c r="AQ251" s="1089"/>
      <c r="AR251" s="1089"/>
      <c r="AS251" s="1089"/>
      <c r="AT251" s="1089"/>
      <c r="AU251" s="1089"/>
      <c r="AV251" s="1089"/>
      <c r="AW251" s="1089"/>
      <c r="AX251" s="1089"/>
      <c r="AY251" s="1089"/>
      <c r="AZ251" s="1056"/>
      <c r="BA251" s="1164"/>
      <c r="BB251" s="1164"/>
      <c r="BC251" s="1164"/>
      <c r="BD251" s="1164"/>
      <c r="BE251" s="1164"/>
      <c r="BF251" s="1056"/>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50"/>
      <c r="AI252" s="1040"/>
      <c r="AJ252" s="1089"/>
      <c r="AK252" s="1089"/>
      <c r="AL252" s="1089"/>
      <c r="AM252" s="1089"/>
      <c r="AN252" s="1089"/>
      <c r="AO252" s="1089"/>
      <c r="AP252" s="1089"/>
      <c r="AQ252" s="1089"/>
      <c r="AR252" s="1089"/>
      <c r="AS252" s="1089"/>
      <c r="AT252" s="1089"/>
      <c r="AU252" s="1089"/>
      <c r="AV252" s="1089"/>
      <c r="AW252" s="1089"/>
      <c r="AX252" s="1089"/>
      <c r="AY252" s="1089"/>
      <c r="AZ252" s="1056"/>
      <c r="BA252" s="1164"/>
      <c r="BB252" s="1164"/>
      <c r="BC252" s="1164"/>
      <c r="BD252" s="1164"/>
      <c r="BE252" s="1164"/>
      <c r="BF252" s="1056"/>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50"/>
      <c r="AI253" s="1040"/>
      <c r="AJ253" s="1089"/>
      <c r="AK253" s="1089"/>
      <c r="AL253" s="1089"/>
      <c r="AM253" s="1089"/>
      <c r="AN253" s="1089"/>
      <c r="AO253" s="1089"/>
      <c r="AP253" s="1089"/>
      <c r="AQ253" s="1089"/>
      <c r="AR253" s="1089"/>
      <c r="AS253" s="1089"/>
      <c r="AT253" s="1089"/>
      <c r="AU253" s="1089"/>
      <c r="AV253" s="1089"/>
      <c r="AW253" s="1089"/>
      <c r="AX253" s="1089"/>
      <c r="AY253" s="1089"/>
      <c r="AZ253" s="1056"/>
      <c r="BA253" s="1164"/>
      <c r="BB253" s="1164"/>
      <c r="BC253" s="1164"/>
      <c r="BD253" s="1164"/>
      <c r="BE253" s="1164"/>
      <c r="BF253" s="1056"/>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50"/>
      <c r="AI254" s="1040"/>
      <c r="AJ254" s="1089"/>
      <c r="AK254" s="1089"/>
      <c r="AL254" s="1089"/>
      <c r="AM254" s="1089"/>
      <c r="AN254" s="1089"/>
      <c r="AO254" s="1089"/>
      <c r="AP254" s="1089"/>
      <c r="AQ254" s="1089"/>
      <c r="AR254" s="1089"/>
      <c r="AS254" s="1089"/>
      <c r="AT254" s="1089"/>
      <c r="AU254" s="1089"/>
      <c r="AV254" s="1089"/>
      <c r="AW254" s="1089"/>
      <c r="AX254" s="1089"/>
      <c r="AY254" s="1089"/>
      <c r="AZ254" s="1056"/>
      <c r="BA254" s="1164"/>
      <c r="BB254" s="1164"/>
      <c r="BC254" s="1164"/>
      <c r="BD254" s="1164"/>
      <c r="BE254" s="1164"/>
      <c r="BF254" s="1056"/>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50"/>
      <c r="AI255" s="1040"/>
      <c r="AJ255" s="1089"/>
      <c r="AK255" s="1089"/>
      <c r="AL255" s="1089"/>
      <c r="AM255" s="1089"/>
      <c r="AN255" s="1089"/>
      <c r="AO255" s="1089"/>
      <c r="AP255" s="1089"/>
      <c r="AQ255" s="1089"/>
      <c r="AR255" s="1089"/>
      <c r="AS255" s="1089"/>
      <c r="AT255" s="1089"/>
      <c r="AU255" s="1089"/>
      <c r="AV255" s="1089"/>
      <c r="AW255" s="1089"/>
      <c r="AX255" s="1089"/>
      <c r="AY255" s="1089"/>
      <c r="AZ255" s="1056"/>
      <c r="BA255" s="1164"/>
      <c r="BB255" s="1164"/>
      <c r="BC255" s="1164"/>
      <c r="BD255" s="1164"/>
      <c r="BE255" s="1164"/>
      <c r="BF255" s="1056"/>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50"/>
      <c r="AI256" s="1040"/>
      <c r="AJ256" s="1089"/>
      <c r="AK256" s="1089"/>
      <c r="AL256" s="1089"/>
      <c r="AM256" s="1089"/>
      <c r="AN256" s="1089"/>
      <c r="AO256" s="1089"/>
      <c r="AP256" s="1089"/>
      <c r="AQ256" s="1089"/>
      <c r="AR256" s="1089"/>
      <c r="AS256" s="1089"/>
      <c r="AT256" s="1089"/>
      <c r="AU256" s="1089"/>
      <c r="AV256" s="1089"/>
      <c r="AW256" s="1089"/>
      <c r="AX256" s="1089"/>
      <c r="AY256" s="1089"/>
      <c r="AZ256" s="1056"/>
      <c r="BA256" s="1164"/>
      <c r="BB256" s="1164"/>
      <c r="BC256" s="1164"/>
      <c r="BD256" s="1164"/>
      <c r="BE256" s="1164"/>
      <c r="BF256" s="1056"/>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50"/>
      <c r="AI257" s="1040"/>
      <c r="AJ257" s="1089"/>
      <c r="AK257" s="1089"/>
      <c r="AL257" s="1089"/>
      <c r="AM257" s="1089"/>
      <c r="AN257" s="1089"/>
      <c r="AO257" s="1089"/>
      <c r="AP257" s="1089"/>
      <c r="AQ257" s="1089"/>
      <c r="AR257" s="1089"/>
      <c r="AS257" s="1089"/>
      <c r="AT257" s="1089"/>
      <c r="AU257" s="1089"/>
      <c r="AV257" s="1089"/>
      <c r="AW257" s="1089"/>
      <c r="AX257" s="1089"/>
      <c r="AY257" s="1089"/>
      <c r="AZ257" s="1056"/>
      <c r="BA257" s="1164"/>
      <c r="BB257" s="1164"/>
      <c r="BC257" s="1164"/>
      <c r="BD257" s="1164"/>
      <c r="BE257" s="1164"/>
      <c r="BF257" s="1056"/>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50"/>
      <c r="AI258" s="1040"/>
      <c r="AJ258" s="1089"/>
      <c r="AK258" s="1089"/>
      <c r="AL258" s="1089"/>
      <c r="AM258" s="1089"/>
      <c r="AN258" s="1089"/>
      <c r="AO258" s="1089"/>
      <c r="AP258" s="1089"/>
      <c r="AQ258" s="1089"/>
      <c r="AR258" s="1089"/>
      <c r="AS258" s="1089"/>
      <c r="AT258" s="1089"/>
      <c r="AU258" s="1089"/>
      <c r="AV258" s="1089"/>
      <c r="AW258" s="1089"/>
      <c r="AX258" s="1089"/>
      <c r="AY258" s="1089"/>
      <c r="AZ258" s="1056"/>
      <c r="BA258" s="1164"/>
      <c r="BB258" s="1164"/>
      <c r="BC258" s="1164"/>
      <c r="BD258" s="1164"/>
      <c r="BE258" s="1164"/>
      <c r="BF258" s="1056"/>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50"/>
      <c r="AI259" s="1040"/>
      <c r="AJ259" s="1089"/>
      <c r="AK259" s="1089"/>
      <c r="AL259" s="1089"/>
      <c r="AM259" s="1089"/>
      <c r="AN259" s="1089"/>
      <c r="AO259" s="1089"/>
      <c r="AP259" s="1089"/>
      <c r="AQ259" s="1089"/>
      <c r="AR259" s="1089"/>
      <c r="AS259" s="1089"/>
      <c r="AT259" s="1089"/>
      <c r="AU259" s="1089"/>
      <c r="AV259" s="1089"/>
      <c r="AW259" s="1089"/>
      <c r="AX259" s="1089"/>
      <c r="AY259" s="1089"/>
      <c r="AZ259" s="1056"/>
      <c r="BA259" s="1164"/>
      <c r="BB259" s="1164"/>
      <c r="BC259" s="1164"/>
      <c r="BD259" s="1164"/>
      <c r="BE259" s="1164"/>
      <c r="BF259" s="1056"/>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50"/>
      <c r="AI260" s="1040"/>
      <c r="AJ260" s="1089"/>
      <c r="AK260" s="1089"/>
      <c r="AL260" s="1089"/>
      <c r="AM260" s="1089"/>
      <c r="AN260" s="1089"/>
      <c r="AO260" s="1089"/>
      <c r="AP260" s="1089"/>
      <c r="AQ260" s="1089"/>
      <c r="AR260" s="1089"/>
      <c r="AS260" s="1089"/>
      <c r="AT260" s="1089"/>
      <c r="AU260" s="1089"/>
      <c r="AV260" s="1089"/>
      <c r="AW260" s="1089"/>
      <c r="AX260" s="1089"/>
      <c r="AY260" s="1089"/>
      <c r="AZ260" s="1056"/>
      <c r="BA260" s="1164"/>
      <c r="BB260" s="1164"/>
      <c r="BC260" s="1164"/>
      <c r="BD260" s="1164"/>
      <c r="BE260" s="1164"/>
      <c r="BF260" s="1056"/>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50"/>
      <c r="AI261" s="1040"/>
      <c r="AJ261" s="1089"/>
      <c r="AK261" s="1089"/>
      <c r="AL261" s="1089"/>
      <c r="AM261" s="1089"/>
      <c r="AN261" s="1089"/>
      <c r="AO261" s="1089"/>
      <c r="AP261" s="1089"/>
      <c r="AQ261" s="1089"/>
      <c r="AR261" s="1089"/>
      <c r="AS261" s="1089"/>
      <c r="AT261" s="1089"/>
      <c r="AU261" s="1089"/>
      <c r="AV261" s="1089"/>
      <c r="AW261" s="1089"/>
      <c r="AX261" s="1089"/>
      <c r="AY261" s="1089"/>
      <c r="AZ261" s="1056"/>
      <c r="BA261" s="1164"/>
      <c r="BB261" s="1164"/>
      <c r="BC261" s="1164"/>
      <c r="BD261" s="1164"/>
      <c r="BE261" s="1164"/>
      <c r="BF261" s="1056"/>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50"/>
      <c r="AI262" s="1040"/>
      <c r="AJ262" s="1089"/>
      <c r="AK262" s="1089"/>
      <c r="AL262" s="1089"/>
      <c r="AM262" s="1089"/>
      <c r="AN262" s="1089"/>
      <c r="AO262" s="1089"/>
      <c r="AP262" s="1089"/>
      <c r="AQ262" s="1089"/>
      <c r="AR262" s="1089"/>
      <c r="AS262" s="1089"/>
      <c r="AT262" s="1089"/>
      <c r="AU262" s="1089"/>
      <c r="AV262" s="1089"/>
      <c r="AW262" s="1089"/>
      <c r="AX262" s="1089"/>
      <c r="AY262" s="1089"/>
      <c r="AZ262" s="1056"/>
      <c r="BA262" s="1164"/>
      <c r="BB262" s="1164"/>
      <c r="BC262" s="1164"/>
      <c r="BD262" s="1164"/>
      <c r="BE262" s="1164"/>
      <c r="BF262" s="1056"/>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50"/>
      <c r="AI263" s="1040"/>
      <c r="AJ263" s="1089"/>
      <c r="AK263" s="1089"/>
      <c r="AL263" s="1089"/>
      <c r="AM263" s="1089"/>
      <c r="AN263" s="1089"/>
      <c r="AO263" s="1089"/>
      <c r="AP263" s="1089"/>
      <c r="AQ263" s="1089"/>
      <c r="AR263" s="1089"/>
      <c r="AS263" s="1089"/>
      <c r="AT263" s="1089"/>
      <c r="AU263" s="1089"/>
      <c r="AV263" s="1089"/>
      <c r="AW263" s="1089"/>
      <c r="AX263" s="1089"/>
      <c r="AY263" s="1089"/>
      <c r="AZ263" s="1056"/>
      <c r="BA263" s="1164"/>
      <c r="BB263" s="1164"/>
      <c r="BC263" s="1164"/>
      <c r="BD263" s="1164"/>
      <c r="BE263" s="1164"/>
      <c r="BF263" s="1056"/>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50"/>
      <c r="AI264" s="1040"/>
      <c r="AJ264" s="1089"/>
      <c r="AK264" s="1089"/>
      <c r="AL264" s="1089"/>
      <c r="AM264" s="1089"/>
      <c r="AN264" s="1089"/>
      <c r="AO264" s="1089"/>
      <c r="AP264" s="1089"/>
      <c r="AQ264" s="1089"/>
      <c r="AR264" s="1089"/>
      <c r="AS264" s="1089"/>
      <c r="AT264" s="1089"/>
      <c r="AU264" s="1089"/>
      <c r="AV264" s="1089"/>
      <c r="AW264" s="1089"/>
      <c r="AX264" s="1089"/>
      <c r="AY264" s="1089"/>
      <c r="AZ264" s="1056"/>
      <c r="BA264" s="1164"/>
      <c r="BB264" s="1164"/>
      <c r="BC264" s="1164"/>
      <c r="BD264" s="1164"/>
      <c r="BE264" s="1164"/>
      <c r="BF264" s="1056"/>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50"/>
      <c r="AI265" s="1040"/>
      <c r="AJ265" s="1089"/>
      <c r="AK265" s="1089"/>
      <c r="AL265" s="1089"/>
      <c r="AM265" s="1089"/>
      <c r="AN265" s="1089"/>
      <c r="AO265" s="1089"/>
      <c r="AP265" s="1089"/>
      <c r="AQ265" s="1089"/>
      <c r="AR265" s="1089"/>
      <c r="AS265" s="1089"/>
      <c r="AT265" s="1089"/>
      <c r="AU265" s="1089"/>
      <c r="AV265" s="1089"/>
      <c r="AW265" s="1089"/>
      <c r="AX265" s="1089"/>
      <c r="AY265" s="1089"/>
      <c r="AZ265" s="1056"/>
      <c r="BA265" s="1164"/>
      <c r="BB265" s="1164"/>
      <c r="BC265" s="1164"/>
      <c r="BD265" s="1164"/>
      <c r="BE265" s="1164"/>
      <c r="BF265" s="1056"/>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50"/>
      <c r="AI266" s="1040"/>
      <c r="AJ266" s="1089"/>
      <c r="AK266" s="1089"/>
      <c r="AL266" s="1089"/>
      <c r="AM266" s="1089"/>
      <c r="AN266" s="1089"/>
      <c r="AO266" s="1089"/>
      <c r="AP266" s="1089"/>
      <c r="AQ266" s="1089"/>
      <c r="AR266" s="1089"/>
      <c r="AS266" s="1089"/>
      <c r="AT266" s="1089"/>
      <c r="AU266" s="1089"/>
      <c r="AV266" s="1089"/>
      <c r="AW266" s="1089"/>
      <c r="AX266" s="1089"/>
      <c r="AY266" s="1089"/>
      <c r="AZ266" s="1056"/>
      <c r="BA266" s="1164"/>
      <c r="BB266" s="1164"/>
      <c r="BC266" s="1164"/>
      <c r="BD266" s="1164"/>
      <c r="BE266" s="1164"/>
      <c r="BF266" s="1056"/>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50"/>
      <c r="AI267" s="1040"/>
      <c r="AJ267" s="1089"/>
      <c r="AK267" s="1089"/>
      <c r="AL267" s="1089"/>
      <c r="AM267" s="1089"/>
      <c r="AN267" s="1089"/>
      <c r="AO267" s="1089"/>
      <c r="AP267" s="1089"/>
      <c r="AQ267" s="1089"/>
      <c r="AR267" s="1089"/>
      <c r="AS267" s="1089"/>
      <c r="AT267" s="1089"/>
      <c r="AU267" s="1089"/>
      <c r="AV267" s="1089"/>
      <c r="AW267" s="1089"/>
      <c r="AX267" s="1089"/>
      <c r="AY267" s="1089"/>
      <c r="AZ267" s="1056"/>
      <c r="BA267" s="1164"/>
      <c r="BB267" s="1164"/>
      <c r="BC267" s="1164"/>
      <c r="BD267" s="1164"/>
      <c r="BE267" s="1164"/>
      <c r="BF267" s="1056"/>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50"/>
      <c r="AI268" s="1040"/>
      <c r="AJ268" s="1089"/>
      <c r="AK268" s="1089"/>
      <c r="AL268" s="1089"/>
      <c r="AM268" s="1089"/>
      <c r="AN268" s="1089"/>
      <c r="AO268" s="1089"/>
      <c r="AP268" s="1089"/>
      <c r="AQ268" s="1089"/>
      <c r="AR268" s="1089"/>
      <c r="AS268" s="1089"/>
      <c r="AT268" s="1089"/>
      <c r="AU268" s="1089"/>
      <c r="AV268" s="1089"/>
      <c r="AW268" s="1089"/>
      <c r="AX268" s="1089"/>
      <c r="AY268" s="1089"/>
      <c r="AZ268" s="1056"/>
      <c r="BA268" s="1164"/>
      <c r="BB268" s="1164"/>
      <c r="BC268" s="1164"/>
      <c r="BD268" s="1164"/>
      <c r="BE268" s="1164"/>
      <c r="BF268" s="1056"/>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50"/>
      <c r="AI269" s="1040"/>
      <c r="AJ269" s="1089"/>
      <c r="AK269" s="1089"/>
      <c r="AL269" s="1089"/>
      <c r="AM269" s="1089"/>
      <c r="AN269" s="1089"/>
      <c r="AO269" s="1089"/>
      <c r="AP269" s="1089"/>
      <c r="AQ269" s="1089"/>
      <c r="AR269" s="1089"/>
      <c r="AS269" s="1089"/>
      <c r="AT269" s="1089"/>
      <c r="AU269" s="1089"/>
      <c r="AV269" s="1089"/>
      <c r="AW269" s="1089"/>
      <c r="AX269" s="1089"/>
      <c r="AY269" s="1089"/>
      <c r="AZ269" s="1056"/>
      <c r="BA269" s="1164"/>
      <c r="BB269" s="1164"/>
      <c r="BC269" s="1164"/>
      <c r="BD269" s="1164"/>
      <c r="BE269" s="1164"/>
      <c r="BF269" s="1056"/>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50"/>
      <c r="AI270" s="1040"/>
      <c r="AJ270" s="1089"/>
      <c r="AK270" s="1089"/>
      <c r="AL270" s="1089"/>
      <c r="AM270" s="1089"/>
      <c r="AN270" s="1089"/>
      <c r="AO270" s="1089"/>
      <c r="AP270" s="1089"/>
      <c r="AQ270" s="1089"/>
      <c r="AR270" s="1089"/>
      <c r="AS270" s="1089"/>
      <c r="AT270" s="1089"/>
      <c r="AU270" s="1089"/>
      <c r="AV270" s="1089"/>
      <c r="AW270" s="1089"/>
      <c r="AX270" s="1089"/>
      <c r="AY270" s="1089"/>
      <c r="AZ270" s="1056"/>
      <c r="BA270" s="1164"/>
      <c r="BB270" s="1164"/>
      <c r="BC270" s="1164"/>
      <c r="BD270" s="1164"/>
      <c r="BE270" s="1164"/>
      <c r="BF270" s="1056"/>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50"/>
      <c r="AI271" s="1040"/>
      <c r="AJ271" s="1089"/>
      <c r="AK271" s="1089"/>
      <c r="AL271" s="1089"/>
      <c r="AM271" s="1089"/>
      <c r="AN271" s="1089"/>
      <c r="AO271" s="1089"/>
      <c r="AP271" s="1089"/>
      <c r="AQ271" s="1089"/>
      <c r="AR271" s="1089"/>
      <c r="AS271" s="1089"/>
      <c r="AT271" s="1089"/>
      <c r="AU271" s="1089"/>
      <c r="AV271" s="1089"/>
      <c r="AW271" s="1089"/>
      <c r="AX271" s="1089"/>
      <c r="AY271" s="1089"/>
      <c r="AZ271" s="1056"/>
      <c r="BA271" s="1164"/>
      <c r="BB271" s="1164"/>
      <c r="BC271" s="1164"/>
      <c r="BD271" s="1164"/>
      <c r="BE271" s="1164"/>
      <c r="BF271" s="1056"/>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50"/>
      <c r="AI272" s="1040"/>
      <c r="AJ272" s="1089"/>
      <c r="AK272" s="1089"/>
      <c r="AL272" s="1089"/>
      <c r="AM272" s="1089"/>
      <c r="AN272" s="1089"/>
      <c r="AO272" s="1089"/>
      <c r="AP272" s="1089"/>
      <c r="AQ272" s="1089"/>
      <c r="AR272" s="1089"/>
      <c r="AS272" s="1089"/>
      <c r="AT272" s="1089"/>
      <c r="AU272" s="1089"/>
      <c r="AV272" s="1089"/>
      <c r="AW272" s="1089"/>
      <c r="AX272" s="1089"/>
      <c r="AY272" s="1089"/>
      <c r="AZ272" s="1056"/>
      <c r="BA272" s="1164"/>
      <c r="BB272" s="1164"/>
      <c r="BC272" s="1164"/>
      <c r="BD272" s="1164"/>
      <c r="BE272" s="1164"/>
      <c r="BF272" s="1056"/>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50"/>
      <c r="AI273" s="1040"/>
      <c r="AJ273" s="1089"/>
      <c r="AK273" s="1089"/>
      <c r="AL273" s="1089"/>
      <c r="AM273" s="1089"/>
      <c r="AN273" s="1089"/>
      <c r="AO273" s="1089"/>
      <c r="AP273" s="1089"/>
      <c r="AQ273" s="1089"/>
      <c r="AR273" s="1089"/>
      <c r="AS273" s="1089"/>
      <c r="AT273" s="1089"/>
      <c r="AU273" s="1089"/>
      <c r="AV273" s="1089"/>
      <c r="AW273" s="1089"/>
      <c r="AX273" s="1089"/>
      <c r="AY273" s="1089"/>
      <c r="AZ273" s="1056"/>
      <c r="BA273" s="1164"/>
      <c r="BB273" s="1164"/>
      <c r="BC273" s="1164"/>
      <c r="BD273" s="1164"/>
      <c r="BE273" s="1164"/>
      <c r="BF273" s="1056"/>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50"/>
      <c r="AI274" s="1040"/>
      <c r="AJ274" s="1089"/>
      <c r="AK274" s="1089"/>
      <c r="AL274" s="1089"/>
      <c r="AM274" s="1089"/>
      <c r="AN274" s="1089"/>
      <c r="AO274" s="1089"/>
      <c r="AP274" s="1089"/>
      <c r="AQ274" s="1089"/>
      <c r="AR274" s="1089"/>
      <c r="AS274" s="1089"/>
      <c r="AT274" s="1089"/>
      <c r="AU274" s="1089"/>
      <c r="AV274" s="1089"/>
      <c r="AW274" s="1089"/>
      <c r="AX274" s="1089"/>
      <c r="AY274" s="1089"/>
      <c r="AZ274" s="1056"/>
      <c r="BA274" s="1164"/>
      <c r="BB274" s="1164"/>
      <c r="BC274" s="1164"/>
      <c r="BD274" s="1164"/>
      <c r="BE274" s="1164"/>
      <c r="BF274" s="1056"/>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50"/>
      <c r="AI275" s="1040"/>
      <c r="AJ275" s="1089"/>
      <c r="AK275" s="1089"/>
      <c r="AL275" s="1089"/>
      <c r="AM275" s="1089"/>
      <c r="AN275" s="1089"/>
      <c r="AO275" s="1089"/>
      <c r="AP275" s="1089"/>
      <c r="AQ275" s="1089"/>
      <c r="AR275" s="1089"/>
      <c r="AS275" s="1089"/>
      <c r="AT275" s="1089"/>
      <c r="AU275" s="1089"/>
      <c r="AV275" s="1089"/>
      <c r="AW275" s="1089"/>
      <c r="AX275" s="1089"/>
      <c r="AY275" s="1089"/>
      <c r="AZ275" s="1056"/>
      <c r="BA275" s="1164"/>
      <c r="BB275" s="1164"/>
      <c r="BC275" s="1164"/>
      <c r="BD275" s="1164"/>
      <c r="BE275" s="1164"/>
      <c r="BF275" s="1056"/>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50"/>
      <c r="AI276" s="1040"/>
      <c r="AJ276" s="1089"/>
      <c r="AK276" s="1089"/>
      <c r="AL276" s="1089"/>
      <c r="AM276" s="1089"/>
      <c r="AN276" s="1089"/>
      <c r="AO276" s="1089"/>
      <c r="AP276" s="1089"/>
      <c r="AQ276" s="1089"/>
      <c r="AR276" s="1089"/>
      <c r="AS276" s="1089"/>
      <c r="AT276" s="1089"/>
      <c r="AU276" s="1089"/>
      <c r="AV276" s="1089"/>
      <c r="AW276" s="1089"/>
      <c r="AX276" s="1089"/>
      <c r="AY276" s="1089"/>
      <c r="AZ276" s="1056"/>
      <c r="BA276" s="1164"/>
      <c r="BB276" s="1164"/>
      <c r="BC276" s="1164"/>
      <c r="BD276" s="1164"/>
      <c r="BE276" s="1164"/>
      <c r="BF276" s="1056"/>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50"/>
      <c r="AI277" s="1040"/>
      <c r="AJ277" s="1089"/>
      <c r="AK277" s="1089"/>
      <c r="AL277" s="1089"/>
      <c r="AM277" s="1089"/>
      <c r="AN277" s="1089"/>
      <c r="AO277" s="1089"/>
      <c r="AP277" s="1089"/>
      <c r="AQ277" s="1089"/>
      <c r="AR277" s="1089"/>
      <c r="AS277" s="1089"/>
      <c r="AT277" s="1089"/>
      <c r="AU277" s="1089"/>
      <c r="AV277" s="1089"/>
      <c r="AW277" s="1089"/>
      <c r="AX277" s="1089"/>
      <c r="AY277" s="1089"/>
      <c r="AZ277" s="1056"/>
      <c r="BA277" s="1164"/>
      <c r="BB277" s="1164"/>
      <c r="BC277" s="1164"/>
      <c r="BD277" s="1164"/>
      <c r="BE277" s="1164"/>
      <c r="BF277" s="1056"/>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50"/>
      <c r="AI278" s="1040"/>
      <c r="AJ278" s="1089"/>
      <c r="AK278" s="1089"/>
      <c r="AL278" s="1089"/>
      <c r="AM278" s="1089"/>
      <c r="AN278" s="1089"/>
      <c r="AO278" s="1089"/>
      <c r="AP278" s="1089"/>
      <c r="AQ278" s="1089"/>
      <c r="AR278" s="1089"/>
      <c r="AS278" s="1089"/>
      <c r="AT278" s="1089"/>
      <c r="AU278" s="1089"/>
      <c r="AV278" s="1089"/>
      <c r="AW278" s="1089"/>
      <c r="AX278" s="1089"/>
      <c r="AY278" s="1089"/>
      <c r="AZ278" s="1056"/>
      <c r="BA278" s="1164"/>
      <c r="BB278" s="1164"/>
      <c r="BC278" s="1164"/>
      <c r="BD278" s="1164"/>
      <c r="BE278" s="1164"/>
      <c r="BF278" s="1056"/>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50"/>
      <c r="AI279" s="1040"/>
      <c r="AJ279" s="1089"/>
      <c r="AK279" s="1089"/>
      <c r="AL279" s="1089"/>
      <c r="AM279" s="1089"/>
      <c r="AN279" s="1089"/>
      <c r="AO279" s="1089"/>
      <c r="AP279" s="1089"/>
      <c r="AQ279" s="1089"/>
      <c r="AR279" s="1089"/>
      <c r="AS279" s="1089"/>
      <c r="AT279" s="1089"/>
      <c r="AU279" s="1089"/>
      <c r="AV279" s="1089"/>
      <c r="AW279" s="1089"/>
      <c r="AX279" s="1089"/>
      <c r="AY279" s="1089"/>
      <c r="AZ279" s="1056"/>
      <c r="BA279" s="1164"/>
      <c r="BB279" s="1164"/>
      <c r="BC279" s="1164"/>
      <c r="BD279" s="1164"/>
      <c r="BE279" s="1164"/>
      <c r="BF279" s="1056"/>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50"/>
      <c r="AI280" s="1040"/>
      <c r="AJ280" s="1089"/>
      <c r="AK280" s="1089"/>
      <c r="AL280" s="1089"/>
      <c r="AM280" s="1089"/>
      <c r="AN280" s="1089"/>
      <c r="AO280" s="1089"/>
      <c r="AP280" s="1089"/>
      <c r="AQ280" s="1089"/>
      <c r="AR280" s="1089"/>
      <c r="AS280" s="1089"/>
      <c r="AT280" s="1089"/>
      <c r="AU280" s="1089"/>
      <c r="AV280" s="1089"/>
      <c r="AW280" s="1089"/>
      <c r="AX280" s="1089"/>
      <c r="AY280" s="1089"/>
      <c r="AZ280" s="1056"/>
      <c r="BA280" s="1164"/>
      <c r="BB280" s="1164"/>
      <c r="BC280" s="1164"/>
      <c r="BD280" s="1164"/>
      <c r="BE280" s="1164"/>
      <c r="BF280" s="1056"/>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50"/>
      <c r="AI281" s="1040"/>
      <c r="AJ281" s="1089"/>
      <c r="AK281" s="1089"/>
      <c r="AL281" s="1089"/>
      <c r="AM281" s="1089"/>
      <c r="AN281" s="1089"/>
      <c r="AO281" s="1089"/>
      <c r="AP281" s="1089"/>
      <c r="AQ281" s="1089"/>
      <c r="AR281" s="1089"/>
      <c r="AS281" s="1089"/>
      <c r="AT281" s="1089"/>
      <c r="AU281" s="1089"/>
      <c r="AV281" s="1089"/>
      <c r="AW281" s="1089"/>
      <c r="AX281" s="1089"/>
      <c r="AY281" s="1089"/>
      <c r="AZ281" s="1056"/>
      <c r="BA281" s="1164"/>
      <c r="BB281" s="1164"/>
      <c r="BC281" s="1164"/>
      <c r="BD281" s="1164"/>
      <c r="BE281" s="1164"/>
      <c r="BF281" s="1056"/>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50"/>
      <c r="AI282" s="1040"/>
      <c r="AJ282" s="1089"/>
      <c r="AK282" s="1089"/>
      <c r="AL282" s="1089"/>
      <c r="AM282" s="1089"/>
      <c r="AN282" s="1089"/>
      <c r="AO282" s="1089"/>
      <c r="AP282" s="1089"/>
      <c r="AQ282" s="1089"/>
      <c r="AR282" s="1089"/>
      <c r="AS282" s="1089"/>
      <c r="AT282" s="1089"/>
      <c r="AU282" s="1089"/>
      <c r="AV282" s="1089"/>
      <c r="AW282" s="1089"/>
      <c r="AX282" s="1089"/>
      <c r="AY282" s="1089"/>
      <c r="AZ282" s="1056"/>
      <c r="BA282" s="1164"/>
      <c r="BB282" s="1164"/>
      <c r="BC282" s="1164"/>
      <c r="BD282" s="1164"/>
      <c r="BE282" s="1164"/>
      <c r="BF282" s="1056"/>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50"/>
      <c r="AI283" s="1040"/>
      <c r="AJ283" s="1089"/>
      <c r="AK283" s="1089"/>
      <c r="AL283" s="1089"/>
      <c r="AM283" s="1089"/>
      <c r="AN283" s="1089"/>
      <c r="AO283" s="1089"/>
      <c r="AP283" s="1089"/>
      <c r="AQ283" s="1089"/>
      <c r="AR283" s="1089"/>
      <c r="AS283" s="1089"/>
      <c r="AT283" s="1089"/>
      <c r="AU283" s="1089"/>
      <c r="AV283" s="1089"/>
      <c r="AW283" s="1089"/>
      <c r="AX283" s="1089"/>
      <c r="AY283" s="1089"/>
      <c r="AZ283" s="1056"/>
      <c r="BA283" s="1164"/>
      <c r="BB283" s="1164"/>
      <c r="BC283" s="1164"/>
      <c r="BD283" s="1164"/>
      <c r="BE283" s="1164"/>
      <c r="BF283" s="1056"/>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50"/>
      <c r="AI284" s="1040"/>
      <c r="AJ284" s="1089"/>
      <c r="AK284" s="1089"/>
      <c r="AL284" s="1089"/>
      <c r="AM284" s="1089"/>
      <c r="AN284" s="1089"/>
      <c r="AO284" s="1089"/>
      <c r="AP284" s="1089"/>
      <c r="AQ284" s="1089"/>
      <c r="AR284" s="1089"/>
      <c r="AS284" s="1089"/>
      <c r="AT284" s="1089"/>
      <c r="AU284" s="1089"/>
      <c r="AV284" s="1089"/>
      <c r="AW284" s="1089"/>
      <c r="AX284" s="1089"/>
      <c r="AY284" s="1089"/>
      <c r="AZ284" s="1056"/>
      <c r="BA284" s="1164"/>
      <c r="BB284" s="1164"/>
      <c r="BC284" s="1164"/>
      <c r="BD284" s="1164"/>
      <c r="BE284" s="1164"/>
      <c r="BF284" s="1056"/>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50"/>
      <c r="AI285" s="1040"/>
      <c r="AJ285" s="1089"/>
      <c r="AK285" s="1089"/>
      <c r="AL285" s="1089"/>
      <c r="AM285" s="1089"/>
      <c r="AN285" s="1089"/>
      <c r="AO285" s="1089"/>
      <c r="AP285" s="1089"/>
      <c r="AQ285" s="1089"/>
      <c r="AR285" s="1089"/>
      <c r="AS285" s="1089"/>
      <c r="AT285" s="1089"/>
      <c r="AU285" s="1089"/>
      <c r="AV285" s="1089"/>
      <c r="AW285" s="1089"/>
      <c r="AX285" s="1089"/>
      <c r="AY285" s="1089"/>
      <c r="AZ285" s="1056"/>
      <c r="BA285" s="1164"/>
      <c r="BB285" s="1164"/>
      <c r="BC285" s="1164"/>
      <c r="BD285" s="1164"/>
      <c r="BE285" s="1164"/>
      <c r="BF285" s="1056"/>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50"/>
      <c r="AI286" s="1040"/>
      <c r="AJ286" s="1089"/>
      <c r="AK286" s="1089"/>
      <c r="AL286" s="1089"/>
      <c r="AM286" s="1089"/>
      <c r="AN286" s="1089"/>
      <c r="AO286" s="1089"/>
      <c r="AP286" s="1089"/>
      <c r="AQ286" s="1089"/>
      <c r="AR286" s="1089"/>
      <c r="AS286" s="1089"/>
      <c r="AT286" s="1089"/>
      <c r="AU286" s="1089"/>
      <c r="AV286" s="1089"/>
      <c r="AW286" s="1089"/>
      <c r="AX286" s="1089"/>
      <c r="AY286" s="1089"/>
      <c r="AZ286" s="1056"/>
      <c r="BA286" s="1164"/>
      <c r="BB286" s="1164"/>
      <c r="BC286" s="1164"/>
      <c r="BD286" s="1164"/>
      <c r="BE286" s="1164"/>
      <c r="BF286" s="1056"/>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50"/>
      <c r="AI287" s="1040"/>
      <c r="AJ287" s="1089"/>
      <c r="AK287" s="1089"/>
      <c r="AL287" s="1089"/>
      <c r="AM287" s="1089"/>
      <c r="AN287" s="1089"/>
      <c r="AO287" s="1089"/>
      <c r="AP287" s="1089"/>
      <c r="AQ287" s="1089"/>
      <c r="AR287" s="1089"/>
      <c r="AS287" s="1089"/>
      <c r="AT287" s="1089"/>
      <c r="AU287" s="1089"/>
      <c r="AV287" s="1089"/>
      <c r="AW287" s="1089"/>
      <c r="AX287" s="1089"/>
      <c r="AY287" s="1089"/>
      <c r="AZ287" s="1056"/>
      <c r="BA287" s="1164"/>
      <c r="BB287" s="1164"/>
      <c r="BC287" s="1164"/>
      <c r="BD287" s="1164"/>
      <c r="BE287" s="1164"/>
      <c r="BF287" s="1056"/>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50"/>
      <c r="AI288" s="1040"/>
      <c r="AJ288" s="1089"/>
      <c r="AK288" s="1089"/>
      <c r="AL288" s="1089"/>
      <c r="AM288" s="1089"/>
      <c r="AN288" s="1089"/>
      <c r="AO288" s="1089"/>
      <c r="AP288" s="1089"/>
      <c r="AQ288" s="1089"/>
      <c r="AR288" s="1089"/>
      <c r="AS288" s="1089"/>
      <c r="AT288" s="1089"/>
      <c r="AU288" s="1089"/>
      <c r="AV288" s="1089"/>
      <c r="AW288" s="1089"/>
      <c r="AX288" s="1089"/>
      <c r="AY288" s="1089"/>
      <c r="AZ288" s="1056"/>
      <c r="BA288" s="1164"/>
      <c r="BB288" s="1164"/>
      <c r="BC288" s="1164"/>
      <c r="BD288" s="1164"/>
      <c r="BE288" s="1164"/>
      <c r="BF288" s="1056"/>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50"/>
      <c r="AI289" s="1040"/>
      <c r="AJ289" s="1089"/>
      <c r="AK289" s="1089"/>
      <c r="AL289" s="1089"/>
      <c r="AM289" s="1089"/>
      <c r="AN289" s="1089"/>
      <c r="AO289" s="1089"/>
      <c r="AP289" s="1089"/>
      <c r="AQ289" s="1089"/>
      <c r="AR289" s="1089"/>
      <c r="AS289" s="1089"/>
      <c r="AT289" s="1089"/>
      <c r="AU289" s="1089"/>
      <c r="AV289" s="1089"/>
      <c r="AW289" s="1089"/>
      <c r="AX289" s="1089"/>
      <c r="AY289" s="1089"/>
      <c r="AZ289" s="1056"/>
      <c r="BA289" s="1164"/>
      <c r="BB289" s="1164"/>
      <c r="BC289" s="1164"/>
      <c r="BD289" s="1164"/>
      <c r="BE289" s="1164"/>
      <c r="BF289" s="1056"/>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50"/>
      <c r="AI290" s="1040"/>
      <c r="AJ290" s="1089"/>
      <c r="AK290" s="1089"/>
      <c r="AL290" s="1089"/>
      <c r="AM290" s="1089"/>
      <c r="AN290" s="1089"/>
      <c r="AO290" s="1089"/>
      <c r="AP290" s="1089"/>
      <c r="AQ290" s="1089"/>
      <c r="AR290" s="1089"/>
      <c r="AS290" s="1089"/>
      <c r="AT290" s="1089"/>
      <c r="AU290" s="1089"/>
      <c r="AV290" s="1089"/>
      <c r="AW290" s="1089"/>
      <c r="AX290" s="1089"/>
      <c r="AY290" s="1089"/>
      <c r="AZ290" s="1056"/>
      <c r="BA290" s="1164"/>
      <c r="BB290" s="1164"/>
      <c r="BC290" s="1164"/>
      <c r="BD290" s="1164"/>
      <c r="BE290" s="1164"/>
      <c r="BF290" s="1056"/>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50"/>
      <c r="AI291" s="1040"/>
      <c r="AJ291" s="1089"/>
      <c r="AK291" s="1089"/>
      <c r="AL291" s="1089"/>
      <c r="AM291" s="1089"/>
      <c r="AN291" s="1089"/>
      <c r="AO291" s="1089"/>
      <c r="AP291" s="1089"/>
      <c r="AQ291" s="1089"/>
      <c r="AR291" s="1089"/>
      <c r="AS291" s="1089"/>
      <c r="AT291" s="1089"/>
      <c r="AU291" s="1089"/>
      <c r="AV291" s="1089"/>
      <c r="AW291" s="1089"/>
      <c r="AX291" s="1089"/>
      <c r="AY291" s="1089"/>
      <c r="AZ291" s="1056"/>
      <c r="BA291" s="1164"/>
      <c r="BB291" s="1164"/>
      <c r="BC291" s="1164"/>
      <c r="BD291" s="1164"/>
      <c r="BE291" s="1164"/>
      <c r="BF291" s="1056"/>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50"/>
      <c r="AI292" s="1040"/>
      <c r="AJ292" s="1089"/>
      <c r="AK292" s="1089"/>
      <c r="AL292" s="1089"/>
      <c r="AM292" s="1089"/>
      <c r="AN292" s="1089"/>
      <c r="AO292" s="1089"/>
      <c r="AP292" s="1089"/>
      <c r="AQ292" s="1089"/>
      <c r="AR292" s="1089"/>
      <c r="AS292" s="1089"/>
      <c r="AT292" s="1089"/>
      <c r="AU292" s="1089"/>
      <c r="AV292" s="1089"/>
      <c r="AW292" s="1089"/>
      <c r="AX292" s="1089"/>
      <c r="AY292" s="1089"/>
      <c r="AZ292" s="1056"/>
      <c r="BA292" s="1164"/>
      <c r="BB292" s="1164"/>
      <c r="BC292" s="1164"/>
      <c r="BD292" s="1164"/>
      <c r="BE292" s="1164"/>
      <c r="BF292" s="1056"/>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50"/>
      <c r="AI293" s="1040"/>
      <c r="AJ293" s="1089"/>
      <c r="AK293" s="1089"/>
      <c r="AL293" s="1089"/>
      <c r="AM293" s="1089"/>
      <c r="AN293" s="1089"/>
      <c r="AO293" s="1089"/>
      <c r="AP293" s="1089"/>
      <c r="AQ293" s="1089"/>
      <c r="AR293" s="1089"/>
      <c r="AS293" s="1089"/>
      <c r="AT293" s="1089"/>
      <c r="AU293" s="1089"/>
      <c r="AV293" s="1089"/>
      <c r="AW293" s="1089"/>
      <c r="AX293" s="1089"/>
      <c r="AY293" s="1089"/>
      <c r="AZ293" s="1056"/>
      <c r="BA293" s="1164"/>
      <c r="BB293" s="1164"/>
      <c r="BC293" s="1164"/>
      <c r="BD293" s="1164"/>
      <c r="BE293" s="1164"/>
      <c r="BF293" s="1056"/>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50"/>
      <c r="AI294" s="1040"/>
      <c r="AJ294" s="1089"/>
      <c r="AK294" s="1089"/>
      <c r="AL294" s="1089"/>
      <c r="AM294" s="1089"/>
      <c r="AN294" s="1089"/>
      <c r="AO294" s="1089"/>
      <c r="AP294" s="1089"/>
      <c r="AQ294" s="1089"/>
      <c r="AR294" s="1089"/>
      <c r="AS294" s="1089"/>
      <c r="AT294" s="1089"/>
      <c r="AU294" s="1089"/>
      <c r="AV294" s="1089"/>
      <c r="AW294" s="1089"/>
      <c r="AX294" s="1089"/>
      <c r="AY294" s="1089"/>
      <c r="AZ294" s="1056"/>
      <c r="BA294" s="1164"/>
      <c r="BB294" s="1164"/>
      <c r="BC294" s="1164"/>
      <c r="BD294" s="1164"/>
      <c r="BE294" s="1164"/>
      <c r="BF294" s="1056"/>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50"/>
      <c r="AI295" s="1040"/>
      <c r="AJ295" s="1089"/>
      <c r="AK295" s="1089"/>
      <c r="AL295" s="1089"/>
      <c r="AM295" s="1089"/>
      <c r="AN295" s="1089"/>
      <c r="AO295" s="1089"/>
      <c r="AP295" s="1089"/>
      <c r="AQ295" s="1089"/>
      <c r="AR295" s="1089"/>
      <c r="AS295" s="1089"/>
      <c r="AT295" s="1089"/>
      <c r="AU295" s="1089"/>
      <c r="AV295" s="1089"/>
      <c r="AW295" s="1089"/>
      <c r="AX295" s="1089"/>
      <c r="AY295" s="1089"/>
      <c r="AZ295" s="1056"/>
      <c r="BA295" s="1164"/>
      <c r="BB295" s="1164"/>
      <c r="BC295" s="1164"/>
      <c r="BD295" s="1164"/>
      <c r="BE295" s="1164"/>
      <c r="BF295" s="1056"/>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50"/>
      <c r="AI296" s="1040"/>
      <c r="AJ296" s="1089"/>
      <c r="AK296" s="1089"/>
      <c r="AL296" s="1089"/>
      <c r="AM296" s="1089"/>
      <c r="AN296" s="1089"/>
      <c r="AO296" s="1089"/>
      <c r="AP296" s="1089"/>
      <c r="AQ296" s="1089"/>
      <c r="AR296" s="1089"/>
      <c r="AS296" s="1089"/>
      <c r="AT296" s="1089"/>
      <c r="AU296" s="1089"/>
      <c r="AV296" s="1089"/>
      <c r="AW296" s="1089"/>
      <c r="AX296" s="1089"/>
      <c r="AY296" s="1089"/>
      <c r="AZ296" s="1056"/>
      <c r="BA296" s="1164"/>
      <c r="BB296" s="1164"/>
      <c r="BC296" s="1164"/>
      <c r="BD296" s="1164"/>
      <c r="BE296" s="1164"/>
      <c r="BF296" s="1056"/>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50"/>
      <c r="AI297" s="1040"/>
      <c r="AJ297" s="1089"/>
      <c r="AK297" s="1089"/>
      <c r="AL297" s="1089"/>
      <c r="AM297" s="1089"/>
      <c r="AN297" s="1089"/>
      <c r="AO297" s="1089"/>
      <c r="AP297" s="1089"/>
      <c r="AQ297" s="1089"/>
      <c r="AR297" s="1089"/>
      <c r="AS297" s="1089"/>
      <c r="AT297" s="1089"/>
      <c r="AU297" s="1089"/>
      <c r="AV297" s="1089"/>
      <c r="AW297" s="1089"/>
      <c r="AX297" s="1089"/>
      <c r="AY297" s="1089"/>
      <c r="AZ297" s="1056"/>
      <c r="BA297" s="1164"/>
      <c r="BB297" s="1164"/>
      <c r="BC297" s="1164"/>
      <c r="BD297" s="1164"/>
      <c r="BE297" s="1164"/>
      <c r="BF297" s="1056"/>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50"/>
      <c r="AI298" s="1040"/>
      <c r="AJ298" s="1089"/>
      <c r="AK298" s="1089"/>
      <c r="AL298" s="1089"/>
      <c r="AM298" s="1089"/>
      <c r="AN298" s="1089"/>
      <c r="AO298" s="1089"/>
      <c r="AP298" s="1089"/>
      <c r="AQ298" s="1089"/>
      <c r="AR298" s="1089"/>
      <c r="AS298" s="1089"/>
      <c r="AT298" s="1089"/>
      <c r="AU298" s="1089"/>
      <c r="AV298" s="1089"/>
      <c r="AW298" s="1089"/>
      <c r="AX298" s="1089"/>
      <c r="AY298" s="1089"/>
      <c r="AZ298" s="1056"/>
      <c r="BA298" s="1164"/>
      <c r="BB298" s="1164"/>
      <c r="BC298" s="1164"/>
      <c r="BD298" s="1164"/>
      <c r="BE298" s="1164"/>
      <c r="BF298" s="1056"/>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50"/>
      <c r="AI299" s="1040"/>
      <c r="AJ299" s="1089"/>
      <c r="AK299" s="1089"/>
      <c r="AL299" s="1089"/>
      <c r="AM299" s="1089"/>
      <c r="AN299" s="1089"/>
      <c r="AO299" s="1089"/>
      <c r="AP299" s="1089"/>
      <c r="AQ299" s="1089"/>
      <c r="AR299" s="1089"/>
      <c r="AS299" s="1089"/>
      <c r="AT299" s="1089"/>
      <c r="AU299" s="1089"/>
      <c r="AV299" s="1089"/>
      <c r="AW299" s="1089"/>
      <c r="AX299" s="1089"/>
      <c r="AY299" s="1089"/>
      <c r="AZ299" s="1056"/>
      <c r="BA299" s="1164"/>
      <c r="BB299" s="1164"/>
      <c r="BC299" s="1164"/>
      <c r="BD299" s="1164"/>
      <c r="BE299" s="1164"/>
      <c r="BF299" s="1056"/>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50"/>
      <c r="AI300" s="1040"/>
      <c r="AJ300" s="1089"/>
      <c r="AK300" s="1089"/>
      <c r="AL300" s="1089"/>
      <c r="AM300" s="1089"/>
      <c r="AN300" s="1089"/>
      <c r="AO300" s="1089"/>
      <c r="AP300" s="1089"/>
      <c r="AQ300" s="1089"/>
      <c r="AR300" s="1089"/>
      <c r="AS300" s="1089"/>
      <c r="AT300" s="1089"/>
      <c r="AU300" s="1089"/>
      <c r="AV300" s="1089"/>
      <c r="AW300" s="1089"/>
      <c r="AX300" s="1089"/>
      <c r="AY300" s="1089"/>
      <c r="AZ300" s="1056"/>
      <c r="BA300" s="1164"/>
      <c r="BB300" s="1164"/>
      <c r="BC300" s="1164"/>
      <c r="BD300" s="1164"/>
      <c r="BE300" s="1164"/>
      <c r="BF300" s="1056"/>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6"/>
      <c r="BA301" s="1164"/>
      <c r="BB301" s="1164"/>
      <c r="BC301" s="1164"/>
      <c r="BD301" s="1164"/>
      <c r="BE301" s="1164"/>
      <c r="BF301" s="1056"/>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6"/>
      <c r="BA302" s="1164"/>
      <c r="BB302" s="1164"/>
      <c r="BC302" s="1164"/>
      <c r="BD302" s="1164"/>
      <c r="BE302" s="1164"/>
      <c r="BF302" s="1056"/>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6"/>
      <c r="BA303" s="1164"/>
      <c r="BB303" s="1164"/>
      <c r="BC303" s="1164"/>
      <c r="BD303" s="1164"/>
      <c r="BE303" s="1164"/>
      <c r="BF303" s="1056"/>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W13"/>
    <hyperlink r:id="rId312" ref="AY13"/>
    <hyperlink r:id="rId313" ref="BC13"/>
    <hyperlink r:id="rId314" ref="BI13"/>
    <hyperlink r:id="rId315" ref="BQ13"/>
    <hyperlink r:id="rId316" ref="BT13"/>
    <hyperlink r:id="rId317" ref="BW13"/>
    <hyperlink r:id="rId318" ref="BY13"/>
    <hyperlink r:id="rId319" ref="CG13"/>
    <hyperlink r:id="rId320" ref="K14"/>
    <hyperlink r:id="rId321" ref="O14"/>
    <hyperlink r:id="rId322" ref="S14"/>
    <hyperlink r:id="rId323" ref="V14"/>
    <hyperlink r:id="rId324" ref="X14"/>
    <hyperlink r:id="rId325" ref="AA14"/>
    <hyperlink r:id="rId326" ref="AC14"/>
    <hyperlink r:id="rId327" ref="AG14"/>
    <hyperlink r:id="rId328" ref="AM14"/>
    <hyperlink r:id="rId329" ref="AX14"/>
    <hyperlink r:id="rId330" ref="BC14"/>
    <hyperlink r:id="rId331" ref="BH14"/>
    <hyperlink r:id="rId332" ref="BK14"/>
    <hyperlink r:id="rId333" ref="BM14"/>
    <hyperlink r:id="rId334" ref="BR14"/>
    <hyperlink r:id="rId335" ref="BT14"/>
    <hyperlink r:id="rId336" ref="BV14"/>
    <hyperlink r:id="rId337" ref="BW14"/>
    <hyperlink r:id="rId338" ref="BY14"/>
    <hyperlink r:id="rId339" ref="H15"/>
    <hyperlink r:id="rId340" ref="I15"/>
    <hyperlink r:id="rId341" ref="L15"/>
    <hyperlink r:id="rId342" ref="N15"/>
    <hyperlink r:id="rId343" ref="Q15"/>
    <hyperlink r:id="rId344" ref="S15"/>
    <hyperlink r:id="rId345" ref="T15"/>
    <hyperlink r:id="rId346" ref="V15"/>
    <hyperlink r:id="rId347" ref="X15"/>
    <hyperlink r:id="rId348" ref="Y15"/>
    <hyperlink r:id="rId349" ref="Z15"/>
    <hyperlink r:id="rId350" ref="AA15"/>
    <hyperlink r:id="rId351" ref="AB15"/>
    <hyperlink r:id="rId352" ref="AC15"/>
    <hyperlink r:id="rId353" ref="AD15"/>
    <hyperlink r:id="rId354" ref="AE15"/>
    <hyperlink r:id="rId355" ref="AK15"/>
    <hyperlink r:id="rId356" ref="AL15"/>
    <hyperlink r:id="rId357" ref="AM15"/>
    <hyperlink r:id="rId358" ref="AP15"/>
    <hyperlink r:id="rId359" ref="AR15"/>
    <hyperlink r:id="rId360" ref="AS15"/>
    <hyperlink r:id="rId361" ref="AT15"/>
    <hyperlink r:id="rId362" ref="AU15"/>
    <hyperlink r:id="rId363" ref="AW15"/>
    <hyperlink r:id="rId364" ref="AX15"/>
    <hyperlink r:id="rId365" ref="AY15"/>
    <hyperlink r:id="rId366" ref="BB15"/>
    <hyperlink r:id="rId367" ref="BC15"/>
    <hyperlink r:id="rId368" ref="BE15"/>
    <hyperlink r:id="rId369" ref="BI15"/>
    <hyperlink r:id="rId370" ref="BO15"/>
    <hyperlink r:id="rId371" ref="BT15"/>
    <hyperlink r:id="rId372" ref="BY15"/>
    <hyperlink r:id="rId373" ref="H16"/>
    <hyperlink r:id="rId374" ref="I16"/>
    <hyperlink r:id="rId375" ref="AD16"/>
    <hyperlink r:id="rId376" ref="AE16"/>
    <hyperlink r:id="rId377" ref="AK16"/>
    <hyperlink r:id="rId378" ref="AN16"/>
    <hyperlink r:id="rId379" ref="AR16"/>
    <hyperlink r:id="rId380" ref="BI16"/>
    <hyperlink r:id="rId381" ref="BJ16"/>
    <hyperlink r:id="rId382" ref="BO16"/>
    <hyperlink r:id="rId383" ref="BT16"/>
    <hyperlink r:id="rId384" ref="CH16"/>
    <hyperlink r:id="rId385" ref="L18"/>
    <hyperlink r:id="rId386" ref="V18"/>
    <hyperlink r:id="rId387" ref="Y18"/>
    <hyperlink r:id="rId388" ref="AW18"/>
    <hyperlink r:id="rId389" ref="BC18"/>
    <hyperlink r:id="rId390" ref="BM18"/>
    <hyperlink r:id="rId391" ref="BZ18"/>
    <hyperlink r:id="rId392" ref="BR20"/>
    <hyperlink r:id="rId393" ref="AL21"/>
    <hyperlink r:id="rId394" ref="BM22"/>
    <hyperlink r:id="rId395" ref="AH23"/>
    <hyperlink r:id="rId396" ref="BB23"/>
    <hyperlink r:id="rId397" ref="BS23"/>
    <hyperlink r:id="rId398" ref="H24"/>
    <hyperlink r:id="rId399" ref="I24"/>
    <hyperlink r:id="rId400" ref="K24"/>
    <hyperlink r:id="rId401" ref="AQ24"/>
    <hyperlink r:id="rId402" ref="AW24"/>
    <hyperlink r:id="rId403" ref="BY24"/>
    <hyperlink r:id="rId404" ref="CE24"/>
    <hyperlink r:id="rId405" ref="AC25"/>
    <hyperlink r:id="rId406" ref="BS25"/>
    <hyperlink r:id="rId407" ref="AK26"/>
    <hyperlink r:id="rId408" ref="BL26"/>
    <hyperlink r:id="rId409" ref="BM26"/>
    <hyperlink r:id="rId410" ref="CE26"/>
    <hyperlink r:id="rId411" ref="V27"/>
    <hyperlink r:id="rId412" ref="BE27"/>
    <hyperlink r:id="rId413" ref="BM27"/>
    <hyperlink r:id="rId414" ref="BW27"/>
    <hyperlink r:id="rId415" ref="N28"/>
    <hyperlink r:id="rId416" ref="T28"/>
    <hyperlink r:id="rId417" ref="AE28"/>
    <hyperlink r:id="rId418" ref="AH28"/>
    <hyperlink r:id="rId419" ref="AP28"/>
    <hyperlink r:id="rId420" ref="AW28"/>
    <hyperlink r:id="rId421" ref="BS28"/>
    <hyperlink r:id="rId422" ref="BU28"/>
    <hyperlink r:id="rId423" ref="N29"/>
    <hyperlink r:id="rId424" ref="V29"/>
    <hyperlink r:id="rId425" ref="AC29"/>
    <hyperlink r:id="rId426" ref="AG29"/>
    <hyperlink r:id="rId427" ref="CC30"/>
    <hyperlink r:id="rId428" ref="AG31"/>
    <hyperlink r:id="rId429" ref="CI31"/>
    <hyperlink r:id="rId430" ref="U32"/>
    <hyperlink r:id="rId431" ref="AC32"/>
    <hyperlink r:id="rId432" ref="AP32"/>
    <hyperlink r:id="rId433" ref="BC32"/>
    <hyperlink r:id="rId434" ref="AR34"/>
    <hyperlink r:id="rId435" ref="BO34"/>
    <hyperlink r:id="rId436" ref="BQ34"/>
    <hyperlink r:id="rId437" ref="BZ34"/>
    <hyperlink r:id="rId438" ref="BL35"/>
    <hyperlink r:id="rId439" ref="N36"/>
    <hyperlink r:id="rId440" ref="S36"/>
    <hyperlink r:id="rId441" ref="AA36"/>
    <hyperlink r:id="rId442" ref="AH36"/>
    <hyperlink r:id="rId443" ref="CI38"/>
    <hyperlink r:id="rId444" ref="X40"/>
    <hyperlink r:id="rId445" ref="AB40"/>
    <hyperlink r:id="rId446" ref="AG40"/>
    <hyperlink r:id="rId447" ref="AE41"/>
    <hyperlink r:id="rId448" ref="AM41"/>
    <hyperlink r:id="rId449" ref="AN41"/>
    <hyperlink r:id="rId450" ref="BG41"/>
    <hyperlink r:id="rId451" ref="N43"/>
    <hyperlink r:id="rId452" ref="BD43"/>
    <hyperlink r:id="rId453" ref="BU43"/>
    <hyperlink r:id="rId454" ref="CI43"/>
    <hyperlink r:id="rId455" ref="BW44"/>
    <hyperlink r:id="rId456" ref="I49"/>
    <hyperlink r:id="rId457" ref="AE49"/>
    <hyperlink r:id="rId458" ref="BE53"/>
    <hyperlink r:id="rId459" ref="Z60"/>
    <hyperlink r:id="rId460" ref="L61"/>
    <hyperlink r:id="rId461" ref="BU61"/>
  </hyperlinks>
  <drawing r:id="rId462"/>
  <legacyDrawing r:id="rId463"/>
  <tableParts count="10">
    <tablePart r:id="rId474"/>
    <tablePart r:id="rId475"/>
    <tablePart r:id="rId476"/>
    <tablePart r:id="rId477"/>
    <tablePart r:id="rId478"/>
    <tablePart r:id="rId479"/>
    <tablePart r:id="rId480"/>
    <tablePart r:id="rId481"/>
    <tablePart r:id="rId482"/>
    <tablePart r:id="rId48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8043</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8044</v>
      </c>
      <c r="H2" s="1242" t="s">
        <v>8045</v>
      </c>
      <c r="I2" s="1243"/>
      <c r="J2" s="1243"/>
      <c r="K2" s="1244" t="s">
        <v>8046</v>
      </c>
      <c r="L2" s="1244" t="s">
        <v>8047</v>
      </c>
      <c r="M2" s="1244" t="s">
        <v>8048</v>
      </c>
      <c r="N2" s="1245" t="s">
        <v>8049</v>
      </c>
      <c r="O2" s="1245" t="s">
        <v>8050</v>
      </c>
      <c r="P2" s="1245"/>
      <c r="Q2" s="42" t="s">
        <v>48</v>
      </c>
      <c r="R2" s="42" t="s">
        <v>8051</v>
      </c>
      <c r="S2" s="42"/>
      <c r="T2" s="44" t="s">
        <v>50</v>
      </c>
      <c r="U2" s="44" t="s">
        <v>54</v>
      </c>
      <c r="V2" s="44" t="s">
        <v>62</v>
      </c>
      <c r="W2" s="45" t="s">
        <v>52</v>
      </c>
      <c r="X2" s="45"/>
      <c r="Y2" s="45"/>
      <c r="Z2" s="47" t="s">
        <v>51</v>
      </c>
      <c r="AA2" s="1246" t="s">
        <v>8052</v>
      </c>
      <c r="AB2" s="47"/>
      <c r="AC2" s="1247" t="s">
        <v>8053</v>
      </c>
      <c r="AD2" s="1247"/>
      <c r="AE2" s="1247"/>
      <c r="AF2" s="1248"/>
      <c r="AG2" s="1248"/>
    </row>
    <row r="3">
      <c r="A3" s="1249" t="s">
        <v>4230</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8054</v>
      </c>
      <c r="X3" s="1259"/>
      <c r="Y3" s="1259"/>
      <c r="Z3" s="1262" t="s">
        <v>8055</v>
      </c>
      <c r="AA3" s="1259"/>
      <c r="AB3" s="1224"/>
      <c r="AC3" s="1259"/>
      <c r="AD3" s="1259"/>
      <c r="AE3" s="1259"/>
      <c r="AF3" s="1263"/>
      <c r="AG3" s="1263"/>
    </row>
    <row r="4">
      <c r="A4" s="1264" t="s">
        <v>5212</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8056</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4496</v>
      </c>
      <c r="R5" s="1267" t="s">
        <v>1669</v>
      </c>
      <c r="S5" s="1224"/>
      <c r="T5" s="738" t="s">
        <v>1043</v>
      </c>
      <c r="U5" s="1259"/>
      <c r="V5" s="1259"/>
      <c r="W5" s="738" t="s">
        <v>8057</v>
      </c>
      <c r="X5" s="1259"/>
      <c r="Y5" s="1259"/>
      <c r="Z5" s="1268" t="s">
        <v>8058</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7902</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8059</v>
      </c>
      <c r="S7" s="1224"/>
      <c r="T7" s="1259"/>
      <c r="U7" s="1259"/>
      <c r="V7" s="1259"/>
      <c r="W7" s="1224"/>
      <c r="X7" s="1259"/>
      <c r="Y7" s="1259"/>
      <c r="Z7" s="1260" t="s">
        <v>8060</v>
      </c>
      <c r="AA7" s="1260" t="s">
        <v>6357</v>
      </c>
      <c r="AB7" s="1224"/>
      <c r="AC7" s="1259"/>
      <c r="AD7" s="1259"/>
      <c r="AE7" s="1259"/>
      <c r="AF7" s="1263"/>
      <c r="AG7" s="1263"/>
    </row>
    <row r="8">
      <c r="A8" s="1230" t="s">
        <v>8027</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8061</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8062</v>
      </c>
      <c r="L10" s="1224"/>
      <c r="M10" s="1224"/>
      <c r="N10" s="1224"/>
      <c r="O10" s="1278" t="s">
        <v>8063</v>
      </c>
      <c r="P10" s="1259"/>
      <c r="Q10" s="1259"/>
      <c r="R10" s="1224"/>
      <c r="S10" s="1224"/>
      <c r="T10" s="1259"/>
      <c r="U10" s="1259"/>
      <c r="V10" s="1259"/>
      <c r="W10" s="1260" t="s">
        <v>8056</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4521</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8064</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8065</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5575</v>
      </c>
      <c r="W14" s="1224"/>
      <c r="X14" s="1259"/>
      <c r="Y14" s="1259"/>
      <c r="Z14" s="1224"/>
      <c r="AA14" s="1259"/>
      <c r="AB14" s="1224"/>
      <c r="AC14" s="1259"/>
      <c r="AD14" s="1259"/>
      <c r="AE14" s="1259"/>
      <c r="AF14" s="1263"/>
      <c r="AG14" s="1263"/>
    </row>
    <row r="15">
      <c r="A15" s="1249" t="s">
        <v>8066</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5354</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5396</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8067</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8068</v>
      </c>
      <c r="W19" s="1224"/>
      <c r="X19" s="1259"/>
      <c r="Y19" s="1259"/>
      <c r="Z19" s="1224"/>
      <c r="AA19" s="1259"/>
      <c r="AB19" s="1224"/>
      <c r="AC19" s="1259"/>
      <c r="AD19" s="1259"/>
      <c r="AE19" s="1259"/>
      <c r="AF19" s="1263"/>
      <c r="AG19" s="1263"/>
    </row>
    <row r="20">
      <c r="A20" s="1249" t="s">
        <v>8069</v>
      </c>
      <c r="B20" s="1250" t="s">
        <v>332</v>
      </c>
      <c r="C20" s="1251" t="s">
        <v>438</v>
      </c>
      <c r="D20" s="1252" t="s">
        <v>1262</v>
      </c>
      <c r="E20" s="1253" t="s">
        <v>1262</v>
      </c>
      <c r="F20" s="1254" t="s">
        <v>438</v>
      </c>
      <c r="G20" s="1250" t="s">
        <v>438</v>
      </c>
      <c r="H20" s="1224"/>
      <c r="I20" s="96"/>
      <c r="J20" s="92"/>
      <c r="K20" s="1260" t="s">
        <v>8070</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8071</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8072</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8073</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8074</v>
      </c>
      <c r="C1" s="23" t="s">
        <v>10</v>
      </c>
      <c r="F1" s="23" t="s">
        <v>34</v>
      </c>
      <c r="H1" s="1284" t="s">
        <v>8075</v>
      </c>
      <c r="W1" s="1285" t="s">
        <v>8076</v>
      </c>
      <c r="AM1" s="1286" t="s">
        <v>8077</v>
      </c>
      <c r="BG1" s="1287" t="s">
        <v>8078</v>
      </c>
      <c r="BQ1" s="1288" t="s">
        <v>8079</v>
      </c>
      <c r="BV1" s="1289" t="s">
        <v>8080</v>
      </c>
      <c r="CE1" s="1284" t="s">
        <v>8081</v>
      </c>
      <c r="CM1" s="1290" t="s">
        <v>8082</v>
      </c>
      <c r="CP1" s="1291" t="s">
        <v>8083</v>
      </c>
      <c r="CT1" s="1292" t="s">
        <v>8084</v>
      </c>
      <c r="CU1" s="1293" t="s">
        <v>8085</v>
      </c>
    </row>
    <row r="2">
      <c r="A2" s="1294" t="s">
        <v>43</v>
      </c>
      <c r="B2" s="36" t="s">
        <v>44</v>
      </c>
      <c r="C2" s="36" t="s">
        <v>45</v>
      </c>
      <c r="F2" s="36" t="s">
        <v>8086</v>
      </c>
      <c r="H2" s="1295" t="s">
        <v>8087</v>
      </c>
      <c r="I2" s="1295" t="s">
        <v>8088</v>
      </c>
      <c r="J2" s="1295" t="s">
        <v>8089</v>
      </c>
      <c r="K2" s="1295" t="s">
        <v>8090</v>
      </c>
      <c r="L2" s="1295" t="s">
        <v>8091</v>
      </c>
      <c r="M2" s="1295" t="s">
        <v>8092</v>
      </c>
      <c r="N2" s="1295" t="s">
        <v>8093</v>
      </c>
      <c r="O2" s="1295" t="s">
        <v>8094</v>
      </c>
      <c r="P2" s="1295" t="s">
        <v>8095</v>
      </c>
      <c r="Q2" s="1295" t="s">
        <v>8096</v>
      </c>
      <c r="R2" s="1295" t="s">
        <v>8097</v>
      </c>
      <c r="S2" s="1295" t="s">
        <v>8098</v>
      </c>
      <c r="T2" s="1295" t="s">
        <v>8099</v>
      </c>
      <c r="U2" s="1295" t="s">
        <v>8100</v>
      </c>
      <c r="V2" s="1295" t="s">
        <v>8101</v>
      </c>
      <c r="W2" s="1296" t="s">
        <v>8102</v>
      </c>
      <c r="X2" s="1296" t="s">
        <v>8103</v>
      </c>
      <c r="Y2" s="1296" t="s">
        <v>8104</v>
      </c>
      <c r="Z2" s="1296" t="s">
        <v>8105</v>
      </c>
      <c r="AA2" s="1296" t="s">
        <v>8106</v>
      </c>
      <c r="AB2" s="1296" t="s">
        <v>8107</v>
      </c>
      <c r="AC2" s="1296" t="s">
        <v>8108</v>
      </c>
      <c r="AD2" s="1296" t="s">
        <v>8109</v>
      </c>
      <c r="AE2" s="1296" t="s">
        <v>8110</v>
      </c>
      <c r="AF2" s="1296" t="s">
        <v>8111</v>
      </c>
      <c r="AG2" s="1296" t="s">
        <v>8112</v>
      </c>
      <c r="AH2" s="1296" t="s">
        <v>8113</v>
      </c>
      <c r="AI2" s="1296" t="s">
        <v>8114</v>
      </c>
      <c r="AJ2" s="1296" t="s">
        <v>8115</v>
      </c>
      <c r="AK2" s="1296" t="s">
        <v>8116</v>
      </c>
      <c r="AL2" s="1296" t="s">
        <v>8117</v>
      </c>
      <c r="AM2" s="1297" t="s">
        <v>8118</v>
      </c>
      <c r="AN2" s="1297" t="s">
        <v>8119</v>
      </c>
      <c r="AO2" s="1297" t="s">
        <v>8120</v>
      </c>
      <c r="AP2" s="1297" t="s">
        <v>8121</v>
      </c>
      <c r="AQ2" s="1297" t="s">
        <v>8122</v>
      </c>
      <c r="AR2" s="1297" t="s">
        <v>8123</v>
      </c>
      <c r="AS2" s="1297" t="s">
        <v>8124</v>
      </c>
      <c r="AT2" s="1297" t="s">
        <v>8125</v>
      </c>
      <c r="AU2" s="1297" t="s">
        <v>8126</v>
      </c>
      <c r="AV2" s="1297" t="s">
        <v>8127</v>
      </c>
      <c r="AW2" s="1297" t="s">
        <v>8128</v>
      </c>
      <c r="AX2" s="1297" t="s">
        <v>8129</v>
      </c>
      <c r="AY2" s="1297" t="s">
        <v>8130</v>
      </c>
      <c r="AZ2" s="1297" t="s">
        <v>8131</v>
      </c>
      <c r="BA2" s="1297" t="s">
        <v>8132</v>
      </c>
      <c r="BB2" s="1297" t="s">
        <v>8133</v>
      </c>
      <c r="BC2" s="1297" t="s">
        <v>8134</v>
      </c>
      <c r="BD2" s="1297" t="s">
        <v>8135</v>
      </c>
      <c r="BE2" s="1297" t="s">
        <v>8136</v>
      </c>
      <c r="BF2" s="1297" t="s">
        <v>8137</v>
      </c>
      <c r="BG2" s="1298" t="s">
        <v>8138</v>
      </c>
      <c r="BH2" s="1298" t="s">
        <v>8139</v>
      </c>
      <c r="BI2" s="1298" t="s">
        <v>8140</v>
      </c>
      <c r="BJ2" s="1298" t="s">
        <v>8141</v>
      </c>
      <c r="BK2" s="1298" t="s">
        <v>8142</v>
      </c>
      <c r="BL2" s="1298" t="s">
        <v>8143</v>
      </c>
      <c r="BM2" s="1298" t="s">
        <v>8144</v>
      </c>
      <c r="BN2" s="1298" t="s">
        <v>8145</v>
      </c>
      <c r="BO2" s="1298" t="s">
        <v>8146</v>
      </c>
      <c r="BP2" s="1298" t="s">
        <v>8147</v>
      </c>
      <c r="BQ2" s="1299" t="s">
        <v>8148</v>
      </c>
      <c r="BR2" s="1299" t="s">
        <v>8149</v>
      </c>
      <c r="BS2" s="1299" t="s">
        <v>8150</v>
      </c>
      <c r="BT2" s="1299" t="s">
        <v>8151</v>
      </c>
      <c r="BU2" s="1299" t="s">
        <v>8152</v>
      </c>
      <c r="BV2" s="1300" t="s">
        <v>8153</v>
      </c>
      <c r="BW2" s="1300" t="s">
        <v>8154</v>
      </c>
      <c r="BX2" s="1300" t="s">
        <v>8155</v>
      </c>
      <c r="BY2" s="1300" t="s">
        <v>8156</v>
      </c>
      <c r="BZ2" s="1300" t="s">
        <v>8157</v>
      </c>
      <c r="CA2" s="1300" t="s">
        <v>8158</v>
      </c>
      <c r="CB2" s="1300" t="s">
        <v>8159</v>
      </c>
      <c r="CC2" s="1300" t="s">
        <v>8160</v>
      </c>
      <c r="CD2" s="1300" t="s">
        <v>8161</v>
      </c>
      <c r="CE2" s="1301" t="s">
        <v>8087</v>
      </c>
      <c r="CF2" s="1301" t="s">
        <v>8090</v>
      </c>
      <c r="CG2" s="1301" t="s">
        <v>8094</v>
      </c>
      <c r="CH2" s="1301" t="s">
        <v>8096</v>
      </c>
      <c r="CI2" s="1301" t="s">
        <v>8097</v>
      </c>
      <c r="CJ2" s="1301" t="s">
        <v>8100</v>
      </c>
      <c r="CK2" s="1301" t="s">
        <v>8162</v>
      </c>
      <c r="CL2" s="1301" t="s">
        <v>8163</v>
      </c>
      <c r="CM2" s="1302" t="s">
        <v>8164</v>
      </c>
      <c r="CN2" s="1302" t="s">
        <v>8165</v>
      </c>
      <c r="CO2" s="1302" t="s">
        <v>8166</v>
      </c>
      <c r="CP2" s="1244" t="s">
        <v>8167</v>
      </c>
      <c r="CQ2" s="1244" t="s">
        <v>8168</v>
      </c>
      <c r="CR2" s="1244" t="s">
        <v>8169</v>
      </c>
      <c r="CS2" s="1244" t="s">
        <v>8170</v>
      </c>
      <c r="CT2" s="1303" t="s">
        <v>8171</v>
      </c>
      <c r="CU2" s="1304" t="s">
        <v>8172</v>
      </c>
    </row>
    <row r="3">
      <c r="A3" s="1305" t="s">
        <v>6608</v>
      </c>
      <c r="B3" s="1034" t="s">
        <v>8173</v>
      </c>
      <c r="C3" s="1030" t="s">
        <v>830</v>
      </c>
      <c r="D3" s="1031" t="s">
        <v>438</v>
      </c>
      <c r="E3" s="1032" t="s">
        <v>332</v>
      </c>
      <c r="F3" s="1033" t="s">
        <v>2721</v>
      </c>
      <c r="G3" s="1034" t="s">
        <v>3645</v>
      </c>
      <c r="H3" s="772" t="s">
        <v>8174</v>
      </c>
      <c r="I3" s="1265" t="s">
        <v>8175</v>
      </c>
      <c r="J3" s="772" t="s">
        <v>6534</v>
      </c>
      <c r="K3" s="719" t="s">
        <v>8176</v>
      </c>
      <c r="L3" s="1265" t="s">
        <v>8177</v>
      </c>
      <c r="M3" s="1306" t="s">
        <v>8178</v>
      </c>
      <c r="N3" s="772" t="s">
        <v>8179</v>
      </c>
      <c r="O3" s="1265" t="s">
        <v>8180</v>
      </c>
      <c r="P3" s="1266" t="s">
        <v>8181</v>
      </c>
      <c r="Q3" s="1266" t="s">
        <v>8182</v>
      </c>
      <c r="R3" s="772" t="s">
        <v>8183</v>
      </c>
      <c r="S3" s="1268" t="s">
        <v>8184</v>
      </c>
      <c r="T3" s="738" t="s">
        <v>8185</v>
      </c>
      <c r="U3" s="1260" t="s">
        <v>8186</v>
      </c>
      <c r="V3" s="772" t="s">
        <v>8187</v>
      </c>
      <c r="W3" s="772" t="s">
        <v>2357</v>
      </c>
      <c r="X3" s="1268" t="s">
        <v>1784</v>
      </c>
      <c r="Y3" s="772" t="s">
        <v>1954</v>
      </c>
      <c r="Z3" s="1268" t="s">
        <v>8188</v>
      </c>
      <c r="AA3" s="772" t="s">
        <v>4435</v>
      </c>
      <c r="AB3" s="1268"/>
      <c r="AC3" s="772" t="s">
        <v>3483</v>
      </c>
      <c r="AD3" s="772" t="s">
        <v>3942</v>
      </c>
      <c r="AE3" s="772" t="s">
        <v>8189</v>
      </c>
      <c r="AF3" s="1268" t="s">
        <v>8190</v>
      </c>
      <c r="AG3" s="772"/>
      <c r="AH3" s="1268" t="s">
        <v>8191</v>
      </c>
      <c r="AI3" s="1268" t="s">
        <v>8192</v>
      </c>
      <c r="AJ3" s="1259"/>
      <c r="AK3" s="1268"/>
      <c r="AL3" s="772"/>
      <c r="AM3" s="1268" t="s">
        <v>8193</v>
      </c>
      <c r="AN3" s="1260" t="s">
        <v>8194</v>
      </c>
      <c r="AO3" s="1260" t="s">
        <v>8195</v>
      </c>
      <c r="AP3" s="1260" t="s">
        <v>8196</v>
      </c>
      <c r="AQ3" s="1260" t="s">
        <v>8197</v>
      </c>
      <c r="AR3" s="1260" t="s">
        <v>8198</v>
      </c>
      <c r="AS3" s="1260" t="s">
        <v>8199</v>
      </c>
      <c r="AT3" s="1306" t="s">
        <v>8200</v>
      </c>
      <c r="AU3" s="1260" t="s">
        <v>8201</v>
      </c>
      <c r="AV3" s="1260" t="s">
        <v>8202</v>
      </c>
      <c r="AW3" s="738" t="s">
        <v>8203</v>
      </c>
      <c r="AX3" s="1260" t="s">
        <v>8204</v>
      </c>
      <c r="AY3" s="1268" t="s">
        <v>8205</v>
      </c>
      <c r="AZ3" s="1268" t="s">
        <v>5113</v>
      </c>
      <c r="BA3" s="1260" t="s">
        <v>7339</v>
      </c>
      <c r="BB3" s="1268" t="s">
        <v>8206</v>
      </c>
      <c r="BC3" s="1268" t="s">
        <v>8207</v>
      </c>
      <c r="BD3" s="772" t="s">
        <v>8208</v>
      </c>
      <c r="BE3" s="1268"/>
      <c r="BF3" s="1260" t="s">
        <v>8209</v>
      </c>
      <c r="BG3" s="1268"/>
      <c r="BH3" s="1268"/>
      <c r="BI3" s="1268" t="s">
        <v>8210</v>
      </c>
      <c r="BJ3" s="1268"/>
      <c r="BK3" s="1268"/>
      <c r="BL3" s="772"/>
      <c r="BM3" s="1268" t="s">
        <v>8211</v>
      </c>
      <c r="BN3" s="1268"/>
      <c r="BO3" s="1268"/>
      <c r="BP3" s="1268"/>
      <c r="BQ3" s="772" t="s">
        <v>8212</v>
      </c>
      <c r="BR3" s="1259"/>
      <c r="BS3" s="772" t="s">
        <v>8213</v>
      </c>
      <c r="BT3" s="1259"/>
      <c r="BU3" s="772" t="s">
        <v>8214</v>
      </c>
      <c r="BV3" s="1224"/>
      <c r="BW3" s="1259"/>
      <c r="BX3" s="1268" t="s">
        <v>3862</v>
      </c>
      <c r="BY3" s="1224"/>
      <c r="BZ3" s="1224"/>
      <c r="CA3" s="1268" t="s">
        <v>3515</v>
      </c>
      <c r="CB3" s="1268" t="s">
        <v>372</v>
      </c>
      <c r="CC3" s="1268" t="s">
        <v>2386</v>
      </c>
      <c r="CD3" s="1268"/>
      <c r="CE3" s="772" t="s">
        <v>8215</v>
      </c>
      <c r="CF3" s="772" t="s">
        <v>8216</v>
      </c>
      <c r="CG3" s="1268"/>
      <c r="CH3" s="1268"/>
      <c r="CI3" s="772"/>
      <c r="CJ3" s="772"/>
      <c r="CK3" s="1268"/>
      <c r="CL3" s="1268"/>
      <c r="CM3" s="1268"/>
      <c r="CN3" s="772"/>
      <c r="CO3" s="1268"/>
      <c r="CP3" s="772" t="s">
        <v>8217</v>
      </c>
      <c r="CQ3" s="772" t="s">
        <v>8218</v>
      </c>
      <c r="CR3" s="1268"/>
      <c r="CS3" s="1268"/>
      <c r="CT3" s="1268" t="s">
        <v>8219</v>
      </c>
      <c r="CU3" s="772"/>
    </row>
    <row r="4">
      <c r="A4" s="1307" t="s">
        <v>6584</v>
      </c>
      <c r="B4" s="1034" t="s">
        <v>7657</v>
      </c>
      <c r="C4" s="1030" t="s">
        <v>334</v>
      </c>
      <c r="D4" s="1031" t="s">
        <v>440</v>
      </c>
      <c r="E4" s="1032" t="s">
        <v>3276</v>
      </c>
      <c r="F4" s="1033" t="s">
        <v>7867</v>
      </c>
      <c r="G4" s="1034" t="s">
        <v>1816</v>
      </c>
      <c r="H4" s="1308" t="s">
        <v>8220</v>
      </c>
      <c r="I4" s="1309" t="s">
        <v>8221</v>
      </c>
      <c r="J4" s="1224"/>
      <c r="K4" s="772" t="s">
        <v>8222</v>
      </c>
      <c r="L4" s="1224"/>
      <c r="M4" s="1260" t="s">
        <v>8223</v>
      </c>
      <c r="N4" s="1224"/>
      <c r="O4" s="738" t="s">
        <v>8224</v>
      </c>
      <c r="P4" s="1265" t="s">
        <v>8225</v>
      </c>
      <c r="Q4" s="1259"/>
      <c r="R4" s="738" t="s">
        <v>8226</v>
      </c>
      <c r="S4" s="1224"/>
      <c r="T4" s="772" t="s">
        <v>8227</v>
      </c>
      <c r="U4" s="738" t="s">
        <v>7683</v>
      </c>
      <c r="V4" s="1260" t="s">
        <v>8228</v>
      </c>
      <c r="W4" s="738" t="s">
        <v>1298</v>
      </c>
      <c r="X4" s="738" t="s">
        <v>1732</v>
      </c>
      <c r="Y4" s="738" t="s">
        <v>1591</v>
      </c>
      <c r="Z4" s="1260" t="s">
        <v>2933</v>
      </c>
      <c r="AA4" s="1255"/>
      <c r="AB4" s="1310" t="s">
        <v>8229</v>
      </c>
      <c r="AC4" s="738" t="s">
        <v>3397</v>
      </c>
      <c r="AD4" s="738" t="s">
        <v>4752</v>
      </c>
      <c r="AE4" s="1255"/>
      <c r="AF4" s="1265" t="s">
        <v>7930</v>
      </c>
      <c r="AG4" s="1224"/>
      <c r="AH4" s="1266" t="s">
        <v>8230</v>
      </c>
      <c r="AI4" s="1266" t="s">
        <v>5019</v>
      </c>
      <c r="AJ4" s="1259"/>
      <c r="AK4" s="738" t="s">
        <v>8231</v>
      </c>
      <c r="AL4" s="1224"/>
      <c r="AM4" s="1265" t="s">
        <v>8232</v>
      </c>
      <c r="AN4" s="772" t="s">
        <v>8233</v>
      </c>
      <c r="AO4" s="772" t="s">
        <v>8234</v>
      </c>
      <c r="AP4" s="1265" t="s">
        <v>8193</v>
      </c>
      <c r="AQ4" s="1224"/>
      <c r="AR4" s="772" t="s">
        <v>8235</v>
      </c>
      <c r="AS4" s="1224"/>
      <c r="AT4" s="1265" t="s">
        <v>8200</v>
      </c>
      <c r="AU4" s="1265" t="s">
        <v>8236</v>
      </c>
      <c r="AV4" s="1224"/>
      <c r="AW4" s="1265" t="s">
        <v>8237</v>
      </c>
      <c r="AX4" s="1224"/>
      <c r="AY4" s="1224"/>
      <c r="AZ4" s="1265" t="s">
        <v>1584</v>
      </c>
      <c r="BA4" s="1266" t="s">
        <v>5281</v>
      </c>
      <c r="BB4" s="1265" t="s">
        <v>8238</v>
      </c>
      <c r="BC4" s="738" t="s">
        <v>8239</v>
      </c>
      <c r="BD4" s="1260" t="s">
        <v>8240</v>
      </c>
      <c r="BE4" s="1259"/>
      <c r="BF4" s="1224"/>
      <c r="BG4" s="1259"/>
      <c r="BH4" s="1259"/>
      <c r="BI4" s="1259"/>
      <c r="BJ4" s="1259"/>
      <c r="BK4" s="1259"/>
      <c r="BL4" s="1224"/>
      <c r="BM4" s="1259"/>
      <c r="BN4" s="1259"/>
      <c r="BO4" s="1259"/>
      <c r="BP4" s="1259"/>
      <c r="BQ4" s="1259"/>
      <c r="BR4" s="1259"/>
      <c r="BS4" s="1259"/>
      <c r="BT4" s="1259"/>
      <c r="BU4" s="1259"/>
      <c r="BV4" s="1224"/>
      <c r="BW4" s="1260" t="s">
        <v>5325</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8241</v>
      </c>
      <c r="C5" s="1030" t="s">
        <v>440</v>
      </c>
      <c r="D5" s="1031" t="s">
        <v>334</v>
      </c>
      <c r="E5" s="1032" t="s">
        <v>1262</v>
      </c>
      <c r="F5" s="1033" t="s">
        <v>1204</v>
      </c>
      <c r="G5" s="1034" t="s">
        <v>5549</v>
      </c>
      <c r="H5" s="772" t="s">
        <v>8242</v>
      </c>
      <c r="I5" s="772" t="s">
        <v>7898</v>
      </c>
      <c r="J5" s="772"/>
      <c r="K5" s="1266" t="s">
        <v>8243</v>
      </c>
      <c r="L5" s="1260" t="s">
        <v>8244</v>
      </c>
      <c r="M5" s="772"/>
      <c r="N5" s="772"/>
      <c r="O5" s="738" t="s">
        <v>8245</v>
      </c>
      <c r="P5" s="772" t="s">
        <v>8246</v>
      </c>
      <c r="Q5" s="772" t="s">
        <v>8247</v>
      </c>
      <c r="R5" s="1260" t="s">
        <v>8248</v>
      </c>
      <c r="S5" s="772"/>
      <c r="T5" s="1266" t="s">
        <v>8249</v>
      </c>
      <c r="U5" s="1266" t="s">
        <v>8250</v>
      </c>
      <c r="V5" s="772"/>
      <c r="W5" s="772" t="s">
        <v>6634</v>
      </c>
      <c r="X5" s="772"/>
      <c r="Y5" s="772" t="s">
        <v>8251</v>
      </c>
      <c r="Z5" s="1266" t="s">
        <v>1140</v>
      </c>
      <c r="AA5" s="1255"/>
      <c r="AB5" s="1255"/>
      <c r="AC5" s="772" t="s">
        <v>8252</v>
      </c>
      <c r="AD5" s="1224"/>
      <c r="AE5" s="772"/>
      <c r="AF5" s="772" t="s">
        <v>8253</v>
      </c>
      <c r="AG5" s="772"/>
      <c r="AH5" s="772" t="s">
        <v>4750</v>
      </c>
      <c r="AI5" s="772" t="s">
        <v>2036</v>
      </c>
      <c r="AJ5" s="1224"/>
      <c r="AK5" s="772"/>
      <c r="AL5" s="772"/>
      <c r="AM5" s="772" t="s">
        <v>8254</v>
      </c>
      <c r="AN5" s="1224"/>
      <c r="AO5" s="1224"/>
      <c r="AP5" s="772" t="s">
        <v>8255</v>
      </c>
      <c r="AQ5" s="1266" t="s">
        <v>8256</v>
      </c>
      <c r="AR5" s="772" t="s">
        <v>8257</v>
      </c>
      <c r="AS5" s="772"/>
      <c r="AT5" s="772" t="s">
        <v>8258</v>
      </c>
      <c r="AU5" s="738" t="s">
        <v>8259</v>
      </c>
      <c r="AV5" s="772"/>
      <c r="AW5" s="1269" t="s">
        <v>8260</v>
      </c>
      <c r="AX5" s="113"/>
      <c r="AY5" s="113" t="s">
        <v>8261</v>
      </c>
      <c r="AZ5" s="772" t="s">
        <v>3082</v>
      </c>
      <c r="BA5" s="772"/>
      <c r="BB5" s="772" t="s">
        <v>8240</v>
      </c>
      <c r="BC5" s="1260" t="s">
        <v>8262</v>
      </c>
      <c r="BD5" s="772" t="s">
        <v>8263</v>
      </c>
      <c r="BE5" s="772"/>
      <c r="BF5" s="772"/>
      <c r="BG5" s="772" t="s">
        <v>8264</v>
      </c>
      <c r="BH5" s="772"/>
      <c r="BI5" s="772"/>
      <c r="BJ5" s="772"/>
      <c r="BK5" s="772" t="s">
        <v>8265</v>
      </c>
      <c r="BL5" s="772"/>
      <c r="BM5" s="772"/>
      <c r="BN5" s="772"/>
      <c r="BO5" s="772"/>
      <c r="BP5" s="772" t="s">
        <v>8266</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8267</v>
      </c>
      <c r="C6" s="1030" t="s">
        <v>3276</v>
      </c>
      <c r="D6" s="1031" t="s">
        <v>830</v>
      </c>
      <c r="E6" s="1032" t="s">
        <v>440</v>
      </c>
      <c r="F6" s="1033" t="s">
        <v>7867</v>
      </c>
      <c r="G6" s="1034" t="s">
        <v>5918</v>
      </c>
      <c r="H6" s="1266" t="s">
        <v>8268</v>
      </c>
      <c r="I6" s="738" t="s">
        <v>8269</v>
      </c>
      <c r="J6" s="772"/>
      <c r="K6" s="1265" t="s">
        <v>8270</v>
      </c>
      <c r="L6" s="738" t="s">
        <v>8271</v>
      </c>
      <c r="M6" s="1224"/>
      <c r="N6" s="1224"/>
      <c r="O6" s="738" t="s">
        <v>8272</v>
      </c>
      <c r="P6" s="1224"/>
      <c r="Q6" s="772" t="s">
        <v>8273</v>
      </c>
      <c r="R6" s="1266" t="s">
        <v>8274</v>
      </c>
      <c r="S6" s="1224"/>
      <c r="T6" s="1265" t="s">
        <v>8275</v>
      </c>
      <c r="U6" s="1265" t="s">
        <v>672</v>
      </c>
      <c r="V6" s="772" t="s">
        <v>8276</v>
      </c>
      <c r="W6" s="1224"/>
      <c r="X6" s="1265" t="s">
        <v>6209</v>
      </c>
      <c r="Y6" s="1266" t="s">
        <v>2538</v>
      </c>
      <c r="Z6" s="1224"/>
      <c r="AA6" s="1224"/>
      <c r="AB6" s="1224"/>
      <c r="AC6" s="1224"/>
      <c r="AD6" s="772" t="s">
        <v>8277</v>
      </c>
      <c r="AE6" s="1255"/>
      <c r="AF6" s="738" t="s">
        <v>466</v>
      </c>
      <c r="AG6" s="1255"/>
      <c r="AH6" s="1224"/>
      <c r="AI6" s="1224"/>
      <c r="AJ6" s="1260" t="s">
        <v>2218</v>
      </c>
      <c r="AK6" s="1266" t="s">
        <v>6166</v>
      </c>
      <c r="AL6" s="1313" t="s">
        <v>8278</v>
      </c>
      <c r="AM6" s="1266" t="s">
        <v>8279</v>
      </c>
      <c r="AN6" s="1224"/>
      <c r="AO6" s="1224"/>
      <c r="AP6" s="772" t="s">
        <v>8193</v>
      </c>
      <c r="AQ6" s="772"/>
      <c r="AR6" s="1266" t="s">
        <v>8280</v>
      </c>
      <c r="AS6" s="1255"/>
      <c r="AT6" s="1260" t="s">
        <v>8281</v>
      </c>
      <c r="AU6" s="738" t="s">
        <v>8282</v>
      </c>
      <c r="AV6" s="1266" t="s">
        <v>8283</v>
      </c>
      <c r="AW6" s="1266" t="s">
        <v>8284</v>
      </c>
      <c r="AX6" s="1224"/>
      <c r="AY6" s="1224"/>
      <c r="AZ6" s="1260" t="s">
        <v>4611</v>
      </c>
      <c r="BA6" s="1255"/>
      <c r="BB6" s="1266" t="s">
        <v>8285</v>
      </c>
      <c r="BC6" s="1266" t="s">
        <v>8286</v>
      </c>
      <c r="BD6" s="1224"/>
      <c r="BE6" s="1224"/>
      <c r="BF6" s="1224"/>
      <c r="BG6" s="1314" t="s">
        <v>8287</v>
      </c>
      <c r="BH6" s="1164"/>
      <c r="BI6" s="1164"/>
      <c r="BJ6" s="1164"/>
      <c r="BK6" s="1314" t="s">
        <v>8288</v>
      </c>
      <c r="BL6" s="1164"/>
      <c r="BM6" s="1095" t="s">
        <v>8289</v>
      </c>
      <c r="BN6" s="1154" t="s">
        <v>8290</v>
      </c>
      <c r="BO6" s="1164"/>
      <c r="BP6" s="1164"/>
      <c r="BQ6" s="1315"/>
      <c r="BR6" s="1224"/>
      <c r="BS6" s="1260" t="s">
        <v>8291</v>
      </c>
      <c r="BT6" s="1224"/>
      <c r="BU6" s="1224"/>
      <c r="BV6" s="1224"/>
      <c r="BW6" s="1224"/>
      <c r="BX6" s="1224"/>
      <c r="BY6" s="1224"/>
      <c r="BZ6" s="1224"/>
      <c r="CA6" s="1224"/>
      <c r="CB6" s="1224"/>
      <c r="CC6" s="1266" t="s">
        <v>452</v>
      </c>
      <c r="CD6" s="1255"/>
      <c r="CE6" s="1316"/>
      <c r="CF6" s="1316"/>
      <c r="CG6" s="1317"/>
      <c r="CH6" s="1317"/>
      <c r="CI6" s="1316" t="s">
        <v>8292</v>
      </c>
      <c r="CJ6" s="1317"/>
      <c r="CK6" s="1317"/>
      <c r="CL6" s="1316" t="s">
        <v>5549</v>
      </c>
      <c r="CM6" s="1318" t="s">
        <v>5550</v>
      </c>
      <c r="CN6" s="1318" t="s">
        <v>3364</v>
      </c>
      <c r="CO6" s="1316"/>
      <c r="CP6" s="1316"/>
      <c r="CQ6" s="1316"/>
      <c r="CR6" s="1316"/>
      <c r="CS6" s="1318" t="s">
        <v>8293</v>
      </c>
      <c r="CT6" s="1224"/>
      <c r="CU6" s="1224"/>
    </row>
    <row r="7">
      <c r="A7" s="1319" t="s">
        <v>7429</v>
      </c>
      <c r="B7" s="1034" t="s">
        <v>8294</v>
      </c>
      <c r="C7" s="1030" t="s">
        <v>440</v>
      </c>
      <c r="D7" s="1031" t="s">
        <v>439</v>
      </c>
      <c r="E7" s="1032" t="s">
        <v>334</v>
      </c>
      <c r="F7" s="1033" t="s">
        <v>4983</v>
      </c>
      <c r="G7" s="1034" t="s">
        <v>3082</v>
      </c>
      <c r="H7" s="738" t="s">
        <v>8295</v>
      </c>
      <c r="I7" s="719" t="s">
        <v>8296</v>
      </c>
      <c r="J7" s="1320"/>
      <c r="K7" s="738" t="s">
        <v>8297</v>
      </c>
      <c r="L7" s="1255"/>
      <c r="M7" s="738" t="s">
        <v>8298</v>
      </c>
      <c r="N7" s="1224"/>
      <c r="O7" s="1224"/>
      <c r="P7" s="1268" t="s">
        <v>8299</v>
      </c>
      <c r="Q7" s="1259"/>
      <c r="R7" s="772"/>
      <c r="S7" s="1224"/>
      <c r="T7" s="1224"/>
      <c r="U7" s="1268" t="s">
        <v>8300</v>
      </c>
      <c r="V7" s="1268"/>
      <c r="W7" s="1265" t="s">
        <v>2130</v>
      </c>
      <c r="X7" s="738" t="s">
        <v>1826</v>
      </c>
      <c r="Y7" s="738" t="s">
        <v>2062</v>
      </c>
      <c r="Z7" s="1265" t="s">
        <v>8301</v>
      </c>
      <c r="AA7" s="1255"/>
      <c r="AB7" s="1255"/>
      <c r="AC7" s="1268" t="s">
        <v>8302</v>
      </c>
      <c r="AD7" s="738" t="s">
        <v>4457</v>
      </c>
      <c r="AE7" s="1255"/>
      <c r="AF7" s="738" t="s">
        <v>8303</v>
      </c>
      <c r="AG7" s="1255"/>
      <c r="AH7" s="1268" t="s">
        <v>8304</v>
      </c>
      <c r="AI7" s="1268" t="s">
        <v>120</v>
      </c>
      <c r="AJ7" s="1268"/>
      <c r="AK7" s="772" t="s">
        <v>5893</v>
      </c>
      <c r="AL7" s="1268" t="s">
        <v>6372</v>
      </c>
      <c r="AM7" s="1321" t="s">
        <v>8305</v>
      </c>
      <c r="AN7" s="1265" t="s">
        <v>8306</v>
      </c>
      <c r="AO7" s="1266" t="s">
        <v>8307</v>
      </c>
      <c r="AP7" s="738" t="s">
        <v>8308</v>
      </c>
      <c r="AQ7" s="1255"/>
      <c r="AR7" s="738" t="s">
        <v>8309</v>
      </c>
      <c r="AS7" s="1255"/>
      <c r="AT7" s="1266" t="s">
        <v>8265</v>
      </c>
      <c r="AU7" s="738" t="s">
        <v>8310</v>
      </c>
      <c r="AV7" s="1255"/>
      <c r="AW7" s="1267" t="s">
        <v>8311</v>
      </c>
      <c r="AX7" s="1255"/>
      <c r="AY7" s="1266" t="s">
        <v>8312</v>
      </c>
      <c r="AZ7" s="738" t="s">
        <v>4658</v>
      </c>
      <c r="BA7" s="1255"/>
      <c r="BB7" s="738" t="s">
        <v>8313</v>
      </c>
      <c r="BC7" s="1267" t="s">
        <v>8314</v>
      </c>
      <c r="BD7" s="1265" t="s">
        <v>8315</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8316</v>
      </c>
      <c r="BZ7" s="1266" t="s">
        <v>8317</v>
      </c>
      <c r="CA7" s="1260" t="s">
        <v>1283</v>
      </c>
      <c r="CB7" s="1260" t="s">
        <v>8318</v>
      </c>
      <c r="CC7" s="1260" t="s">
        <v>478</v>
      </c>
      <c r="CD7" s="1323" t="s">
        <v>2515</v>
      </c>
      <c r="CE7" s="1224"/>
      <c r="CF7" s="1224"/>
      <c r="CG7" s="1259"/>
      <c r="CH7" s="1259"/>
      <c r="CI7" s="1224"/>
      <c r="CJ7" s="1224"/>
      <c r="CK7" s="1259"/>
      <c r="CL7" s="1259"/>
      <c r="CM7" s="1259"/>
      <c r="CN7" s="1224"/>
      <c r="CO7" s="1259"/>
      <c r="CP7" s="1259"/>
      <c r="CQ7" s="1259"/>
      <c r="CR7" s="1259"/>
      <c r="CS7" s="1259"/>
      <c r="CT7" s="772" t="s">
        <v>8319</v>
      </c>
      <c r="CU7" s="772"/>
    </row>
    <row r="8">
      <c r="A8" s="1324" t="s">
        <v>8320</v>
      </c>
      <c r="B8" s="1034" t="s">
        <v>6360</v>
      </c>
      <c r="C8" s="1030" t="s">
        <v>547</v>
      </c>
      <c r="D8" s="1031" t="s">
        <v>440</v>
      </c>
      <c r="E8" s="1032" t="s">
        <v>334</v>
      </c>
      <c r="F8" s="1033" t="s">
        <v>3180</v>
      </c>
      <c r="G8" s="1034" t="s">
        <v>2836</v>
      </c>
      <c r="H8" s="738" t="s">
        <v>8321</v>
      </c>
      <c r="I8" s="738" t="s">
        <v>8322</v>
      </c>
      <c r="J8" s="1255"/>
      <c r="K8" s="1224"/>
      <c r="L8" s="1224"/>
      <c r="M8" s="1224"/>
      <c r="N8" s="1224"/>
      <c r="O8" s="1224"/>
      <c r="P8" s="772" t="s">
        <v>8323</v>
      </c>
      <c r="Q8" s="1259"/>
      <c r="R8" s="1265" t="s">
        <v>8324</v>
      </c>
      <c r="S8" s="1224"/>
      <c r="T8" s="1224"/>
      <c r="U8" s="1321" t="s">
        <v>8325</v>
      </c>
      <c r="V8" s="1277"/>
      <c r="W8" s="1306" t="s">
        <v>785</v>
      </c>
      <c r="X8" s="1277" t="s">
        <v>3704</v>
      </c>
      <c r="Y8" s="1325" t="s">
        <v>5016</v>
      </c>
      <c r="Z8" s="1255"/>
      <c r="AA8" s="1255" t="s">
        <v>8326</v>
      </c>
      <c r="AB8" s="1277"/>
      <c r="AC8" s="1265" t="s">
        <v>8327</v>
      </c>
      <c r="AD8" s="738" t="s">
        <v>820</v>
      </c>
      <c r="AE8" s="1255"/>
      <c r="AF8" s="1255"/>
      <c r="AG8" s="1255"/>
      <c r="AH8" s="1259"/>
      <c r="AI8" s="1259"/>
      <c r="AJ8" s="1259"/>
      <c r="AK8" s="1268" t="s">
        <v>325</v>
      </c>
      <c r="AL8" s="772"/>
      <c r="AM8" s="1260" t="s">
        <v>8328</v>
      </c>
      <c r="AN8" s="1268" t="s">
        <v>8329</v>
      </c>
      <c r="AO8" s="1224"/>
      <c r="AP8" s="738" t="s">
        <v>8306</v>
      </c>
      <c r="AQ8" s="1255"/>
      <c r="AR8" s="1224"/>
      <c r="AS8" s="1224"/>
      <c r="AT8" s="738" t="s">
        <v>8330</v>
      </c>
      <c r="AU8" s="772"/>
      <c r="AV8" s="772"/>
      <c r="AW8" s="738" t="s">
        <v>8331</v>
      </c>
      <c r="AX8" s="1224"/>
      <c r="AY8" s="1224"/>
      <c r="AZ8" s="1224"/>
      <c r="BA8" s="1224"/>
      <c r="BB8" s="738" t="s">
        <v>8332</v>
      </c>
      <c r="BC8" s="1268" t="s">
        <v>8333</v>
      </c>
      <c r="BD8" s="1224"/>
      <c r="BE8" s="1259"/>
      <c r="BF8" s="1224"/>
      <c r="BG8" s="1172"/>
      <c r="BH8" s="1125" t="s">
        <v>8334</v>
      </c>
      <c r="BI8" s="1172"/>
      <c r="BJ8" s="1172"/>
      <c r="BK8" s="1172"/>
      <c r="BL8" s="1164"/>
      <c r="BM8" s="1172"/>
      <c r="BN8" s="1172"/>
      <c r="BO8" s="1172"/>
      <c r="BP8" s="1172"/>
      <c r="BQ8" s="1259"/>
      <c r="BR8" s="1259"/>
      <c r="BS8" s="1266" t="s">
        <v>8335</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8311</v>
      </c>
      <c r="CR8" s="1328"/>
      <c r="CS8" s="1328"/>
      <c r="CT8" s="1277"/>
      <c r="CU8" s="1255"/>
    </row>
    <row r="9">
      <c r="A9" s="1331" t="s">
        <v>2150</v>
      </c>
      <c r="B9" s="1034" t="s">
        <v>8336</v>
      </c>
      <c r="C9" s="1030" t="s">
        <v>1262</v>
      </c>
      <c r="D9" s="1031" t="s">
        <v>438</v>
      </c>
      <c r="E9" s="1032" t="s">
        <v>438</v>
      </c>
      <c r="F9" s="1033" t="s">
        <v>440</v>
      </c>
      <c r="G9" s="1034" t="s">
        <v>4611</v>
      </c>
      <c r="H9" s="1332" t="s">
        <v>8337</v>
      </c>
      <c r="I9" s="1333" t="s">
        <v>2163</v>
      </c>
      <c r="J9" s="772" t="s">
        <v>8338</v>
      </c>
      <c r="K9" s="772" t="s">
        <v>8339</v>
      </c>
      <c r="L9" s="772" t="s">
        <v>8340</v>
      </c>
      <c r="M9" s="772" t="s">
        <v>8341</v>
      </c>
      <c r="N9" s="772" t="s">
        <v>8342</v>
      </c>
      <c r="O9" s="772" t="s">
        <v>8343</v>
      </c>
      <c r="P9" s="772" t="s">
        <v>8344</v>
      </c>
      <c r="Q9" s="772" t="s">
        <v>8345</v>
      </c>
      <c r="R9" s="772" t="s">
        <v>8346</v>
      </c>
      <c r="S9" s="1265" t="s">
        <v>8347</v>
      </c>
      <c r="T9" s="772" t="s">
        <v>8348</v>
      </c>
      <c r="U9" s="772" t="s">
        <v>8349</v>
      </c>
      <c r="V9" s="1265" t="s">
        <v>8350</v>
      </c>
      <c r="W9" s="772" t="s">
        <v>3900</v>
      </c>
      <c r="X9" s="772" t="s">
        <v>8351</v>
      </c>
      <c r="Y9" s="1268" t="s">
        <v>159</v>
      </c>
      <c r="Z9" s="1224"/>
      <c r="AA9" s="1224"/>
      <c r="AB9" s="1259"/>
      <c r="AC9" s="1268" t="s">
        <v>8352</v>
      </c>
      <c r="AD9" s="1268" t="s">
        <v>5236</v>
      </c>
      <c r="AE9" s="1266" t="s">
        <v>2525</v>
      </c>
      <c r="AF9" s="1268" t="s">
        <v>8353</v>
      </c>
      <c r="AG9" s="772" t="s">
        <v>8354</v>
      </c>
      <c r="AH9" s="1259"/>
      <c r="AI9" s="1259"/>
      <c r="AJ9" s="1259"/>
      <c r="AK9" s="772" t="s">
        <v>8355</v>
      </c>
      <c r="AL9" s="772" t="s">
        <v>2778</v>
      </c>
      <c r="AM9" s="1224"/>
      <c r="AN9" s="1224"/>
      <c r="AO9" s="1224"/>
      <c r="AP9" s="1224"/>
      <c r="AQ9" s="1224"/>
      <c r="AR9" s="1224"/>
      <c r="AS9" s="1224"/>
      <c r="AT9" s="772" t="s">
        <v>8356</v>
      </c>
      <c r="AU9" s="772" t="s">
        <v>8315</v>
      </c>
      <c r="AV9" s="1224"/>
      <c r="AW9" s="772" t="s">
        <v>8313</v>
      </c>
      <c r="AX9" s="772" t="s">
        <v>8357</v>
      </c>
      <c r="AY9" s="1224"/>
      <c r="AZ9" s="772"/>
      <c r="BA9" s="772"/>
      <c r="BB9" s="1255"/>
      <c r="BC9" s="772" t="s">
        <v>8358</v>
      </c>
      <c r="BD9" s="772" t="s">
        <v>8359</v>
      </c>
      <c r="BE9" s="772"/>
      <c r="BF9" s="772" t="s">
        <v>8360</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8361</v>
      </c>
      <c r="CU9" s="772"/>
    </row>
    <row r="10">
      <c r="A10" s="1334" t="s">
        <v>2975</v>
      </c>
      <c r="B10" s="1034" t="s">
        <v>8362</v>
      </c>
      <c r="C10" s="1030" t="s">
        <v>438</v>
      </c>
      <c r="D10" s="1031" t="s">
        <v>438</v>
      </c>
      <c r="E10" s="1032" t="s">
        <v>1262</v>
      </c>
      <c r="F10" s="1033" t="s">
        <v>1065</v>
      </c>
      <c r="G10" s="1034" t="s">
        <v>5722</v>
      </c>
      <c r="H10" s="1332"/>
      <c r="I10" s="1332" t="s">
        <v>8363</v>
      </c>
      <c r="J10" s="1224"/>
      <c r="K10" s="772" t="s">
        <v>8364</v>
      </c>
      <c r="L10" s="738" t="s">
        <v>8365</v>
      </c>
      <c r="M10" s="772" t="s">
        <v>8366</v>
      </c>
      <c r="N10" s="1224"/>
      <c r="O10" s="772" t="s">
        <v>8367</v>
      </c>
      <c r="P10" s="772" t="s">
        <v>8368</v>
      </c>
      <c r="Q10" s="772" t="s">
        <v>8369</v>
      </c>
      <c r="R10" s="772" t="s">
        <v>8370</v>
      </c>
      <c r="S10" s="1266" t="s">
        <v>3013</v>
      </c>
      <c r="T10" s="1224"/>
      <c r="U10" s="772" t="s">
        <v>3901</v>
      </c>
      <c r="V10" s="1259"/>
      <c r="W10" s="772" t="s">
        <v>4991</v>
      </c>
      <c r="X10" s="738" t="s">
        <v>3563</v>
      </c>
      <c r="Y10" s="738" t="s">
        <v>8371</v>
      </c>
      <c r="Z10" s="1224"/>
      <c r="AA10" s="1260" t="s">
        <v>5670</v>
      </c>
      <c r="AB10" s="1259"/>
      <c r="AC10" s="772" t="s">
        <v>5779</v>
      </c>
      <c r="AD10" s="772" t="s">
        <v>159</v>
      </c>
      <c r="AE10" s="772"/>
      <c r="AF10" s="772" t="s">
        <v>5575</v>
      </c>
      <c r="AG10" s="1224"/>
      <c r="AH10" s="1259"/>
      <c r="AI10" s="1259"/>
      <c r="AJ10" s="1259"/>
      <c r="AK10" s="1224"/>
      <c r="AL10" s="1224"/>
      <c r="AM10" s="1268" t="s">
        <v>8311</v>
      </c>
      <c r="AN10" s="1224"/>
      <c r="AO10" s="1224"/>
      <c r="AP10" s="772" t="s">
        <v>8372</v>
      </c>
      <c r="AQ10" s="772" t="s">
        <v>8372</v>
      </c>
      <c r="AR10" s="772" t="s">
        <v>8373</v>
      </c>
      <c r="AS10" s="772" t="s">
        <v>8374</v>
      </c>
      <c r="AT10" s="772"/>
      <c r="AU10" s="1266" t="s">
        <v>8375</v>
      </c>
      <c r="AV10" s="772" t="s">
        <v>8330</v>
      </c>
      <c r="AW10" s="772" t="s">
        <v>8305</v>
      </c>
      <c r="AX10" s="1224"/>
      <c r="AY10" s="1260" t="s">
        <v>8376</v>
      </c>
      <c r="AZ10" s="772" t="s">
        <v>5113</v>
      </c>
      <c r="BA10" s="772"/>
      <c r="BB10" s="772" t="s">
        <v>8315</v>
      </c>
      <c r="BC10" s="1268" t="s">
        <v>8358</v>
      </c>
      <c r="BD10" s="1268" t="s">
        <v>8377</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8378</v>
      </c>
      <c r="CT10" s="1224"/>
      <c r="CU10" s="1224"/>
    </row>
    <row r="11">
      <c r="A11" s="1311" t="s">
        <v>3798</v>
      </c>
      <c r="B11" s="1034" t="s">
        <v>8379</v>
      </c>
      <c r="C11" s="1030" t="s">
        <v>1262</v>
      </c>
      <c r="D11" s="1031" t="s">
        <v>547</v>
      </c>
      <c r="E11" s="1032" t="s">
        <v>1262</v>
      </c>
      <c r="F11" s="1033" t="s">
        <v>547</v>
      </c>
      <c r="G11" s="1034" t="s">
        <v>2430</v>
      </c>
      <c r="H11" s="1332"/>
      <c r="I11" s="1332" t="s">
        <v>3807</v>
      </c>
      <c r="J11" s="772" t="s">
        <v>8380</v>
      </c>
      <c r="K11" s="772" t="s">
        <v>8381</v>
      </c>
      <c r="L11" s="772" t="s">
        <v>8382</v>
      </c>
      <c r="M11" s="772" t="s">
        <v>8383</v>
      </c>
      <c r="N11" s="772" t="s">
        <v>8384</v>
      </c>
      <c r="O11" s="772" t="s">
        <v>8385</v>
      </c>
      <c r="P11" s="772" t="s">
        <v>8386</v>
      </c>
      <c r="Q11" s="1259"/>
      <c r="R11" s="1268" t="s">
        <v>8387</v>
      </c>
      <c r="S11" s="772" t="s">
        <v>8388</v>
      </c>
      <c r="T11" s="772" t="s">
        <v>8389</v>
      </c>
      <c r="U11" s="772" t="s">
        <v>8390</v>
      </c>
      <c r="V11" s="772" t="s">
        <v>4018</v>
      </c>
      <c r="W11" s="772" t="s">
        <v>4967</v>
      </c>
      <c r="X11" s="772" t="s">
        <v>8391</v>
      </c>
      <c r="Y11" s="772" t="s">
        <v>377</v>
      </c>
      <c r="Z11" s="1268" t="s">
        <v>3242</v>
      </c>
      <c r="AA11" s="772" t="s">
        <v>8392</v>
      </c>
      <c r="AB11" s="1268"/>
      <c r="AC11" s="1268" t="s">
        <v>2215</v>
      </c>
      <c r="AD11" s="1268" t="s">
        <v>8393</v>
      </c>
      <c r="AE11" s="772" t="s">
        <v>5154</v>
      </c>
      <c r="AF11" s="772" t="s">
        <v>4025</v>
      </c>
      <c r="AG11" s="1268" t="s">
        <v>8394</v>
      </c>
      <c r="AH11" s="1259"/>
      <c r="AI11" s="1259"/>
      <c r="AJ11" s="1259"/>
      <c r="AK11" s="1259"/>
      <c r="AL11" s="772" t="s">
        <v>5501</v>
      </c>
      <c r="AM11" s="1268" t="s">
        <v>8332</v>
      </c>
      <c r="AN11" s="1268" t="s">
        <v>8395</v>
      </c>
      <c r="AO11" s="1224"/>
      <c r="AP11" s="772" t="s">
        <v>8396</v>
      </c>
      <c r="AQ11" s="772" t="s">
        <v>8217</v>
      </c>
      <c r="AR11" s="1268" t="s">
        <v>8397</v>
      </c>
      <c r="AS11" s="772" t="s">
        <v>8398</v>
      </c>
      <c r="AT11" s="772" t="s">
        <v>8399</v>
      </c>
      <c r="AU11" s="772" t="s">
        <v>8287</v>
      </c>
      <c r="AV11" s="113" t="s">
        <v>8400</v>
      </c>
      <c r="AW11" s="772" t="s">
        <v>8401</v>
      </c>
      <c r="AX11" s="772" t="s">
        <v>8402</v>
      </c>
      <c r="AY11" s="1224"/>
      <c r="AZ11" s="1268" t="s">
        <v>1731</v>
      </c>
      <c r="BA11" s="772"/>
      <c r="BB11" s="1268" t="s">
        <v>8403</v>
      </c>
      <c r="BC11" s="1268" t="s">
        <v>8404</v>
      </c>
      <c r="BD11" s="772" t="s">
        <v>8405</v>
      </c>
      <c r="BE11" s="772"/>
      <c r="BF11" s="1224"/>
      <c r="BG11" s="1336"/>
      <c r="BH11" s="1336"/>
      <c r="BI11" s="1336"/>
      <c r="BJ11" s="1336"/>
      <c r="BK11" s="1336"/>
      <c r="BL11" s="1337"/>
      <c r="BM11" s="1336"/>
      <c r="BN11" s="1336"/>
      <c r="BO11" s="1336"/>
      <c r="BP11" s="1336"/>
      <c r="BQ11" s="1259"/>
      <c r="BR11" s="1259"/>
      <c r="BS11" s="1259"/>
      <c r="BT11" s="1259"/>
      <c r="BU11" s="1259"/>
      <c r="BV11" s="772" t="s">
        <v>4191</v>
      </c>
      <c r="BW11" s="1259"/>
      <c r="BX11" s="772" t="s">
        <v>4520</v>
      </c>
      <c r="BY11" s="772" t="s">
        <v>5383</v>
      </c>
      <c r="BZ11" s="1224"/>
      <c r="CA11" s="1259"/>
      <c r="CB11" s="772" t="s">
        <v>1673</v>
      </c>
      <c r="CC11" s="1259"/>
      <c r="CD11" s="1259"/>
      <c r="CE11" s="1317"/>
      <c r="CF11" s="772" t="s">
        <v>8358</v>
      </c>
      <c r="CG11" s="1259"/>
      <c r="CH11" s="1328"/>
      <c r="CI11" s="1330" t="s">
        <v>8218</v>
      </c>
      <c r="CJ11" s="1316" t="s">
        <v>8406</v>
      </c>
      <c r="CK11" s="1316"/>
      <c r="CL11" s="1329" t="s">
        <v>7867</v>
      </c>
      <c r="CM11" s="1316" t="s">
        <v>8407</v>
      </c>
      <c r="CN11" s="1316" t="s">
        <v>6186</v>
      </c>
      <c r="CO11" s="1316" t="s">
        <v>5722</v>
      </c>
      <c r="CP11" s="1316" t="s">
        <v>8310</v>
      </c>
      <c r="CQ11" s="1316" t="s">
        <v>8307</v>
      </c>
      <c r="CR11" s="1328"/>
      <c r="CS11" s="1328"/>
      <c r="CT11" s="1259"/>
      <c r="CU11" s="1224"/>
    </row>
    <row r="12">
      <c r="A12" s="1338" t="s">
        <v>6611</v>
      </c>
      <c r="B12" s="1034" t="s">
        <v>8408</v>
      </c>
      <c r="C12" s="1030" t="s">
        <v>440</v>
      </c>
      <c r="D12" s="1031" t="s">
        <v>1065</v>
      </c>
      <c r="E12" s="1032" t="s">
        <v>547</v>
      </c>
      <c r="F12" s="1033" t="s">
        <v>3180</v>
      </c>
      <c r="G12" s="1034" t="s">
        <v>4983</v>
      </c>
      <c r="H12" s="1339" t="str">
        <f>HYPERLINK("https://www.twitch.tv/videos/990301696","3:46.19")</f>
        <v>3:46.19</v>
      </c>
      <c r="I12" s="1332" t="s">
        <v>8409</v>
      </c>
      <c r="J12" s="772"/>
      <c r="K12" s="772" t="s">
        <v>8410</v>
      </c>
      <c r="L12" s="1224"/>
      <c r="M12" s="1340" t="str">
        <f>HYPERLINK("https://youtu.be/muKa7MrNAp8","2:59.41")</f>
        <v>2:59.41</v>
      </c>
      <c r="N12" s="1306"/>
      <c r="O12" s="113" t="s">
        <v>8411</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8412</v>
      </c>
      <c r="X12" s="772"/>
      <c r="Y12" s="772" t="s">
        <v>8413</v>
      </c>
      <c r="Z12" s="1224"/>
      <c r="AA12" s="1224"/>
      <c r="AB12" s="1259"/>
      <c r="AC12" s="1224"/>
      <c r="AD12" s="772" t="s">
        <v>4247</v>
      </c>
      <c r="AE12" s="1224"/>
      <c r="AF12" s="1224"/>
      <c r="AG12" s="1224"/>
      <c r="AH12" s="772" t="s">
        <v>5937</v>
      </c>
      <c r="AI12" s="1268"/>
      <c r="AJ12" s="1268"/>
      <c r="AK12" s="1265" t="s">
        <v>8414</v>
      </c>
      <c r="AL12" s="1255"/>
      <c r="AM12" s="1268" t="s">
        <v>8372</v>
      </c>
      <c r="AN12" s="1224"/>
      <c r="AO12" s="1224"/>
      <c r="AP12" s="1224"/>
      <c r="AQ12" s="1224"/>
      <c r="AR12" s="1224"/>
      <c r="AS12" s="1224"/>
      <c r="AT12" s="772" t="s">
        <v>8402</v>
      </c>
      <c r="AU12" s="772" t="s">
        <v>8415</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8416</v>
      </c>
      <c r="B13" s="1034" t="s">
        <v>6396</v>
      </c>
      <c r="C13" s="1030" t="s">
        <v>547</v>
      </c>
      <c r="D13" s="1031" t="s">
        <v>440</v>
      </c>
      <c r="E13" s="1032" t="s">
        <v>332</v>
      </c>
      <c r="F13" s="1033" t="s">
        <v>3180</v>
      </c>
      <c r="G13" s="1034" t="s">
        <v>8007</v>
      </c>
      <c r="H13" s="1332" t="s">
        <v>8417</v>
      </c>
      <c r="I13" s="1332" t="s">
        <v>8418</v>
      </c>
      <c r="J13" s="1224"/>
      <c r="K13" s="772" t="s">
        <v>8419</v>
      </c>
      <c r="L13" s="1224"/>
      <c r="M13" s="1224"/>
      <c r="N13" s="1224"/>
      <c r="O13" s="1224"/>
      <c r="P13" s="772" t="s">
        <v>8420</v>
      </c>
      <c r="Q13" s="1259"/>
      <c r="R13" s="1224"/>
      <c r="S13" s="1224"/>
      <c r="T13" s="772" t="s">
        <v>8421</v>
      </c>
      <c r="U13" s="772" t="s">
        <v>762</v>
      </c>
      <c r="V13" s="1259"/>
      <c r="W13" s="1224"/>
      <c r="X13" s="738" t="s">
        <v>2500</v>
      </c>
      <c r="Y13" s="738" t="s">
        <v>4194</v>
      </c>
      <c r="Z13" s="1224"/>
      <c r="AA13" s="1266" t="s">
        <v>6171</v>
      </c>
      <c r="AB13" s="1259"/>
      <c r="AC13" s="738" t="s">
        <v>2219</v>
      </c>
      <c r="AD13" s="738" t="s">
        <v>2299</v>
      </c>
      <c r="AE13" s="738" t="s">
        <v>6134</v>
      </c>
      <c r="AF13" s="1224"/>
      <c r="AG13" s="1224"/>
      <c r="AH13" s="1259"/>
      <c r="AI13" s="1259"/>
      <c r="AJ13" s="1259"/>
      <c r="AK13" s="1259"/>
      <c r="AL13" s="1224"/>
      <c r="AM13" s="772" t="s">
        <v>8217</v>
      </c>
      <c r="AN13" s="1266" t="s">
        <v>8284</v>
      </c>
      <c r="AO13" s="1224"/>
      <c r="AP13" s="878" t="s">
        <v>8217</v>
      </c>
      <c r="AQ13" s="1265" t="s">
        <v>8422</v>
      </c>
      <c r="AR13" s="1265" t="s">
        <v>8359</v>
      </c>
      <c r="AS13" s="1224"/>
      <c r="AT13" s="738" t="s">
        <v>8423</v>
      </c>
      <c r="AU13" s="738" t="s">
        <v>8424</v>
      </c>
      <c r="AV13" s="1265" t="s">
        <v>8425</v>
      </c>
      <c r="AW13" s="738" t="s">
        <v>8372</v>
      </c>
      <c r="AX13" s="1266" t="s">
        <v>8426</v>
      </c>
      <c r="AY13" s="1224"/>
      <c r="AZ13" s="1224"/>
      <c r="BA13" s="1224"/>
      <c r="BB13" s="738" t="s">
        <v>8424</v>
      </c>
      <c r="BC13" s="1224"/>
      <c r="BD13" s="1266" t="s">
        <v>8427</v>
      </c>
      <c r="BE13" s="1352" t="s">
        <v>8428</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4896</v>
      </c>
      <c r="B14" s="1034" t="s">
        <v>8429</v>
      </c>
      <c r="C14" s="1030" t="s">
        <v>332</v>
      </c>
      <c r="D14" s="1031" t="s">
        <v>332</v>
      </c>
      <c r="E14" s="1032" t="s">
        <v>1262</v>
      </c>
      <c r="F14" s="1033" t="s">
        <v>221</v>
      </c>
      <c r="G14" s="1034" t="s">
        <v>3984</v>
      </c>
      <c r="H14" s="1332"/>
      <c r="I14" s="1332" t="s">
        <v>8309</v>
      </c>
      <c r="J14" s="1224"/>
      <c r="K14" s="738" t="s">
        <v>8430</v>
      </c>
      <c r="L14" s="1224"/>
      <c r="M14" s="738" t="s">
        <v>8431</v>
      </c>
      <c r="N14" s="1224"/>
      <c r="O14" s="738" t="s">
        <v>8432</v>
      </c>
      <c r="P14" s="738" t="s">
        <v>8433</v>
      </c>
      <c r="Q14" s="1259"/>
      <c r="R14" s="1268" t="s">
        <v>8434</v>
      </c>
      <c r="S14" s="738" t="s">
        <v>8435</v>
      </c>
      <c r="T14" s="1224"/>
      <c r="U14" s="738" t="s">
        <v>8436</v>
      </c>
      <c r="V14" s="1255"/>
      <c r="W14" s="772" t="s">
        <v>5101</v>
      </c>
      <c r="X14" s="738" t="s">
        <v>8437</v>
      </c>
      <c r="Y14" s="1268" t="s">
        <v>2706</v>
      </c>
      <c r="Z14" s="1224"/>
      <c r="AA14" s="1224"/>
      <c r="AB14" s="1259"/>
      <c r="AC14" s="772" t="s">
        <v>8438</v>
      </c>
      <c r="AD14" s="719" t="s">
        <v>4247</v>
      </c>
      <c r="AE14" s="1224"/>
      <c r="AF14" s="1224"/>
      <c r="AG14" s="1224"/>
      <c r="AH14" s="1268" t="s">
        <v>5355</v>
      </c>
      <c r="AI14" s="1259"/>
      <c r="AJ14" s="1259"/>
      <c r="AK14" s="1268" t="s">
        <v>4812</v>
      </c>
      <c r="AL14" s="772"/>
      <c r="AM14" s="738" t="s">
        <v>8329</v>
      </c>
      <c r="AN14" s="1224"/>
      <c r="AO14" s="1224"/>
      <c r="AP14" s="738" t="s">
        <v>8439</v>
      </c>
      <c r="AQ14" s="1224"/>
      <c r="AR14" s="1224"/>
      <c r="AS14" s="1224"/>
      <c r="AT14" s="772" t="s">
        <v>8440</v>
      </c>
      <c r="AU14" s="1224"/>
      <c r="AV14" s="1224"/>
      <c r="AW14" s="1224"/>
      <c r="AX14" s="1224"/>
      <c r="AY14" s="1224"/>
      <c r="AZ14" s="1266" t="s">
        <v>8441</v>
      </c>
      <c r="BA14" s="1255"/>
      <c r="BB14" s="738" t="s">
        <v>8442</v>
      </c>
      <c r="BC14" s="1321" t="s">
        <v>8404</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8443</v>
      </c>
      <c r="CF14" s="1318" t="s">
        <v>8406</v>
      </c>
      <c r="CG14" s="1354" t="s">
        <v>8444</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8445</v>
      </c>
      <c r="C15" s="1030" t="s">
        <v>332</v>
      </c>
      <c r="D15" s="1031" t="s">
        <v>547</v>
      </c>
      <c r="E15" s="1032" t="s">
        <v>547</v>
      </c>
      <c r="F15" s="1033" t="s">
        <v>439</v>
      </c>
      <c r="G15" s="1034" t="s">
        <v>333</v>
      </c>
      <c r="H15" s="1332"/>
      <c r="I15" s="1332"/>
      <c r="J15" s="1224"/>
      <c r="K15" s="1224"/>
      <c r="L15" s="1224"/>
      <c r="M15" s="1268" t="s">
        <v>8446</v>
      </c>
      <c r="N15" s="1224"/>
      <c r="O15" s="1224"/>
      <c r="P15" s="1224"/>
      <c r="Q15" s="1260" t="s">
        <v>8447</v>
      </c>
      <c r="R15" s="1224"/>
      <c r="S15" s="1224"/>
      <c r="T15" s="1224"/>
      <c r="U15" s="1224"/>
      <c r="V15" s="1259"/>
      <c r="W15" s="1268" t="s">
        <v>5944</v>
      </c>
      <c r="X15" s="772"/>
      <c r="Y15" s="738" t="s">
        <v>1157</v>
      </c>
      <c r="Z15" s="1224"/>
      <c r="AA15" s="1224"/>
      <c r="AB15" s="1259"/>
      <c r="AC15" s="1268" t="s">
        <v>5476</v>
      </c>
      <c r="AD15" s="1266" t="s">
        <v>611</v>
      </c>
      <c r="AE15" s="1224"/>
      <c r="AF15" s="1224"/>
      <c r="AG15" s="1224"/>
      <c r="AH15" s="1259"/>
      <c r="AI15" s="1259"/>
      <c r="AJ15" s="1259"/>
      <c r="AK15" s="1259"/>
      <c r="AL15" s="1224"/>
      <c r="AM15" s="1224"/>
      <c r="AN15" s="1224"/>
      <c r="AO15" s="1224"/>
      <c r="AP15" s="1268" t="s">
        <v>8306</v>
      </c>
      <c r="AQ15" s="772"/>
      <c r="AR15" s="1268" t="s">
        <v>8448</v>
      </c>
      <c r="AS15" s="772"/>
      <c r="AT15" s="1224"/>
      <c r="AU15" s="1268" t="s">
        <v>8424</v>
      </c>
      <c r="AV15" s="772"/>
      <c r="AW15" s="1268" t="s">
        <v>8449</v>
      </c>
      <c r="AX15" s="1224"/>
      <c r="AY15" s="1224"/>
      <c r="AZ15" s="1224"/>
      <c r="BA15" s="1224"/>
      <c r="BB15" s="1260" t="s">
        <v>8450</v>
      </c>
      <c r="BC15" s="1265" t="s">
        <v>8215</v>
      </c>
      <c r="BD15" s="1224"/>
      <c r="BE15" s="1259"/>
      <c r="BF15" s="1224"/>
      <c r="BG15" s="1259"/>
      <c r="BH15" s="1259"/>
      <c r="BI15" s="1259"/>
      <c r="BJ15" s="1259"/>
      <c r="BK15" s="1259"/>
      <c r="BL15" s="1224"/>
      <c r="BM15" s="1260" t="s">
        <v>8451</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8452</v>
      </c>
      <c r="C16" s="1030" t="s">
        <v>1065</v>
      </c>
      <c r="D16" s="1031" t="s">
        <v>547</v>
      </c>
      <c r="E16" s="1032" t="s">
        <v>1262</v>
      </c>
      <c r="F16" s="1033" t="s">
        <v>648</v>
      </c>
      <c r="G16" s="1034" t="s">
        <v>333</v>
      </c>
      <c r="H16" s="1356" t="s">
        <v>8453</v>
      </c>
      <c r="I16" s="1356" t="s">
        <v>8436</v>
      </c>
      <c r="J16" s="1260" t="s">
        <v>8454</v>
      </c>
      <c r="K16" s="1260" t="s">
        <v>8455</v>
      </c>
      <c r="L16" s="772" t="s">
        <v>8456</v>
      </c>
      <c r="M16" s="1224"/>
      <c r="N16" s="1260" t="s">
        <v>3593</v>
      </c>
      <c r="O16" s="1266" t="s">
        <v>8457</v>
      </c>
      <c r="P16" s="1224"/>
      <c r="Q16" s="772" t="s">
        <v>8458</v>
      </c>
      <c r="R16" s="772" t="s">
        <v>8459</v>
      </c>
      <c r="S16" s="1260" t="s">
        <v>8460</v>
      </c>
      <c r="T16" s="1260" t="s">
        <v>8461</v>
      </c>
      <c r="U16" s="772" t="s">
        <v>8462</v>
      </c>
      <c r="V16" s="772" t="s">
        <v>8463</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8066</v>
      </c>
      <c r="B17" s="1034" t="s">
        <v>8464</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8465</v>
      </c>
      <c r="X17" s="1266" t="s">
        <v>1747</v>
      </c>
      <c r="Y17" s="1224"/>
      <c r="Z17" s="1224"/>
      <c r="AA17" s="1224"/>
      <c r="AB17" s="1260" t="s">
        <v>8466</v>
      </c>
      <c r="AC17" s="1266" t="s">
        <v>2459</v>
      </c>
      <c r="AD17" s="738" t="s">
        <v>2925</v>
      </c>
      <c r="AE17" s="1255"/>
      <c r="AF17" s="1260" t="s">
        <v>8467</v>
      </c>
      <c r="AG17" s="1224"/>
      <c r="AH17" s="1260" t="s">
        <v>1706</v>
      </c>
      <c r="AI17" s="1260" t="s">
        <v>3132</v>
      </c>
      <c r="AJ17" s="1259"/>
      <c r="AK17" s="772" t="s">
        <v>4249</v>
      </c>
      <c r="AL17" s="1224"/>
      <c r="AM17" s="1224"/>
      <c r="AN17" s="1224"/>
      <c r="AO17" s="1224"/>
      <c r="AP17" s="738" t="s">
        <v>8468</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8469</v>
      </c>
      <c r="C18" s="1030" t="s">
        <v>547</v>
      </c>
      <c r="D18" s="1031" t="s">
        <v>1262</v>
      </c>
      <c r="E18" s="1032" t="s">
        <v>547</v>
      </c>
      <c r="F18" s="1033" t="s">
        <v>438</v>
      </c>
      <c r="G18" s="1034" t="s">
        <v>3082</v>
      </c>
      <c r="H18" s="1332"/>
      <c r="I18" s="1332" t="s">
        <v>8470</v>
      </c>
      <c r="J18" s="772"/>
      <c r="K18" s="1268" t="s">
        <v>8471</v>
      </c>
      <c r="L18" s="772"/>
      <c r="M18" s="1268" t="s">
        <v>8472</v>
      </c>
      <c r="N18" s="1224"/>
      <c r="O18" s="1268" t="s">
        <v>8473</v>
      </c>
      <c r="P18" s="1224"/>
      <c r="Q18" s="1259"/>
      <c r="R18" s="772" t="s">
        <v>8474</v>
      </c>
      <c r="S18" s="1306" t="s">
        <v>8475</v>
      </c>
      <c r="T18" s="1268" t="s">
        <v>8476</v>
      </c>
      <c r="U18" s="772" t="s">
        <v>3715</v>
      </c>
      <c r="V18" s="1268"/>
      <c r="W18" s="1268" t="s">
        <v>4426</v>
      </c>
      <c r="X18" s="772" t="s">
        <v>3749</v>
      </c>
      <c r="Y18" s="1268" t="s">
        <v>2797</v>
      </c>
      <c r="Z18" s="1224"/>
      <c r="AA18" s="1224"/>
      <c r="AB18" s="1259"/>
      <c r="AC18" s="1268" t="s">
        <v>8477</v>
      </c>
      <c r="AD18" s="772" t="s">
        <v>2027</v>
      </c>
      <c r="AE18" s="772"/>
      <c r="AF18" s="1268" t="s">
        <v>8478</v>
      </c>
      <c r="AG18" s="1260" t="s">
        <v>8479</v>
      </c>
      <c r="AH18" s="1265" t="s">
        <v>1271</v>
      </c>
      <c r="AI18" s="1259"/>
      <c r="AJ18" s="1259"/>
      <c r="AK18" s="1268" t="s">
        <v>708</v>
      </c>
      <c r="AL18" s="1224"/>
      <c r="AM18" s="1268" t="s">
        <v>8427</v>
      </c>
      <c r="AN18" s="1224"/>
      <c r="AO18" s="1224"/>
      <c r="AP18" s="772" t="s">
        <v>8233</v>
      </c>
      <c r="AQ18" s="772"/>
      <c r="AR18" s="772" t="s">
        <v>8258</v>
      </c>
      <c r="AS18" s="772" t="s">
        <v>8480</v>
      </c>
      <c r="AT18" s="772" t="s">
        <v>8481</v>
      </c>
      <c r="AU18" s="772" t="s">
        <v>8482</v>
      </c>
      <c r="AV18" s="772"/>
      <c r="AW18" s="1224"/>
      <c r="AX18" s="1224"/>
      <c r="AY18" s="1224"/>
      <c r="AZ18" s="1268" t="s">
        <v>4759</v>
      </c>
      <c r="BA18" s="772"/>
      <c r="BB18" s="1268" t="s">
        <v>8424</v>
      </c>
      <c r="BC18" s="1268" t="s">
        <v>8483</v>
      </c>
      <c r="BD18" s="1268" t="s">
        <v>8288</v>
      </c>
      <c r="BE18" s="1268"/>
      <c r="BF18" s="772"/>
      <c r="BG18" s="1259"/>
      <c r="BH18" s="1259"/>
      <c r="BI18" s="1259"/>
      <c r="BJ18" s="1259"/>
      <c r="BK18" s="1259"/>
      <c r="BL18" s="1224"/>
      <c r="BM18" s="1259"/>
      <c r="BN18" s="1268" t="s">
        <v>8484</v>
      </c>
      <c r="BO18" s="1268" t="s">
        <v>8485</v>
      </c>
      <c r="BP18" s="1268"/>
      <c r="BQ18" s="1259"/>
      <c r="BR18" s="1259"/>
      <c r="BS18" s="1259"/>
      <c r="BT18" s="1259"/>
      <c r="BU18" s="1259"/>
      <c r="BV18" s="1335" t="s">
        <v>4676</v>
      </c>
      <c r="BW18" s="1259"/>
      <c r="BX18" s="1224"/>
      <c r="BY18" s="772" t="s">
        <v>2191</v>
      </c>
      <c r="BZ18" s="1224"/>
      <c r="CA18" s="1259"/>
      <c r="CB18" s="772" t="s">
        <v>4515</v>
      </c>
      <c r="CC18" s="1268" t="s">
        <v>8486</v>
      </c>
      <c r="CD18" s="1268"/>
      <c r="CE18" s="1224"/>
      <c r="CF18" s="1224"/>
      <c r="CG18" s="1259"/>
      <c r="CH18" s="1259"/>
      <c r="CI18" s="1224"/>
      <c r="CJ18" s="1224"/>
      <c r="CK18" s="1259"/>
      <c r="CL18" s="1259"/>
      <c r="CM18" s="1268" t="s">
        <v>8487</v>
      </c>
      <c r="CN18" s="1268" t="s">
        <v>1884</v>
      </c>
      <c r="CO18" s="1268" t="s">
        <v>4848</v>
      </c>
      <c r="CP18" s="1268" t="s">
        <v>8488</v>
      </c>
      <c r="CQ18" s="772" t="s">
        <v>8489</v>
      </c>
      <c r="CR18" s="1268" t="s">
        <v>3330</v>
      </c>
      <c r="CS18" s="772" t="s">
        <v>8490</v>
      </c>
      <c r="CT18" s="1259"/>
      <c r="CU18" s="1224"/>
    </row>
    <row r="19">
      <c r="A19" s="1359" t="s">
        <v>4779</v>
      </c>
      <c r="B19" s="1034" t="s">
        <v>8491</v>
      </c>
      <c r="C19" s="1030" t="s">
        <v>1262</v>
      </c>
      <c r="D19" s="1031" t="s">
        <v>1262</v>
      </c>
      <c r="E19" s="1032" t="s">
        <v>1262</v>
      </c>
      <c r="F19" s="1033" t="s">
        <v>547</v>
      </c>
      <c r="G19" s="1034" t="s">
        <v>3364</v>
      </c>
      <c r="H19" s="1332"/>
      <c r="I19" s="1332" t="s">
        <v>8492</v>
      </c>
      <c r="J19" s="772"/>
      <c r="K19" s="772" t="s">
        <v>7402</v>
      </c>
      <c r="L19" s="772"/>
      <c r="M19" s="1224"/>
      <c r="N19" s="1224"/>
      <c r="O19" s="1224"/>
      <c r="P19" s="1224"/>
      <c r="Q19" s="1259"/>
      <c r="R19" s="1268" t="s">
        <v>8493</v>
      </c>
      <c r="S19" s="1224"/>
      <c r="T19" s="1268" t="s">
        <v>8494</v>
      </c>
      <c r="U19" s="1268" t="s">
        <v>8495</v>
      </c>
      <c r="V19" s="1268" t="s">
        <v>8496</v>
      </c>
      <c r="W19" s="1268" t="s">
        <v>3652</v>
      </c>
      <c r="X19" s="772" t="s">
        <v>2584</v>
      </c>
      <c r="Y19" s="1268" t="s">
        <v>8497</v>
      </c>
      <c r="Z19" s="1224"/>
      <c r="AA19" s="1224"/>
      <c r="AB19" s="1259"/>
      <c r="AC19" s="738" t="s">
        <v>344</v>
      </c>
      <c r="AD19" s="1268" t="s">
        <v>3940</v>
      </c>
      <c r="AE19" s="772"/>
      <c r="AF19" s="1268" t="s">
        <v>8498</v>
      </c>
      <c r="AG19" s="772"/>
      <c r="AH19" s="1268" t="s">
        <v>8499</v>
      </c>
      <c r="AI19" s="1259"/>
      <c r="AJ19" s="1259"/>
      <c r="AK19" s="1259"/>
      <c r="AL19" s="1224"/>
      <c r="AM19" s="1224"/>
      <c r="AN19" s="1224"/>
      <c r="AO19" s="1224"/>
      <c r="AP19" s="772" t="s">
        <v>8233</v>
      </c>
      <c r="AQ19" s="1224"/>
      <c r="AR19" s="772" t="s">
        <v>8500</v>
      </c>
      <c r="AS19" s="1224"/>
      <c r="AT19" s="1224"/>
      <c r="AU19" s="772" t="s">
        <v>8501</v>
      </c>
      <c r="AV19" s="772"/>
      <c r="AW19" s="772" t="s">
        <v>8263</v>
      </c>
      <c r="AX19" s="1224"/>
      <c r="AY19" s="1224"/>
      <c r="AZ19" s="1268" t="s">
        <v>5550</v>
      </c>
      <c r="BA19" s="772"/>
      <c r="BB19" s="1224"/>
      <c r="BC19" s="1268" t="s">
        <v>8502</v>
      </c>
      <c r="BD19" s="772" t="s">
        <v>8503</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4419</v>
      </c>
      <c r="B20" s="1034" t="s">
        <v>6432</v>
      </c>
      <c r="C20" s="1030" t="s">
        <v>1262</v>
      </c>
      <c r="D20" s="1031" t="s">
        <v>1262</v>
      </c>
      <c r="E20" s="1032" t="s">
        <v>1262</v>
      </c>
      <c r="F20" s="1033" t="s">
        <v>1262</v>
      </c>
      <c r="G20" s="1034" t="s">
        <v>3364</v>
      </c>
      <c r="H20" s="1332" t="s">
        <v>8504</v>
      </c>
      <c r="I20" s="1332" t="s">
        <v>8505</v>
      </c>
      <c r="J20" s="772" t="s">
        <v>8506</v>
      </c>
      <c r="K20" s="1332" t="s">
        <v>8507</v>
      </c>
      <c r="L20" s="772" t="s">
        <v>8508</v>
      </c>
      <c r="M20" s="772" t="s">
        <v>8295</v>
      </c>
      <c r="N20" s="772" t="s">
        <v>8509</v>
      </c>
      <c r="O20" s="772" t="s">
        <v>8510</v>
      </c>
      <c r="P20" s="772" t="s">
        <v>8511</v>
      </c>
      <c r="Q20" s="1259"/>
      <c r="R20" s="772" t="s">
        <v>8411</v>
      </c>
      <c r="S20" s="113" t="s">
        <v>8512</v>
      </c>
      <c r="T20" s="1224"/>
      <c r="U20" s="1360" t="s">
        <v>8513</v>
      </c>
      <c r="V20" s="772" t="s">
        <v>8514</v>
      </c>
      <c r="W20" s="1268" t="s">
        <v>8515</v>
      </c>
      <c r="X20" s="772" t="s">
        <v>8516</v>
      </c>
      <c r="Y20" s="772" t="s">
        <v>248</v>
      </c>
      <c r="Z20" s="1224"/>
      <c r="AA20" s="1224"/>
      <c r="AB20" s="1259"/>
      <c r="AC20" s="1268" t="s">
        <v>8517</v>
      </c>
      <c r="AD20" s="772" t="s">
        <v>4156</v>
      </c>
      <c r="AE20" s="1224"/>
      <c r="AF20" s="1224"/>
      <c r="AG20" s="1224"/>
      <c r="AH20" s="1259"/>
      <c r="AI20" s="1259"/>
      <c r="AJ20" s="1259"/>
      <c r="AK20" s="1259"/>
      <c r="AL20" s="1224"/>
      <c r="AM20" s="772"/>
      <c r="AN20" s="1224"/>
      <c r="AO20" s="1224"/>
      <c r="AP20" s="772" t="s">
        <v>8308</v>
      </c>
      <c r="AQ20" s="772" t="s">
        <v>8518</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8519</v>
      </c>
      <c r="C21" s="1030" t="s">
        <v>1262</v>
      </c>
      <c r="D21" s="1031" t="s">
        <v>1262</v>
      </c>
      <c r="E21" s="1032" t="s">
        <v>1262</v>
      </c>
      <c r="F21" s="1033" t="s">
        <v>1262</v>
      </c>
      <c r="G21" s="1034" t="s">
        <v>3180</v>
      </c>
      <c r="H21" s="1332"/>
      <c r="I21" s="1332" t="s">
        <v>8520</v>
      </c>
      <c r="J21" s="772"/>
      <c r="K21" s="1268" t="s">
        <v>8521</v>
      </c>
      <c r="L21" s="772"/>
      <c r="M21" s="772"/>
      <c r="N21" s="772"/>
      <c r="O21" s="1268" t="s">
        <v>8522</v>
      </c>
      <c r="P21" s="772"/>
      <c r="Q21" s="1259"/>
      <c r="R21" s="1224"/>
      <c r="S21" s="1224"/>
      <c r="T21" s="772"/>
      <c r="U21" s="1268" t="s">
        <v>8523</v>
      </c>
      <c r="V21" s="1268"/>
      <c r="W21" s="1268" t="s">
        <v>2306</v>
      </c>
      <c r="X21" s="772"/>
      <c r="Y21" s="1268" t="s">
        <v>3256</v>
      </c>
      <c r="Z21" s="772"/>
      <c r="AA21" s="772"/>
      <c r="AB21" s="1268"/>
      <c r="AC21" s="1268" t="s">
        <v>8524</v>
      </c>
      <c r="AD21" s="1268" t="s">
        <v>4889</v>
      </c>
      <c r="AE21" s="772"/>
      <c r="AF21" s="772"/>
      <c r="AG21" s="772"/>
      <c r="AH21" s="1259"/>
      <c r="AI21" s="1259"/>
      <c r="AJ21" s="1259"/>
      <c r="AK21" s="1259"/>
      <c r="AL21" s="1224"/>
      <c r="AM21" s="1268" t="s">
        <v>8439</v>
      </c>
      <c r="AN21" s="1224"/>
      <c r="AO21" s="1224"/>
      <c r="AP21" s="1268" t="s">
        <v>8525</v>
      </c>
      <c r="AQ21" s="772"/>
      <c r="AR21" s="1268" t="s">
        <v>8526</v>
      </c>
      <c r="AS21" s="772"/>
      <c r="AT21" s="1268" t="s">
        <v>8527</v>
      </c>
      <c r="AU21" s="1268" t="s">
        <v>8528</v>
      </c>
      <c r="AV21" s="772"/>
      <c r="AW21" s="772"/>
      <c r="AX21" s="1224"/>
      <c r="AY21" s="1224"/>
      <c r="AZ21" s="1268" t="s">
        <v>5113</v>
      </c>
      <c r="BA21" s="772"/>
      <c r="BB21" s="1268" t="s">
        <v>8264</v>
      </c>
      <c r="BC21" s="1268" t="s">
        <v>8422</v>
      </c>
      <c r="BD21" s="1268" t="s">
        <v>8405</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8033</v>
      </c>
      <c r="B22" s="1034" t="s">
        <v>8529</v>
      </c>
      <c r="C22" s="1030" t="s">
        <v>1262</v>
      </c>
      <c r="D22" s="1031" t="s">
        <v>1262</v>
      </c>
      <c r="E22" s="1032" t="s">
        <v>547</v>
      </c>
      <c r="F22" s="1033" t="s">
        <v>438</v>
      </c>
      <c r="G22" s="1034" t="s">
        <v>3180</v>
      </c>
      <c r="H22" s="1332" t="s">
        <v>8530</v>
      </c>
      <c r="I22" s="1332"/>
      <c r="J22" s="1224"/>
      <c r="K22" s="1268" t="s">
        <v>8531</v>
      </c>
      <c r="L22" s="772"/>
      <c r="M22" s="1224"/>
      <c r="N22" s="1224"/>
      <c r="O22" s="1224"/>
      <c r="P22" s="1224"/>
      <c r="Q22" s="1268" t="s">
        <v>8532</v>
      </c>
      <c r="R22" s="1268" t="s">
        <v>8533</v>
      </c>
      <c r="S22" s="1224"/>
      <c r="T22" s="1268" t="s">
        <v>8534</v>
      </c>
      <c r="U22" s="1362" t="s">
        <v>8535</v>
      </c>
      <c r="V22" s="1362"/>
      <c r="W22" s="1268" t="s">
        <v>369</v>
      </c>
      <c r="X22" s="772"/>
      <c r="Y22" s="1268" t="s">
        <v>5141</v>
      </c>
      <c r="Z22" s="1224"/>
      <c r="AA22" s="1224"/>
      <c r="AB22" s="1259"/>
      <c r="AC22" s="1268" t="s">
        <v>8536</v>
      </c>
      <c r="AD22" s="1268" t="s">
        <v>4097</v>
      </c>
      <c r="AE22" s="1255"/>
      <c r="AF22" s="738" t="s">
        <v>724</v>
      </c>
      <c r="AG22" s="1255"/>
      <c r="AH22" s="1268" t="s">
        <v>3269</v>
      </c>
      <c r="AI22" s="1268" t="s">
        <v>5505</v>
      </c>
      <c r="AJ22" s="1259"/>
      <c r="AK22" s="1259"/>
      <c r="AL22" s="1224"/>
      <c r="AM22" s="1224"/>
      <c r="AN22" s="1224"/>
      <c r="AO22" s="1224"/>
      <c r="AP22" s="1224"/>
      <c r="AQ22" s="1224"/>
      <c r="AR22" s="1224"/>
      <c r="AS22" s="1224"/>
      <c r="AT22" s="1224"/>
      <c r="AU22" s="1224"/>
      <c r="AV22" s="1224"/>
      <c r="AW22" s="1224"/>
      <c r="AX22" s="772"/>
      <c r="AY22" s="1268" t="s">
        <v>8404</v>
      </c>
      <c r="AZ22" s="1224"/>
      <c r="BA22" s="1224"/>
      <c r="BB22" s="1268" t="s">
        <v>8428</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5394</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8537</v>
      </c>
      <c r="CU22" s="1255"/>
    </row>
    <row r="23">
      <c r="A23" s="1365" t="s">
        <v>8024</v>
      </c>
      <c r="B23" s="1034" t="s">
        <v>8538</v>
      </c>
      <c r="C23" s="1030" t="s">
        <v>1262</v>
      </c>
      <c r="D23" s="1031" t="s">
        <v>1262</v>
      </c>
      <c r="E23" s="1032" t="s">
        <v>1262</v>
      </c>
      <c r="F23" s="1033" t="s">
        <v>1262</v>
      </c>
      <c r="G23" s="1034" t="s">
        <v>2721</v>
      </c>
      <c r="H23" s="1332"/>
      <c r="I23" s="1332" t="s">
        <v>8539</v>
      </c>
      <c r="J23" s="772"/>
      <c r="K23" s="772" t="s">
        <v>8540</v>
      </c>
      <c r="L23" s="772"/>
      <c r="M23" s="1224"/>
      <c r="N23" s="1259" t="s">
        <v>8541</v>
      </c>
      <c r="O23" s="1224"/>
      <c r="P23" s="1224"/>
      <c r="Q23" s="1259"/>
      <c r="R23" s="1268" t="s">
        <v>8542</v>
      </c>
      <c r="S23" s="1224"/>
      <c r="T23" s="1268" t="s">
        <v>8543</v>
      </c>
      <c r="U23" s="1268" t="s">
        <v>8544</v>
      </c>
      <c r="V23" s="1268"/>
      <c r="W23" s="1268" t="s">
        <v>2955</v>
      </c>
      <c r="X23" s="772"/>
      <c r="Y23" s="1268" t="s">
        <v>1017</v>
      </c>
      <c r="Z23" s="1259" t="s">
        <v>8545</v>
      </c>
      <c r="AA23" s="1224"/>
      <c r="AB23" s="1259"/>
      <c r="AC23" s="772"/>
      <c r="AD23" s="1268" t="s">
        <v>1915</v>
      </c>
      <c r="AE23" s="772"/>
      <c r="AF23" s="772"/>
      <c r="AG23" s="772"/>
      <c r="AH23" s="1268"/>
      <c r="AI23" s="1259" t="s">
        <v>8546</v>
      </c>
      <c r="AJ23" s="1259"/>
      <c r="AK23" s="1259"/>
      <c r="AL23" s="1224"/>
      <c r="AM23" s="1259" t="s">
        <v>8547</v>
      </c>
      <c r="AN23" s="1224"/>
      <c r="AO23" s="1224"/>
      <c r="AP23" s="772" t="s">
        <v>8548</v>
      </c>
      <c r="AQ23" s="1224"/>
      <c r="AR23" s="1259" t="s">
        <v>8549</v>
      </c>
      <c r="AS23" s="1224"/>
      <c r="AT23" s="1259" t="s">
        <v>8550</v>
      </c>
      <c r="AU23" s="772" t="s">
        <v>8551</v>
      </c>
      <c r="AV23" s="772"/>
      <c r="AW23" s="772" t="s">
        <v>8439</v>
      </c>
      <c r="AX23" s="1224"/>
      <c r="AY23" s="1259" t="s">
        <v>8443</v>
      </c>
      <c r="AZ23" s="772"/>
      <c r="BA23" s="772"/>
      <c r="BB23" s="1259" t="s">
        <v>8552</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5279</v>
      </c>
      <c r="B24" s="1034" t="s">
        <v>8553</v>
      </c>
      <c r="C24" s="1030" t="s">
        <v>1262</v>
      </c>
      <c r="D24" s="1031" t="s">
        <v>547</v>
      </c>
      <c r="E24" s="1032" t="s">
        <v>438</v>
      </c>
      <c r="F24" s="1033" t="s">
        <v>439</v>
      </c>
      <c r="G24" s="1034" t="s">
        <v>5113</v>
      </c>
      <c r="H24" s="1339" t="s">
        <v>8554</v>
      </c>
      <c r="I24" s="1339" t="s">
        <v>5285</v>
      </c>
      <c r="J24" s="1255"/>
      <c r="K24" s="1268" t="s">
        <v>8555</v>
      </c>
      <c r="L24" s="772"/>
      <c r="M24" s="772"/>
      <c r="N24" s="1268" t="s">
        <v>8556</v>
      </c>
      <c r="O24" s="1268" t="s">
        <v>8557</v>
      </c>
      <c r="P24" s="1268" t="s">
        <v>8558</v>
      </c>
      <c r="Q24" s="1268" t="s">
        <v>8559</v>
      </c>
      <c r="R24" s="1268" t="s">
        <v>8560</v>
      </c>
      <c r="S24" s="1268" t="s">
        <v>5305</v>
      </c>
      <c r="T24" s="1268" t="s">
        <v>8561</v>
      </c>
      <c r="U24" s="1268" t="s">
        <v>8562</v>
      </c>
      <c r="V24" s="1268"/>
      <c r="W24" s="1268" t="s">
        <v>6052</v>
      </c>
      <c r="X24" s="772"/>
      <c r="Y24" s="1224"/>
      <c r="Z24" s="1224"/>
      <c r="AA24" s="1224"/>
      <c r="AB24" s="1259"/>
      <c r="AC24" s="1268" t="s">
        <v>8563</v>
      </c>
      <c r="AD24" s="1268" t="s">
        <v>5787</v>
      </c>
      <c r="AE24" s="772"/>
      <c r="AF24" s="1268" t="s">
        <v>7637</v>
      </c>
      <c r="AG24" s="772"/>
      <c r="AH24" s="1268" t="s">
        <v>3316</v>
      </c>
      <c r="AI24" s="1268"/>
      <c r="AJ24" s="1268"/>
      <c r="AK24" s="1259"/>
      <c r="AL24" s="1224"/>
      <c r="AM24" s="1268" t="s">
        <v>8564</v>
      </c>
      <c r="AN24" s="1268" t="s">
        <v>8415</v>
      </c>
      <c r="AO24" s="1268" t="s">
        <v>8330</v>
      </c>
      <c r="AP24" s="1268" t="s">
        <v>8565</v>
      </c>
      <c r="AQ24" s="772"/>
      <c r="AR24" s="1268" t="s">
        <v>8480</v>
      </c>
      <c r="AS24" s="772"/>
      <c r="AT24" s="1268" t="s">
        <v>8566</v>
      </c>
      <c r="AU24" s="1268" t="s">
        <v>8567</v>
      </c>
      <c r="AV24" s="772"/>
      <c r="AW24" s="1268" t="s">
        <v>8427</v>
      </c>
      <c r="AX24" s="772"/>
      <c r="AY24" s="1268" t="s">
        <v>8468</v>
      </c>
      <c r="AZ24" s="1224"/>
      <c r="BA24" s="1224"/>
      <c r="BB24" s="1268" t="s">
        <v>8395</v>
      </c>
      <c r="BC24" s="772" t="s">
        <v>8468</v>
      </c>
      <c r="BD24" s="1268" t="s">
        <v>8482</v>
      </c>
      <c r="BE24" s="1268"/>
      <c r="BF24" s="772"/>
      <c r="BG24" s="1367" t="s">
        <v>8568</v>
      </c>
      <c r="BH24" s="1368" t="s">
        <v>8569</v>
      </c>
      <c r="BI24" s="1172"/>
      <c r="BJ24" s="1172"/>
      <c r="BK24" s="1172"/>
      <c r="BL24" s="1172" t="s">
        <v>8570</v>
      </c>
      <c r="BM24" s="1172" t="s">
        <v>8571</v>
      </c>
      <c r="BN24" s="1172"/>
      <c r="BO24" s="1172"/>
      <c r="BP24" s="1172"/>
      <c r="BQ24" s="1259"/>
      <c r="BR24" s="1369" t="s">
        <v>8572</v>
      </c>
      <c r="BS24" s="1259"/>
      <c r="BT24" s="1259"/>
      <c r="BU24" s="1259"/>
      <c r="BV24" s="1370" t="s">
        <v>162</v>
      </c>
      <c r="BW24" s="1268" t="s">
        <v>1787</v>
      </c>
      <c r="BX24" s="1268" t="s">
        <v>1638</v>
      </c>
      <c r="BY24" s="1265" t="s">
        <v>4933</v>
      </c>
      <c r="BZ24" s="1268" t="s">
        <v>2215</v>
      </c>
      <c r="CA24" s="1268" t="s">
        <v>5433</v>
      </c>
      <c r="CB24" s="1268" t="s">
        <v>2131</v>
      </c>
      <c r="CC24" s="1268" t="s">
        <v>8573</v>
      </c>
      <c r="CD24" s="1268"/>
      <c r="CE24" s="1330" t="s">
        <v>8502</v>
      </c>
      <c r="CF24" s="1330" t="s">
        <v>8205</v>
      </c>
      <c r="CG24" s="1330" t="s">
        <v>8574</v>
      </c>
      <c r="CH24" s="1330"/>
      <c r="CI24" s="1317"/>
      <c r="CJ24" s="1317"/>
      <c r="CK24" s="1328"/>
      <c r="CL24" s="1328"/>
      <c r="CM24" s="1328"/>
      <c r="CN24" s="1317"/>
      <c r="CO24" s="1328"/>
      <c r="CP24" s="1328"/>
      <c r="CQ24" s="1328"/>
      <c r="CR24" s="1328"/>
      <c r="CS24" s="1328"/>
      <c r="CT24" s="738" t="s">
        <v>4885</v>
      </c>
      <c r="CU24" s="1255"/>
    </row>
    <row r="25">
      <c r="A25" s="1324" t="s">
        <v>6599</v>
      </c>
      <c r="B25" s="1034" t="s">
        <v>8575</v>
      </c>
      <c r="C25" s="1030" t="s">
        <v>1262</v>
      </c>
      <c r="D25" s="1031" t="s">
        <v>547</v>
      </c>
      <c r="E25" s="1032" t="s">
        <v>1262</v>
      </c>
      <c r="F25" s="1033" t="s">
        <v>440</v>
      </c>
      <c r="G25" s="1034" t="s">
        <v>3364</v>
      </c>
      <c r="H25" s="1332"/>
      <c r="I25" s="1332" t="s">
        <v>8576</v>
      </c>
      <c r="J25" s="772"/>
      <c r="K25" s="772" t="s">
        <v>8577</v>
      </c>
      <c r="L25" s="1266" t="s">
        <v>3693</v>
      </c>
      <c r="M25" s="1224"/>
      <c r="N25" s="1224"/>
      <c r="O25" s="1224"/>
      <c r="P25" s="772" t="s">
        <v>5813</v>
      </c>
      <c r="Q25" s="1259"/>
      <c r="R25" s="738" t="s">
        <v>8578</v>
      </c>
      <c r="S25" s="1224"/>
      <c r="T25" s="1224"/>
      <c r="U25" s="772" t="s">
        <v>753</v>
      </c>
      <c r="V25" s="1268"/>
      <c r="W25" s="1268" t="s">
        <v>4299</v>
      </c>
      <c r="X25" s="772" t="s">
        <v>3657</v>
      </c>
      <c r="Y25" s="738" t="s">
        <v>5850</v>
      </c>
      <c r="Z25" s="1224"/>
      <c r="AA25" s="1224"/>
      <c r="AB25" s="1259"/>
      <c r="AC25" s="1268" t="s">
        <v>8579</v>
      </c>
      <c r="AD25" s="1268" t="s">
        <v>5618</v>
      </c>
      <c r="AE25" s="772"/>
      <c r="AF25" s="1268" t="s">
        <v>8580</v>
      </c>
      <c r="AG25" s="772"/>
      <c r="AH25" s="1268" t="s">
        <v>8581</v>
      </c>
      <c r="AI25" s="1259"/>
      <c r="AJ25" s="1259"/>
      <c r="AK25" s="1273" t="s">
        <v>3739</v>
      </c>
      <c r="AL25" s="1320"/>
      <c r="AM25" s="1224"/>
      <c r="AN25" s="1224"/>
      <c r="AO25" s="1224"/>
      <c r="AP25" s="1224"/>
      <c r="AQ25" s="1224"/>
      <c r="AR25" s="1268" t="s">
        <v>8582</v>
      </c>
      <c r="AS25" s="772"/>
      <c r="AT25" s="1224"/>
      <c r="AU25" s="1224"/>
      <c r="AV25" s="1224"/>
      <c r="AW25" s="1268" t="s">
        <v>8240</v>
      </c>
      <c r="AX25" s="1224"/>
      <c r="AY25" s="1224"/>
      <c r="AZ25" s="1224"/>
      <c r="BA25" s="1224"/>
      <c r="BB25" s="1268" t="s">
        <v>8315</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4658</v>
      </c>
      <c r="CP25" s="1259"/>
      <c r="CQ25" s="1259"/>
      <c r="CR25" s="1259"/>
      <c r="CS25" s="1259"/>
      <c r="CT25" s="1259"/>
      <c r="CU25" s="1224"/>
    </row>
    <row r="26">
      <c r="A26" s="1357" t="s">
        <v>4656</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8414</v>
      </c>
      <c r="Z26" s="1224"/>
      <c r="AA26" s="1224"/>
      <c r="AB26" s="1259"/>
      <c r="AC26" s="1260" t="s">
        <v>4700</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8583</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8035</v>
      </c>
      <c r="B27" s="1034" t="s">
        <v>8584</v>
      </c>
      <c r="C27" s="1030" t="s">
        <v>1262</v>
      </c>
      <c r="D27" s="1031" t="s">
        <v>1262</v>
      </c>
      <c r="E27" s="1032" t="s">
        <v>547</v>
      </c>
      <c r="F27" s="1033" t="s">
        <v>438</v>
      </c>
      <c r="G27" s="1034" t="s">
        <v>830</v>
      </c>
      <c r="H27" s="1332"/>
      <c r="I27" s="1332" t="s">
        <v>8585</v>
      </c>
      <c r="J27" s="1224"/>
      <c r="K27" s="772" t="s">
        <v>8586</v>
      </c>
      <c r="L27" s="1224"/>
      <c r="M27" s="1224"/>
      <c r="N27" s="1224"/>
      <c r="O27" s="1224"/>
      <c r="P27" s="772" t="s">
        <v>8587</v>
      </c>
      <c r="Q27" s="1259"/>
      <c r="R27" s="1224"/>
      <c r="S27" s="1224"/>
      <c r="T27" s="1224"/>
      <c r="U27" s="719" t="s">
        <v>8588</v>
      </c>
      <c r="V27" s="1259"/>
      <c r="W27" s="1224"/>
      <c r="X27" s="772" t="s">
        <v>6802</v>
      </c>
      <c r="Y27" s="738" t="s">
        <v>5801</v>
      </c>
      <c r="Z27" s="1224"/>
      <c r="AA27" s="772" t="s">
        <v>8589</v>
      </c>
      <c r="AB27" s="1259"/>
      <c r="AC27" s="772" t="s">
        <v>8590</v>
      </c>
      <c r="AD27" s="772" t="s">
        <v>102</v>
      </c>
      <c r="AE27" s="1265" t="s">
        <v>5092</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8591</v>
      </c>
      <c r="C28" s="1030" t="s">
        <v>547</v>
      </c>
      <c r="D28" s="1031" t="s">
        <v>1262</v>
      </c>
      <c r="E28" s="1032" t="s">
        <v>547</v>
      </c>
      <c r="F28" s="1033" t="s">
        <v>332</v>
      </c>
      <c r="G28" s="1034" t="s">
        <v>2721</v>
      </c>
      <c r="H28" s="1332"/>
      <c r="I28" s="1309" t="s">
        <v>8592</v>
      </c>
      <c r="J28" s="1224"/>
      <c r="K28" s="772" t="s">
        <v>8593</v>
      </c>
      <c r="L28" s="1224"/>
      <c r="M28" s="1265" t="s">
        <v>8594</v>
      </c>
      <c r="N28" s="1224"/>
      <c r="O28" s="1224"/>
      <c r="P28" s="1268" t="s">
        <v>5949</v>
      </c>
      <c r="Q28" s="1259"/>
      <c r="R28" s="1224"/>
      <c r="S28" s="772" t="s">
        <v>8595</v>
      </c>
      <c r="T28" s="772"/>
      <c r="U28" s="1268" t="s">
        <v>3682</v>
      </c>
      <c r="V28" s="1259"/>
      <c r="W28" s="1224"/>
      <c r="X28" s="772" t="s">
        <v>8596</v>
      </c>
      <c r="Y28" s="772" t="s">
        <v>5048</v>
      </c>
      <c r="Z28" s="1224"/>
      <c r="AA28" s="772" t="s">
        <v>8597</v>
      </c>
      <c r="AB28" s="1259"/>
      <c r="AC28" s="772" t="s">
        <v>8598</v>
      </c>
      <c r="AD28" s="772" t="s">
        <v>5237</v>
      </c>
      <c r="AE28" s="772" t="s">
        <v>8599</v>
      </c>
      <c r="AF28" s="772" t="s">
        <v>7912</v>
      </c>
      <c r="AG28" s="1224"/>
      <c r="AH28" s="1259"/>
      <c r="AI28" s="1259"/>
      <c r="AJ28" s="1259"/>
      <c r="AK28" s="1259"/>
      <c r="AL28" s="1224"/>
      <c r="AM28" s="1224"/>
      <c r="AN28" s="772" t="s">
        <v>8600</v>
      </c>
      <c r="AO28" s="1268" t="s">
        <v>8601</v>
      </c>
      <c r="AP28" s="1224"/>
      <c r="AQ28" s="772" t="s">
        <v>8329</v>
      </c>
      <c r="AR28" s="1224"/>
      <c r="AS28" s="1224"/>
      <c r="AT28" s="1224"/>
      <c r="AU28" s="772" t="s">
        <v>8551</v>
      </c>
      <c r="AV28" s="1224"/>
      <c r="AW28" s="1224"/>
      <c r="AX28" s="1224"/>
      <c r="AY28" s="1224"/>
      <c r="AZ28" s="1224"/>
      <c r="BA28" s="1224"/>
      <c r="BB28" s="1224"/>
      <c r="BC28" s="1224"/>
      <c r="BD28" s="1224"/>
      <c r="BE28" s="1259"/>
      <c r="BF28" s="1224"/>
      <c r="BG28" s="1336"/>
      <c r="BH28" s="1336"/>
      <c r="BI28" s="1336"/>
      <c r="BJ28" s="1336"/>
      <c r="BK28" s="1336"/>
      <c r="BL28" s="1373" t="s">
        <v>8602</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4729</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5412</v>
      </c>
      <c r="Z29" s="1224"/>
      <c r="AA29" s="1224"/>
      <c r="AB29" s="1259"/>
      <c r="AC29" s="1224"/>
      <c r="AD29" s="1224"/>
      <c r="AE29" s="1255"/>
      <c r="AF29" s="1266" t="s">
        <v>5685</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5764</v>
      </c>
      <c r="C30" s="1030" t="s">
        <v>1262</v>
      </c>
      <c r="D30" s="1031" t="s">
        <v>1262</v>
      </c>
      <c r="E30" s="1032" t="s">
        <v>1262</v>
      </c>
      <c r="F30" s="1033" t="s">
        <v>438</v>
      </c>
      <c r="G30" s="1034" t="s">
        <v>332</v>
      </c>
      <c r="H30" s="1332"/>
      <c r="I30" s="1332"/>
      <c r="J30" s="92"/>
      <c r="K30" s="92"/>
      <c r="L30" s="92"/>
      <c r="M30" s="92"/>
      <c r="N30" s="92"/>
      <c r="O30" s="92"/>
      <c r="P30" s="92"/>
      <c r="Q30" s="96"/>
      <c r="R30" s="113" t="s">
        <v>8603</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8604</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4916</v>
      </c>
      <c r="B31" s="1034" t="s">
        <v>4759</v>
      </c>
      <c r="C31" s="1030" t="s">
        <v>1262</v>
      </c>
      <c r="D31" s="1031" t="s">
        <v>1262</v>
      </c>
      <c r="E31" s="1032" t="s">
        <v>1262</v>
      </c>
      <c r="F31" s="1033" t="s">
        <v>1262</v>
      </c>
      <c r="G31" s="1034" t="s">
        <v>333</v>
      </c>
      <c r="H31" s="1332"/>
      <c r="I31" s="1332" t="s">
        <v>6672</v>
      </c>
      <c r="J31" s="1224"/>
      <c r="K31" s="772" t="s">
        <v>8605</v>
      </c>
      <c r="L31" s="1224"/>
      <c r="M31" s="1224"/>
      <c r="N31" s="1224"/>
      <c r="O31" s="1224"/>
      <c r="P31" s="772" t="s">
        <v>8606</v>
      </c>
      <c r="Q31" s="1259"/>
      <c r="R31" s="1224"/>
      <c r="S31" s="1224"/>
      <c r="T31" s="772" t="s">
        <v>8607</v>
      </c>
      <c r="U31" s="772" t="s">
        <v>8608</v>
      </c>
      <c r="V31" s="1259"/>
      <c r="W31" s="772" t="s">
        <v>249</v>
      </c>
      <c r="X31" s="772" t="s">
        <v>8609</v>
      </c>
      <c r="Y31" s="772" t="s">
        <v>366</v>
      </c>
      <c r="Z31" s="1224"/>
      <c r="AA31" s="1224"/>
      <c r="AB31" s="1259"/>
      <c r="AC31" s="1224"/>
      <c r="AD31" s="1224"/>
      <c r="AE31" s="1224"/>
      <c r="AF31" s="1224"/>
      <c r="AG31" s="1224"/>
      <c r="AH31" s="1259"/>
      <c r="AI31" s="1259"/>
      <c r="AJ31" s="1259"/>
      <c r="AK31" s="1259"/>
      <c r="AL31" s="1224"/>
      <c r="AM31" s="1224"/>
      <c r="AN31" s="1224"/>
      <c r="AO31" s="1224"/>
      <c r="AP31" s="719" t="s">
        <v>8305</v>
      </c>
      <c r="AQ31" s="719"/>
      <c r="AR31" s="1224"/>
      <c r="AS31" s="772" t="s">
        <v>8481</v>
      </c>
      <c r="AT31" s="1224"/>
      <c r="AU31" s="772" t="s">
        <v>8582</v>
      </c>
      <c r="AV31" s="1224"/>
      <c r="AW31" s="1224"/>
      <c r="AX31" s="1224"/>
      <c r="AY31" s="1224"/>
      <c r="AZ31" s="772" t="s">
        <v>2375</v>
      </c>
      <c r="BA31" s="1224"/>
      <c r="BB31" s="719" t="s">
        <v>8610</v>
      </c>
      <c r="BC31" s="772" t="s">
        <v>8232</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4521</v>
      </c>
      <c r="B32" s="1034" t="s">
        <v>5113</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8611</v>
      </c>
      <c r="AD32" s="772" t="s">
        <v>2125</v>
      </c>
      <c r="AE32" s="772"/>
      <c r="AF32" s="1268" t="s">
        <v>7816</v>
      </c>
      <c r="AG32" s="772"/>
      <c r="AH32" s="1268" t="s">
        <v>4434</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8415</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4091</v>
      </c>
      <c r="BY32" s="1268" t="s">
        <v>4460</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4611</v>
      </c>
      <c r="C33" s="1030" t="s">
        <v>1262</v>
      </c>
      <c r="D33" s="1031" t="s">
        <v>1262</v>
      </c>
      <c r="E33" s="1032" t="s">
        <v>547</v>
      </c>
      <c r="F33" s="1033" t="s">
        <v>332</v>
      </c>
      <c r="G33" s="1034" t="s">
        <v>830</v>
      </c>
      <c r="H33" s="1332" t="s">
        <v>8612</v>
      </c>
      <c r="I33" s="1332"/>
      <c r="J33" s="1224"/>
      <c r="K33" s="1224"/>
      <c r="L33" s="1224"/>
      <c r="M33" s="1224"/>
      <c r="N33" s="1224"/>
      <c r="O33" s="1224"/>
      <c r="P33" s="1224"/>
      <c r="Q33" s="1259"/>
      <c r="R33" s="1224"/>
      <c r="S33" s="1224"/>
      <c r="T33" s="738" t="s">
        <v>8613</v>
      </c>
      <c r="U33" s="772" t="s">
        <v>8614</v>
      </c>
      <c r="V33" s="772" t="s">
        <v>8615</v>
      </c>
      <c r="W33" s="1224"/>
      <c r="X33" s="772" t="s">
        <v>8616</v>
      </c>
      <c r="Y33" s="772" t="s">
        <v>8617</v>
      </c>
      <c r="Z33" s="1224"/>
      <c r="AA33" s="1224"/>
      <c r="AB33" s="1259"/>
      <c r="AC33" s="738" t="s">
        <v>1660</v>
      </c>
      <c r="AD33" s="772" t="s">
        <v>5453</v>
      </c>
      <c r="AE33" s="1224"/>
      <c r="AF33" s="1224"/>
      <c r="AG33" s="1224"/>
      <c r="AH33" s="1259"/>
      <c r="AI33" s="1259"/>
      <c r="AJ33" s="1259"/>
      <c r="AK33" s="1259"/>
      <c r="AL33" s="1224"/>
      <c r="AM33" s="772" t="s">
        <v>8618</v>
      </c>
      <c r="AN33" s="1224"/>
      <c r="AO33" s="1224"/>
      <c r="AP33" s="772" t="s">
        <v>8287</v>
      </c>
      <c r="AQ33" s="1224"/>
      <c r="AR33" s="1224"/>
      <c r="AS33" s="1224"/>
      <c r="AT33" s="1224"/>
      <c r="AU33" s="772" t="s">
        <v>8374</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8619</v>
      </c>
      <c r="CF33" s="1224"/>
      <c r="CG33" s="1259"/>
      <c r="CH33" s="1259"/>
      <c r="CI33" s="1224"/>
      <c r="CJ33" s="1224"/>
      <c r="CK33" s="1259"/>
      <c r="CL33" s="1259"/>
      <c r="CM33" s="1259"/>
      <c r="CN33" s="1224"/>
      <c r="CO33" s="1259"/>
      <c r="CP33" s="1259"/>
      <c r="CQ33" s="1259"/>
      <c r="CR33" s="1259"/>
      <c r="CS33" s="1259"/>
      <c r="CT33" s="1259"/>
      <c r="CU33" s="1224"/>
    </row>
    <row r="34">
      <c r="A34" s="1307" t="s">
        <v>8620</v>
      </c>
      <c r="B34" s="1034" t="s">
        <v>5549</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8621</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8622</v>
      </c>
      <c r="P35" s="1260" t="s">
        <v>8623</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8007</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5506</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4632</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8624</v>
      </c>
      <c r="S40" s="1224"/>
      <c r="T40" s="1224"/>
      <c r="U40" s="772" t="s">
        <v>8625</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8626</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8255</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8627</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8628</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8258</v>
      </c>
      <c r="AV43" s="772"/>
      <c r="AW43" s="1224"/>
      <c r="AX43" s="1224"/>
      <c r="AY43" s="1224"/>
      <c r="AZ43" s="1224"/>
      <c r="BA43" s="1224"/>
      <c r="BB43" s="1224"/>
      <c r="BC43" s="772" t="s">
        <v>8372</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5111</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5047</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8629</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8630</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4114</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8631</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8632</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4299</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8633</v>
      </c>
      <c r="S50" s="1224"/>
      <c r="T50" s="1224"/>
      <c r="U50" s="738" t="s">
        <v>8634</v>
      </c>
      <c r="V50" s="1259"/>
      <c r="W50" s="772" t="s">
        <v>8635</v>
      </c>
      <c r="X50" s="772" t="s">
        <v>8635</v>
      </c>
      <c r="Y50" s="1224"/>
      <c r="Z50" s="1224"/>
      <c r="AA50" s="1224"/>
      <c r="AB50" s="1259"/>
      <c r="AC50" s="1224"/>
      <c r="AD50" s="1224"/>
      <c r="AE50" s="1224"/>
      <c r="AF50" s="1224"/>
      <c r="AG50" s="1224"/>
      <c r="AH50" s="1259"/>
      <c r="AI50" s="1259"/>
      <c r="AJ50" s="1259"/>
      <c r="AK50" s="1259"/>
      <c r="AL50" s="1224"/>
      <c r="AM50" s="1224"/>
      <c r="AN50" s="1224"/>
      <c r="AO50" s="1224"/>
      <c r="AP50" s="772" t="s">
        <v>8636</v>
      </c>
      <c r="AQ50" s="738" t="s">
        <v>8637</v>
      </c>
      <c r="AR50" s="738" t="s">
        <v>8638</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8639</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8314</v>
      </c>
      <c r="CF51" s="1224"/>
      <c r="CG51" s="1259"/>
      <c r="CH51" s="1259"/>
      <c r="CI51" s="1224"/>
      <c r="CJ51" s="772" t="s">
        <v>8207</v>
      </c>
      <c r="CK51" s="1259"/>
      <c r="CL51" s="1259"/>
      <c r="CM51" s="1259"/>
      <c r="CN51" s="1224"/>
      <c r="CO51" s="1259"/>
      <c r="CP51" s="1259"/>
      <c r="CQ51" s="1259"/>
      <c r="CR51" s="1259"/>
      <c r="CS51" s="1259"/>
      <c r="CT51" s="1259"/>
      <c r="CU51" s="1224"/>
    </row>
    <row r="52">
      <c r="A52" s="1307" t="s">
        <v>8640</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4157</v>
      </c>
      <c r="CU52" s="1255"/>
    </row>
    <row r="53">
      <c r="A53" s="1357" t="s">
        <v>8641</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8193</v>
      </c>
      <c r="BD54" s="1268" t="s">
        <v>8582</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8642</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8643</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8644</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8366</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8645</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8646</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5806</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8647</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8648</v>
      </c>
      <c r="C1" s="1392" t="s">
        <v>8649</v>
      </c>
      <c r="D1" s="1393" t="s">
        <v>8650</v>
      </c>
      <c r="E1" s="1393" t="s">
        <v>8088</v>
      </c>
      <c r="F1" s="1393" t="s">
        <v>8089</v>
      </c>
      <c r="G1" s="1393" t="s">
        <v>8651</v>
      </c>
      <c r="H1" s="1394" t="s">
        <v>8652</v>
      </c>
      <c r="I1" s="1394" t="s">
        <v>8653</v>
      </c>
      <c r="J1" s="1395" t="s">
        <v>8100</v>
      </c>
      <c r="K1" s="1395" t="s">
        <v>8654</v>
      </c>
      <c r="L1" s="1395" t="s">
        <v>8655</v>
      </c>
      <c r="M1" s="1395" t="s">
        <v>8656</v>
      </c>
      <c r="N1" s="1395" t="s">
        <v>8163</v>
      </c>
      <c r="O1" s="1395" t="s">
        <v>8657</v>
      </c>
      <c r="P1" s="1395" t="s">
        <v>8658</v>
      </c>
      <c r="Q1" s="1396" t="s">
        <v>8659</v>
      </c>
      <c r="R1" s="1396" t="s">
        <v>8096</v>
      </c>
      <c r="S1" s="1396" t="s">
        <v>8660</v>
      </c>
      <c r="T1" s="1396" t="s">
        <v>8661</v>
      </c>
      <c r="U1" s="1396" t="s">
        <v>8662</v>
      </c>
      <c r="V1" s="1396" t="s">
        <v>8663</v>
      </c>
      <c r="W1" s="1397" t="s">
        <v>8090</v>
      </c>
      <c r="X1" s="1397" t="s">
        <v>8091</v>
      </c>
      <c r="Y1" s="1397" t="s">
        <v>8664</v>
      </c>
      <c r="Z1" s="1397" t="s">
        <v>8665</v>
      </c>
      <c r="AA1" s="1397" t="s">
        <v>8093</v>
      </c>
      <c r="AB1" s="1397" t="s">
        <v>8666</v>
      </c>
      <c r="AC1" s="1397" t="s">
        <v>8667</v>
      </c>
      <c r="AD1" s="1393" t="s">
        <v>8668</v>
      </c>
      <c r="AE1" s="1393" t="s">
        <v>8669</v>
      </c>
      <c r="AF1" s="1398" t="s">
        <v>8097</v>
      </c>
      <c r="AG1" s="1398" t="s">
        <v>8670</v>
      </c>
      <c r="AH1" s="1398" t="s">
        <v>8671</v>
      </c>
      <c r="AI1" s="1398" t="s">
        <v>8098</v>
      </c>
      <c r="AJ1" s="1398" t="s">
        <v>8672</v>
      </c>
      <c r="AK1" s="1398" t="s">
        <v>8673</v>
      </c>
      <c r="AL1" s="1398" t="s">
        <v>8674</v>
      </c>
      <c r="AM1" s="1399" t="s">
        <v>8099</v>
      </c>
      <c r="AN1" s="1399" t="s">
        <v>8675</v>
      </c>
      <c r="AO1" s="1399" t="s">
        <v>8676</v>
      </c>
      <c r="AP1" s="1399" t="s">
        <v>8677</v>
      </c>
      <c r="AQ1" s="1399" t="s">
        <v>8678</v>
      </c>
      <c r="AR1" s="1399" t="s">
        <v>8679</v>
      </c>
      <c r="AS1" s="1399" t="s">
        <v>8680</v>
      </c>
      <c r="AT1" s="1400" t="s">
        <v>8681</v>
      </c>
      <c r="AU1" s="1401" t="s">
        <v>8682</v>
      </c>
      <c r="AV1" s="1402" t="s">
        <v>8683</v>
      </c>
      <c r="AW1" s="1403" t="s">
        <v>8684</v>
      </c>
    </row>
    <row r="2" ht="15.75" customHeight="1">
      <c r="A2" s="1404" t="s">
        <v>8685</v>
      </c>
      <c r="B2" s="1405" t="s">
        <v>8686</v>
      </c>
      <c r="C2" s="1406">
        <v>0.04886793981481481</v>
      </c>
      <c r="D2" s="1407" t="s">
        <v>8687</v>
      </c>
      <c r="E2" s="1407" t="s">
        <v>8688</v>
      </c>
      <c r="F2" s="1408" t="s">
        <v>8689</v>
      </c>
      <c r="G2" s="1407" t="s">
        <v>8690</v>
      </c>
      <c r="H2" s="1409" t="s">
        <v>6258</v>
      </c>
      <c r="I2" s="1409" t="s">
        <v>8691</v>
      </c>
      <c r="J2" s="1410" t="s">
        <v>8692</v>
      </c>
      <c r="K2" s="1411" t="s">
        <v>8693</v>
      </c>
      <c r="L2" s="1411" t="s">
        <v>233</v>
      </c>
      <c r="M2" s="1411" t="s">
        <v>6231</v>
      </c>
      <c r="N2" s="1411" t="s">
        <v>4001</v>
      </c>
      <c r="O2" s="1411" t="s">
        <v>8694</v>
      </c>
      <c r="P2" s="1411" t="s">
        <v>1288</v>
      </c>
      <c r="Q2" s="1412" t="s">
        <v>8695</v>
      </c>
      <c r="R2" s="1413" t="s">
        <v>8696</v>
      </c>
      <c r="S2" s="1412" t="s">
        <v>6844</v>
      </c>
      <c r="T2" s="1413" t="s">
        <v>3197</v>
      </c>
      <c r="U2" s="1412" t="s">
        <v>7573</v>
      </c>
      <c r="V2" s="1412" t="s">
        <v>3703</v>
      </c>
      <c r="W2" s="1414" t="s">
        <v>8697</v>
      </c>
      <c r="X2" s="1415" t="s">
        <v>8698</v>
      </c>
      <c r="Y2" s="1415" t="s">
        <v>5758</v>
      </c>
      <c r="Z2" s="1416" t="s">
        <v>8699</v>
      </c>
      <c r="AA2" s="1415" t="s">
        <v>5281</v>
      </c>
      <c r="AB2" s="1415" t="s">
        <v>8700</v>
      </c>
      <c r="AC2" s="1416" t="s">
        <v>4027</v>
      </c>
      <c r="AD2" s="1417" t="s">
        <v>8701</v>
      </c>
      <c r="AE2" s="1418" t="s">
        <v>4782</v>
      </c>
      <c r="AF2" s="1419" t="s">
        <v>8702</v>
      </c>
      <c r="AG2" s="1419" t="s">
        <v>8703</v>
      </c>
      <c r="AH2" s="1419" t="s">
        <v>3779</v>
      </c>
      <c r="AI2" s="1420" t="s">
        <v>5353</v>
      </c>
      <c r="AJ2" s="1420" t="s">
        <v>8704</v>
      </c>
      <c r="AK2" s="1420" t="s">
        <v>8705</v>
      </c>
      <c r="AL2" s="1420" t="s">
        <v>5541</v>
      </c>
      <c r="AM2" s="1421" t="s">
        <v>8706</v>
      </c>
      <c r="AN2" s="1422" t="s">
        <v>8707</v>
      </c>
      <c r="AO2" s="1422" t="s">
        <v>6484</v>
      </c>
      <c r="AP2" s="1423" t="s">
        <v>8708</v>
      </c>
      <c r="AQ2" s="1421" t="s">
        <v>8709</v>
      </c>
      <c r="AR2" s="1422" t="s">
        <v>416</v>
      </c>
      <c r="AS2" s="1421">
        <v>42.83</v>
      </c>
      <c r="AT2" s="1424" t="s">
        <v>8710</v>
      </c>
      <c r="AU2" s="1425" t="s">
        <v>8711</v>
      </c>
      <c r="AV2" s="1425" t="str">
        <f t="shared" ref="AV2:AV99" si="1">TEXT(AU2-C2,"m:ss")</f>
        <v>2:19</v>
      </c>
      <c r="AW2" s="1426"/>
    </row>
    <row r="3" ht="15.75" customHeight="1">
      <c r="A3" s="1427" t="s">
        <v>8712</v>
      </c>
      <c r="B3" s="1428" t="s">
        <v>8713</v>
      </c>
      <c r="C3" s="1429">
        <v>0.04938611111111111</v>
      </c>
      <c r="D3" s="1430" t="s">
        <v>8714</v>
      </c>
      <c r="E3" s="1430" t="s">
        <v>7345</v>
      </c>
      <c r="F3" s="1430" t="s">
        <v>8715</v>
      </c>
      <c r="G3" s="1430" t="s">
        <v>8716</v>
      </c>
      <c r="H3" s="1431" t="s">
        <v>8717</v>
      </c>
      <c r="I3" s="1431" t="s">
        <v>8718</v>
      </c>
      <c r="J3" s="1432" t="s">
        <v>1355</v>
      </c>
      <c r="K3" s="1432" t="s">
        <v>8719</v>
      </c>
      <c r="L3" s="1432" t="s">
        <v>2874</v>
      </c>
      <c r="M3" s="1432" t="s">
        <v>8720</v>
      </c>
      <c r="N3" s="1432" t="s">
        <v>2496</v>
      </c>
      <c r="O3" s="1432" t="s">
        <v>8721</v>
      </c>
      <c r="P3" s="1432" t="s">
        <v>5478</v>
      </c>
      <c r="Q3" s="1433" t="s">
        <v>5843</v>
      </c>
      <c r="R3" s="1433" t="s">
        <v>8722</v>
      </c>
      <c r="S3" s="1433" t="s">
        <v>336</v>
      </c>
      <c r="T3" s="1433" t="s">
        <v>8723</v>
      </c>
      <c r="U3" s="1434" t="s">
        <v>8000</v>
      </c>
      <c r="V3" s="1433" t="s">
        <v>4085</v>
      </c>
      <c r="W3" s="1435" t="s">
        <v>4134</v>
      </c>
      <c r="X3" s="1435" t="s">
        <v>7623</v>
      </c>
      <c r="Y3" s="1436" t="s">
        <v>8724</v>
      </c>
      <c r="Z3" s="1436" t="s">
        <v>444</v>
      </c>
      <c r="AA3" s="1436" t="s">
        <v>5961</v>
      </c>
      <c r="AB3" s="1435" t="s">
        <v>2912</v>
      </c>
      <c r="AC3" s="1436" t="s">
        <v>8725</v>
      </c>
      <c r="AD3" s="1430" t="s">
        <v>8726</v>
      </c>
      <c r="AE3" s="1430" t="s">
        <v>6817</v>
      </c>
      <c r="AF3" s="1437" t="s">
        <v>8727</v>
      </c>
      <c r="AG3" s="1438" t="s">
        <v>3895</v>
      </c>
      <c r="AH3" s="1438" t="s">
        <v>8728</v>
      </c>
      <c r="AI3" s="1438" t="s">
        <v>8729</v>
      </c>
      <c r="AJ3" s="1437" t="s">
        <v>8730</v>
      </c>
      <c r="AK3" s="1438" t="s">
        <v>8731</v>
      </c>
      <c r="AL3" s="1438" t="s">
        <v>6200</v>
      </c>
      <c r="AM3" s="1439" t="s">
        <v>8732</v>
      </c>
      <c r="AN3" s="1439" t="s">
        <v>3235</v>
      </c>
      <c r="AO3" s="1440" t="s">
        <v>7891</v>
      </c>
      <c r="AP3" s="1440" t="s">
        <v>8733</v>
      </c>
      <c r="AQ3" s="1440" t="s">
        <v>8734</v>
      </c>
      <c r="AR3" s="1440" t="s">
        <v>4008</v>
      </c>
      <c r="AS3" s="1439" t="s">
        <v>5203</v>
      </c>
      <c r="AT3" s="1432" t="s">
        <v>8735</v>
      </c>
      <c r="AU3" s="1441" t="s">
        <v>8736</v>
      </c>
      <c r="AV3" s="1441" t="str">
        <f t="shared" si="1"/>
        <v>3:51</v>
      </c>
      <c r="AW3" s="1442"/>
    </row>
    <row r="4" ht="15.75" customHeight="1">
      <c r="A4" s="1443" t="s">
        <v>8737</v>
      </c>
      <c r="B4" s="1444" t="s">
        <v>8738</v>
      </c>
      <c r="C4" s="1445">
        <v>0.050637731481481485</v>
      </c>
      <c r="D4" s="1446" t="s">
        <v>8739</v>
      </c>
      <c r="E4" s="1446" t="s">
        <v>8740</v>
      </c>
      <c r="F4" s="1446" t="s">
        <v>8741</v>
      </c>
      <c r="G4" s="1446" t="s">
        <v>8742</v>
      </c>
      <c r="H4" s="1447" t="s">
        <v>8743</v>
      </c>
      <c r="I4" s="1447" t="s">
        <v>350</v>
      </c>
      <c r="J4" s="1448" t="s">
        <v>8744</v>
      </c>
      <c r="K4" s="1448" t="s">
        <v>6279</v>
      </c>
      <c r="L4" s="1448" t="s">
        <v>3738</v>
      </c>
      <c r="M4" s="1448" t="s">
        <v>8745</v>
      </c>
      <c r="N4" s="1448" t="s">
        <v>8706</v>
      </c>
      <c r="O4" s="1448" t="s">
        <v>8746</v>
      </c>
      <c r="P4" s="1448" t="s">
        <v>8747</v>
      </c>
      <c r="Q4" s="1449" t="s">
        <v>8748</v>
      </c>
      <c r="R4" s="1449" t="s">
        <v>8749</v>
      </c>
      <c r="S4" s="1449" t="s">
        <v>2268</v>
      </c>
      <c r="T4" s="1449" t="s">
        <v>8750</v>
      </c>
      <c r="U4" s="1449" t="s">
        <v>8751</v>
      </c>
      <c r="V4" s="1449" t="s">
        <v>4260</v>
      </c>
      <c r="W4" s="1450" t="s">
        <v>8752</v>
      </c>
      <c r="X4" s="1450" t="s">
        <v>8753</v>
      </c>
      <c r="Y4" s="1450">
        <v>47.93</v>
      </c>
      <c r="Z4" s="1450" t="s">
        <v>8754</v>
      </c>
      <c r="AA4" s="1450" t="s">
        <v>8755</v>
      </c>
      <c r="AB4" s="1450" t="s">
        <v>8756</v>
      </c>
      <c r="AC4" s="1450">
        <v>49.24</v>
      </c>
      <c r="AD4" s="1451" t="s">
        <v>8757</v>
      </c>
      <c r="AE4" s="1452" t="s">
        <v>8758</v>
      </c>
      <c r="AF4" s="1453" t="s">
        <v>2699</v>
      </c>
      <c r="AG4" s="1453" t="s">
        <v>4587</v>
      </c>
      <c r="AH4" s="1453" t="s">
        <v>5205</v>
      </c>
      <c r="AI4" s="1453" t="s">
        <v>8759</v>
      </c>
      <c r="AJ4" s="1453" t="s">
        <v>8760</v>
      </c>
      <c r="AK4" s="1453" t="s">
        <v>888</v>
      </c>
      <c r="AL4" s="1453" t="s">
        <v>8761</v>
      </c>
      <c r="AM4" s="1454" t="s">
        <v>8762</v>
      </c>
      <c r="AN4" s="1455" t="s">
        <v>8763</v>
      </c>
      <c r="AO4" s="1454" t="s">
        <v>8764</v>
      </c>
      <c r="AP4" s="1455" t="s">
        <v>8765</v>
      </c>
      <c r="AQ4" s="1454" t="s">
        <v>8766</v>
      </c>
      <c r="AR4" s="1454" t="s">
        <v>6622</v>
      </c>
      <c r="AS4" s="1454" t="s">
        <v>756</v>
      </c>
      <c r="AT4" s="1456" t="s">
        <v>8767</v>
      </c>
      <c r="AU4" s="1457" t="s">
        <v>8768</v>
      </c>
      <c r="AV4" s="1458" t="str">
        <f t="shared" si="1"/>
        <v>2:49</v>
      </c>
      <c r="AW4" s="1426"/>
    </row>
    <row r="5" ht="15.75" customHeight="1">
      <c r="A5" s="1459" t="s">
        <v>1061</v>
      </c>
      <c r="B5" s="1460" t="s">
        <v>8686</v>
      </c>
      <c r="C5" s="1461">
        <v>0.04905092592592593</v>
      </c>
      <c r="D5" s="1462" t="s">
        <v>8687</v>
      </c>
      <c r="E5" s="1462" t="s">
        <v>8688</v>
      </c>
      <c r="F5" s="1463" t="s">
        <v>8769</v>
      </c>
      <c r="G5" s="1464" t="s">
        <v>8690</v>
      </c>
      <c r="H5" s="1462" t="s">
        <v>6258</v>
      </c>
      <c r="I5" s="1462" t="s">
        <v>8691</v>
      </c>
      <c r="J5" s="1465" t="s">
        <v>2077</v>
      </c>
      <c r="K5" s="1466" t="s">
        <v>4328</v>
      </c>
      <c r="L5" s="1463" t="s">
        <v>2309</v>
      </c>
      <c r="M5" s="1466" t="s">
        <v>6330</v>
      </c>
      <c r="N5" s="1467" t="s">
        <v>4001</v>
      </c>
      <c r="O5" s="1468" t="s">
        <v>8770</v>
      </c>
      <c r="P5" s="1469" t="s">
        <v>4172</v>
      </c>
      <c r="Q5" s="1467" t="s">
        <v>8695</v>
      </c>
      <c r="R5" s="1464" t="s">
        <v>8696</v>
      </c>
      <c r="S5" s="1467" t="s">
        <v>6844</v>
      </c>
      <c r="T5" s="1464" t="s">
        <v>3197</v>
      </c>
      <c r="U5" s="1467" t="s">
        <v>7573</v>
      </c>
      <c r="V5" s="1470" t="s">
        <v>3703</v>
      </c>
      <c r="W5" s="1255" t="s">
        <v>8771</v>
      </c>
      <c r="X5" s="1463" t="s">
        <v>4768</v>
      </c>
      <c r="Y5" s="1464" t="s">
        <v>5758</v>
      </c>
      <c r="Z5" s="1468" t="s">
        <v>5031</v>
      </c>
      <c r="AA5" s="1464" t="s">
        <v>5281</v>
      </c>
      <c r="AB5" s="1463" t="s">
        <v>3279</v>
      </c>
      <c r="AC5" s="1467" t="s">
        <v>4027</v>
      </c>
      <c r="AD5" s="1464" t="s">
        <v>8701</v>
      </c>
      <c r="AE5" s="1466" t="s">
        <v>4462</v>
      </c>
      <c r="AF5" s="1379" t="s">
        <v>8772</v>
      </c>
      <c r="AG5" s="1255" t="s">
        <v>8773</v>
      </c>
      <c r="AH5" s="1463" t="s">
        <v>5531</v>
      </c>
      <c r="AI5" s="1467" t="s">
        <v>5353</v>
      </c>
      <c r="AJ5" s="1255" t="s">
        <v>8774</v>
      </c>
      <c r="AK5" s="1467" t="s">
        <v>8705</v>
      </c>
      <c r="AL5" s="1464" t="s">
        <v>5541</v>
      </c>
      <c r="AM5" s="1464" t="s">
        <v>8706</v>
      </c>
      <c r="AN5" s="1468" t="s">
        <v>5249</v>
      </c>
      <c r="AO5" s="1466" t="s">
        <v>7404</v>
      </c>
      <c r="AP5" s="1464" t="s">
        <v>8708</v>
      </c>
      <c r="AQ5" s="1464" t="s">
        <v>8709</v>
      </c>
      <c r="AR5" s="1255" t="s">
        <v>8775</v>
      </c>
      <c r="AS5" s="1468" t="s">
        <v>104</v>
      </c>
      <c r="AT5" s="1463" t="s">
        <v>8776</v>
      </c>
      <c r="AU5" s="1471" t="s">
        <v>8711</v>
      </c>
      <c r="AV5" s="1379" t="str">
        <f t="shared" si="1"/>
        <v>2:03</v>
      </c>
      <c r="AW5" s="1472" t="s">
        <v>8777</v>
      </c>
    </row>
    <row r="6" ht="15.75" customHeight="1">
      <c r="A6" s="1473" t="s">
        <v>436</v>
      </c>
      <c r="B6" s="1460" t="s">
        <v>8686</v>
      </c>
      <c r="C6" s="1461">
        <v>0.0493287037037037</v>
      </c>
      <c r="D6" s="1474" t="s">
        <v>8778</v>
      </c>
      <c r="E6" s="1475" t="s">
        <v>8779</v>
      </c>
      <c r="F6" s="1475" t="s">
        <v>8780</v>
      </c>
      <c r="G6" s="1475" t="s">
        <v>8781</v>
      </c>
      <c r="H6" s="1475" t="s">
        <v>8782</v>
      </c>
      <c r="I6" s="1476" t="s">
        <v>8783</v>
      </c>
      <c r="J6" s="1477" t="s">
        <v>8692</v>
      </c>
      <c r="K6" s="1475" t="s">
        <v>783</v>
      </c>
      <c r="L6" s="1475" t="s">
        <v>8784</v>
      </c>
      <c r="M6" s="1475" t="s">
        <v>8785</v>
      </c>
      <c r="N6" s="1475" t="s">
        <v>8786</v>
      </c>
      <c r="O6" s="1475" t="s">
        <v>8787</v>
      </c>
      <c r="P6" s="1477" t="s">
        <v>1288</v>
      </c>
      <c r="Q6" s="1469" t="s">
        <v>1575</v>
      </c>
      <c r="R6" s="1475" t="s">
        <v>4434</v>
      </c>
      <c r="S6" s="1475" t="s">
        <v>8692</v>
      </c>
      <c r="T6" s="1475" t="s">
        <v>5215</v>
      </c>
      <c r="U6" s="1469" t="s">
        <v>8788</v>
      </c>
      <c r="V6" s="1478" t="s">
        <v>8536</v>
      </c>
      <c r="W6" s="1475" t="s">
        <v>8789</v>
      </c>
      <c r="X6" s="1477" t="s">
        <v>8698</v>
      </c>
      <c r="Y6" s="1479">
        <v>46.72</v>
      </c>
      <c r="Z6" s="1479" t="s">
        <v>3595</v>
      </c>
      <c r="AA6" s="1475" t="s">
        <v>3608</v>
      </c>
      <c r="AB6" s="1477" t="s">
        <v>8700</v>
      </c>
      <c r="AC6" s="1475" t="s">
        <v>5457</v>
      </c>
      <c r="AD6" s="1475" t="s">
        <v>7589</v>
      </c>
      <c r="AE6" s="1480" t="s">
        <v>4782</v>
      </c>
      <c r="AF6" s="1479" t="s">
        <v>8790</v>
      </c>
      <c r="AG6" s="1478" t="s">
        <v>6122</v>
      </c>
      <c r="AH6" s="1477" t="s">
        <v>3779</v>
      </c>
      <c r="AI6" s="1475" t="s">
        <v>6021</v>
      </c>
      <c r="AJ6" s="1479" t="s">
        <v>8791</v>
      </c>
      <c r="AK6" s="1479" t="s">
        <v>5920</v>
      </c>
      <c r="AL6" s="1478" t="s">
        <v>6244</v>
      </c>
      <c r="AM6" s="1475" t="s">
        <v>8792</v>
      </c>
      <c r="AN6" s="1478" t="s">
        <v>3224</v>
      </c>
      <c r="AO6" s="1478" t="s">
        <v>2811</v>
      </c>
      <c r="AP6" s="1478" t="s">
        <v>8793</v>
      </c>
      <c r="AQ6" s="1379" t="s">
        <v>8794</v>
      </c>
      <c r="AR6" s="1478" t="s">
        <v>8795</v>
      </c>
      <c r="AS6" s="1478" t="s">
        <v>8796</v>
      </c>
      <c r="AT6" s="1478" t="s">
        <v>8797</v>
      </c>
      <c r="AU6" s="1481" t="s">
        <v>8798</v>
      </c>
      <c r="AV6" s="1379" t="str">
        <f t="shared" si="1"/>
        <v>2:15</v>
      </c>
      <c r="AW6" s="1472"/>
    </row>
    <row r="7" ht="15.75" customHeight="1">
      <c r="A7" s="1459" t="s">
        <v>6595</v>
      </c>
      <c r="B7" s="1460" t="s">
        <v>8686</v>
      </c>
      <c r="C7" s="1461">
        <v>0.049444444444444444</v>
      </c>
      <c r="D7" s="1468" t="s">
        <v>8799</v>
      </c>
      <c r="E7" s="1468" t="s">
        <v>8800</v>
      </c>
      <c r="F7" s="1476" t="s">
        <v>8801</v>
      </c>
      <c r="G7" s="1466" t="s">
        <v>8802</v>
      </c>
      <c r="H7" s="1476" t="s">
        <v>8803</v>
      </c>
      <c r="I7" s="1476" t="s">
        <v>2880</v>
      </c>
      <c r="J7" s="1468" t="s">
        <v>8804</v>
      </c>
      <c r="K7" s="1476" t="s">
        <v>3465</v>
      </c>
      <c r="L7" s="1476" t="s">
        <v>4174</v>
      </c>
      <c r="M7" s="1476" t="s">
        <v>6541</v>
      </c>
      <c r="N7" s="1468" t="s">
        <v>8805</v>
      </c>
      <c r="O7" s="1476" t="s">
        <v>8806</v>
      </c>
      <c r="P7" s="1379" t="s">
        <v>7165</v>
      </c>
      <c r="Q7" s="1468" t="s">
        <v>8807</v>
      </c>
      <c r="R7" s="1476" t="s">
        <v>7466</v>
      </c>
      <c r="S7" s="1476" t="s">
        <v>3422</v>
      </c>
      <c r="T7" s="1379" t="s">
        <v>8808</v>
      </c>
      <c r="U7" s="1476" t="s">
        <v>8809</v>
      </c>
      <c r="V7" s="1476" t="s">
        <v>5181</v>
      </c>
      <c r="W7" s="1482" t="s">
        <v>8810</v>
      </c>
      <c r="X7" s="1379" t="s">
        <v>2659</v>
      </c>
      <c r="Y7" s="1483" t="s">
        <v>8811</v>
      </c>
      <c r="Z7" s="1476" t="s">
        <v>7816</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8812</v>
      </c>
      <c r="AF7" s="1379" t="s">
        <v>8813</v>
      </c>
      <c r="AG7" s="1484" t="str">
        <f>HYPERLINK("https://www.twitch.tv/videos/566334947","1:28.73")</f>
        <v>1:28.73</v>
      </c>
      <c r="AH7" s="1476" t="s">
        <v>8814</v>
      </c>
      <c r="AI7" s="1485" t="str">
        <f>HYPERLINK("https://www.twitch.tv/videos/584107631","1:27.68")</f>
        <v>1:27.68</v>
      </c>
      <c r="AJ7" s="1379" t="s">
        <v>8815</v>
      </c>
      <c r="AK7" s="1476" t="s">
        <v>7397</v>
      </c>
      <c r="AL7" s="1476" t="s">
        <v>8816</v>
      </c>
      <c r="AM7" s="1468" t="s">
        <v>4524</v>
      </c>
      <c r="AN7" s="1468" t="s">
        <v>2679</v>
      </c>
      <c r="AO7" s="1468" t="s">
        <v>5940</v>
      </c>
      <c r="AP7" s="1476" t="s">
        <v>8817</v>
      </c>
      <c r="AQ7" s="1379" t="s">
        <v>8818</v>
      </c>
      <c r="AR7" s="1468" t="s">
        <v>8819</v>
      </c>
      <c r="AS7" s="756" t="str">
        <f>HYPERLINK("https://www.twitch.tv/videos/571767101","42.91")</f>
        <v>42.91</v>
      </c>
      <c r="AT7" s="1463" t="s">
        <v>8820</v>
      </c>
      <c r="AU7" s="1481" t="s">
        <v>8821</v>
      </c>
      <c r="AV7" s="1379" t="str">
        <f t="shared" si="1"/>
        <v>2:32</v>
      </c>
      <c r="AW7" s="1486" t="s">
        <v>8822</v>
      </c>
    </row>
    <row r="8" ht="15.75" customHeight="1">
      <c r="A8" s="1459" t="s">
        <v>1814</v>
      </c>
      <c r="B8" s="1460" t="s">
        <v>8686</v>
      </c>
      <c r="C8" s="1461">
        <v>0.04949074074074074</v>
      </c>
      <c r="D8" s="1487" t="s">
        <v>8823</v>
      </c>
      <c r="E8" s="1483" t="s">
        <v>8824</v>
      </c>
      <c r="F8" s="1483" t="s">
        <v>2133</v>
      </c>
      <c r="G8" s="1483" t="s">
        <v>8825</v>
      </c>
      <c r="H8" s="1468" t="s">
        <v>8826</v>
      </c>
      <c r="I8" s="1475">
        <v>47.34</v>
      </c>
      <c r="J8" s="1483" t="s">
        <v>1733</v>
      </c>
      <c r="K8" s="1483" t="s">
        <v>8827</v>
      </c>
      <c r="L8" s="1483">
        <v>55.97</v>
      </c>
      <c r="M8" s="1483" t="s">
        <v>1985</v>
      </c>
      <c r="N8" s="1483" t="s">
        <v>8828</v>
      </c>
      <c r="O8" s="1488" t="s">
        <v>8694</v>
      </c>
      <c r="P8" s="1483">
        <v>47.49</v>
      </c>
      <c r="Q8" s="1483" t="s">
        <v>8829</v>
      </c>
      <c r="R8" s="1483" t="s">
        <v>1231</v>
      </c>
      <c r="S8" s="1489" t="s">
        <v>1836</v>
      </c>
      <c r="T8" s="1483" t="s">
        <v>8830</v>
      </c>
      <c r="U8" s="1468" t="s">
        <v>8831</v>
      </c>
      <c r="V8" s="1483">
        <v>59.32</v>
      </c>
      <c r="W8" s="1487" t="s">
        <v>8832</v>
      </c>
      <c r="X8" s="1490" t="s">
        <v>8833</v>
      </c>
      <c r="Y8" s="1483">
        <v>46.65</v>
      </c>
      <c r="Z8" s="1483" t="s">
        <v>8834</v>
      </c>
      <c r="AA8" s="1483" t="s">
        <v>2493</v>
      </c>
      <c r="AB8" s="1483" t="s">
        <v>8835</v>
      </c>
      <c r="AC8" s="1483">
        <v>47.89</v>
      </c>
      <c r="AD8" s="1483" t="s">
        <v>1835</v>
      </c>
      <c r="AE8" s="1483">
        <v>47.98</v>
      </c>
      <c r="AF8" s="1490" t="s">
        <v>8836</v>
      </c>
      <c r="AG8" s="1483" t="s">
        <v>8837</v>
      </c>
      <c r="AH8" s="1483">
        <v>57.45</v>
      </c>
      <c r="AI8" s="1479" t="s">
        <v>7365</v>
      </c>
      <c r="AJ8" s="1491" t="s">
        <v>8774</v>
      </c>
      <c r="AK8" s="1483" t="s">
        <v>5425</v>
      </c>
      <c r="AL8" s="1483">
        <v>56.23</v>
      </c>
      <c r="AM8" s="1487" t="s">
        <v>3921</v>
      </c>
      <c r="AN8" s="1487" t="s">
        <v>8838</v>
      </c>
      <c r="AO8" s="1483" t="s">
        <v>8839</v>
      </c>
      <c r="AP8" s="1483" t="s">
        <v>8840</v>
      </c>
      <c r="AQ8" s="1483" t="s">
        <v>8841</v>
      </c>
      <c r="AR8" s="1483" t="s">
        <v>4492</v>
      </c>
      <c r="AS8" s="1483">
        <v>46.19</v>
      </c>
      <c r="AT8" s="1492" t="s">
        <v>8710</v>
      </c>
      <c r="AU8" s="1493" t="s">
        <v>8842</v>
      </c>
      <c r="AV8" s="1379" t="str">
        <f t="shared" si="1"/>
        <v>1:33</v>
      </c>
      <c r="AW8" s="1486" t="s">
        <v>8843</v>
      </c>
    </row>
    <row r="9" ht="15.75" customHeight="1">
      <c r="A9" s="1473" t="s">
        <v>330</v>
      </c>
      <c r="B9" s="1460" t="s">
        <v>8686</v>
      </c>
      <c r="C9" s="1461">
        <v>0.04957175925925926</v>
      </c>
      <c r="D9" s="1494" t="s">
        <v>8844</v>
      </c>
      <c r="E9" s="1475" t="s">
        <v>8845</v>
      </c>
      <c r="F9" s="1495" t="s">
        <v>8689</v>
      </c>
      <c r="G9" s="1478" t="s">
        <v>8846</v>
      </c>
      <c r="H9" s="1496" t="s">
        <v>5366</v>
      </c>
      <c r="I9" s="1478" t="s">
        <v>1392</v>
      </c>
      <c r="J9" s="811" t="s">
        <v>8847</v>
      </c>
      <c r="K9" s="1478" t="s">
        <v>6922</v>
      </c>
      <c r="L9" s="1477" t="s">
        <v>233</v>
      </c>
      <c r="M9" s="811" t="s">
        <v>8848</v>
      </c>
      <c r="N9" s="1475" t="s">
        <v>8849</v>
      </c>
      <c r="O9" s="811" t="s">
        <v>8850</v>
      </c>
      <c r="P9" s="1478" t="s">
        <v>6517</v>
      </c>
      <c r="Q9" s="1478" t="s">
        <v>8829</v>
      </c>
      <c r="R9" s="1478" t="s">
        <v>5570</v>
      </c>
      <c r="S9" s="1478" t="s">
        <v>8851</v>
      </c>
      <c r="T9" s="1478" t="s">
        <v>4010</v>
      </c>
      <c r="U9" s="1478" t="s">
        <v>6228</v>
      </c>
      <c r="V9" s="772" t="s">
        <v>8852</v>
      </c>
      <c r="W9" s="1497" t="s">
        <v>8853</v>
      </c>
      <c r="X9" s="1478" t="s">
        <v>8854</v>
      </c>
      <c r="Y9" s="1475">
        <v>46.63</v>
      </c>
      <c r="Z9" s="768" t="s">
        <v>306</v>
      </c>
      <c r="AA9" s="1475" t="s">
        <v>8855</v>
      </c>
      <c r="AB9" s="1477" t="s">
        <v>8700</v>
      </c>
      <c r="AC9" s="1478" t="s">
        <v>5455</v>
      </c>
      <c r="AD9" s="1478" t="s">
        <v>8856</v>
      </c>
      <c r="AE9" s="1479" t="s">
        <v>8857</v>
      </c>
      <c r="AF9" s="1475" t="s">
        <v>8858</v>
      </c>
      <c r="AG9" s="1483" t="s">
        <v>8859</v>
      </c>
      <c r="AH9" s="1478" t="s">
        <v>8860</v>
      </c>
      <c r="AI9" s="772" t="s">
        <v>8861</v>
      </c>
      <c r="AJ9" s="1479" t="s">
        <v>8862</v>
      </c>
      <c r="AK9" s="1478" t="s">
        <v>1301</v>
      </c>
      <c r="AL9" s="1478" t="s">
        <v>5154</v>
      </c>
      <c r="AM9" s="1478" t="s">
        <v>4010</v>
      </c>
      <c r="AN9" s="811" t="s">
        <v>8863</v>
      </c>
      <c r="AO9" s="1478" t="s">
        <v>8795</v>
      </c>
      <c r="AP9" s="1478" t="s">
        <v>8864</v>
      </c>
      <c r="AQ9" s="1478" t="s">
        <v>8865</v>
      </c>
      <c r="AR9" s="1478" t="s">
        <v>4612</v>
      </c>
      <c r="AS9" s="1478" t="s">
        <v>8866</v>
      </c>
      <c r="AT9" s="1465" t="s">
        <v>8867</v>
      </c>
      <c r="AU9" s="1498" t="s">
        <v>8868</v>
      </c>
      <c r="AV9" s="1379" t="str">
        <f t="shared" si="1"/>
        <v>2:59</v>
      </c>
      <c r="AW9" s="1499"/>
    </row>
    <row r="10">
      <c r="A10" s="1473" t="s">
        <v>6536</v>
      </c>
      <c r="B10" s="1500" t="s">
        <v>8686</v>
      </c>
      <c r="C10" s="1461">
        <v>0.04958333333333333</v>
      </c>
      <c r="D10" s="772" t="s">
        <v>8869</v>
      </c>
      <c r="E10" s="1483" t="s">
        <v>6481</v>
      </c>
      <c r="F10" s="1483" t="s">
        <v>8870</v>
      </c>
      <c r="G10" s="1483" t="s">
        <v>8871</v>
      </c>
      <c r="H10" s="1487" t="s">
        <v>8872</v>
      </c>
      <c r="I10" s="1487" t="s">
        <v>5678</v>
      </c>
      <c r="J10" s="1487" t="s">
        <v>150</v>
      </c>
      <c r="K10" s="1487" t="s">
        <v>7580</v>
      </c>
      <c r="L10" s="1483">
        <v>56.42</v>
      </c>
      <c r="M10" s="1483" t="s">
        <v>5188</v>
      </c>
      <c r="N10" s="1483" t="s">
        <v>8873</v>
      </c>
      <c r="O10" s="1487" t="s">
        <v>8874</v>
      </c>
      <c r="P10" s="1487" t="s">
        <v>280</v>
      </c>
      <c r="Q10" s="1487" t="s">
        <v>8875</v>
      </c>
      <c r="R10" s="1483" t="s">
        <v>8876</v>
      </c>
      <c r="S10" s="1487" t="s">
        <v>8877</v>
      </c>
      <c r="T10" s="1487" t="s">
        <v>4998</v>
      </c>
      <c r="U10" s="1487" t="s">
        <v>8878</v>
      </c>
      <c r="V10" s="1483">
        <v>59.45</v>
      </c>
      <c r="W10" s="1487" t="s">
        <v>8879</v>
      </c>
      <c r="X10" s="1487" t="s">
        <v>8880</v>
      </c>
      <c r="Y10" s="1487" t="s">
        <v>5106</v>
      </c>
      <c r="Z10" s="1483" t="s">
        <v>4168</v>
      </c>
      <c r="AA10" s="1483" t="s">
        <v>8881</v>
      </c>
      <c r="AB10" s="1483" t="s">
        <v>4579</v>
      </c>
      <c r="AC10" s="1487" t="s">
        <v>4888</v>
      </c>
      <c r="AD10" s="1487" t="s">
        <v>8882</v>
      </c>
      <c r="AE10" s="1483">
        <v>47.89</v>
      </c>
      <c r="AF10" s="1483" t="s">
        <v>8883</v>
      </c>
      <c r="AG10" s="1480" t="s">
        <v>8703</v>
      </c>
      <c r="AH10" s="1483">
        <v>57.71</v>
      </c>
      <c r="AI10" s="1487" t="s">
        <v>2190</v>
      </c>
      <c r="AJ10" s="1483" t="s">
        <v>8884</v>
      </c>
      <c r="AK10" s="1487" t="s">
        <v>7406</v>
      </c>
      <c r="AL10" s="1483">
        <v>56.69</v>
      </c>
      <c r="AM10" s="1487" t="s">
        <v>8885</v>
      </c>
      <c r="AN10" s="1487" t="s">
        <v>4129</v>
      </c>
      <c r="AO10" s="1487" t="s">
        <v>2864</v>
      </c>
      <c r="AP10" s="1483" t="s">
        <v>8886</v>
      </c>
      <c r="AQ10" s="1487" t="s">
        <v>8887</v>
      </c>
      <c r="AR10" s="1487" t="s">
        <v>8888</v>
      </c>
      <c r="AS10" s="1483">
        <v>43.65</v>
      </c>
      <c r="AT10" s="1487" t="s">
        <v>8889</v>
      </c>
      <c r="AU10" s="1481" t="s">
        <v>8890</v>
      </c>
      <c r="AV10" s="1379" t="str">
        <f t="shared" si="1"/>
        <v>1:34</v>
      </c>
      <c r="AW10" s="1501" t="s">
        <v>8891</v>
      </c>
    </row>
    <row r="11">
      <c r="A11" s="1502" t="s">
        <v>828</v>
      </c>
      <c r="B11" s="1503" t="s">
        <v>8686</v>
      </c>
      <c r="C11" s="1461">
        <v>0.049652777777777775</v>
      </c>
      <c r="D11" s="1478" t="s">
        <v>8892</v>
      </c>
      <c r="E11" s="1478" t="s">
        <v>8893</v>
      </c>
      <c r="F11" s="1478" t="s">
        <v>8894</v>
      </c>
      <c r="G11" s="1479" t="s">
        <v>8895</v>
      </c>
      <c r="H11" s="1478" t="s">
        <v>7774</v>
      </c>
      <c r="I11" s="1478" t="s">
        <v>8643</v>
      </c>
      <c r="J11" s="1475" t="s">
        <v>8896</v>
      </c>
      <c r="K11" s="1478" t="s">
        <v>8897</v>
      </c>
      <c r="L11" s="1478" t="s">
        <v>3371</v>
      </c>
      <c r="M11" s="1480" t="s">
        <v>6231</v>
      </c>
      <c r="N11" s="1478" t="s">
        <v>8898</v>
      </c>
      <c r="O11" s="1478" t="s">
        <v>8899</v>
      </c>
      <c r="P11" s="1478" t="s">
        <v>6134</v>
      </c>
      <c r="Q11" s="1478" t="s">
        <v>4776</v>
      </c>
      <c r="R11" s="1478" t="s">
        <v>8900</v>
      </c>
      <c r="S11" s="1468" t="s">
        <v>2754</v>
      </c>
      <c r="T11" s="1478" t="s">
        <v>8901</v>
      </c>
      <c r="U11" s="1478" t="s">
        <v>8902</v>
      </c>
      <c r="V11" s="1478" t="s">
        <v>5364</v>
      </c>
      <c r="W11" s="1478" t="s">
        <v>7413</v>
      </c>
      <c r="X11" s="1468" t="s">
        <v>8903</v>
      </c>
      <c r="Y11" s="1478" t="s">
        <v>8904</v>
      </c>
      <c r="Z11" s="1488" t="s">
        <v>8699</v>
      </c>
      <c r="AA11" s="1468" t="s">
        <v>8729</v>
      </c>
      <c r="AB11" s="1478" t="s">
        <v>8905</v>
      </c>
      <c r="AC11" s="1478" t="s">
        <v>4774</v>
      </c>
      <c r="AD11" s="1478" t="s">
        <v>5682</v>
      </c>
      <c r="AE11" s="1479">
        <v>47.81</v>
      </c>
      <c r="AF11" s="1478" t="s">
        <v>8906</v>
      </c>
      <c r="AG11" s="1478" t="s">
        <v>8907</v>
      </c>
      <c r="AH11" s="1478" t="s">
        <v>751</v>
      </c>
      <c r="AI11" s="1478" t="s">
        <v>940</v>
      </c>
      <c r="AJ11" s="1478" t="s">
        <v>8908</v>
      </c>
      <c r="AK11" s="1478" t="s">
        <v>8909</v>
      </c>
      <c r="AL11" s="1478" t="s">
        <v>8910</v>
      </c>
      <c r="AM11" s="1478" t="s">
        <v>4524</v>
      </c>
      <c r="AN11" s="1488" t="s">
        <v>8707</v>
      </c>
      <c r="AO11" s="1488" t="s">
        <v>6484</v>
      </c>
      <c r="AP11" s="1478" t="s">
        <v>8911</v>
      </c>
      <c r="AQ11" s="1478" t="s">
        <v>8912</v>
      </c>
      <c r="AR11" s="1488" t="s">
        <v>416</v>
      </c>
      <c r="AS11" s="1478" t="s">
        <v>3305</v>
      </c>
      <c r="AT11" s="1478" t="s">
        <v>3569</v>
      </c>
      <c r="AU11" s="1498" t="s">
        <v>8913</v>
      </c>
      <c r="AV11" s="1379" t="str">
        <f t="shared" si="1"/>
        <v>2:27</v>
      </c>
      <c r="AW11" s="1504" t="s">
        <v>8914</v>
      </c>
    </row>
    <row r="12" ht="15.75" customHeight="1">
      <c r="A12" s="1505" t="s">
        <v>6593</v>
      </c>
      <c r="B12" s="1460" t="s">
        <v>8686</v>
      </c>
      <c r="C12" s="1461">
        <v>0.04967592592592593</v>
      </c>
      <c r="D12" s="772" t="s">
        <v>8915</v>
      </c>
      <c r="E12" s="1476" t="s">
        <v>960</v>
      </c>
      <c r="F12" s="1476" t="s">
        <v>8916</v>
      </c>
      <c r="G12" s="1476" t="s">
        <v>8917</v>
      </c>
      <c r="H12" s="772" t="s">
        <v>8918</v>
      </c>
      <c r="I12" s="1476" t="s">
        <v>8919</v>
      </c>
      <c r="J12" s="1476" t="s">
        <v>8920</v>
      </c>
      <c r="K12" s="1476" t="s">
        <v>6457</v>
      </c>
      <c r="L12" s="1476" t="s">
        <v>4487</v>
      </c>
      <c r="M12" s="1476" t="s">
        <v>8498</v>
      </c>
      <c r="N12" s="1476" t="s">
        <v>2186</v>
      </c>
      <c r="O12" s="1476" t="s">
        <v>3319</v>
      </c>
      <c r="P12" s="1476" t="s">
        <v>8919</v>
      </c>
      <c r="Q12" s="1476" t="s">
        <v>8921</v>
      </c>
      <c r="R12" s="1476" t="s">
        <v>1231</v>
      </c>
      <c r="S12" s="1506" t="s">
        <v>8922</v>
      </c>
      <c r="T12" s="1476" t="s">
        <v>4854</v>
      </c>
      <c r="U12" s="1476" t="s">
        <v>8923</v>
      </c>
      <c r="V12" s="1476" t="s">
        <v>8924</v>
      </c>
      <c r="W12" s="1476" t="s">
        <v>8925</v>
      </c>
      <c r="X12" s="1476" t="s">
        <v>1053</v>
      </c>
      <c r="Y12" s="1476" t="s">
        <v>4349</v>
      </c>
      <c r="Z12" s="1476" t="s">
        <v>8926</v>
      </c>
      <c r="AA12" s="1476" t="s">
        <v>8927</v>
      </c>
      <c r="AB12" s="1476" t="s">
        <v>1844</v>
      </c>
      <c r="AC12" s="1476" t="s">
        <v>761</v>
      </c>
      <c r="AD12" s="1476" t="s">
        <v>8928</v>
      </c>
      <c r="AE12" s="1476" t="s">
        <v>6545</v>
      </c>
      <c r="AF12" s="1468" t="s">
        <v>8929</v>
      </c>
      <c r="AG12" s="1476" t="s">
        <v>8930</v>
      </c>
      <c r="AH12" s="1476" t="s">
        <v>4800</v>
      </c>
      <c r="AI12" s="1476" t="s">
        <v>3003</v>
      </c>
      <c r="AJ12" s="1476" t="s">
        <v>8931</v>
      </c>
      <c r="AK12" s="1476" t="s">
        <v>4176</v>
      </c>
      <c r="AL12" s="1476" t="s">
        <v>8932</v>
      </c>
      <c r="AM12" s="1476" t="s">
        <v>8933</v>
      </c>
      <c r="AN12" s="772" t="s">
        <v>8784</v>
      </c>
      <c r="AO12" s="1476" t="s">
        <v>8934</v>
      </c>
      <c r="AP12" s="1476" t="s">
        <v>8935</v>
      </c>
      <c r="AQ12" s="1468" t="s">
        <v>8936</v>
      </c>
      <c r="AR12" s="1476" t="s">
        <v>1848</v>
      </c>
      <c r="AS12" s="1476" t="s">
        <v>1581</v>
      </c>
      <c r="AT12" s="1476" t="s">
        <v>8937</v>
      </c>
      <c r="AU12" s="1476" t="s">
        <v>8938</v>
      </c>
      <c r="AV12" s="1379" t="str">
        <f t="shared" si="1"/>
        <v>2:47</v>
      </c>
      <c r="AW12" s="1472" t="s">
        <v>8939</v>
      </c>
    </row>
    <row r="13" ht="15.75" customHeight="1">
      <c r="A13" s="1507" t="s">
        <v>2667</v>
      </c>
      <c r="B13" s="1460" t="s">
        <v>8686</v>
      </c>
      <c r="C13" s="1508">
        <v>0.04971064814814815</v>
      </c>
      <c r="D13" s="1306" t="s">
        <v>8940</v>
      </c>
      <c r="E13" s="1509" t="s">
        <v>513</v>
      </c>
      <c r="F13" s="1509" t="s">
        <v>8941</v>
      </c>
      <c r="G13" s="1509" t="s">
        <v>8942</v>
      </c>
      <c r="H13" s="1468" t="s">
        <v>8943</v>
      </c>
      <c r="I13" s="1136" t="s">
        <v>5691</v>
      </c>
      <c r="J13" s="1510" t="s">
        <v>8944</v>
      </c>
      <c r="K13" s="1510" t="s">
        <v>4359</v>
      </c>
      <c r="L13" s="1510" t="s">
        <v>4682</v>
      </c>
      <c r="M13" s="1511" t="s">
        <v>6231</v>
      </c>
      <c r="N13" s="1510" t="s">
        <v>2627</v>
      </c>
      <c r="O13" s="1510" t="s">
        <v>8945</v>
      </c>
      <c r="P13" s="1510" t="s">
        <v>8946</v>
      </c>
      <c r="Q13" s="1468" t="s">
        <v>8947</v>
      </c>
      <c r="R13" s="1512" t="s">
        <v>8948</v>
      </c>
      <c r="S13" s="1468" t="s">
        <v>1836</v>
      </c>
      <c r="T13" s="1512" t="s">
        <v>8949</v>
      </c>
      <c r="U13" s="1468" t="s">
        <v>8950</v>
      </c>
      <c r="V13" s="1512" t="s">
        <v>3483</v>
      </c>
      <c r="W13" s="1513" t="s">
        <v>8951</v>
      </c>
      <c r="X13" s="1513" t="s">
        <v>4038</v>
      </c>
      <c r="Y13" s="1513" t="s">
        <v>7176</v>
      </c>
      <c r="Z13" s="1513" t="s">
        <v>8952</v>
      </c>
      <c r="AA13" s="1513" t="s">
        <v>6122</v>
      </c>
      <c r="AB13" s="1513" t="s">
        <v>4415</v>
      </c>
      <c r="AC13" s="1513" t="s">
        <v>1150</v>
      </c>
      <c r="AD13" s="1509" t="s">
        <v>8953</v>
      </c>
      <c r="AE13" s="1509" t="s">
        <v>5324</v>
      </c>
      <c r="AF13" s="1514" t="s">
        <v>8954</v>
      </c>
      <c r="AG13" s="1514" t="s">
        <v>7970</v>
      </c>
      <c r="AH13" s="1514" t="s">
        <v>5334</v>
      </c>
      <c r="AI13" s="1514" t="s">
        <v>8955</v>
      </c>
      <c r="AJ13" s="1514" t="s">
        <v>8956</v>
      </c>
      <c r="AK13" s="1514" t="s">
        <v>8957</v>
      </c>
      <c r="AL13" s="1514" t="s">
        <v>4052</v>
      </c>
      <c r="AM13" s="1515" t="s">
        <v>8958</v>
      </c>
      <c r="AN13" s="1516" t="s">
        <v>4682</v>
      </c>
      <c r="AO13" s="1516" t="s">
        <v>8959</v>
      </c>
      <c r="AP13" s="1515" t="s">
        <v>8960</v>
      </c>
      <c r="AQ13" s="1515" t="s">
        <v>8961</v>
      </c>
      <c r="AR13" s="1516" t="s">
        <v>8962</v>
      </c>
      <c r="AS13" s="1515" t="s">
        <v>273</v>
      </c>
      <c r="AT13" s="1481" t="s">
        <v>8963</v>
      </c>
      <c r="AU13" s="1498" t="s">
        <v>8964</v>
      </c>
      <c r="AV13" s="1379" t="str">
        <f t="shared" si="1"/>
        <v>2:35</v>
      </c>
      <c r="AW13" s="1517" t="s">
        <v>8965</v>
      </c>
    </row>
    <row r="14">
      <c r="A14" s="1518" t="s">
        <v>2643</v>
      </c>
      <c r="B14" s="1519" t="s">
        <v>8686</v>
      </c>
      <c r="C14" s="1520">
        <v>0.04974537037037037</v>
      </c>
      <c r="D14" s="1521" t="s">
        <v>8966</v>
      </c>
      <c r="E14" s="1521" t="s">
        <v>2729</v>
      </c>
      <c r="F14" s="1522" t="s">
        <v>7502</v>
      </c>
      <c r="G14" s="1522" t="s">
        <v>8967</v>
      </c>
      <c r="H14" s="1523" t="s">
        <v>8968</v>
      </c>
      <c r="I14" s="1523" t="s">
        <v>5745</v>
      </c>
      <c r="J14" s="1524" t="s">
        <v>8969</v>
      </c>
      <c r="K14" s="1525" t="s">
        <v>8970</v>
      </c>
      <c r="L14" s="1525" t="s">
        <v>8971</v>
      </c>
      <c r="M14" s="1525" t="s">
        <v>4541</v>
      </c>
      <c r="N14" s="1524" t="s">
        <v>2945</v>
      </c>
      <c r="O14" s="1525" t="s">
        <v>8972</v>
      </c>
      <c r="P14" s="1524" t="s">
        <v>6545</v>
      </c>
      <c r="Q14" s="1526" t="s">
        <v>8973</v>
      </c>
      <c r="R14" s="1526" t="s">
        <v>5585</v>
      </c>
      <c r="S14" s="1527" t="s">
        <v>8974</v>
      </c>
      <c r="T14" s="1526" t="s">
        <v>6482</v>
      </c>
      <c r="U14" s="1528" t="s">
        <v>8975</v>
      </c>
      <c r="V14" s="1529" t="s">
        <v>3817</v>
      </c>
      <c r="W14" s="1530" t="s">
        <v>8697</v>
      </c>
      <c r="X14" s="1531" t="s">
        <v>5353</v>
      </c>
      <c r="Y14" s="1531" t="s">
        <v>7176</v>
      </c>
      <c r="Z14" s="1531" t="s">
        <v>833</v>
      </c>
      <c r="AA14" s="1531" t="s">
        <v>4147</v>
      </c>
      <c r="AB14" s="1531" t="s">
        <v>487</v>
      </c>
      <c r="AC14" s="1532" t="s">
        <v>7165</v>
      </c>
      <c r="AD14" s="1533" t="s">
        <v>7962</v>
      </c>
      <c r="AE14" s="1522" t="s">
        <v>6815</v>
      </c>
      <c r="AF14" s="1534" t="s">
        <v>8976</v>
      </c>
      <c r="AG14" s="1534" t="s">
        <v>8070</v>
      </c>
      <c r="AH14" s="1534" t="s">
        <v>2554</v>
      </c>
      <c r="AI14" s="1534" t="s">
        <v>8759</v>
      </c>
      <c r="AJ14" s="1535" t="s">
        <v>8977</v>
      </c>
      <c r="AK14" s="1536" t="s">
        <v>8978</v>
      </c>
      <c r="AL14" s="1534" t="s">
        <v>2509</v>
      </c>
      <c r="AM14" s="1537" t="s">
        <v>8979</v>
      </c>
      <c r="AN14" s="1537" t="s">
        <v>8980</v>
      </c>
      <c r="AO14" s="1537" t="s">
        <v>8981</v>
      </c>
      <c r="AP14" s="1538" t="s">
        <v>4837</v>
      </c>
      <c r="AQ14" s="1537" t="s">
        <v>4723</v>
      </c>
      <c r="AR14" s="1537" t="s">
        <v>8839</v>
      </c>
      <c r="AS14" s="1539" t="s">
        <v>884</v>
      </c>
      <c r="AT14" s="1524" t="s">
        <v>3569</v>
      </c>
      <c r="AU14" s="1540" t="s">
        <v>8982</v>
      </c>
      <c r="AV14" s="1541" t="str">
        <f t="shared" si="1"/>
        <v>2:13</v>
      </c>
      <c r="AW14" s="1542"/>
    </row>
    <row r="15">
      <c r="A15" s="1505" t="s">
        <v>2023</v>
      </c>
      <c r="B15" s="1500" t="s">
        <v>8686</v>
      </c>
      <c r="C15" s="1543">
        <v>0.04976851851851852</v>
      </c>
      <c r="D15" s="1487" t="s">
        <v>8983</v>
      </c>
      <c r="E15" s="1487" t="s">
        <v>8984</v>
      </c>
      <c r="F15" s="1487" t="s">
        <v>8985</v>
      </c>
      <c r="G15" s="1490" t="s">
        <v>8986</v>
      </c>
      <c r="H15" s="1487" t="s">
        <v>8987</v>
      </c>
      <c r="I15" s="1487" t="s">
        <v>3685</v>
      </c>
      <c r="J15" s="1487" t="s">
        <v>5836</v>
      </c>
      <c r="K15" s="1492" t="s">
        <v>8693</v>
      </c>
      <c r="L15" s="1487" t="s">
        <v>8988</v>
      </c>
      <c r="M15" s="1487" t="s">
        <v>8989</v>
      </c>
      <c r="N15" s="1487" t="s">
        <v>689</v>
      </c>
      <c r="O15" s="1487" t="s">
        <v>8990</v>
      </c>
      <c r="P15" s="1487" t="s">
        <v>6517</v>
      </c>
      <c r="Q15" s="1487" t="s">
        <v>8991</v>
      </c>
      <c r="R15" s="1487" t="s">
        <v>7532</v>
      </c>
      <c r="S15" s="1487" t="s">
        <v>8992</v>
      </c>
      <c r="T15" s="1487" t="s">
        <v>5767</v>
      </c>
      <c r="U15" s="1487" t="s">
        <v>8993</v>
      </c>
      <c r="V15" s="1487" t="s">
        <v>8994</v>
      </c>
      <c r="W15" s="1487" t="s">
        <v>8995</v>
      </c>
      <c r="X15" s="1487" t="s">
        <v>8996</v>
      </c>
      <c r="Y15" s="1487" t="s">
        <v>8811</v>
      </c>
      <c r="Z15" s="1487" t="s">
        <v>8997</v>
      </c>
      <c r="AA15" s="1487" t="s">
        <v>8998</v>
      </c>
      <c r="AB15" s="1487" t="s">
        <v>8999</v>
      </c>
      <c r="AC15" s="1487" t="s">
        <v>597</v>
      </c>
      <c r="AD15" s="1487" t="s">
        <v>9000</v>
      </c>
      <c r="AE15" s="1487" t="s">
        <v>5504</v>
      </c>
      <c r="AF15" s="1487" t="s">
        <v>9001</v>
      </c>
      <c r="AG15" s="1487" t="s">
        <v>309</v>
      </c>
      <c r="AH15" s="1487" t="s">
        <v>9002</v>
      </c>
      <c r="AI15" s="1487" t="s">
        <v>8881</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8713</v>
      </c>
      <c r="C16" s="1547">
        <v>0.04978009259259259</v>
      </c>
      <c r="D16" s="1548" t="s">
        <v>9010</v>
      </c>
      <c r="E16" s="772" t="s">
        <v>3282</v>
      </c>
      <c r="F16" s="772" t="s">
        <v>9011</v>
      </c>
      <c r="G16" s="1548" t="s">
        <v>9012</v>
      </c>
      <c r="H16" s="1549" t="s">
        <v>8717</v>
      </c>
      <c r="I16" s="772" t="s">
        <v>142</v>
      </c>
      <c r="J16" s="772" t="s">
        <v>5786</v>
      </c>
      <c r="K16" s="1550" t="s">
        <v>8719</v>
      </c>
      <c r="L16" s="1550" t="s">
        <v>2874</v>
      </c>
      <c r="M16" s="772" t="s">
        <v>6504</v>
      </c>
      <c r="N16" s="1510" t="s">
        <v>3976</v>
      </c>
      <c r="O16" s="772" t="s">
        <v>9013</v>
      </c>
      <c r="P16" s="1510" t="s">
        <v>5455</v>
      </c>
      <c r="Q16" s="772" t="s">
        <v>9014</v>
      </c>
      <c r="R16" s="1550" t="s">
        <v>8722</v>
      </c>
      <c r="S16" s="1255" t="s">
        <v>2402</v>
      </c>
      <c r="T16" s="1551" t="s">
        <v>8909</v>
      </c>
      <c r="U16" s="1512" t="s">
        <v>9015</v>
      </c>
      <c r="V16" s="1552" t="s">
        <v>5015</v>
      </c>
      <c r="W16" s="1553" t="s">
        <v>4134</v>
      </c>
      <c r="X16" s="1553" t="s">
        <v>7623</v>
      </c>
      <c r="Y16" s="1550" t="s">
        <v>8724</v>
      </c>
      <c r="Z16" s="1550" t="s">
        <v>444</v>
      </c>
      <c r="AA16" s="1554" t="s">
        <v>5961</v>
      </c>
      <c r="AB16" s="772" t="s">
        <v>9016</v>
      </c>
      <c r="AC16" s="1555" t="s">
        <v>8725</v>
      </c>
      <c r="AD16" s="772" t="s">
        <v>9017</v>
      </c>
      <c r="AE16" s="1556" t="s">
        <v>6817</v>
      </c>
      <c r="AF16" s="1255" t="s">
        <v>9018</v>
      </c>
      <c r="AG16" s="1557" t="s">
        <v>4592</v>
      </c>
      <c r="AH16" s="1558" t="s">
        <v>8728</v>
      </c>
      <c r="AI16" s="1558" t="s">
        <v>8729</v>
      </c>
      <c r="AJ16" s="772" t="s">
        <v>9019</v>
      </c>
      <c r="AK16" s="772" t="s">
        <v>8926</v>
      </c>
      <c r="AL16" s="1553" t="s">
        <v>6200</v>
      </c>
      <c r="AM16" s="1550" t="s">
        <v>8732</v>
      </c>
      <c r="AN16" s="1516" t="s">
        <v>8971</v>
      </c>
      <c r="AO16" s="1550" t="s">
        <v>7891</v>
      </c>
      <c r="AP16" s="1559" t="s">
        <v>8733</v>
      </c>
      <c r="AQ16" s="1560" t="s">
        <v>8734</v>
      </c>
      <c r="AR16" s="1560" t="s">
        <v>4008</v>
      </c>
      <c r="AS16" s="1561" t="s">
        <v>5203</v>
      </c>
      <c r="AT16" s="1550" t="s">
        <v>8735</v>
      </c>
      <c r="AU16" s="1498" t="s">
        <v>9020</v>
      </c>
      <c r="AV16" s="1379" t="str">
        <f t="shared" si="1"/>
        <v>4:22</v>
      </c>
      <c r="AW16" s="1504" t="s">
        <v>9021</v>
      </c>
    </row>
    <row r="17" ht="15.75" customHeight="1">
      <c r="A17" s="1459" t="s">
        <v>6380</v>
      </c>
      <c r="B17" s="1562" t="s">
        <v>8686</v>
      </c>
      <c r="C17" s="1461">
        <v>0.04982638888888889</v>
      </c>
      <c r="D17" s="1306" t="s">
        <v>9022</v>
      </c>
      <c r="E17" s="1306" t="s">
        <v>4824</v>
      </c>
      <c r="F17" s="1306" t="s">
        <v>9023</v>
      </c>
      <c r="G17" s="1306" t="s">
        <v>9024</v>
      </c>
      <c r="H17" s="1306" t="s">
        <v>9025</v>
      </c>
      <c r="I17" s="1306" t="s">
        <v>5606</v>
      </c>
      <c r="J17" s="1306" t="s">
        <v>9026</v>
      </c>
      <c r="K17" s="772" t="s">
        <v>9027</v>
      </c>
      <c r="L17" s="1306" t="s">
        <v>9028</v>
      </c>
      <c r="M17" s="1306" t="s">
        <v>9029</v>
      </c>
      <c r="N17" s="1306" t="s">
        <v>2096</v>
      </c>
      <c r="O17" s="1306" t="s">
        <v>9030</v>
      </c>
      <c r="P17" s="772" t="s">
        <v>4462</v>
      </c>
      <c r="Q17" s="1306" t="s">
        <v>9031</v>
      </c>
      <c r="R17" s="1306" t="s">
        <v>1874</v>
      </c>
      <c r="S17" s="1306" t="s">
        <v>3422</v>
      </c>
      <c r="T17" s="1306" t="s">
        <v>9032</v>
      </c>
      <c r="U17" s="1306" t="s">
        <v>9033</v>
      </c>
      <c r="V17" s="1306" t="s">
        <v>6801</v>
      </c>
      <c r="W17" s="1306" t="s">
        <v>5443</v>
      </c>
      <c r="X17" s="1306" t="s">
        <v>8703</v>
      </c>
      <c r="Y17" s="1306" t="s">
        <v>8783</v>
      </c>
      <c r="Z17" s="1306" t="s">
        <v>6930</v>
      </c>
      <c r="AA17" s="1563" t="s">
        <v>9034</v>
      </c>
      <c r="AB17" s="1306" t="s">
        <v>5859</v>
      </c>
      <c r="AC17" s="1306" t="s">
        <v>1031</v>
      </c>
      <c r="AD17" s="1306" t="s">
        <v>7616</v>
      </c>
      <c r="AE17" s="1306" t="s">
        <v>4935</v>
      </c>
      <c r="AF17" s="1306" t="s">
        <v>9035</v>
      </c>
      <c r="AG17" s="1306" t="s">
        <v>1538</v>
      </c>
      <c r="AH17" s="772" t="s">
        <v>9036</v>
      </c>
      <c r="AI17" s="1306" t="s">
        <v>8361</v>
      </c>
      <c r="AJ17" s="1306" t="s">
        <v>9037</v>
      </c>
      <c r="AK17" s="1306" t="s">
        <v>9038</v>
      </c>
      <c r="AL17" s="1306" t="s">
        <v>4407</v>
      </c>
      <c r="AM17" s="1306" t="s">
        <v>3490</v>
      </c>
      <c r="AN17" s="1306" t="s">
        <v>9039</v>
      </c>
      <c r="AO17" s="1306" t="s">
        <v>8819</v>
      </c>
      <c r="AP17" s="1481" t="s">
        <v>8788</v>
      </c>
      <c r="AQ17" s="1306" t="s">
        <v>9040</v>
      </c>
      <c r="AR17" s="1306" t="s">
        <v>9041</v>
      </c>
      <c r="AS17" s="1306" t="s">
        <v>9042</v>
      </c>
      <c r="AT17" s="1306" t="s">
        <v>9043</v>
      </c>
      <c r="AU17" s="1313" t="s">
        <v>9044</v>
      </c>
      <c r="AV17" s="1379" t="str">
        <f t="shared" si="1"/>
        <v>2:18</v>
      </c>
      <c r="AW17" s="1564" t="s">
        <v>9045</v>
      </c>
    </row>
    <row r="18" ht="15.75" customHeight="1">
      <c r="A18" s="1459" t="s">
        <v>2085</v>
      </c>
      <c r="B18" s="1460" t="s">
        <v>8686</v>
      </c>
      <c r="C18" s="1461">
        <v>0.049895833333333334</v>
      </c>
      <c r="D18" s="772" t="s">
        <v>9046</v>
      </c>
      <c r="E18" s="1565" t="s">
        <v>960</v>
      </c>
      <c r="F18" s="1509" t="s">
        <v>9047</v>
      </c>
      <c r="G18" s="1565" t="s">
        <v>9048</v>
      </c>
      <c r="H18" s="1049" t="s">
        <v>9049</v>
      </c>
      <c r="I18" s="1136" t="s">
        <v>5506</v>
      </c>
      <c r="J18" s="1510" t="s">
        <v>9050</v>
      </c>
      <c r="K18" s="1566" t="s">
        <v>9051</v>
      </c>
      <c r="L18" s="1510" t="s">
        <v>8971</v>
      </c>
      <c r="M18" s="1510" t="s">
        <v>5033</v>
      </c>
      <c r="N18" s="1510" t="s">
        <v>9052</v>
      </c>
      <c r="O18" s="1566" t="s">
        <v>9053</v>
      </c>
      <c r="P18" s="772" t="s">
        <v>1074</v>
      </c>
      <c r="Q18" s="1512" t="s">
        <v>3448</v>
      </c>
      <c r="R18" s="1567" t="s">
        <v>6927</v>
      </c>
      <c r="S18" s="1567" t="s">
        <v>9054</v>
      </c>
      <c r="T18" s="1567" t="s">
        <v>9055</v>
      </c>
      <c r="U18" s="1567" t="s">
        <v>1833</v>
      </c>
      <c r="V18" s="1512" t="s">
        <v>4442</v>
      </c>
      <c r="W18" s="1513" t="s">
        <v>9056</v>
      </c>
      <c r="X18" s="1568" t="s">
        <v>9057</v>
      </c>
      <c r="Y18" s="1513" t="s">
        <v>9058</v>
      </c>
      <c r="Z18" s="1513" t="s">
        <v>9059</v>
      </c>
      <c r="AA18" s="1513" t="s">
        <v>3306</v>
      </c>
      <c r="AB18" s="1568" t="s">
        <v>7941</v>
      </c>
      <c r="AC18" s="1568" t="s">
        <v>1224</v>
      </c>
      <c r="AD18" s="1565" t="s">
        <v>9060</v>
      </c>
      <c r="AE18" s="1565" t="s">
        <v>9061</v>
      </c>
      <c r="AF18" s="1569" t="s">
        <v>9062</v>
      </c>
      <c r="AG18" s="1514" t="s">
        <v>9063</v>
      </c>
      <c r="AH18" s="1514" t="s">
        <v>9064</v>
      </c>
      <c r="AI18" s="1514" t="s">
        <v>8907</v>
      </c>
      <c r="AJ18" s="1569" t="s">
        <v>9065</v>
      </c>
      <c r="AK18" s="1569" t="s">
        <v>966</v>
      </c>
      <c r="AL18" s="1514" t="s">
        <v>9066</v>
      </c>
      <c r="AM18" s="1516" t="s">
        <v>9067</v>
      </c>
      <c r="AN18" s="1515" t="s">
        <v>3146</v>
      </c>
      <c r="AO18" s="1516" t="s">
        <v>7567</v>
      </c>
      <c r="AP18" s="1515" t="s">
        <v>5577</v>
      </c>
      <c r="AQ18" s="1516" t="s">
        <v>9068</v>
      </c>
      <c r="AR18" s="1515" t="s">
        <v>1166</v>
      </c>
      <c r="AS18" s="1515" t="s">
        <v>3848</v>
      </c>
      <c r="AT18" s="1566" t="s">
        <v>6502</v>
      </c>
      <c r="AU18" s="1570" t="s">
        <v>9069</v>
      </c>
      <c r="AV18" s="1379" t="str">
        <f t="shared" si="1"/>
        <v>2:22</v>
      </c>
      <c r="AW18" s="1499" t="s">
        <v>9070</v>
      </c>
    </row>
    <row r="19">
      <c r="A19" s="1505" t="s">
        <v>1560</v>
      </c>
      <c r="B19" s="1503" t="s">
        <v>8686</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4569</v>
      </c>
      <c r="U19" s="1572" t="s">
        <v>9081</v>
      </c>
      <c r="V19" s="1572">
        <v>59.79</v>
      </c>
      <c r="W19" s="1572" t="s">
        <v>9082</v>
      </c>
      <c r="X19" s="1572" t="s">
        <v>2064</v>
      </c>
      <c r="Y19" s="1572">
        <v>47.0</v>
      </c>
      <c r="Z19" s="1572" t="s">
        <v>9083</v>
      </c>
      <c r="AA19" s="1572" t="s">
        <v>9084</v>
      </c>
      <c r="AB19" s="1572" t="s">
        <v>7459</v>
      </c>
      <c r="AC19" s="1572">
        <v>47.56</v>
      </c>
      <c r="AD19" s="1572" t="s">
        <v>8726</v>
      </c>
      <c r="AE19" s="1572">
        <v>47.95</v>
      </c>
      <c r="AF19" s="1572" t="s">
        <v>9085</v>
      </c>
      <c r="AG19" s="1572" t="s">
        <v>9086</v>
      </c>
      <c r="AH19" s="1572">
        <v>57.67</v>
      </c>
      <c r="AI19" s="1572" t="s">
        <v>1053</v>
      </c>
      <c r="AJ19" s="1572" t="s">
        <v>9087</v>
      </c>
      <c r="AK19" s="1572" t="s">
        <v>7965</v>
      </c>
      <c r="AL19" s="1572">
        <v>56.37</v>
      </c>
      <c r="AM19" s="1572" t="s">
        <v>9088</v>
      </c>
      <c r="AN19" s="1572">
        <v>55.92</v>
      </c>
      <c r="AO19" s="1572" t="s">
        <v>4492</v>
      </c>
      <c r="AP19" s="1572" t="s">
        <v>8604</v>
      </c>
      <c r="AQ19" s="1572" t="s">
        <v>9089</v>
      </c>
      <c r="AR19" s="1572" t="s">
        <v>6621</v>
      </c>
      <c r="AS19" s="1572">
        <v>46.83</v>
      </c>
      <c r="AT19" s="1573" t="s">
        <v>9090</v>
      </c>
      <c r="AU19" s="1487" t="s">
        <v>9091</v>
      </c>
      <c r="AV19" s="1379" t="str">
        <f t="shared" si="1"/>
        <v>1:53</v>
      </c>
      <c r="AW19" s="1504" t="s">
        <v>9092</v>
      </c>
    </row>
    <row r="20">
      <c r="A20" s="1505" t="s">
        <v>2103</v>
      </c>
      <c r="B20" s="1503" t="s">
        <v>8686</v>
      </c>
      <c r="C20" s="1574">
        <v>0.049930555555555554</v>
      </c>
      <c r="D20" s="1575" t="s">
        <v>9093</v>
      </c>
      <c r="E20" s="1487" t="s">
        <v>9094</v>
      </c>
      <c r="F20" s="1487" t="s">
        <v>4321</v>
      </c>
      <c r="G20" s="1487" t="s">
        <v>9095</v>
      </c>
      <c r="H20" s="1487" t="s">
        <v>9096</v>
      </c>
      <c r="I20" s="1487" t="s">
        <v>5678</v>
      </c>
      <c r="J20" s="1487" t="s">
        <v>6346</v>
      </c>
      <c r="K20" s="1487" t="s">
        <v>9097</v>
      </c>
      <c r="L20" s="1487" t="s">
        <v>4052</v>
      </c>
      <c r="M20" s="1487" t="s">
        <v>1093</v>
      </c>
      <c r="N20" s="1487" t="s">
        <v>9098</v>
      </c>
      <c r="O20" s="1487" t="s">
        <v>800</v>
      </c>
      <c r="P20" s="1483">
        <v>47.54</v>
      </c>
      <c r="Q20" s="1576" t="s">
        <v>5686</v>
      </c>
      <c r="R20" s="1483" t="s">
        <v>9099</v>
      </c>
      <c r="S20" s="1576" t="s">
        <v>8922</v>
      </c>
      <c r="T20" s="1483" t="s">
        <v>9100</v>
      </c>
      <c r="U20" s="1576" t="s">
        <v>9101</v>
      </c>
      <c r="V20" s="1483">
        <v>58.55</v>
      </c>
      <c r="W20" s="1576" t="s">
        <v>9102</v>
      </c>
      <c r="X20" s="1576" t="s">
        <v>9103</v>
      </c>
      <c r="Y20" s="1468" t="s">
        <v>8811</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5695</v>
      </c>
      <c r="AO20" s="1576" t="s">
        <v>6915</v>
      </c>
      <c r="AP20" s="1576" t="s">
        <v>9111</v>
      </c>
      <c r="AQ20" s="1576" t="s">
        <v>7588</v>
      </c>
      <c r="AR20" s="1576" t="s">
        <v>6460</v>
      </c>
      <c r="AS20" s="1577">
        <v>42.83</v>
      </c>
      <c r="AT20" s="1483" t="s">
        <v>8185</v>
      </c>
      <c r="AU20" s="1498" t="s">
        <v>9112</v>
      </c>
      <c r="AV20" s="1379" t="str">
        <f t="shared" si="1"/>
        <v>4:29</v>
      </c>
      <c r="AW20" s="1504" t="s">
        <v>9113</v>
      </c>
    </row>
    <row r="21" ht="15.75" customHeight="1">
      <c r="A21" s="1505" t="s">
        <v>2265</v>
      </c>
      <c r="B21" s="1460" t="s">
        <v>8686</v>
      </c>
      <c r="C21" s="1461">
        <v>0.0499537037037037</v>
      </c>
      <c r="D21" s="1476" t="s">
        <v>9114</v>
      </c>
      <c r="E21" s="1476" t="s">
        <v>2729</v>
      </c>
      <c r="F21" s="1476" t="s">
        <v>9115</v>
      </c>
      <c r="G21" s="1468" t="s">
        <v>9116</v>
      </c>
      <c r="H21" s="1476" t="s">
        <v>9117</v>
      </c>
      <c r="I21" s="1578" t="s">
        <v>9061</v>
      </c>
      <c r="J21" s="1476" t="s">
        <v>1424</v>
      </c>
      <c r="K21" s="1476" t="s">
        <v>5171</v>
      </c>
      <c r="L21" s="1476" t="s">
        <v>9118</v>
      </c>
      <c r="M21" s="1476" t="s">
        <v>9119</v>
      </c>
      <c r="N21" s="1476" t="s">
        <v>9120</v>
      </c>
      <c r="O21" s="1476" t="s">
        <v>9121</v>
      </c>
      <c r="P21" s="1476" t="s">
        <v>6815</v>
      </c>
      <c r="Q21" s="1476" t="s">
        <v>4606</v>
      </c>
      <c r="R21" s="1512" t="s">
        <v>9122</v>
      </c>
      <c r="S21" s="1476" t="s">
        <v>4001</v>
      </c>
      <c r="T21" s="1476" t="s">
        <v>8903</v>
      </c>
      <c r="U21" s="1476" t="s">
        <v>9123</v>
      </c>
      <c r="V21" s="1476" t="s">
        <v>9124</v>
      </c>
      <c r="W21" s="1476" t="s">
        <v>9125</v>
      </c>
      <c r="X21" s="1476" t="s">
        <v>7942</v>
      </c>
      <c r="Y21" s="1476" t="s">
        <v>4365</v>
      </c>
      <c r="Z21" s="1476" t="s">
        <v>9126</v>
      </c>
      <c r="AA21" s="1476" t="s">
        <v>7942</v>
      </c>
      <c r="AB21" s="1476" t="s">
        <v>8898</v>
      </c>
      <c r="AC21" s="1476" t="s">
        <v>5589</v>
      </c>
      <c r="AD21" s="1476" t="s">
        <v>7982</v>
      </c>
      <c r="AE21" s="1476" t="s">
        <v>5899</v>
      </c>
      <c r="AF21" s="1476" t="s">
        <v>9127</v>
      </c>
      <c r="AG21" s="1476" t="s">
        <v>5038</v>
      </c>
      <c r="AH21" s="1476" t="s">
        <v>5190</v>
      </c>
      <c r="AI21" s="1476" t="s">
        <v>9128</v>
      </c>
      <c r="AJ21" s="1467" t="s">
        <v>8704</v>
      </c>
      <c r="AK21" s="1476" t="s">
        <v>2526</v>
      </c>
      <c r="AL21" s="1476" t="s">
        <v>9129</v>
      </c>
      <c r="AM21" s="1476" t="s">
        <v>8833</v>
      </c>
      <c r="AN21" s="1476" t="s">
        <v>558</v>
      </c>
      <c r="AO21" s="1476" t="s">
        <v>9130</v>
      </c>
      <c r="AP21" s="1476" t="s">
        <v>9131</v>
      </c>
      <c r="AQ21" s="1476" t="s">
        <v>4810</v>
      </c>
      <c r="AR21" s="1476" t="s">
        <v>6622</v>
      </c>
      <c r="AS21" s="1476" t="s">
        <v>9132</v>
      </c>
      <c r="AT21" s="1476" t="s">
        <v>3105</v>
      </c>
      <c r="AU21" s="1476" t="s">
        <v>9133</v>
      </c>
      <c r="AV21" s="1379" t="str">
        <f t="shared" si="1"/>
        <v>3:21</v>
      </c>
      <c r="AW21" s="1564" t="s">
        <v>9134</v>
      </c>
    </row>
    <row r="22" ht="15.75" customHeight="1">
      <c r="A22" s="1459" t="s">
        <v>9135</v>
      </c>
      <c r="B22" s="1460" t="s">
        <v>8686</v>
      </c>
      <c r="C22" s="1461">
        <v>0.049965277777777775</v>
      </c>
      <c r="D22" s="772" t="s">
        <v>9136</v>
      </c>
      <c r="E22" s="1476" t="s">
        <v>4331</v>
      </c>
      <c r="F22" s="1476" t="s">
        <v>9137</v>
      </c>
      <c r="G22" s="1476" t="s">
        <v>9138</v>
      </c>
      <c r="H22" s="1379" t="s">
        <v>2289</v>
      </c>
      <c r="I22" s="1476" t="s">
        <v>1392</v>
      </c>
      <c r="J22" s="1476" t="s">
        <v>382</v>
      </c>
      <c r="K22" s="1476" t="s">
        <v>9139</v>
      </c>
      <c r="L22" s="1476" t="s">
        <v>5372</v>
      </c>
      <c r="M22" s="1476" t="s">
        <v>6541</v>
      </c>
      <c r="N22" s="1476" t="s">
        <v>9140</v>
      </c>
      <c r="O22" s="1476" t="s">
        <v>2575</v>
      </c>
      <c r="P22" s="1379" t="s">
        <v>5401</v>
      </c>
      <c r="Q22" s="1476" t="s">
        <v>9141</v>
      </c>
      <c r="R22" s="1476" t="s">
        <v>3284</v>
      </c>
      <c r="S22" s="1476" t="s">
        <v>7826</v>
      </c>
      <c r="T22" s="1476" t="s">
        <v>8466</v>
      </c>
      <c r="U22" s="1476" t="s">
        <v>9142</v>
      </c>
      <c r="V22" s="1476" t="s">
        <v>5010</v>
      </c>
      <c r="W22" s="1476" t="s">
        <v>9143</v>
      </c>
      <c r="X22" s="1379" t="s">
        <v>6921</v>
      </c>
      <c r="Y22" s="1379" t="s">
        <v>5490</v>
      </c>
      <c r="Z22" s="1476" t="s">
        <v>9144</v>
      </c>
      <c r="AA22" s="1476" t="s">
        <v>2331</v>
      </c>
      <c r="AB22" s="1476" t="s">
        <v>9145</v>
      </c>
      <c r="AC22" s="1476" t="s">
        <v>787</v>
      </c>
      <c r="AD22" s="1476" t="s">
        <v>5411</v>
      </c>
      <c r="AE22" s="1476" t="s">
        <v>9146</v>
      </c>
      <c r="AF22" s="1476" t="s">
        <v>949</v>
      </c>
      <c r="AG22" s="1476" t="s">
        <v>9147</v>
      </c>
      <c r="AH22" s="1476" t="s">
        <v>6112</v>
      </c>
      <c r="AI22" s="1476" t="s">
        <v>691</v>
      </c>
      <c r="AJ22" s="1379" t="s">
        <v>9148</v>
      </c>
      <c r="AK22" s="1514" t="s">
        <v>2944</v>
      </c>
      <c r="AL22" s="1476" t="s">
        <v>4598</v>
      </c>
      <c r="AM22" s="1476" t="s">
        <v>3608</v>
      </c>
      <c r="AN22" s="1379" t="s">
        <v>6244</v>
      </c>
      <c r="AO22" s="1379" t="s">
        <v>6622</v>
      </c>
      <c r="AP22" s="1379" t="s">
        <v>9149</v>
      </c>
      <c r="AQ22" s="1379" t="s">
        <v>8794</v>
      </c>
      <c r="AR22" s="1379" t="s">
        <v>492</v>
      </c>
      <c r="AS22" s="1379" t="s">
        <v>5758</v>
      </c>
      <c r="AT22" s="1379" t="s">
        <v>9035</v>
      </c>
      <c r="AU22" s="1476" t="s">
        <v>9150</v>
      </c>
      <c r="AV22" s="1379" t="str">
        <f t="shared" si="1"/>
        <v>3:46</v>
      </c>
      <c r="AW22" s="1545" t="s">
        <v>8261</v>
      </c>
    </row>
    <row r="23" ht="15.75" customHeight="1">
      <c r="A23" s="1579" t="s">
        <v>6302</v>
      </c>
      <c r="B23" s="1460" t="s">
        <v>8686</v>
      </c>
      <c r="C23" s="1461">
        <v>0.05</v>
      </c>
      <c r="D23" s="772" t="s">
        <v>9151</v>
      </c>
      <c r="E23" s="1476" t="s">
        <v>8498</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4954</v>
      </c>
      <c r="AD23" s="1476" t="s">
        <v>9164</v>
      </c>
      <c r="AE23" s="1379" t="s">
        <v>5478</v>
      </c>
      <c r="AF23" s="1580" t="s">
        <v>8702</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8713</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5478</v>
      </c>
      <c r="Q24" s="1550" t="s">
        <v>5843</v>
      </c>
      <c r="R24" s="772" t="s">
        <v>7433</v>
      </c>
      <c r="S24" s="1550" t="s">
        <v>336</v>
      </c>
      <c r="T24" s="1550" t="s">
        <v>8723</v>
      </c>
      <c r="U24" s="772" t="s">
        <v>9178</v>
      </c>
      <c r="V24" s="1550" t="s">
        <v>4085</v>
      </c>
      <c r="W24" s="772" t="s">
        <v>7370</v>
      </c>
      <c r="X24" s="772" t="s">
        <v>5767</v>
      </c>
      <c r="Y24" s="772" t="s">
        <v>5106</v>
      </c>
      <c r="Z24" s="772" t="s">
        <v>1134</v>
      </c>
      <c r="AA24" s="772" t="s">
        <v>9179</v>
      </c>
      <c r="AB24" s="772" t="s">
        <v>2514</v>
      </c>
      <c r="AC24" s="772" t="s">
        <v>1837</v>
      </c>
      <c r="AD24" s="772" t="s">
        <v>6258</v>
      </c>
      <c r="AE24" s="772" t="s">
        <v>3298</v>
      </c>
      <c r="AF24" s="772" t="s">
        <v>8730</v>
      </c>
      <c r="AG24" s="772" t="s">
        <v>9180</v>
      </c>
      <c r="AH24" s="772" t="s">
        <v>4994</v>
      </c>
      <c r="AI24" s="772" t="s">
        <v>3407</v>
      </c>
      <c r="AJ24" s="772" t="s">
        <v>9181</v>
      </c>
      <c r="AK24" s="772" t="s">
        <v>9182</v>
      </c>
      <c r="AL24" s="772" t="s">
        <v>9183</v>
      </c>
      <c r="AM24" s="772" t="s">
        <v>9184</v>
      </c>
      <c r="AN24" s="772" t="s">
        <v>4398</v>
      </c>
      <c r="AO24" s="772" t="s">
        <v>7519</v>
      </c>
      <c r="AP24" s="772" t="s">
        <v>9185</v>
      </c>
      <c r="AQ24" s="772" t="s">
        <v>9186</v>
      </c>
      <c r="AR24" s="772" t="s">
        <v>9187</v>
      </c>
      <c r="AS24" s="772" t="s">
        <v>4651</v>
      </c>
      <c r="AT24" s="772" t="s">
        <v>2934</v>
      </c>
      <c r="AU24" s="1514" t="s">
        <v>8736</v>
      </c>
      <c r="AV24" s="1379" t="str">
        <f t="shared" si="1"/>
        <v>2:51</v>
      </c>
      <c r="AW24" s="1581"/>
    </row>
    <row r="25">
      <c r="A25" s="1505" t="s">
        <v>6597</v>
      </c>
      <c r="B25" s="1500" t="s">
        <v>8713</v>
      </c>
      <c r="C25" s="1461">
        <v>0.05016203703703704</v>
      </c>
      <c r="D25" s="1483" t="s">
        <v>9188</v>
      </c>
      <c r="E25" s="1582" t="s">
        <v>7345</v>
      </c>
      <c r="F25" s="1483" t="s">
        <v>9189</v>
      </c>
      <c r="G25" s="1483" t="s">
        <v>9190</v>
      </c>
      <c r="H25" s="1483" t="s">
        <v>9191</v>
      </c>
      <c r="I25" s="1483" t="s">
        <v>5252</v>
      </c>
      <c r="J25" s="1483" t="s">
        <v>4065</v>
      </c>
      <c r="K25" s="1483" t="s">
        <v>9192</v>
      </c>
      <c r="L25" s="772" t="s">
        <v>5101</v>
      </c>
      <c r="M25" s="1550" t="s">
        <v>8720</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4782</v>
      </c>
      <c r="AD25" s="1483" t="s">
        <v>9201</v>
      </c>
      <c r="AE25" s="1483" t="s">
        <v>9202</v>
      </c>
      <c r="AF25" s="1483" t="s">
        <v>5705</v>
      </c>
      <c r="AG25" s="1483" t="s">
        <v>9203</v>
      </c>
      <c r="AH25" s="1483" t="s">
        <v>4266</v>
      </c>
      <c r="AI25" s="1476" t="s">
        <v>4147</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8686</v>
      </c>
      <c r="C26" s="1461">
        <v>0.05025462962962963</v>
      </c>
      <c r="D26" s="772" t="s">
        <v>9210</v>
      </c>
      <c r="E26" s="1509" t="s">
        <v>9211</v>
      </c>
      <c r="F26" s="1565" t="s">
        <v>9212</v>
      </c>
      <c r="G26" s="1468" t="s">
        <v>9213</v>
      </c>
      <c r="H26" s="1136" t="s">
        <v>9214</v>
      </c>
      <c r="I26" s="1136" t="s">
        <v>1048</v>
      </c>
      <c r="J26" s="1510" t="s">
        <v>8827</v>
      </c>
      <c r="K26" s="1566" t="s">
        <v>7204</v>
      </c>
      <c r="L26" s="1566" t="s">
        <v>5150</v>
      </c>
      <c r="M26" s="1583" t="str">
        <f>HYPERLINK("https://youtu.be/teAIifUZjFw","1:14.18")</f>
        <v>1:14.18</v>
      </c>
      <c r="N26" s="1566" t="s">
        <v>3706</v>
      </c>
      <c r="O26" s="1566" t="s">
        <v>9215</v>
      </c>
      <c r="P26" s="1566" t="s">
        <v>2094</v>
      </c>
      <c r="Q26" s="1567" t="s">
        <v>9216</v>
      </c>
      <c r="R26" s="1512" t="s">
        <v>9217</v>
      </c>
      <c r="S26" s="1512" t="s">
        <v>5434</v>
      </c>
      <c r="T26" s="1584" t="str">
        <f>HYPERLINK("https://youtu.be/AiXricVH5ss","1:24.99")</f>
        <v>1:24.99</v>
      </c>
      <c r="U26" s="1585" t="str">
        <f>HYPERLINK("https://www.twitch.tv/videos/450151935","2:00.31")</f>
        <v>2:00.31</v>
      </c>
      <c r="V26" s="1512" t="s">
        <v>9218</v>
      </c>
      <c r="W26" s="1586" t="str">
        <f>HYPERLINK("https://youtu.be/eafNhBoXVWA","1:46.09")</f>
        <v>1:46.09</v>
      </c>
      <c r="X26" s="1568" t="s">
        <v>4459</v>
      </c>
      <c r="Y26" s="1568" t="s">
        <v>8919</v>
      </c>
      <c r="Z26" s="1568" t="s">
        <v>9219</v>
      </c>
      <c r="AA26" s="1513" t="s">
        <v>8859</v>
      </c>
      <c r="AB26" s="1568" t="s">
        <v>7206</v>
      </c>
      <c r="AC26" s="1568" t="s">
        <v>7797</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8467</v>
      </c>
      <c r="AO26" s="1516" t="s">
        <v>9187</v>
      </c>
      <c r="AP26" s="1515" t="s">
        <v>9225</v>
      </c>
      <c r="AQ26" s="1515" t="s">
        <v>9226</v>
      </c>
      <c r="AR26" s="1516" t="s">
        <v>9227</v>
      </c>
      <c r="AS26" s="1515" t="s">
        <v>5535</v>
      </c>
      <c r="AT26" s="1583" t="str">
        <f>HYPERLINK("https://youtu.be/xDirVtS1AZ4?t=4416","2:27.45")</f>
        <v>2:27.45</v>
      </c>
      <c r="AU26" s="1570" t="s">
        <v>9228</v>
      </c>
      <c r="AV26" s="1379" t="str">
        <f t="shared" si="1"/>
        <v>2:34</v>
      </c>
      <c r="AW26" s="1499" t="s">
        <v>9229</v>
      </c>
    </row>
    <row r="27">
      <c r="A27" s="1505" t="s">
        <v>6584</v>
      </c>
      <c r="B27" s="1500" t="s">
        <v>8686</v>
      </c>
      <c r="C27" s="1461">
        <v>0.0502662037037037</v>
      </c>
      <c r="D27" s="772" t="s">
        <v>9230</v>
      </c>
      <c r="E27" s="1476" t="s">
        <v>8848</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5010</v>
      </c>
      <c r="W27" s="772" t="s">
        <v>7372</v>
      </c>
      <c r="X27" s="772" t="s">
        <v>6921</v>
      </c>
      <c r="Y27" s="772" t="s">
        <v>885</v>
      </c>
      <c r="Z27" s="772" t="s">
        <v>9241</v>
      </c>
      <c r="AA27" s="1476" t="s">
        <v>9242</v>
      </c>
      <c r="AB27" s="772" t="s">
        <v>7796</v>
      </c>
      <c r="AC27" s="1476" t="s">
        <v>9175</v>
      </c>
      <c r="AD27" s="772" t="s">
        <v>6283</v>
      </c>
      <c r="AE27" s="1476" t="s">
        <v>9243</v>
      </c>
      <c r="AF27" s="1476" t="s">
        <v>9244</v>
      </c>
      <c r="AG27" s="772" t="s">
        <v>2053</v>
      </c>
      <c r="AH27" s="772" t="s">
        <v>2600</v>
      </c>
      <c r="AI27" s="1476" t="s">
        <v>9245</v>
      </c>
      <c r="AJ27" s="772" t="s">
        <v>9246</v>
      </c>
      <c r="AK27" s="772" t="s">
        <v>8698</v>
      </c>
      <c r="AL27" s="772" t="s">
        <v>4598</v>
      </c>
      <c r="AM27" s="772" t="s">
        <v>9247</v>
      </c>
      <c r="AN27" s="772" t="s">
        <v>4598</v>
      </c>
      <c r="AO27" s="772" t="s">
        <v>1849</v>
      </c>
      <c r="AP27" s="1476" t="s">
        <v>9248</v>
      </c>
      <c r="AQ27" s="772" t="s">
        <v>2189</v>
      </c>
      <c r="AR27" s="1476" t="s">
        <v>8583</v>
      </c>
      <c r="AS27" s="772" t="s">
        <v>1907</v>
      </c>
      <c r="AT27" s="1476" t="s">
        <v>9249</v>
      </c>
      <c r="AU27" s="1476" t="s">
        <v>9250</v>
      </c>
      <c r="AV27" s="1379" t="str">
        <f t="shared" si="1"/>
        <v>2:28</v>
      </c>
      <c r="AW27" s="1501" t="s">
        <v>9251</v>
      </c>
    </row>
    <row r="28">
      <c r="A28" s="1505" t="s">
        <v>9252</v>
      </c>
      <c r="B28" s="1588" t="s">
        <v>8686</v>
      </c>
      <c r="C28" s="1461">
        <v>0.0503125</v>
      </c>
      <c r="D28" s="772" t="s">
        <v>9253</v>
      </c>
      <c r="E28" s="1509" t="s">
        <v>9254</v>
      </c>
      <c r="F28" s="1509" t="s">
        <v>9255</v>
      </c>
      <c r="G28" s="1509" t="s">
        <v>8296</v>
      </c>
      <c r="H28" s="1086" t="s">
        <v>9256</v>
      </c>
      <c r="I28" s="1086" t="s">
        <v>7175</v>
      </c>
      <c r="J28" s="1510" t="s">
        <v>1845</v>
      </c>
      <c r="K28" s="1510" t="s">
        <v>6046</v>
      </c>
      <c r="L28" s="1510" t="s">
        <v>3452</v>
      </c>
      <c r="M28" s="1510" t="s">
        <v>9257</v>
      </c>
      <c r="N28" s="1510" t="s">
        <v>9258</v>
      </c>
      <c r="O28" s="1510" t="s">
        <v>4134</v>
      </c>
      <c r="P28" s="1510" t="s">
        <v>4739</v>
      </c>
      <c r="Q28" s="1512" t="s">
        <v>9259</v>
      </c>
      <c r="R28" s="1512" t="s">
        <v>9260</v>
      </c>
      <c r="S28" s="1512" t="s">
        <v>550</v>
      </c>
      <c r="T28" s="1512" t="s">
        <v>9261</v>
      </c>
      <c r="U28" s="1512" t="s">
        <v>9262</v>
      </c>
      <c r="V28" s="1512" t="s">
        <v>9263</v>
      </c>
      <c r="W28" s="1513" t="s">
        <v>9264</v>
      </c>
      <c r="X28" s="1513" t="s">
        <v>4459</v>
      </c>
      <c r="Y28" s="1513" t="s">
        <v>1556</v>
      </c>
      <c r="Z28" s="1513" t="s">
        <v>2402</v>
      </c>
      <c r="AA28" s="1513" t="s">
        <v>9265</v>
      </c>
      <c r="AB28" s="1513" t="s">
        <v>3736</v>
      </c>
      <c r="AC28" s="1513" t="s">
        <v>9266</v>
      </c>
      <c r="AD28" s="1509" t="s">
        <v>9267</v>
      </c>
      <c r="AE28" s="1509" t="s">
        <v>5899</v>
      </c>
      <c r="AF28" s="1514" t="s">
        <v>9268</v>
      </c>
      <c r="AG28" s="1514" t="s">
        <v>8012</v>
      </c>
      <c r="AH28" s="1514" t="s">
        <v>9269</v>
      </c>
      <c r="AI28" s="1514" t="s">
        <v>5121</v>
      </c>
      <c r="AJ28" s="1514" t="s">
        <v>9270</v>
      </c>
      <c r="AK28" s="1514" t="s">
        <v>9271</v>
      </c>
      <c r="AL28" s="1514" t="s">
        <v>8910</v>
      </c>
      <c r="AM28" s="1516" t="s">
        <v>8955</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8713</v>
      </c>
      <c r="C29" s="1461">
        <v>0.05042824074074074</v>
      </c>
      <c r="D29" s="772" t="s">
        <v>9022</v>
      </c>
      <c r="E29" s="1509" t="s">
        <v>6330</v>
      </c>
      <c r="F29" s="1509" t="s">
        <v>9279</v>
      </c>
      <c r="G29" s="1565" t="s">
        <v>9280</v>
      </c>
      <c r="H29" s="1136" t="s">
        <v>9281</v>
      </c>
      <c r="I29" s="1086" t="s">
        <v>3350</v>
      </c>
      <c r="J29" s="1510" t="s">
        <v>4843</v>
      </c>
      <c r="K29" s="1510" t="s">
        <v>9192</v>
      </c>
      <c r="L29" s="1510" t="s">
        <v>2471</v>
      </c>
      <c r="M29" s="1510" t="s">
        <v>2042</v>
      </c>
      <c r="N29" s="1510" t="s">
        <v>4177</v>
      </c>
      <c r="O29" s="1510" t="s">
        <v>9282</v>
      </c>
      <c r="P29" s="1566" t="s">
        <v>761</v>
      </c>
      <c r="Q29" s="1512" t="s">
        <v>9283</v>
      </c>
      <c r="R29" s="1512" t="s">
        <v>3422</v>
      </c>
      <c r="S29" s="1512" t="s">
        <v>7755</v>
      </c>
      <c r="T29" s="1567" t="s">
        <v>8881</v>
      </c>
      <c r="U29" s="1512" t="s">
        <v>8831</v>
      </c>
      <c r="V29" s="1567" t="s">
        <v>4977</v>
      </c>
      <c r="W29" s="1568" t="s">
        <v>7554</v>
      </c>
      <c r="X29" s="1513" t="s">
        <v>2572</v>
      </c>
      <c r="Y29" s="1568" t="s">
        <v>9284</v>
      </c>
      <c r="Z29" s="1513" t="s">
        <v>9285</v>
      </c>
      <c r="AA29" s="1568" t="s">
        <v>9286</v>
      </c>
      <c r="AB29" s="772" t="s">
        <v>7628</v>
      </c>
      <c r="AC29" s="1568" t="s">
        <v>3584</v>
      </c>
      <c r="AD29" s="1556" t="s">
        <v>8726</v>
      </c>
      <c r="AE29" s="1509" t="s">
        <v>3298</v>
      </c>
      <c r="AF29" s="1514" t="s">
        <v>9287</v>
      </c>
      <c r="AG29" s="1569" t="s">
        <v>3894</v>
      </c>
      <c r="AH29" s="1569" t="s">
        <v>6108</v>
      </c>
      <c r="AI29" s="1379" t="s">
        <v>9242</v>
      </c>
      <c r="AJ29" s="1569" t="s">
        <v>9288</v>
      </c>
      <c r="AK29" s="1589" t="s">
        <v>8731</v>
      </c>
      <c r="AL29" s="1569" t="s">
        <v>3589</v>
      </c>
      <c r="AM29" s="1516" t="s">
        <v>9289</v>
      </c>
      <c r="AN29" s="1516" t="s">
        <v>5089</v>
      </c>
      <c r="AO29" s="1516" t="s">
        <v>2076</v>
      </c>
      <c r="AP29" s="1516" t="s">
        <v>9290</v>
      </c>
      <c r="AQ29" s="1515" t="s">
        <v>9291</v>
      </c>
      <c r="AR29" s="1515" t="s">
        <v>3636</v>
      </c>
      <c r="AS29" s="1515" t="s">
        <v>5187</v>
      </c>
      <c r="AT29" s="1510" t="s">
        <v>9292</v>
      </c>
      <c r="AU29" s="1498" t="s">
        <v>9293</v>
      </c>
      <c r="AV29" s="1379" t="str">
        <f t="shared" si="1"/>
        <v>2:55</v>
      </c>
      <c r="AW29" s="1590"/>
    </row>
    <row r="30" ht="15.75" customHeight="1">
      <c r="A30" s="1459" t="s">
        <v>4357</v>
      </c>
      <c r="B30" s="1460" t="s">
        <v>8686</v>
      </c>
      <c r="C30" s="1591">
        <v>0.05043981481481481</v>
      </c>
      <c r="D30" s="772" t="s">
        <v>9294</v>
      </c>
      <c r="E30" s="1379" t="s">
        <v>7524</v>
      </c>
      <c r="F30" s="1379" t="s">
        <v>1583</v>
      </c>
      <c r="G30" s="1379" t="s">
        <v>9295</v>
      </c>
      <c r="H30" s="1379" t="s">
        <v>8872</v>
      </c>
      <c r="I30" s="1379" t="s">
        <v>840</v>
      </c>
      <c r="J30" s="1379" t="s">
        <v>4469</v>
      </c>
      <c r="K30" s="1379" t="s">
        <v>9139</v>
      </c>
      <c r="L30" s="1379" t="s">
        <v>3938</v>
      </c>
      <c r="M30" s="1379" t="s">
        <v>9296</v>
      </c>
      <c r="N30" s="1379" t="s">
        <v>8723</v>
      </c>
      <c r="O30" s="1379" t="s">
        <v>9297</v>
      </c>
      <c r="P30" s="1379" t="s">
        <v>5324</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4843</v>
      </c>
      <c r="AC30" s="1379" t="s">
        <v>7797</v>
      </c>
      <c r="AD30" s="1379" t="s">
        <v>6258</v>
      </c>
      <c r="AE30" s="1379" t="s">
        <v>5504</v>
      </c>
      <c r="AF30" s="1379" t="s">
        <v>9305</v>
      </c>
      <c r="AG30" s="1379" t="s">
        <v>5889</v>
      </c>
      <c r="AH30" s="1379" t="s">
        <v>4034</v>
      </c>
      <c r="AI30" s="1379" t="s">
        <v>5121</v>
      </c>
      <c r="AJ30" s="1379" t="s">
        <v>9306</v>
      </c>
      <c r="AK30" s="1379" t="s">
        <v>9307</v>
      </c>
      <c r="AL30" s="1379" t="s">
        <v>5983</v>
      </c>
      <c r="AM30" s="1379" t="s">
        <v>1236</v>
      </c>
      <c r="AN30" s="1379" t="s">
        <v>4180</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8686</v>
      </c>
      <c r="C31" s="1461">
        <v>0.050486111111111114</v>
      </c>
      <c r="D31" s="1509" t="s">
        <v>9313</v>
      </c>
      <c r="E31" s="1509" t="s">
        <v>4240</v>
      </c>
      <c r="F31" s="1509" t="s">
        <v>9314</v>
      </c>
      <c r="G31" s="1509" t="s">
        <v>9315</v>
      </c>
      <c r="H31" s="772" t="s">
        <v>9316</v>
      </c>
      <c r="I31" s="1086" t="s">
        <v>930</v>
      </c>
      <c r="J31" s="1510" t="s">
        <v>5805</v>
      </c>
      <c r="K31" s="1510" t="s">
        <v>8025</v>
      </c>
      <c r="L31" s="1510" t="s">
        <v>6487</v>
      </c>
      <c r="M31" s="1510" t="s">
        <v>5001</v>
      </c>
      <c r="N31" s="1510" t="s">
        <v>9317</v>
      </c>
      <c r="O31" s="1510" t="s">
        <v>9318</v>
      </c>
      <c r="P31" s="1510" t="s">
        <v>9061</v>
      </c>
      <c r="Q31" s="1512" t="s">
        <v>170</v>
      </c>
      <c r="R31" s="1512" t="s">
        <v>4791</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7604</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8686</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7604</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7797</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5526</v>
      </c>
      <c r="AT32" s="1583" t="str">
        <f>HYPERLINK("https://www.youtube.com/watch?v=H67SXBLcISI","2:29.09")</f>
        <v>2:29.09</v>
      </c>
      <c r="AU32" s="1570" t="s">
        <v>9349</v>
      </c>
      <c r="AV32" s="1379" t="str">
        <f t="shared" si="1"/>
        <v>2:03</v>
      </c>
      <c r="AW32" s="1595" t="s">
        <v>9350</v>
      </c>
    </row>
    <row r="33">
      <c r="A33" s="1505" t="s">
        <v>3080</v>
      </c>
      <c r="B33" s="1503" t="s">
        <v>8713</v>
      </c>
      <c r="C33" s="1461">
        <v>0.050520833333333334</v>
      </c>
      <c r="D33" s="1509" t="s">
        <v>9351</v>
      </c>
      <c r="E33" s="1575" t="s">
        <v>4583</v>
      </c>
      <c r="F33" s="1575" t="s">
        <v>8733</v>
      </c>
      <c r="G33" s="1509" t="s">
        <v>9352</v>
      </c>
      <c r="H33" s="1575" t="s">
        <v>9353</v>
      </c>
      <c r="I33" s="1575" t="s">
        <v>3104</v>
      </c>
      <c r="J33" s="1510" t="s">
        <v>9354</v>
      </c>
      <c r="K33" s="1596" t="s">
        <v>9355</v>
      </c>
      <c r="L33" s="1510" t="s">
        <v>9356</v>
      </c>
      <c r="M33" s="1468" t="s">
        <v>5724</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8828</v>
      </c>
      <c r="AA33" s="1476" t="s">
        <v>9362</v>
      </c>
      <c r="AB33" s="1513" t="s">
        <v>4130</v>
      </c>
      <c r="AC33" s="1513" t="s">
        <v>946</v>
      </c>
      <c r="AD33" s="1509" t="s">
        <v>3854</v>
      </c>
      <c r="AE33" s="1509" t="s">
        <v>5874</v>
      </c>
      <c r="AF33" s="1514" t="s">
        <v>9363</v>
      </c>
      <c r="AG33" s="1575" t="s">
        <v>4620</v>
      </c>
      <c r="AH33" s="1514" t="s">
        <v>9364</v>
      </c>
      <c r="AI33" s="1514" t="s">
        <v>6916</v>
      </c>
      <c r="AJ33" s="1514" t="s">
        <v>9365</v>
      </c>
      <c r="AK33" s="1514" t="s">
        <v>9366</v>
      </c>
      <c r="AL33" s="1514" t="s">
        <v>9367</v>
      </c>
      <c r="AM33" s="1516" t="s">
        <v>8881</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8686</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4888</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5590</v>
      </c>
      <c r="AI34" s="1514" t="s">
        <v>9395</v>
      </c>
      <c r="AJ34" s="1514" t="s">
        <v>9396</v>
      </c>
      <c r="AK34" s="1514" t="s">
        <v>4459</v>
      </c>
      <c r="AL34" s="1514" t="s">
        <v>5669</v>
      </c>
      <c r="AM34" s="1516" t="s">
        <v>2064</v>
      </c>
      <c r="AN34" s="1516" t="s">
        <v>4605</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8686</v>
      </c>
      <c r="C35" s="1461">
        <v>0.050555555555555555</v>
      </c>
      <c r="D35" s="772" t="s">
        <v>9402</v>
      </c>
      <c r="E35" s="772" t="s">
        <v>9403</v>
      </c>
      <c r="F35" s="772" t="s">
        <v>9404</v>
      </c>
      <c r="G35" s="772" t="s">
        <v>9405</v>
      </c>
      <c r="H35" s="772" t="s">
        <v>9406</v>
      </c>
      <c r="I35" s="772" t="s">
        <v>9407</v>
      </c>
      <c r="J35" s="772" t="s">
        <v>1305</v>
      </c>
      <c r="K35" s="772" t="s">
        <v>9408</v>
      </c>
      <c r="L35" s="772" t="s">
        <v>4234</v>
      </c>
      <c r="M35" s="772" t="s">
        <v>4157</v>
      </c>
      <c r="N35" s="772" t="s">
        <v>9409</v>
      </c>
      <c r="O35" s="772" t="s">
        <v>9410</v>
      </c>
      <c r="P35" s="772" t="s">
        <v>9411</v>
      </c>
      <c r="Q35" s="772" t="s">
        <v>9412</v>
      </c>
      <c r="R35" s="772" t="s">
        <v>2077</v>
      </c>
      <c r="S35" s="772" t="s">
        <v>9413</v>
      </c>
      <c r="T35" s="772" t="s">
        <v>9271</v>
      </c>
      <c r="U35" s="772" t="s">
        <v>9414</v>
      </c>
      <c r="V35" s="772" t="s">
        <v>9415</v>
      </c>
      <c r="W35" s="772" t="s">
        <v>4710</v>
      </c>
      <c r="X35" s="772" t="s">
        <v>9416</v>
      </c>
      <c r="Y35" s="772" t="s">
        <v>5106</v>
      </c>
      <c r="Z35" s="772" t="s">
        <v>9417</v>
      </c>
      <c r="AA35" s="772" t="s">
        <v>9418</v>
      </c>
      <c r="AB35" s="772" t="s">
        <v>9419</v>
      </c>
      <c r="AC35" s="772" t="s">
        <v>7797</v>
      </c>
      <c r="AD35" s="772" t="s">
        <v>9420</v>
      </c>
      <c r="AE35" s="772" t="s">
        <v>8857</v>
      </c>
      <c r="AF35" s="772" t="s">
        <v>9421</v>
      </c>
      <c r="AG35" s="772" t="s">
        <v>5102</v>
      </c>
      <c r="AH35" s="772" t="s">
        <v>4430</v>
      </c>
      <c r="AI35" s="772" t="s">
        <v>9422</v>
      </c>
      <c r="AJ35" s="772" t="s">
        <v>9423</v>
      </c>
      <c r="AK35" s="772" t="s">
        <v>1766</v>
      </c>
      <c r="AL35" s="772" t="s">
        <v>9424</v>
      </c>
      <c r="AM35" s="772" t="s">
        <v>3976</v>
      </c>
      <c r="AN35" s="772" t="s">
        <v>4013</v>
      </c>
      <c r="AO35" s="772" t="s">
        <v>6334</v>
      </c>
      <c r="AP35" s="772" t="s">
        <v>9425</v>
      </c>
      <c r="AQ35" s="772" t="s">
        <v>9426</v>
      </c>
      <c r="AR35" s="772" t="s">
        <v>8959</v>
      </c>
      <c r="AS35" s="772" t="s">
        <v>841</v>
      </c>
      <c r="AT35" s="772" t="s">
        <v>9427</v>
      </c>
      <c r="AU35" s="1498" t="s">
        <v>9312</v>
      </c>
      <c r="AV35" s="1379" t="str">
        <f t="shared" si="1"/>
        <v>2:26</v>
      </c>
      <c r="AW35" s="1504" t="s">
        <v>9428</v>
      </c>
    </row>
    <row r="36" ht="15.75" customHeight="1">
      <c r="A36" s="1459" t="s">
        <v>741</v>
      </c>
      <c r="B36" s="1562" t="s">
        <v>8713</v>
      </c>
      <c r="C36" s="1461">
        <v>0.05056712962962963</v>
      </c>
      <c r="D36" s="1550" t="s">
        <v>8714</v>
      </c>
      <c r="E36" s="1565" t="s">
        <v>9211</v>
      </c>
      <c r="F36" s="1582" t="s">
        <v>8715</v>
      </c>
      <c r="G36" s="1476" t="s">
        <v>9429</v>
      </c>
      <c r="H36" s="1476" t="s">
        <v>9430</v>
      </c>
      <c r="I36" s="1582" t="s">
        <v>8718</v>
      </c>
      <c r="J36" s="1476" t="s">
        <v>1108</v>
      </c>
      <c r="K36" s="1476" t="s">
        <v>4854</v>
      </c>
      <c r="L36" s="1476" t="s">
        <v>2291</v>
      </c>
      <c r="M36" s="1476" t="s">
        <v>2205</v>
      </c>
      <c r="N36" s="1476" t="s">
        <v>9166</v>
      </c>
      <c r="O36" s="1476" t="s">
        <v>9431</v>
      </c>
      <c r="P36" s="1476" t="s">
        <v>3915</v>
      </c>
      <c r="Q36" s="1476" t="s">
        <v>9432</v>
      </c>
      <c r="R36" s="1476" t="s">
        <v>3101</v>
      </c>
      <c r="S36" s="1476" t="s">
        <v>8981</v>
      </c>
      <c r="T36" s="1476" t="s">
        <v>2359</v>
      </c>
      <c r="U36" s="1476" t="s">
        <v>8916</v>
      </c>
      <c r="V36" s="1476" t="s">
        <v>2732</v>
      </c>
      <c r="W36" s="1476" t="s">
        <v>9433</v>
      </c>
      <c r="X36" s="1476" t="s">
        <v>9434</v>
      </c>
      <c r="Y36" s="1476" t="s">
        <v>865</v>
      </c>
      <c r="Z36" s="1476" t="s">
        <v>9083</v>
      </c>
      <c r="AA36" s="1476" t="s">
        <v>7604</v>
      </c>
      <c r="AB36" s="1476" t="s">
        <v>6121</v>
      </c>
      <c r="AC36" s="1379" t="s">
        <v>537</v>
      </c>
      <c r="AD36" s="1476" t="s">
        <v>9435</v>
      </c>
      <c r="AE36" s="1476" t="s">
        <v>9202</v>
      </c>
      <c r="AF36" s="1476" t="s">
        <v>9436</v>
      </c>
      <c r="AG36" s="1476" t="s">
        <v>9271</v>
      </c>
      <c r="AH36" s="1476" t="s">
        <v>2888</v>
      </c>
      <c r="AI36" s="1476" t="s">
        <v>9437</v>
      </c>
      <c r="AJ36" s="1476" t="s">
        <v>3244</v>
      </c>
      <c r="AK36" s="1476" t="s">
        <v>5222</v>
      </c>
      <c r="AL36" s="1476" t="s">
        <v>4180</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8713</v>
      </c>
      <c r="C37" s="1591">
        <v>0.05056712962962963</v>
      </c>
      <c r="D37" s="772" t="s">
        <v>9442</v>
      </c>
      <c r="E37" s="1379" t="s">
        <v>9443</v>
      </c>
      <c r="F37" s="1379" t="s">
        <v>9142</v>
      </c>
      <c r="G37" s="1379" t="s">
        <v>9444</v>
      </c>
      <c r="H37" s="1379" t="s">
        <v>4433</v>
      </c>
      <c r="I37" s="1379" t="s">
        <v>1187</v>
      </c>
      <c r="J37" s="1476" t="s">
        <v>3503</v>
      </c>
      <c r="K37" s="1476" t="s">
        <v>3503</v>
      </c>
      <c r="L37" s="1379" t="s">
        <v>9445</v>
      </c>
      <c r="M37" s="1379" t="s">
        <v>9446</v>
      </c>
      <c r="N37" s="1379" t="s">
        <v>9088</v>
      </c>
      <c r="O37" s="1582" t="s">
        <v>8721</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8934</v>
      </c>
      <c r="AC37" s="1379" t="s">
        <v>4462</v>
      </c>
      <c r="AD37" s="1379" t="s">
        <v>2323</v>
      </c>
      <c r="AE37" s="1379" t="s">
        <v>9390</v>
      </c>
      <c r="AF37" s="1379" t="s">
        <v>9452</v>
      </c>
      <c r="AG37" s="1379" t="s">
        <v>9453</v>
      </c>
      <c r="AH37" s="1379" t="s">
        <v>4450</v>
      </c>
      <c r="AI37" s="1379" t="s">
        <v>3733</v>
      </c>
      <c r="AJ37" s="1379" t="s">
        <v>9454</v>
      </c>
      <c r="AK37" s="1379" t="s">
        <v>1166</v>
      </c>
      <c r="AL37" s="1379" t="s">
        <v>9269</v>
      </c>
      <c r="AM37" s="1379" t="s">
        <v>876</v>
      </c>
      <c r="AN37" s="1476" t="s">
        <v>9455</v>
      </c>
      <c r="AO37" s="1476" t="s">
        <v>3503</v>
      </c>
      <c r="AP37" s="1379" t="s">
        <v>5345</v>
      </c>
      <c r="AQ37" s="1379" t="s">
        <v>252</v>
      </c>
      <c r="AR37" s="1379" t="s">
        <v>4777</v>
      </c>
      <c r="AS37" s="1379" t="s">
        <v>9456</v>
      </c>
      <c r="AT37" s="1379" t="s">
        <v>9457</v>
      </c>
      <c r="AU37" s="1476" t="s">
        <v>9458</v>
      </c>
      <c r="AV37" s="1379" t="str">
        <f t="shared" si="1"/>
        <v>3:07</v>
      </c>
      <c r="AW37" s="1545" t="s">
        <v>9459</v>
      </c>
    </row>
    <row r="38" ht="15.75" customHeight="1">
      <c r="A38" s="1459" t="s">
        <v>4230</v>
      </c>
      <c r="B38" s="1460" t="s">
        <v>8686</v>
      </c>
      <c r="C38" s="1591">
        <v>0.05060185185185185</v>
      </c>
      <c r="D38" s="772" t="s">
        <v>9460</v>
      </c>
      <c r="E38" s="1565" t="s">
        <v>3282</v>
      </c>
      <c r="F38" s="1565" t="s">
        <v>6063</v>
      </c>
      <c r="G38" s="1565" t="s">
        <v>9461</v>
      </c>
      <c r="H38" s="1136" t="s">
        <v>9462</v>
      </c>
      <c r="I38" s="1136" t="s">
        <v>4765</v>
      </c>
      <c r="J38" s="1566" t="s">
        <v>8873</v>
      </c>
      <c r="K38" s="1566" t="s">
        <v>8025</v>
      </c>
      <c r="L38" s="1566" t="s">
        <v>5505</v>
      </c>
      <c r="M38" s="1566" t="s">
        <v>9463</v>
      </c>
      <c r="N38" s="1566" t="s">
        <v>5298</v>
      </c>
      <c r="O38" s="1566" t="s">
        <v>9464</v>
      </c>
      <c r="P38" s="1566" t="s">
        <v>5899</v>
      </c>
      <c r="Q38" s="1567" t="s">
        <v>9465</v>
      </c>
      <c r="R38" s="1567" t="s">
        <v>5452</v>
      </c>
      <c r="S38" s="1567" t="s">
        <v>6619</v>
      </c>
      <c r="T38" s="1567" t="s">
        <v>9466</v>
      </c>
      <c r="U38" s="1567" t="s">
        <v>6193</v>
      </c>
      <c r="V38" s="1567" t="s">
        <v>3817</v>
      </c>
      <c r="W38" s="1568" t="s">
        <v>9467</v>
      </c>
      <c r="X38" s="1568" t="s">
        <v>8015</v>
      </c>
      <c r="Y38" s="1568" t="s">
        <v>5064</v>
      </c>
      <c r="Z38" s="1568" t="s">
        <v>1845</v>
      </c>
      <c r="AA38" s="1568" t="s">
        <v>9468</v>
      </c>
      <c r="AB38" s="1568" t="s">
        <v>8934</v>
      </c>
      <c r="AC38" s="1568" t="s">
        <v>5506</v>
      </c>
      <c r="AD38" s="1565" t="s">
        <v>6512</v>
      </c>
      <c r="AE38" s="1565" t="s">
        <v>6815</v>
      </c>
      <c r="AF38" s="1569" t="s">
        <v>9469</v>
      </c>
      <c r="AG38" s="1569" t="s">
        <v>9394</v>
      </c>
      <c r="AH38" s="1569" t="s">
        <v>7257</v>
      </c>
      <c r="AI38" s="1569" t="s">
        <v>5501</v>
      </c>
      <c r="AJ38" s="1569" t="s">
        <v>9470</v>
      </c>
      <c r="AK38" s="1569" t="s">
        <v>9471</v>
      </c>
      <c r="AL38" s="1569" t="s">
        <v>9472</v>
      </c>
      <c r="AM38" s="1515" t="s">
        <v>9473</v>
      </c>
      <c r="AN38" s="1515" t="s">
        <v>9474</v>
      </c>
      <c r="AO38" s="1515" t="s">
        <v>9475</v>
      </c>
      <c r="AP38" s="1515" t="s">
        <v>9476</v>
      </c>
      <c r="AQ38" s="1515" t="s">
        <v>9333</v>
      </c>
      <c r="AR38" s="1515" t="s">
        <v>9477</v>
      </c>
      <c r="AS38" s="1515" t="s">
        <v>4349</v>
      </c>
      <c r="AT38" s="1566" t="s">
        <v>9478</v>
      </c>
      <c r="AU38" s="1570" t="s">
        <v>9479</v>
      </c>
      <c r="AV38" s="1379" t="str">
        <f t="shared" si="1"/>
        <v>1:56</v>
      </c>
      <c r="AW38" s="1590"/>
    </row>
    <row r="39" ht="15.75" customHeight="1">
      <c r="A39" s="1473" t="s">
        <v>902</v>
      </c>
      <c r="B39" s="1460" t="s">
        <v>8686</v>
      </c>
      <c r="C39" s="1461">
        <v>0.05061342592592592</v>
      </c>
      <c r="D39" s="772" t="s">
        <v>9480</v>
      </c>
      <c r="E39" s="1476" t="s">
        <v>8848</v>
      </c>
      <c r="F39" s="1476" t="s">
        <v>5385</v>
      </c>
      <c r="G39" s="1379" t="s">
        <v>9481</v>
      </c>
      <c r="H39" s="1476" t="s">
        <v>9482</v>
      </c>
      <c r="I39" s="1476" t="s">
        <v>388</v>
      </c>
      <c r="J39" s="1476" t="s">
        <v>6918</v>
      </c>
      <c r="K39" s="1379" t="s">
        <v>9139</v>
      </c>
      <c r="L39" s="1476" t="s">
        <v>9483</v>
      </c>
      <c r="M39" s="1476" t="s">
        <v>9484</v>
      </c>
      <c r="N39" s="1476" t="s">
        <v>4356</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5667</v>
      </c>
      <c r="Y39" s="1379" t="s">
        <v>5490</v>
      </c>
      <c r="Z39" s="1476" t="s">
        <v>1509</v>
      </c>
      <c r="AA39" s="1476" t="s">
        <v>9489</v>
      </c>
      <c r="AB39" s="1476" t="s">
        <v>9490</v>
      </c>
      <c r="AC39" s="1476" t="s">
        <v>1048</v>
      </c>
      <c r="AD39" s="1476" t="s">
        <v>9491</v>
      </c>
      <c r="AE39" s="1466" t="s">
        <v>4603</v>
      </c>
      <c r="AF39" s="1379" t="s">
        <v>9492</v>
      </c>
      <c r="AG39" s="1476" t="s">
        <v>2075</v>
      </c>
      <c r="AH39" s="1476" t="s">
        <v>3038</v>
      </c>
      <c r="AI39" s="1476" t="s">
        <v>9493</v>
      </c>
      <c r="AJ39" s="1379" t="s">
        <v>8270</v>
      </c>
      <c r="AK39" s="1476" t="s">
        <v>9494</v>
      </c>
      <c r="AL39" s="1379" t="s">
        <v>4366</v>
      </c>
      <c r="AM39" s="1379" t="s">
        <v>9495</v>
      </c>
      <c r="AN39" s="1379" t="s">
        <v>2509</v>
      </c>
      <c r="AO39" s="1476" t="s">
        <v>5201</v>
      </c>
      <c r="AP39" s="1476" t="s">
        <v>9496</v>
      </c>
      <c r="AQ39" s="1476" t="s">
        <v>9497</v>
      </c>
      <c r="AR39" s="1476" t="s">
        <v>1305</v>
      </c>
      <c r="AS39" s="1476" t="s">
        <v>4734</v>
      </c>
      <c r="AT39" s="1476" t="s">
        <v>9498</v>
      </c>
      <c r="AU39" s="1476" t="s">
        <v>9499</v>
      </c>
      <c r="AV39" s="1379" t="str">
        <f t="shared" si="1"/>
        <v>2:25</v>
      </c>
      <c r="AW39" s="1501"/>
    </row>
    <row r="40">
      <c r="A40" s="1473" t="s">
        <v>9500</v>
      </c>
      <c r="B40" s="1500" t="s">
        <v>8686</v>
      </c>
      <c r="C40" s="1461">
        <v>0.050625</v>
      </c>
      <c r="D40" s="1598" t="s">
        <v>9501</v>
      </c>
      <c r="E40" s="1476" t="s">
        <v>4688</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4625</v>
      </c>
      <c r="R40" s="1476" t="s">
        <v>3911</v>
      </c>
      <c r="S40" s="1476" t="s">
        <v>2612</v>
      </c>
      <c r="T40" s="1476" t="s">
        <v>2359</v>
      </c>
      <c r="U40" s="1476" t="s">
        <v>9509</v>
      </c>
      <c r="V40" s="1476" t="s">
        <v>2176</v>
      </c>
      <c r="W40" s="1476" t="s">
        <v>7848</v>
      </c>
      <c r="X40" s="1476" t="s">
        <v>9510</v>
      </c>
      <c r="Y40" s="1476" t="s">
        <v>9511</v>
      </c>
      <c r="Z40" s="1476" t="s">
        <v>9512</v>
      </c>
      <c r="AA40" s="1476" t="s">
        <v>9513</v>
      </c>
      <c r="AB40" s="1476"/>
      <c r="AC40" s="1476" t="s">
        <v>9514</v>
      </c>
      <c r="AD40" s="1476" t="s">
        <v>9515</v>
      </c>
      <c r="AE40" s="1476" t="s">
        <v>4935</v>
      </c>
      <c r="AF40" s="1476" t="s">
        <v>9516</v>
      </c>
      <c r="AG40" s="1476" t="s">
        <v>9517</v>
      </c>
      <c r="AH40" s="1476" t="s">
        <v>9518</v>
      </c>
      <c r="AI40" s="1476" t="s">
        <v>728</v>
      </c>
      <c r="AJ40" s="1476" t="s">
        <v>9519</v>
      </c>
      <c r="AK40" s="1476" t="s">
        <v>9520</v>
      </c>
      <c r="AL40" s="1476" t="s">
        <v>9521</v>
      </c>
      <c r="AM40" s="1476" t="s">
        <v>9522</v>
      </c>
      <c r="AN40" s="1476" t="s">
        <v>8763</v>
      </c>
      <c r="AO40" s="1476" t="s">
        <v>9523</v>
      </c>
      <c r="AP40" s="1476" t="s">
        <v>9524</v>
      </c>
      <c r="AQ40" s="1476" t="s">
        <v>9525</v>
      </c>
      <c r="AR40" s="1476" t="s">
        <v>6624</v>
      </c>
      <c r="AS40" s="1476" t="s">
        <v>5851</v>
      </c>
      <c r="AT40" s="1476" t="s">
        <v>8350</v>
      </c>
      <c r="AU40" s="1476" t="s">
        <v>9526</v>
      </c>
      <c r="AV40" s="1379" t="str">
        <f t="shared" si="1"/>
        <v>2:05</v>
      </c>
      <c r="AW40" s="1545"/>
    </row>
    <row r="41">
      <c r="A41" s="1473" t="s">
        <v>9527</v>
      </c>
      <c r="B41" s="1503" t="s">
        <v>8686</v>
      </c>
      <c r="C41" s="1461">
        <v>0.0506712962962963</v>
      </c>
      <c r="D41" s="1598" t="s">
        <v>9528</v>
      </c>
      <c r="E41" s="1509" t="s">
        <v>3282</v>
      </c>
      <c r="F41" s="1509" t="s">
        <v>9033</v>
      </c>
      <c r="G41" s="1509" t="s">
        <v>9529</v>
      </c>
      <c r="H41" s="1086" t="s">
        <v>9530</v>
      </c>
      <c r="I41" s="1086" t="s">
        <v>9531</v>
      </c>
      <c r="J41" s="1510" t="s">
        <v>9532</v>
      </c>
      <c r="K41" s="1510" t="s">
        <v>7212</v>
      </c>
      <c r="L41" s="1510" t="s">
        <v>4298</v>
      </c>
      <c r="M41" s="1510" t="s">
        <v>7213</v>
      </c>
      <c r="N41" s="1510" t="s">
        <v>9533</v>
      </c>
      <c r="O41" s="1510" t="s">
        <v>2209</v>
      </c>
      <c r="P41" s="1510" t="s">
        <v>7175</v>
      </c>
      <c r="Q41" s="1512" t="s">
        <v>7932</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7797</v>
      </c>
      <c r="AD41" s="1509" t="s">
        <v>9543</v>
      </c>
      <c r="AE41" s="1509" t="s">
        <v>537</v>
      </c>
      <c r="AF41" s="1514" t="s">
        <v>9544</v>
      </c>
      <c r="AG41" s="1514" t="s">
        <v>3894</v>
      </c>
      <c r="AH41" s="1514" t="s">
        <v>5190</v>
      </c>
      <c r="AI41" s="1514" t="s">
        <v>9545</v>
      </c>
      <c r="AJ41" s="1514" t="s">
        <v>9546</v>
      </c>
      <c r="AK41" s="1514" t="s">
        <v>401</v>
      </c>
      <c r="AL41" s="1514" t="s">
        <v>2584</v>
      </c>
      <c r="AM41" s="1516" t="s">
        <v>9034</v>
      </c>
      <c r="AN41" s="1516" t="s">
        <v>8910</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8686</v>
      </c>
      <c r="C42" s="1461">
        <v>0.05070601851851852</v>
      </c>
      <c r="D42" s="772" t="s">
        <v>9553</v>
      </c>
      <c r="E42" s="1565" t="s">
        <v>3218</v>
      </c>
      <c r="F42" s="1565" t="s">
        <v>8911</v>
      </c>
      <c r="G42" s="1565" t="s">
        <v>9554</v>
      </c>
      <c r="H42" s="1136" t="s">
        <v>9555</v>
      </c>
      <c r="I42" s="1136" t="s">
        <v>388</v>
      </c>
      <c r="J42" s="1566" t="s">
        <v>2072</v>
      </c>
      <c r="K42" s="1566" t="s">
        <v>3658</v>
      </c>
      <c r="L42" s="1566" t="s">
        <v>5394</v>
      </c>
      <c r="M42" s="1566" t="s">
        <v>9556</v>
      </c>
      <c r="N42" s="1566" t="s">
        <v>9386</v>
      </c>
      <c r="O42" s="1566" t="s">
        <v>9557</v>
      </c>
      <c r="P42" s="1566" t="s">
        <v>5469</v>
      </c>
      <c r="Q42" s="1567" t="s">
        <v>9558</v>
      </c>
      <c r="R42" s="1567" t="s">
        <v>732</v>
      </c>
      <c r="S42" s="1567" t="s">
        <v>9523</v>
      </c>
      <c r="T42" s="1567" t="s">
        <v>9389</v>
      </c>
      <c r="U42" s="1567" t="s">
        <v>9559</v>
      </c>
      <c r="V42" s="1567" t="s">
        <v>2476</v>
      </c>
      <c r="W42" s="1568" t="s">
        <v>9560</v>
      </c>
      <c r="X42" s="1568" t="s">
        <v>6122</v>
      </c>
      <c r="Y42" s="1568" t="s">
        <v>8063</v>
      </c>
      <c r="Z42" s="1568" t="s">
        <v>8775</v>
      </c>
      <c r="AA42" s="1568" t="s">
        <v>9561</v>
      </c>
      <c r="AB42" s="1568" t="s">
        <v>2603</v>
      </c>
      <c r="AC42" s="1568" t="s">
        <v>3097</v>
      </c>
      <c r="AD42" s="1565" t="s">
        <v>9562</v>
      </c>
      <c r="AE42" s="1565" t="s">
        <v>6250</v>
      </c>
      <c r="AF42" s="1569" t="s">
        <v>8813</v>
      </c>
      <c r="AG42" s="1569" t="s">
        <v>9563</v>
      </c>
      <c r="AH42" s="1569" t="s">
        <v>2219</v>
      </c>
      <c r="AI42" s="1569" t="s">
        <v>9564</v>
      </c>
      <c r="AJ42" s="1569" t="s">
        <v>9565</v>
      </c>
      <c r="AK42" s="1569" t="s">
        <v>9566</v>
      </c>
      <c r="AL42" s="1569" t="s">
        <v>5362</v>
      </c>
      <c r="AM42" s="1515" t="s">
        <v>9416</v>
      </c>
      <c r="AN42" s="1515" t="s">
        <v>5362</v>
      </c>
      <c r="AO42" s="1515" t="s">
        <v>2303</v>
      </c>
      <c r="AP42" s="1515" t="s">
        <v>9567</v>
      </c>
      <c r="AQ42" s="1515" t="s">
        <v>9568</v>
      </c>
      <c r="AR42" s="1515" t="s">
        <v>4671</v>
      </c>
      <c r="AS42" s="1515" t="s">
        <v>4352</v>
      </c>
      <c r="AT42" s="1566" t="s">
        <v>9569</v>
      </c>
      <c r="AU42" s="1570" t="s">
        <v>9570</v>
      </c>
      <c r="AV42" s="1379" t="str">
        <f t="shared" si="1"/>
        <v>2:54</v>
      </c>
      <c r="AW42" s="1590"/>
    </row>
    <row r="43">
      <c r="A43" s="1505" t="s">
        <v>2788</v>
      </c>
      <c r="B43" s="1500" t="s">
        <v>8686</v>
      </c>
      <c r="C43" s="1461">
        <v>0.050826388888888886</v>
      </c>
      <c r="D43" s="1476" t="s">
        <v>9571</v>
      </c>
      <c r="E43" s="1476" t="s">
        <v>7569</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5451</v>
      </c>
      <c r="X43" s="1476" t="s">
        <v>9581</v>
      </c>
      <c r="Y43" s="1476" t="s">
        <v>7166</v>
      </c>
      <c r="Z43" s="1476" t="s">
        <v>9582</v>
      </c>
      <c r="AA43" s="1513" t="s">
        <v>9583</v>
      </c>
      <c r="AB43" s="1476" t="s">
        <v>1845</v>
      </c>
      <c r="AC43" s="1476" t="s">
        <v>7797</v>
      </c>
      <c r="AD43" s="1476" t="s">
        <v>9584</v>
      </c>
      <c r="AE43" s="1476" t="s">
        <v>4935</v>
      </c>
      <c r="AF43" s="1476" t="s">
        <v>9585</v>
      </c>
      <c r="AG43" s="1476" t="s">
        <v>1181</v>
      </c>
      <c r="AH43" s="1476" t="s">
        <v>3957</v>
      </c>
      <c r="AI43" s="1476" t="s">
        <v>9586</v>
      </c>
      <c r="AJ43" s="1476" t="s">
        <v>9587</v>
      </c>
      <c r="AK43" s="1476" t="s">
        <v>9494</v>
      </c>
      <c r="AL43" s="1476" t="s">
        <v>4371</v>
      </c>
      <c r="AM43" s="1476" t="s">
        <v>9494</v>
      </c>
      <c r="AN43" s="1476" t="s">
        <v>8763</v>
      </c>
      <c r="AO43" s="1476" t="s">
        <v>7519</v>
      </c>
      <c r="AP43" s="1476" t="s">
        <v>9588</v>
      </c>
      <c r="AQ43" s="1476" t="s">
        <v>9589</v>
      </c>
      <c r="AR43" s="1476" t="s">
        <v>5128</v>
      </c>
      <c r="AS43" s="1476" t="s">
        <v>6174</v>
      </c>
      <c r="AT43" s="1476" t="s">
        <v>9590</v>
      </c>
      <c r="AU43" s="1476" t="s">
        <v>9591</v>
      </c>
      <c r="AV43" s="1379" t="str">
        <f t="shared" si="1"/>
        <v>2:25</v>
      </c>
      <c r="AW43" s="1545"/>
    </row>
    <row r="44" ht="15.75" customHeight="1">
      <c r="A44" s="1505" t="s">
        <v>4626</v>
      </c>
      <c r="B44" s="1460" t="s">
        <v>8686</v>
      </c>
      <c r="C44" s="1591">
        <v>0.050868055555555555</v>
      </c>
      <c r="D44" s="772" t="s">
        <v>9592</v>
      </c>
      <c r="E44" s="1379" t="s">
        <v>7747</v>
      </c>
      <c r="F44" s="1379" t="s">
        <v>9593</v>
      </c>
      <c r="G44" s="1379" t="s">
        <v>9594</v>
      </c>
      <c r="H44" s="1379" t="s">
        <v>9430</v>
      </c>
      <c r="I44" s="1379" t="s">
        <v>1295</v>
      </c>
      <c r="J44" s="1379" t="s">
        <v>9549</v>
      </c>
      <c r="K44" s="1379" t="s">
        <v>9154</v>
      </c>
      <c r="L44" s="1379" t="s">
        <v>9036</v>
      </c>
      <c r="M44" s="1379" t="s">
        <v>5322</v>
      </c>
      <c r="N44" s="1379" t="s">
        <v>8229</v>
      </c>
      <c r="O44" s="1379" t="s">
        <v>9595</v>
      </c>
      <c r="P44" s="1379" t="s">
        <v>4265</v>
      </c>
      <c r="Q44" s="1379" t="s">
        <v>9596</v>
      </c>
      <c r="R44" s="1379" t="s">
        <v>7478</v>
      </c>
      <c r="S44" s="1379" t="s">
        <v>8962</v>
      </c>
      <c r="T44" s="1379" t="s">
        <v>4592</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7624</v>
      </c>
      <c r="AJ44" s="1379" t="s">
        <v>9604</v>
      </c>
      <c r="AK44" s="1379" t="s">
        <v>5350</v>
      </c>
      <c r="AL44" s="1379" t="s">
        <v>9605</v>
      </c>
      <c r="AM44" s="1379" t="s">
        <v>9606</v>
      </c>
      <c r="AN44" s="1379" t="s">
        <v>3326</v>
      </c>
      <c r="AO44" s="1379" t="s">
        <v>9139</v>
      </c>
      <c r="AP44" s="1379" t="s">
        <v>9607</v>
      </c>
      <c r="AQ44" s="1379" t="s">
        <v>9608</v>
      </c>
      <c r="AR44" s="1379" t="s">
        <v>9027</v>
      </c>
      <c r="AS44" s="1379" t="s">
        <v>5092</v>
      </c>
      <c r="AT44" s="1379" t="s">
        <v>9609</v>
      </c>
      <c r="AU44" s="1379" t="s">
        <v>9610</v>
      </c>
      <c r="AV44" s="1379" t="str">
        <f t="shared" si="1"/>
        <v>2:44</v>
      </c>
      <c r="AW44" s="1486"/>
    </row>
    <row r="45" ht="15.75" customHeight="1">
      <c r="A45" s="1505" t="s">
        <v>1814</v>
      </c>
      <c r="B45" s="1599" t="s">
        <v>8738</v>
      </c>
      <c r="C45" s="1600">
        <v>0.05092592592592592</v>
      </c>
      <c r="D45" s="1601" t="s">
        <v>8739</v>
      </c>
      <c r="E45" s="1602" t="s">
        <v>8740</v>
      </c>
      <c r="F45" s="1601" t="s">
        <v>8741</v>
      </c>
      <c r="G45" s="1476" t="s">
        <v>9611</v>
      </c>
      <c r="H45" s="1601" t="s">
        <v>8743</v>
      </c>
      <c r="I45" s="1379" t="s">
        <v>1415</v>
      </c>
      <c r="J45" s="1565" t="s">
        <v>9612</v>
      </c>
      <c r="K45" s="1379" t="s">
        <v>9386</v>
      </c>
      <c r="L45" s="1565" t="s">
        <v>2329</v>
      </c>
      <c r="M45" s="1379" t="s">
        <v>2642</v>
      </c>
      <c r="N45" s="1601" t="s">
        <v>8706</v>
      </c>
      <c r="O45" s="1379" t="s">
        <v>9613</v>
      </c>
      <c r="P45" s="1565" t="s">
        <v>638</v>
      </c>
      <c r="Q45" s="1602" t="s">
        <v>8748</v>
      </c>
      <c r="R45" s="1601" t="s">
        <v>8749</v>
      </c>
      <c r="S45" s="1379" t="s">
        <v>1166</v>
      </c>
      <c r="T45" s="1565" t="s">
        <v>7852</v>
      </c>
      <c r="U45" s="1602" t="s">
        <v>8751</v>
      </c>
      <c r="V45" s="1601" t="s">
        <v>4260</v>
      </c>
      <c r="W45" s="1379" t="s">
        <v>9614</v>
      </c>
      <c r="X45" s="1601" t="s">
        <v>8753</v>
      </c>
      <c r="Y45" s="1379" t="s">
        <v>5574</v>
      </c>
      <c r="Z45" s="1509" t="s">
        <v>9615</v>
      </c>
      <c r="AA45" s="1379" t="s">
        <v>2305</v>
      </c>
      <c r="AB45" s="1565" t="s">
        <v>9616</v>
      </c>
      <c r="AC45" s="1476" t="s">
        <v>9617</v>
      </c>
      <c r="AD45" s="1565" t="s">
        <v>9618</v>
      </c>
      <c r="AE45" s="1476" t="s">
        <v>9619</v>
      </c>
      <c r="AF45" s="1565" t="s">
        <v>9620</v>
      </c>
      <c r="AG45" s="1379" t="s">
        <v>7082</v>
      </c>
      <c r="AH45" s="1509" t="s">
        <v>9505</v>
      </c>
      <c r="AI45" s="1602" t="s">
        <v>8759</v>
      </c>
      <c r="AJ45" s="1565" t="s">
        <v>9621</v>
      </c>
      <c r="AK45" s="1379" t="s">
        <v>5859</v>
      </c>
      <c r="AL45" s="1601" t="s">
        <v>8761</v>
      </c>
      <c r="AM45" s="1379" t="s">
        <v>9105</v>
      </c>
      <c r="AN45" s="1565" t="s">
        <v>3812</v>
      </c>
      <c r="AO45" s="1476" t="s">
        <v>4864</v>
      </c>
      <c r="AP45" s="1509" t="s">
        <v>9622</v>
      </c>
      <c r="AQ45" s="1476" t="s">
        <v>9623</v>
      </c>
      <c r="AR45" s="1509" t="s">
        <v>9624</v>
      </c>
      <c r="AS45" s="1379" t="s">
        <v>978</v>
      </c>
      <c r="AT45" s="1601" t="s">
        <v>8767</v>
      </c>
      <c r="AU45" s="1602" t="s">
        <v>8768</v>
      </c>
      <c r="AV45" s="1379" t="str">
        <f t="shared" si="1"/>
        <v>2:24</v>
      </c>
      <c r="AW45" s="1501"/>
    </row>
    <row r="46">
      <c r="A46" s="1505" t="s">
        <v>2540</v>
      </c>
      <c r="B46" s="1546" t="s">
        <v>8713</v>
      </c>
      <c r="C46" s="1461">
        <v>0.05092592592592592</v>
      </c>
      <c r="D46" s="772" t="s">
        <v>9625</v>
      </c>
      <c r="E46" s="1509" t="s">
        <v>9626</v>
      </c>
      <c r="F46" s="1509" t="s">
        <v>9627</v>
      </c>
      <c r="G46" s="1509" t="s">
        <v>9628</v>
      </c>
      <c r="H46" s="1086" t="s">
        <v>9629</v>
      </c>
      <c r="I46" s="1086" t="s">
        <v>2886</v>
      </c>
      <c r="J46" s="1510" t="s">
        <v>8830</v>
      </c>
      <c r="K46" s="1510" t="s">
        <v>3945</v>
      </c>
      <c r="L46" s="1510" t="s">
        <v>5716</v>
      </c>
      <c r="M46" s="1510" t="s">
        <v>3115</v>
      </c>
      <c r="N46" s="1510" t="s">
        <v>876</v>
      </c>
      <c r="O46" s="1510" t="s">
        <v>9630</v>
      </c>
      <c r="P46" s="1510" t="s">
        <v>775</v>
      </c>
      <c r="Q46" s="1512" t="s">
        <v>7818</v>
      </c>
      <c r="R46" s="1512" t="s">
        <v>7547</v>
      </c>
      <c r="S46" s="1512" t="s">
        <v>6620</v>
      </c>
      <c r="T46" s="1512" t="s">
        <v>9631</v>
      </c>
      <c r="U46" s="1603" t="s">
        <v>8000</v>
      </c>
      <c r="V46" s="1512" t="s">
        <v>9632</v>
      </c>
      <c r="W46" s="1513" t="s">
        <v>6839</v>
      </c>
      <c r="X46" s="1513" t="s">
        <v>9633</v>
      </c>
      <c r="Y46" s="1513" t="s">
        <v>9634</v>
      </c>
      <c r="Z46" s="1513" t="s">
        <v>7755</v>
      </c>
      <c r="AA46" s="1513" t="s">
        <v>1871</v>
      </c>
      <c r="AB46" s="1513" t="s">
        <v>9635</v>
      </c>
      <c r="AC46" s="1513" t="s">
        <v>161</v>
      </c>
      <c r="AD46" s="1509" t="s">
        <v>9636</v>
      </c>
      <c r="AE46" s="1509" t="s">
        <v>5196</v>
      </c>
      <c r="AF46" s="1514" t="s">
        <v>9637</v>
      </c>
      <c r="AG46" s="1514" t="s">
        <v>5220</v>
      </c>
      <c r="AH46" s="1514" t="s">
        <v>4450</v>
      </c>
      <c r="AI46" s="1514" t="s">
        <v>9638</v>
      </c>
      <c r="AJ46" s="1558" t="s">
        <v>8730</v>
      </c>
      <c r="AK46" s="1514" t="s">
        <v>193</v>
      </c>
      <c r="AL46" s="1514" t="s">
        <v>5860</v>
      </c>
      <c r="AM46" s="1516" t="s">
        <v>4007</v>
      </c>
      <c r="AN46" s="1516" t="s">
        <v>3627</v>
      </c>
      <c r="AO46" s="1516" t="s">
        <v>2400</v>
      </c>
      <c r="AP46" s="1516" t="s">
        <v>9639</v>
      </c>
      <c r="AQ46" s="1516" t="s">
        <v>4281</v>
      </c>
      <c r="AR46" s="1516" t="s">
        <v>7808</v>
      </c>
      <c r="AS46" s="1516" t="s">
        <v>6517</v>
      </c>
      <c r="AT46" s="1510" t="s">
        <v>9640</v>
      </c>
      <c r="AU46" s="719" t="s">
        <v>9641</v>
      </c>
      <c r="AV46" s="1379" t="str">
        <f t="shared" si="1"/>
        <v>4:25</v>
      </c>
      <c r="AW46" s="1499"/>
    </row>
    <row r="47" ht="15.75" customHeight="1">
      <c r="A47" s="1459" t="s">
        <v>4479</v>
      </c>
      <c r="B47" s="1562" t="s">
        <v>8713</v>
      </c>
      <c r="C47" s="1461">
        <v>0.05100810185185185</v>
      </c>
      <c r="D47" s="772" t="s">
        <v>9642</v>
      </c>
      <c r="E47" s="1509" t="s">
        <v>9643</v>
      </c>
      <c r="F47" s="1509" t="s">
        <v>9644</v>
      </c>
      <c r="G47" s="1565" t="s">
        <v>9645</v>
      </c>
      <c r="H47" s="1086" t="s">
        <v>9646</v>
      </c>
      <c r="I47" s="1086" t="s">
        <v>1415</v>
      </c>
      <c r="J47" s="1510" t="s">
        <v>5128</v>
      </c>
      <c r="K47" s="1510" t="s">
        <v>9383</v>
      </c>
      <c r="L47" s="1510" t="s">
        <v>4394</v>
      </c>
      <c r="M47" s="1510" t="s">
        <v>1458</v>
      </c>
      <c r="N47" s="1510" t="s">
        <v>9647</v>
      </c>
      <c r="O47" s="1510" t="s">
        <v>8853</v>
      </c>
      <c r="P47" s="1510" t="s">
        <v>9648</v>
      </c>
      <c r="Q47" s="1512" t="s">
        <v>9649</v>
      </c>
      <c r="R47" s="1512" t="s">
        <v>3422</v>
      </c>
      <c r="S47" s="1512" t="s">
        <v>7206</v>
      </c>
      <c r="T47" s="1512" t="s">
        <v>9650</v>
      </c>
      <c r="U47" s="1512" t="s">
        <v>9651</v>
      </c>
      <c r="V47" s="1567" t="s">
        <v>1368</v>
      </c>
      <c r="W47" s="1513" t="s">
        <v>9652</v>
      </c>
      <c r="X47" s="1513" t="s">
        <v>9437</v>
      </c>
      <c r="Y47" s="1513" t="s">
        <v>3915</v>
      </c>
      <c r="Z47" s="1513" t="s">
        <v>7789</v>
      </c>
      <c r="AA47" s="1513" t="s">
        <v>1026</v>
      </c>
      <c r="AB47" s="1513" t="s">
        <v>3843</v>
      </c>
      <c r="AC47" s="1568" t="s">
        <v>6782</v>
      </c>
      <c r="AD47" s="1509" t="s">
        <v>9653</v>
      </c>
      <c r="AE47" s="1565" t="s">
        <v>4923</v>
      </c>
      <c r="AF47" s="1514" t="s">
        <v>9654</v>
      </c>
      <c r="AG47" s="1514" t="s">
        <v>9655</v>
      </c>
      <c r="AH47" s="1514" t="s">
        <v>9656</v>
      </c>
      <c r="AI47" s="1514" t="s">
        <v>9086</v>
      </c>
      <c r="AJ47" s="1514" t="s">
        <v>9657</v>
      </c>
      <c r="AK47" s="1514" t="s">
        <v>9658</v>
      </c>
      <c r="AL47" s="1514" t="s">
        <v>4510</v>
      </c>
      <c r="AM47" s="1516" t="s">
        <v>9659</v>
      </c>
      <c r="AN47" s="1516" t="s">
        <v>3397</v>
      </c>
      <c r="AO47" s="1516" t="s">
        <v>9660</v>
      </c>
      <c r="AP47" s="1516" t="s">
        <v>9661</v>
      </c>
      <c r="AQ47" s="1516" t="s">
        <v>4281</v>
      </c>
      <c r="AR47" s="1516" t="s">
        <v>9662</v>
      </c>
      <c r="AS47" s="1516" t="s">
        <v>4532</v>
      </c>
      <c r="AT47" s="1510" t="s">
        <v>9663</v>
      </c>
      <c r="AU47" s="1498" t="s">
        <v>9664</v>
      </c>
      <c r="AV47" s="1379" t="str">
        <f t="shared" si="1"/>
        <v>3:17</v>
      </c>
      <c r="AW47" s="1504" t="s">
        <v>9665</v>
      </c>
    </row>
    <row r="48" ht="15.75" customHeight="1">
      <c r="A48" s="1505" t="s">
        <v>986</v>
      </c>
      <c r="B48" s="1503" t="s">
        <v>8713</v>
      </c>
      <c r="C48" s="1461">
        <v>0.05112268518518519</v>
      </c>
      <c r="D48" s="1509" t="s">
        <v>9666</v>
      </c>
      <c r="E48" s="1509" t="s">
        <v>4637</v>
      </c>
      <c r="F48" s="1509" t="s">
        <v>9667</v>
      </c>
      <c r="G48" s="1509" t="s">
        <v>9668</v>
      </c>
      <c r="H48" s="772" t="s">
        <v>9669</v>
      </c>
      <c r="I48" s="1086" t="s">
        <v>5252</v>
      </c>
      <c r="J48" s="1510" t="s">
        <v>4010</v>
      </c>
      <c r="K48" s="1510" t="s">
        <v>9670</v>
      </c>
      <c r="L48" s="1468" t="s">
        <v>3544</v>
      </c>
      <c r="M48" s="1510" t="s">
        <v>4434</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5029</v>
      </c>
      <c r="AD48" s="1509" t="s">
        <v>9680</v>
      </c>
      <c r="AE48" s="1509" t="s">
        <v>8758</v>
      </c>
      <c r="AF48" s="1514" t="s">
        <v>8871</v>
      </c>
      <c r="AG48" s="1514" t="s">
        <v>274</v>
      </c>
      <c r="AH48" s="1514" t="s">
        <v>465</v>
      </c>
      <c r="AI48" s="1514" t="s">
        <v>9681</v>
      </c>
      <c r="AJ48" s="1514" t="s">
        <v>9682</v>
      </c>
      <c r="AK48" s="1514" t="s">
        <v>4133</v>
      </c>
      <c r="AL48" s="1514" t="s">
        <v>9683</v>
      </c>
      <c r="AM48" s="1516" t="s">
        <v>9684</v>
      </c>
      <c r="AN48" s="1560" t="s">
        <v>3235</v>
      </c>
      <c r="AO48" s="1516" t="s">
        <v>7212</v>
      </c>
      <c r="AP48" s="1516" t="s">
        <v>9685</v>
      </c>
      <c r="AQ48" s="1516" t="s">
        <v>9686</v>
      </c>
      <c r="AR48" s="1516" t="s">
        <v>9687</v>
      </c>
      <c r="AS48" s="1516" t="s">
        <v>8643</v>
      </c>
      <c r="AT48" s="1510" t="s">
        <v>9688</v>
      </c>
      <c r="AU48" s="1498" t="s">
        <v>9689</v>
      </c>
      <c r="AV48" s="1379" t="str">
        <f t="shared" si="1"/>
        <v>4:57</v>
      </c>
      <c r="AW48" s="1590"/>
    </row>
    <row r="49">
      <c r="A49" s="1505" t="s">
        <v>2373</v>
      </c>
      <c r="B49" s="1500" t="s">
        <v>8713</v>
      </c>
      <c r="C49" s="1461">
        <v>0.05112268518518519</v>
      </c>
      <c r="D49" s="1476" t="s">
        <v>9690</v>
      </c>
      <c r="E49" s="1476" t="s">
        <v>4498</v>
      </c>
      <c r="F49" s="1476" t="s">
        <v>6183</v>
      </c>
      <c r="G49" s="1582" t="s">
        <v>8716</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8015</v>
      </c>
      <c r="U49" s="1512" t="s">
        <v>9111</v>
      </c>
      <c r="V49" s="1476" t="s">
        <v>9696</v>
      </c>
      <c r="W49" s="1476" t="s">
        <v>9697</v>
      </c>
      <c r="X49" s="1476" t="s">
        <v>1493</v>
      </c>
      <c r="Y49" s="1476" t="s">
        <v>7172</v>
      </c>
      <c r="Z49" s="1476" t="s">
        <v>8920</v>
      </c>
      <c r="AA49" s="1513" t="s">
        <v>614</v>
      </c>
      <c r="AB49" s="1476" t="s">
        <v>9698</v>
      </c>
      <c r="AC49" s="1476" t="s">
        <v>5196</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8827</v>
      </c>
      <c r="AP49" s="1476" t="s">
        <v>9705</v>
      </c>
      <c r="AQ49" s="1476" t="s">
        <v>9706</v>
      </c>
      <c r="AR49" s="1476" t="s">
        <v>2218</v>
      </c>
      <c r="AS49" s="1476" t="s">
        <v>7166</v>
      </c>
      <c r="AT49" s="1476" t="s">
        <v>9707</v>
      </c>
      <c r="AU49" s="1476" t="s">
        <v>9708</v>
      </c>
      <c r="AV49" s="1379" t="str">
        <f t="shared" si="1"/>
        <v>3:15</v>
      </c>
      <c r="AW49" s="729"/>
    </row>
    <row r="50">
      <c r="A50" s="1505" t="s">
        <v>2918</v>
      </c>
      <c r="B50" s="1500" t="s">
        <v>8686</v>
      </c>
      <c r="C50" s="1461">
        <v>0.051145833333333335</v>
      </c>
      <c r="D50" s="772" t="s">
        <v>9709</v>
      </c>
      <c r="E50" s="1578" t="s">
        <v>4119</v>
      </c>
      <c r="F50" s="1578" t="s">
        <v>1776</v>
      </c>
      <c r="G50" s="1578" t="s">
        <v>9710</v>
      </c>
      <c r="H50" s="772" t="s">
        <v>9711</v>
      </c>
      <c r="I50" s="1578" t="s">
        <v>9617</v>
      </c>
      <c r="J50" s="1578" t="s">
        <v>9712</v>
      </c>
      <c r="K50" s="1578" t="s">
        <v>9712</v>
      </c>
      <c r="L50" s="1578" t="s">
        <v>4123</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5805</v>
      </c>
      <c r="AC50" s="1578" t="s">
        <v>1238</v>
      </c>
      <c r="AD50" s="1578" t="s">
        <v>9722</v>
      </c>
      <c r="AE50" s="1578" t="s">
        <v>9146</v>
      </c>
      <c r="AF50" s="1578" t="s">
        <v>9723</v>
      </c>
      <c r="AG50" s="1578" t="s">
        <v>9724</v>
      </c>
      <c r="AH50" s="1578" t="s">
        <v>3690</v>
      </c>
      <c r="AI50" s="1578" t="s">
        <v>9725</v>
      </c>
      <c r="AJ50" s="1578" t="s">
        <v>9726</v>
      </c>
      <c r="AK50" s="1578" t="s">
        <v>9727</v>
      </c>
      <c r="AL50" s="1578" t="s">
        <v>4944</v>
      </c>
      <c r="AM50" s="1578" t="s">
        <v>9728</v>
      </c>
      <c r="AN50" s="1578" t="s">
        <v>5531</v>
      </c>
      <c r="AO50" s="1578" t="s">
        <v>5128</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8686</v>
      </c>
      <c r="C51" s="1461">
        <v>0.051180555555555556</v>
      </c>
      <c r="D51" s="772" t="s">
        <v>9734</v>
      </c>
      <c r="E51" s="1476" t="s">
        <v>9735</v>
      </c>
      <c r="F51" s="1476" t="s">
        <v>163</v>
      </c>
      <c r="G51" s="1476" t="s">
        <v>8421</v>
      </c>
      <c r="H51" s="1476" t="s">
        <v>9736</v>
      </c>
      <c r="I51" s="1476" t="s">
        <v>1603</v>
      </c>
      <c r="J51" s="1476" t="s">
        <v>889</v>
      </c>
      <c r="K51" s="1476" t="s">
        <v>9258</v>
      </c>
      <c r="L51" s="1476" t="s">
        <v>8860</v>
      </c>
      <c r="M51" s="1476" t="s">
        <v>5901</v>
      </c>
      <c r="N51" s="1476" t="s">
        <v>9737</v>
      </c>
      <c r="O51" s="1476" t="s">
        <v>9738</v>
      </c>
      <c r="P51" s="1476" t="s">
        <v>5489</v>
      </c>
      <c r="Q51" s="1476" t="s">
        <v>7411</v>
      </c>
      <c r="R51" s="1476" t="s">
        <v>9739</v>
      </c>
      <c r="S51" s="1476" t="s">
        <v>8583</v>
      </c>
      <c r="T51" s="1379" t="s">
        <v>4178</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8686</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8812</v>
      </c>
      <c r="Q52" s="1512" t="s">
        <v>9762</v>
      </c>
      <c r="R52" s="1512" t="s">
        <v>9340</v>
      </c>
      <c r="S52" s="1512" t="s">
        <v>9763</v>
      </c>
      <c r="T52" s="1512" t="s">
        <v>9764</v>
      </c>
      <c r="U52" s="1512" t="s">
        <v>9765</v>
      </c>
      <c r="V52" s="1512" t="s">
        <v>4204</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8738</v>
      </c>
      <c r="C53" s="1591">
        <v>0.051319444444444445</v>
      </c>
      <c r="D53" s="772" t="s">
        <v>9783</v>
      </c>
      <c r="E53" s="1379" t="s">
        <v>9784</v>
      </c>
      <c r="F53" s="1379" t="s">
        <v>9785</v>
      </c>
      <c r="G53" s="1379" t="s">
        <v>9786</v>
      </c>
      <c r="H53" s="1379" t="s">
        <v>5043</v>
      </c>
      <c r="I53" s="1379" t="s">
        <v>6544</v>
      </c>
      <c r="J53" s="1379" t="s">
        <v>9787</v>
      </c>
      <c r="K53" s="1379" t="s">
        <v>8833</v>
      </c>
      <c r="L53" s="1379" t="s">
        <v>3958</v>
      </c>
      <c r="M53" s="1379" t="s">
        <v>9534</v>
      </c>
      <c r="N53" s="1379" t="s">
        <v>9323</v>
      </c>
      <c r="O53" s="1379" t="s">
        <v>9788</v>
      </c>
      <c r="P53" s="1612" t="s">
        <v>8747</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4492</v>
      </c>
      <c r="AC53" s="1379" t="s">
        <v>142</v>
      </c>
      <c r="AD53" s="1379" t="s">
        <v>9793</v>
      </c>
      <c r="AE53" s="1612" t="s">
        <v>8758</v>
      </c>
      <c r="AF53" s="1612" t="s">
        <v>2699</v>
      </c>
      <c r="AG53" s="1379" t="s">
        <v>4572</v>
      </c>
      <c r="AH53" s="1379" t="s">
        <v>9794</v>
      </c>
      <c r="AI53" s="1379" t="s">
        <v>9795</v>
      </c>
      <c r="AJ53" s="1379" t="s">
        <v>9796</v>
      </c>
      <c r="AK53" s="1379" t="s">
        <v>6046</v>
      </c>
      <c r="AL53" s="1379" t="s">
        <v>6270</v>
      </c>
      <c r="AM53" s="1612" t="s">
        <v>8762</v>
      </c>
      <c r="AN53" s="1476" t="s">
        <v>2471</v>
      </c>
      <c r="AO53" s="1379" t="s">
        <v>4920</v>
      </c>
      <c r="AP53" s="1379" t="s">
        <v>9797</v>
      </c>
      <c r="AQ53" s="1379" t="s">
        <v>9798</v>
      </c>
      <c r="AR53" s="1379" t="s">
        <v>7204</v>
      </c>
      <c r="AS53" s="1379" t="s">
        <v>4423</v>
      </c>
      <c r="AT53" s="1379" t="s">
        <v>9799</v>
      </c>
      <c r="AU53" s="1379" t="s">
        <v>9800</v>
      </c>
      <c r="AV53" s="1379" t="str">
        <f t="shared" si="1"/>
        <v>3:15</v>
      </c>
      <c r="AW53" s="1545" t="s">
        <v>9801</v>
      </c>
    </row>
    <row r="54">
      <c r="A54" s="1505" t="s">
        <v>1882</v>
      </c>
      <c r="B54" s="1503" t="s">
        <v>8686</v>
      </c>
      <c r="C54" s="1461">
        <v>0.05133101851851852</v>
      </c>
      <c r="D54" s="1598" t="s">
        <v>9802</v>
      </c>
      <c r="E54" s="1509" t="s">
        <v>9803</v>
      </c>
      <c r="F54" s="1509" t="s">
        <v>9804</v>
      </c>
      <c r="G54" s="1509" t="s">
        <v>9805</v>
      </c>
      <c r="H54" s="1086" t="s">
        <v>9806</v>
      </c>
      <c r="I54" s="1086" t="s">
        <v>3097</v>
      </c>
      <c r="J54" s="1510" t="s">
        <v>1869</v>
      </c>
      <c r="K54" s="1510" t="s">
        <v>9807</v>
      </c>
      <c r="L54" s="1510" t="s">
        <v>4166</v>
      </c>
      <c r="M54" s="1510" t="s">
        <v>9808</v>
      </c>
      <c r="N54" s="1510" t="s">
        <v>8927</v>
      </c>
      <c r="O54" s="1510" t="s">
        <v>9809</v>
      </c>
      <c r="P54" s="1510" t="s">
        <v>8857</v>
      </c>
      <c r="Q54" s="1512" t="s">
        <v>9810</v>
      </c>
      <c r="R54" s="1512" t="s">
        <v>9578</v>
      </c>
      <c r="S54" s="1512" t="s">
        <v>9811</v>
      </c>
      <c r="T54" s="1512" t="s">
        <v>9583</v>
      </c>
      <c r="U54" s="1512" t="s">
        <v>9812</v>
      </c>
      <c r="V54" s="1512" t="s">
        <v>9360</v>
      </c>
      <c r="W54" s="1513" t="s">
        <v>9813</v>
      </c>
      <c r="X54" s="1513" t="s">
        <v>9814</v>
      </c>
      <c r="Y54" s="1513" t="s">
        <v>5455</v>
      </c>
      <c r="Z54" s="1513" t="s">
        <v>1509</v>
      </c>
      <c r="AA54" s="1513" t="s">
        <v>9815</v>
      </c>
      <c r="AB54" s="1513" t="s">
        <v>6317</v>
      </c>
      <c r="AC54" s="1513" t="s">
        <v>263</v>
      </c>
      <c r="AD54" s="1509" t="s">
        <v>9153</v>
      </c>
      <c r="AE54" s="1509" t="s">
        <v>5455</v>
      </c>
      <c r="AF54" s="1514" t="s">
        <v>9816</v>
      </c>
      <c r="AG54" s="1514" t="s">
        <v>5765</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8686</v>
      </c>
      <c r="C55" s="1461">
        <v>0.05134259259259259</v>
      </c>
      <c r="D55" s="1509" t="s">
        <v>9825</v>
      </c>
      <c r="E55" s="1509" t="s">
        <v>6541</v>
      </c>
      <c r="F55" s="1509" t="s">
        <v>9826</v>
      </c>
      <c r="G55" s="1509" t="s">
        <v>9827</v>
      </c>
      <c r="H55" s="1509" t="s">
        <v>9828</v>
      </c>
      <c r="I55" s="1509" t="s">
        <v>1295</v>
      </c>
      <c r="J55" s="1510" t="s">
        <v>4998</v>
      </c>
      <c r="K55" s="1510" t="s">
        <v>7406</v>
      </c>
      <c r="L55" s="1510" t="s">
        <v>4869</v>
      </c>
      <c r="M55" s="1510" t="s">
        <v>3536</v>
      </c>
      <c r="N55" s="1510" t="s">
        <v>2011</v>
      </c>
      <c r="O55" s="1510" t="s">
        <v>9829</v>
      </c>
      <c r="P55" s="1510" t="s">
        <v>4530</v>
      </c>
      <c r="Q55" s="1512" t="s">
        <v>9830</v>
      </c>
      <c r="R55" s="1512" t="s">
        <v>2559</v>
      </c>
      <c r="S55" s="1512" t="s">
        <v>9831</v>
      </c>
      <c r="T55" s="1512" t="s">
        <v>9832</v>
      </c>
      <c r="U55" s="1512" t="s">
        <v>9674</v>
      </c>
      <c r="V55" s="1512" t="s">
        <v>9833</v>
      </c>
      <c r="W55" s="1513" t="s">
        <v>9834</v>
      </c>
      <c r="X55" s="1513" t="s">
        <v>8759</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5629</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8738</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5570</v>
      </c>
      <c r="N56" s="1566" t="s">
        <v>9851</v>
      </c>
      <c r="O56" s="1614" t="s">
        <v>8746</v>
      </c>
      <c r="P56" s="1566" t="s">
        <v>388</v>
      </c>
      <c r="Q56" s="1567" t="s">
        <v>9852</v>
      </c>
      <c r="R56" s="1567" t="s">
        <v>1632</v>
      </c>
      <c r="S56" s="1567" t="s">
        <v>9853</v>
      </c>
      <c r="T56" s="1615" t="s">
        <v>8750</v>
      </c>
      <c r="U56" s="1567" t="s">
        <v>9854</v>
      </c>
      <c r="V56" s="1567" t="s">
        <v>3998</v>
      </c>
      <c r="W56" s="1616" t="s">
        <v>8752</v>
      </c>
      <c r="X56" s="1568" t="s">
        <v>4380</v>
      </c>
      <c r="Y56" s="1568" t="s">
        <v>6544</v>
      </c>
      <c r="Z56" s="1568" t="s">
        <v>7780</v>
      </c>
      <c r="AA56" s="1568" t="s">
        <v>9245</v>
      </c>
      <c r="AB56" s="1616" t="s">
        <v>8756</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4087</v>
      </c>
      <c r="AO56" s="1515" t="s">
        <v>9862</v>
      </c>
      <c r="AP56" s="1515" t="s">
        <v>9863</v>
      </c>
      <c r="AQ56" s="1515" t="s">
        <v>9864</v>
      </c>
      <c r="AR56" s="1515" t="s">
        <v>9865</v>
      </c>
      <c r="AS56" s="1515" t="s">
        <v>4603</v>
      </c>
      <c r="AT56" s="1566" t="s">
        <v>9866</v>
      </c>
      <c r="AU56" s="1570" t="s">
        <v>9867</v>
      </c>
      <c r="AV56" s="1379" t="str">
        <f t="shared" si="1"/>
        <v>1:58</v>
      </c>
      <c r="AW56" s="1590"/>
    </row>
    <row r="57" ht="15.75" customHeight="1">
      <c r="A57" s="1459" t="s">
        <v>3362</v>
      </c>
      <c r="B57" s="1460" t="s">
        <v>8686</v>
      </c>
      <c r="C57" s="1591">
        <v>0.05134259259259259</v>
      </c>
      <c r="D57" s="772" t="s">
        <v>9868</v>
      </c>
      <c r="E57" s="1379" t="s">
        <v>9869</v>
      </c>
      <c r="F57" s="1379" t="s">
        <v>9870</v>
      </c>
      <c r="G57" s="1379" t="s">
        <v>7830</v>
      </c>
      <c r="H57" s="1379" t="s">
        <v>8916</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4085</v>
      </c>
      <c r="W57" s="1379" t="s">
        <v>9877</v>
      </c>
      <c r="X57" s="1379" t="s">
        <v>9878</v>
      </c>
      <c r="Y57" s="1379" t="s">
        <v>388</v>
      </c>
      <c r="Z57" s="1379" t="s">
        <v>7206</v>
      </c>
      <c r="AA57" s="1379" t="s">
        <v>9394</v>
      </c>
      <c r="AB57" s="1379" t="s">
        <v>8795</v>
      </c>
      <c r="AC57" s="1379" t="s">
        <v>851</v>
      </c>
      <c r="AD57" s="1379" t="s">
        <v>9879</v>
      </c>
      <c r="AE57" s="1379" t="s">
        <v>388</v>
      </c>
      <c r="AF57" s="1379" t="s">
        <v>9880</v>
      </c>
      <c r="AG57" s="1379" t="s">
        <v>9881</v>
      </c>
      <c r="AH57" s="1379" t="s">
        <v>5182</v>
      </c>
      <c r="AI57" s="1379" t="s">
        <v>9882</v>
      </c>
      <c r="AJ57" s="1379" t="s">
        <v>9818</v>
      </c>
      <c r="AK57" s="1379" t="s">
        <v>7543</v>
      </c>
      <c r="AL57" s="1379" t="s">
        <v>3300</v>
      </c>
      <c r="AM57" s="1379" t="s">
        <v>4131</v>
      </c>
      <c r="AN57" s="1379" t="s">
        <v>5815</v>
      </c>
      <c r="AO57" s="1379" t="s">
        <v>6457</v>
      </c>
      <c r="AP57" s="1379" t="s">
        <v>9883</v>
      </c>
      <c r="AQ57" s="1379" t="s">
        <v>9884</v>
      </c>
      <c r="AR57" s="1379" t="s">
        <v>9885</v>
      </c>
      <c r="AS57" s="1515" t="s">
        <v>4411</v>
      </c>
      <c r="AT57" s="1379" t="s">
        <v>9886</v>
      </c>
      <c r="AU57" s="1379" t="s">
        <v>9112</v>
      </c>
      <c r="AV57" s="1379" t="str">
        <f t="shared" si="1"/>
        <v>2:27</v>
      </c>
      <c r="AW57" s="1545"/>
    </row>
    <row r="58" ht="15.75" customHeight="1">
      <c r="A58" s="1505" t="s">
        <v>1351</v>
      </c>
      <c r="B58" s="1500" t="s">
        <v>8738</v>
      </c>
      <c r="C58" s="1461">
        <v>0.05140046296296296</v>
      </c>
      <c r="D58" s="1476" t="s">
        <v>9887</v>
      </c>
      <c r="E58" s="1476" t="s">
        <v>1665</v>
      </c>
      <c r="F58" s="1476" t="s">
        <v>9888</v>
      </c>
      <c r="G58" s="1602" t="s">
        <v>8742</v>
      </c>
      <c r="H58" s="772" t="s">
        <v>9889</v>
      </c>
      <c r="I58" s="1476" t="s">
        <v>1763</v>
      </c>
      <c r="J58" s="1602" t="s">
        <v>8744</v>
      </c>
      <c r="K58" s="1476" t="s">
        <v>9890</v>
      </c>
      <c r="L58" s="1476" t="s">
        <v>9891</v>
      </c>
      <c r="M58" s="1602" t="s">
        <v>8745</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8755</v>
      </c>
      <c r="AB58" s="1476" t="s">
        <v>6020</v>
      </c>
      <c r="AC58" s="1476" t="s">
        <v>9899</v>
      </c>
      <c r="AD58" s="1476" t="s">
        <v>9096</v>
      </c>
      <c r="AE58" s="1476" t="s">
        <v>2565</v>
      </c>
      <c r="AF58" s="1476" t="s">
        <v>9900</v>
      </c>
      <c r="AG58" s="1602" t="s">
        <v>4587</v>
      </c>
      <c r="AH58" s="1602" t="s">
        <v>5205</v>
      </c>
      <c r="AI58" s="1476" t="s">
        <v>9901</v>
      </c>
      <c r="AJ58" s="1476" t="s">
        <v>9902</v>
      </c>
      <c r="AK58" s="1476" t="s">
        <v>2944</v>
      </c>
      <c r="AL58" s="1476" t="s">
        <v>3957</v>
      </c>
      <c r="AM58" s="1476" t="s">
        <v>9903</v>
      </c>
      <c r="AN58" s="1476" t="s">
        <v>3749</v>
      </c>
      <c r="AO58" s="1602" t="s">
        <v>8764</v>
      </c>
      <c r="AP58" s="1619" t="s">
        <v>8765</v>
      </c>
      <c r="AQ58" s="1476" t="s">
        <v>3259</v>
      </c>
      <c r="AR58" s="1476" t="s">
        <v>1628</v>
      </c>
      <c r="AS58" s="1476" t="s">
        <v>4739</v>
      </c>
      <c r="AT58" s="1476" t="s">
        <v>9904</v>
      </c>
      <c r="AU58" s="1476" t="s">
        <v>9112</v>
      </c>
      <c r="AV58" s="1379" t="str">
        <f t="shared" si="1"/>
        <v>2:22</v>
      </c>
      <c r="AW58" s="1501" t="s">
        <v>9905</v>
      </c>
    </row>
    <row r="59" ht="15.75" customHeight="1">
      <c r="A59" s="1505" t="s">
        <v>3982</v>
      </c>
      <c r="B59" s="1503" t="s">
        <v>8686</v>
      </c>
      <c r="C59" s="1461">
        <v>0.05153935185185185</v>
      </c>
      <c r="D59" s="1578" t="s">
        <v>9906</v>
      </c>
      <c r="E59" s="1578" t="s">
        <v>6845</v>
      </c>
      <c r="F59" s="1578" t="s">
        <v>9907</v>
      </c>
      <c r="G59" s="1578" t="s">
        <v>4928</v>
      </c>
      <c r="H59" s="772" t="s">
        <v>9908</v>
      </c>
      <c r="I59" s="1578" t="s">
        <v>1295</v>
      </c>
      <c r="J59" s="1578" t="s">
        <v>9909</v>
      </c>
      <c r="K59" s="1578" t="s">
        <v>3571</v>
      </c>
      <c r="L59" s="1578" t="s">
        <v>4204</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4935</v>
      </c>
      <c r="AF59" s="1468" t="s">
        <v>9916</v>
      </c>
      <c r="AG59" s="1578" t="s">
        <v>9917</v>
      </c>
      <c r="AH59" s="1578" t="s">
        <v>9918</v>
      </c>
      <c r="AI59" s="1578" t="s">
        <v>9919</v>
      </c>
      <c r="AJ59" s="1578" t="s">
        <v>9920</v>
      </c>
      <c r="AK59" s="1578" t="s">
        <v>5102</v>
      </c>
      <c r="AL59" s="1578" t="s">
        <v>9703</v>
      </c>
      <c r="AM59" s="1578" t="s">
        <v>9901</v>
      </c>
      <c r="AN59" s="1578" t="s">
        <v>2554</v>
      </c>
      <c r="AO59" s="1578" t="s">
        <v>5677</v>
      </c>
      <c r="AP59" s="1620" t="s">
        <v>9639</v>
      </c>
      <c r="AQ59" s="1578" t="s">
        <v>9921</v>
      </c>
      <c r="AR59" s="1578" t="s">
        <v>4998</v>
      </c>
      <c r="AS59" s="1578" t="s">
        <v>9310</v>
      </c>
      <c r="AT59" s="1578" t="s">
        <v>9922</v>
      </c>
      <c r="AU59" s="1578" t="s">
        <v>9923</v>
      </c>
      <c r="AV59" s="1379" t="str">
        <f t="shared" si="1"/>
        <v>2:41</v>
      </c>
      <c r="AW59" s="1621" t="s">
        <v>9924</v>
      </c>
    </row>
    <row r="60" ht="15.75" customHeight="1">
      <c r="A60" s="1459" t="s">
        <v>1962</v>
      </c>
      <c r="B60" s="1460" t="s">
        <v>8686</v>
      </c>
      <c r="C60" s="1461">
        <v>0.05157407407407407</v>
      </c>
      <c r="D60" s="772" t="s">
        <v>9925</v>
      </c>
      <c r="E60" s="1509" t="s">
        <v>9926</v>
      </c>
      <c r="F60" s="1509" t="s">
        <v>9927</v>
      </c>
      <c r="G60" s="1565" t="s">
        <v>9405</v>
      </c>
      <c r="H60" s="1136" t="s">
        <v>9928</v>
      </c>
      <c r="I60" s="1136" t="s">
        <v>2097</v>
      </c>
      <c r="J60" s="1566" t="s">
        <v>5425</v>
      </c>
      <c r="K60" s="1566" t="s">
        <v>3658</v>
      </c>
      <c r="L60" s="1566" t="s">
        <v>9929</v>
      </c>
      <c r="M60" s="1566" t="s">
        <v>9575</v>
      </c>
      <c r="N60" s="1566" t="s">
        <v>1234</v>
      </c>
      <c r="O60" s="1566" t="s">
        <v>9896</v>
      </c>
      <c r="P60" s="1566" t="s">
        <v>8904</v>
      </c>
      <c r="Q60" s="1567" t="s">
        <v>9930</v>
      </c>
      <c r="R60" s="1567" t="s">
        <v>9931</v>
      </c>
      <c r="S60" s="1567" t="s">
        <v>9932</v>
      </c>
      <c r="T60" s="1567" t="s">
        <v>7516</v>
      </c>
      <c r="U60" s="1567" t="s">
        <v>2952</v>
      </c>
      <c r="V60" s="1567" t="s">
        <v>5072</v>
      </c>
      <c r="W60" s="1568" t="s">
        <v>9933</v>
      </c>
      <c r="X60" s="1568" t="s">
        <v>9934</v>
      </c>
      <c r="Y60" s="1568" t="s">
        <v>9792</v>
      </c>
      <c r="Z60" s="1568" t="s">
        <v>8756</v>
      </c>
      <c r="AA60" s="1568" t="s">
        <v>6091</v>
      </c>
      <c r="AB60" s="1568" t="s">
        <v>5805</v>
      </c>
      <c r="AC60" s="1568" t="s">
        <v>6406</v>
      </c>
      <c r="AD60" s="1509" t="s">
        <v>9935</v>
      </c>
      <c r="AE60" s="1565" t="s">
        <v>5478</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8025</v>
      </c>
      <c r="AS60" s="1515" t="s">
        <v>4411</v>
      </c>
      <c r="AT60" s="1566" t="s">
        <v>9945</v>
      </c>
      <c r="AU60" s="1570" t="s">
        <v>9946</v>
      </c>
      <c r="AV60" s="1379" t="str">
        <f t="shared" si="1"/>
        <v>4:40</v>
      </c>
      <c r="AW60" s="1590" t="s">
        <v>9947</v>
      </c>
    </row>
    <row r="61" ht="15.75" customHeight="1">
      <c r="A61" s="1505" t="s">
        <v>9948</v>
      </c>
      <c r="B61" s="1503" t="s">
        <v>8686</v>
      </c>
      <c r="C61" s="1461">
        <v>0.051631944444444446</v>
      </c>
      <c r="D61" s="1509" t="s">
        <v>9949</v>
      </c>
      <c r="E61" s="1509" t="s">
        <v>6691</v>
      </c>
      <c r="F61" s="1509" t="s">
        <v>8911</v>
      </c>
      <c r="G61" s="1509" t="s">
        <v>9950</v>
      </c>
      <c r="H61" s="1086" t="s">
        <v>9951</v>
      </c>
      <c r="I61" s="1086" t="s">
        <v>9952</v>
      </c>
      <c r="J61" s="1510" t="s">
        <v>9953</v>
      </c>
      <c r="K61" s="1510" t="s">
        <v>2944</v>
      </c>
      <c r="L61" s="1510" t="s">
        <v>4442</v>
      </c>
      <c r="M61" s="1510" t="s">
        <v>9954</v>
      </c>
      <c r="N61" s="1510" t="s">
        <v>9341</v>
      </c>
      <c r="O61" s="1510" t="s">
        <v>9955</v>
      </c>
      <c r="P61" s="1510" t="s">
        <v>2248</v>
      </c>
      <c r="Q61" s="1512" t="s">
        <v>9956</v>
      </c>
      <c r="R61" s="1512" t="s">
        <v>5890</v>
      </c>
      <c r="S61" s="1512" t="s">
        <v>5583</v>
      </c>
      <c r="T61" s="1512" t="s">
        <v>6254</v>
      </c>
      <c r="U61" s="1512" t="s">
        <v>9957</v>
      </c>
      <c r="V61" s="1512" t="s">
        <v>9958</v>
      </c>
      <c r="W61" s="1513" t="s">
        <v>9959</v>
      </c>
      <c r="X61" s="1513" t="s">
        <v>629</v>
      </c>
      <c r="Y61" s="1513" t="s">
        <v>5062</v>
      </c>
      <c r="Z61" s="1513" t="s">
        <v>9960</v>
      </c>
      <c r="AA61" s="1476" t="s">
        <v>9961</v>
      </c>
      <c r="AB61" s="1513" t="s">
        <v>9542</v>
      </c>
      <c r="AC61" s="1513" t="s">
        <v>840</v>
      </c>
      <c r="AD61" s="1509" t="s">
        <v>9962</v>
      </c>
      <c r="AE61" s="1509" t="s">
        <v>9236</v>
      </c>
      <c r="AF61" s="1622" t="s">
        <v>9963</v>
      </c>
      <c r="AG61" s="1514" t="s">
        <v>6812</v>
      </c>
      <c r="AH61" s="1514" t="s">
        <v>9938</v>
      </c>
      <c r="AI61" s="1514" t="s">
        <v>4103</v>
      </c>
      <c r="AJ61" s="1514" t="s">
        <v>9964</v>
      </c>
      <c r="AK61" s="1514" t="s">
        <v>1530</v>
      </c>
      <c r="AL61" s="1514" t="s">
        <v>3512</v>
      </c>
      <c r="AM61" s="1516" t="s">
        <v>6091</v>
      </c>
      <c r="AN61" s="1516" t="s">
        <v>5629</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8686</v>
      </c>
      <c r="C62" s="1591">
        <v>0.051631944444444446</v>
      </c>
      <c r="D62" s="772" t="s">
        <v>9970</v>
      </c>
      <c r="E62" s="360" t="s">
        <v>9971</v>
      </c>
      <c r="F62" s="360" t="s">
        <v>8765</v>
      </c>
      <c r="G62" s="360" t="s">
        <v>9972</v>
      </c>
      <c r="H62" s="360" t="s">
        <v>9973</v>
      </c>
      <c r="I62" s="360" t="s">
        <v>9899</v>
      </c>
      <c r="J62" s="360" t="s">
        <v>3659</v>
      </c>
      <c r="K62" s="360" t="s">
        <v>9974</v>
      </c>
      <c r="L62" s="360" t="s">
        <v>5219</v>
      </c>
      <c r="M62" s="360" t="s">
        <v>713</v>
      </c>
      <c r="N62" s="360" t="s">
        <v>9975</v>
      </c>
      <c r="O62" s="360" t="s">
        <v>4710</v>
      </c>
      <c r="P62" s="360" t="s">
        <v>8718</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5364</v>
      </c>
      <c r="AI62" s="360" t="s">
        <v>4053</v>
      </c>
      <c r="AJ62" s="360" t="s">
        <v>9982</v>
      </c>
      <c r="AK62" s="360" t="s">
        <v>9815</v>
      </c>
      <c r="AL62" s="360" t="s">
        <v>5175</v>
      </c>
      <c r="AM62" s="360" t="s">
        <v>9983</v>
      </c>
      <c r="AN62" s="360" t="s">
        <v>8546</v>
      </c>
      <c r="AO62" s="360" t="s">
        <v>5114</v>
      </c>
      <c r="AP62" s="360" t="s">
        <v>9984</v>
      </c>
      <c r="AQ62" s="360" t="s">
        <v>3590</v>
      </c>
      <c r="AR62" s="360" t="s">
        <v>9325</v>
      </c>
      <c r="AS62" s="360" t="s">
        <v>4689</v>
      </c>
      <c r="AT62" s="360" t="s">
        <v>9985</v>
      </c>
      <c r="AU62" s="1623" t="str">
        <f>HYPERLINK("https://splits.io/pc9","1:16:48")</f>
        <v>1:16:48</v>
      </c>
      <c r="AV62" s="1379" t="str">
        <f t="shared" si="1"/>
        <v>2:27</v>
      </c>
      <c r="AW62" s="1624" t="s">
        <v>9986</v>
      </c>
    </row>
    <row r="63" ht="15.75" customHeight="1">
      <c r="A63" s="1459" t="s">
        <v>5802</v>
      </c>
      <c r="B63" s="1460" t="s">
        <v>8686</v>
      </c>
      <c r="C63" s="1591">
        <v>0.051631944444444446</v>
      </c>
      <c r="D63" s="772" t="s">
        <v>9987</v>
      </c>
      <c r="E63" s="360" t="s">
        <v>6845</v>
      </c>
      <c r="F63" s="360" t="s">
        <v>9988</v>
      </c>
      <c r="G63" s="360" t="s">
        <v>5256</v>
      </c>
      <c r="H63" s="360" t="s">
        <v>9555</v>
      </c>
      <c r="I63" s="360" t="s">
        <v>840</v>
      </c>
      <c r="J63" s="360" t="s">
        <v>8901</v>
      </c>
      <c r="K63" s="360" t="s">
        <v>8580</v>
      </c>
      <c r="L63" s="360" t="s">
        <v>5779</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4843</v>
      </c>
      <c r="AA63" s="360" t="s">
        <v>9996</v>
      </c>
      <c r="AB63" s="360" t="s">
        <v>7490</v>
      </c>
      <c r="AC63" s="360" t="s">
        <v>9997</v>
      </c>
      <c r="AD63" s="360" t="s">
        <v>9998</v>
      </c>
      <c r="AE63" s="1578" t="s">
        <v>5455</v>
      </c>
      <c r="AF63" s="360" t="s">
        <v>9999</v>
      </c>
      <c r="AG63" s="360" t="s">
        <v>10000</v>
      </c>
      <c r="AH63" s="360" t="s">
        <v>2215</v>
      </c>
      <c r="AI63" s="360" t="s">
        <v>5206</v>
      </c>
      <c r="AJ63" s="360" t="s">
        <v>8345</v>
      </c>
      <c r="AK63" s="360" t="s">
        <v>1712</v>
      </c>
      <c r="AL63" s="360" t="s">
        <v>5629</v>
      </c>
      <c r="AM63" s="360" t="s">
        <v>10001</v>
      </c>
      <c r="AN63" s="360" t="s">
        <v>10002</v>
      </c>
      <c r="AO63" s="360" t="s">
        <v>8949</v>
      </c>
      <c r="AP63" s="360" t="s">
        <v>10003</v>
      </c>
      <c r="AQ63" s="360" t="s">
        <v>10004</v>
      </c>
      <c r="AR63" s="360" t="s">
        <v>4830</v>
      </c>
      <c r="AS63" s="360" t="s">
        <v>3025</v>
      </c>
      <c r="AT63" s="360" t="s">
        <v>10005</v>
      </c>
      <c r="AU63" s="360" t="s">
        <v>10006</v>
      </c>
      <c r="AV63" s="1379" t="str">
        <f t="shared" si="1"/>
        <v>3:33</v>
      </c>
      <c r="AW63" s="1624"/>
    </row>
    <row r="64" ht="15.75" customHeight="1">
      <c r="A64" s="1459" t="s">
        <v>4209</v>
      </c>
      <c r="B64" s="1460" t="s">
        <v>8686</v>
      </c>
      <c r="C64" s="1591">
        <v>0.05164351851851852</v>
      </c>
      <c r="D64" s="772" t="s">
        <v>10007</v>
      </c>
      <c r="E64" s="360" t="s">
        <v>8848</v>
      </c>
      <c r="F64" s="360" t="s">
        <v>10008</v>
      </c>
      <c r="G64" s="360" t="s">
        <v>8742</v>
      </c>
      <c r="H64" s="360" t="s">
        <v>10009</v>
      </c>
      <c r="I64" s="360" t="s">
        <v>1295</v>
      </c>
      <c r="J64" s="360" t="s">
        <v>806</v>
      </c>
      <c r="K64" s="360" t="s">
        <v>7387</v>
      </c>
      <c r="L64" s="360" t="s">
        <v>3627</v>
      </c>
      <c r="M64" s="360" t="s">
        <v>9954</v>
      </c>
      <c r="N64" s="360" t="s">
        <v>9057</v>
      </c>
      <c r="O64" s="360" t="s">
        <v>9652</v>
      </c>
      <c r="P64" s="360" t="s">
        <v>5160</v>
      </c>
      <c r="Q64" s="360" t="s">
        <v>10010</v>
      </c>
      <c r="R64" s="360" t="s">
        <v>10011</v>
      </c>
      <c r="S64" s="360" t="s">
        <v>10012</v>
      </c>
      <c r="T64" s="360" t="s">
        <v>10013</v>
      </c>
      <c r="U64" s="360" t="s">
        <v>10014</v>
      </c>
      <c r="V64" s="360" t="s">
        <v>10015</v>
      </c>
      <c r="W64" s="360" t="s">
        <v>10016</v>
      </c>
      <c r="X64" s="360" t="s">
        <v>608</v>
      </c>
      <c r="Y64" s="360" t="s">
        <v>10017</v>
      </c>
      <c r="Z64" s="360" t="s">
        <v>7780</v>
      </c>
      <c r="AA64" s="360" t="s">
        <v>5587</v>
      </c>
      <c r="AB64" s="360" t="s">
        <v>6623</v>
      </c>
      <c r="AC64" s="360" t="s">
        <v>6782</v>
      </c>
      <c r="AD64" s="360" t="s">
        <v>10018</v>
      </c>
      <c r="AE64" s="360" t="s">
        <v>1852</v>
      </c>
      <c r="AF64" s="360" t="s">
        <v>10019</v>
      </c>
      <c r="AG64" s="360" t="s">
        <v>528</v>
      </c>
      <c r="AH64" s="360" t="s">
        <v>5364</v>
      </c>
      <c r="AI64" s="360" t="s">
        <v>10020</v>
      </c>
      <c r="AJ64" s="360" t="s">
        <v>10021</v>
      </c>
      <c r="AK64" s="360" t="s">
        <v>10022</v>
      </c>
      <c r="AL64" s="360" t="s">
        <v>5157</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8738</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4442</v>
      </c>
      <c r="AI65" s="360" t="s">
        <v>6352</v>
      </c>
      <c r="AJ65" s="360" t="s">
        <v>10041</v>
      </c>
      <c r="AK65" s="360" t="s">
        <v>8808</v>
      </c>
      <c r="AL65" s="360" t="s">
        <v>5205</v>
      </c>
      <c r="AM65" s="360" t="s">
        <v>10042</v>
      </c>
      <c r="AN65" s="360" t="s">
        <v>10043</v>
      </c>
      <c r="AO65" s="360" t="s">
        <v>8978</v>
      </c>
      <c r="AP65" s="360" t="s">
        <v>10044</v>
      </c>
      <c r="AQ65" s="360" t="s">
        <v>10045</v>
      </c>
      <c r="AR65" s="360" t="s">
        <v>10046</v>
      </c>
      <c r="AS65" s="360" t="s">
        <v>2662</v>
      </c>
      <c r="AT65" s="360" t="s">
        <v>10047</v>
      </c>
      <c r="AU65" s="360" t="s">
        <v>10048</v>
      </c>
      <c r="AV65" s="1379" t="str">
        <f t="shared" si="1"/>
        <v>2:51</v>
      </c>
      <c r="AW65" s="1625"/>
    </row>
    <row r="66" ht="15.75" customHeight="1">
      <c r="A66" s="1505" t="s">
        <v>4626</v>
      </c>
      <c r="B66" s="1562" t="s">
        <v>8713</v>
      </c>
      <c r="C66" s="1591">
        <v>0.05170138888888889</v>
      </c>
      <c r="D66" s="772" t="s">
        <v>10049</v>
      </c>
      <c r="E66" s="360" t="s">
        <v>4246</v>
      </c>
      <c r="F66" s="360" t="s">
        <v>9597</v>
      </c>
      <c r="G66" s="360" t="s">
        <v>9503</v>
      </c>
      <c r="H66" s="360" t="s">
        <v>10050</v>
      </c>
      <c r="I66" s="360" t="s">
        <v>10051</v>
      </c>
      <c r="J66" s="360" t="s">
        <v>9612</v>
      </c>
      <c r="K66" s="360" t="s">
        <v>8949</v>
      </c>
      <c r="L66" s="360" t="s">
        <v>4030</v>
      </c>
      <c r="M66" s="360" t="s">
        <v>7708</v>
      </c>
      <c r="N66" s="360" t="s">
        <v>6133</v>
      </c>
      <c r="O66" s="360" t="s">
        <v>9738</v>
      </c>
      <c r="P66" s="360" t="s">
        <v>484</v>
      </c>
      <c r="Q66" s="360" t="s">
        <v>2794</v>
      </c>
      <c r="R66" s="360" t="s">
        <v>8974</v>
      </c>
      <c r="S66" s="360" t="s">
        <v>9942</v>
      </c>
      <c r="T66" s="360" t="s">
        <v>2778</v>
      </c>
      <c r="U66" s="360" t="s">
        <v>10052</v>
      </c>
      <c r="V66" s="360" t="s">
        <v>10053</v>
      </c>
      <c r="W66" s="360" t="s">
        <v>9979</v>
      </c>
      <c r="X66" s="360" t="s">
        <v>3626</v>
      </c>
      <c r="Y66" s="360" t="s">
        <v>161</v>
      </c>
      <c r="Z66" s="360" t="s">
        <v>492</v>
      </c>
      <c r="AA66" s="360" t="s">
        <v>629</v>
      </c>
      <c r="AB66" s="360" t="s">
        <v>10054</v>
      </c>
      <c r="AC66" s="360" t="s">
        <v>5707</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5077</v>
      </c>
      <c r="B67" s="1500" t="s">
        <v>8713</v>
      </c>
      <c r="C67" s="1461">
        <v>0.05171296296296296</v>
      </c>
      <c r="D67" s="1598" t="s">
        <v>10067</v>
      </c>
      <c r="E67" s="1578" t="s">
        <v>10068</v>
      </c>
      <c r="F67" s="1578" t="s">
        <v>1474</v>
      </c>
      <c r="G67" s="1578" t="s">
        <v>10069</v>
      </c>
      <c r="H67" s="1578" t="s">
        <v>8975</v>
      </c>
      <c r="I67" s="1578" t="s">
        <v>10070</v>
      </c>
      <c r="J67" s="1578" t="s">
        <v>889</v>
      </c>
      <c r="K67" s="1578" t="s">
        <v>4854</v>
      </c>
      <c r="L67" s="1578" t="s">
        <v>1891</v>
      </c>
      <c r="M67" s="1626" t="s">
        <v>10071</v>
      </c>
      <c r="N67" s="1578" t="s">
        <v>10072</v>
      </c>
      <c r="O67" s="1578" t="s">
        <v>1789</v>
      </c>
      <c r="P67" s="1578" t="s">
        <v>5062</v>
      </c>
      <c r="Q67" s="1578" t="s">
        <v>2859</v>
      </c>
      <c r="R67" s="1578" t="s">
        <v>10073</v>
      </c>
      <c r="S67" s="1578" t="s">
        <v>8792</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5391</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8713</v>
      </c>
      <c r="C68" s="1461">
        <v>0.05173611111111111</v>
      </c>
      <c r="D68" s="772" t="s">
        <v>10087</v>
      </c>
      <c r="E68" s="1578" t="s">
        <v>10088</v>
      </c>
      <c r="F68" s="1578" t="s">
        <v>10089</v>
      </c>
      <c r="G68" s="1578" t="s">
        <v>10090</v>
      </c>
      <c r="H68" s="1578" t="s">
        <v>7643</v>
      </c>
      <c r="I68" s="1578" t="s">
        <v>497</v>
      </c>
      <c r="J68" s="1578" t="s">
        <v>9100</v>
      </c>
      <c r="K68" s="1578" t="s">
        <v>10091</v>
      </c>
      <c r="L68" s="1578" t="s">
        <v>7255</v>
      </c>
      <c r="M68" s="1578" t="s">
        <v>3539</v>
      </c>
      <c r="N68" s="1578" t="s">
        <v>10092</v>
      </c>
      <c r="O68" s="1578" t="s">
        <v>10093</v>
      </c>
      <c r="P68" s="1578" t="s">
        <v>3685</v>
      </c>
      <c r="Q68" s="1578" t="s">
        <v>10094</v>
      </c>
      <c r="R68" s="1578" t="s">
        <v>10034</v>
      </c>
      <c r="S68" s="1578" t="s">
        <v>5524</v>
      </c>
      <c r="T68" s="1578" t="s">
        <v>10095</v>
      </c>
      <c r="U68" s="1578" t="s">
        <v>10096</v>
      </c>
      <c r="V68" s="1578" t="s">
        <v>360</v>
      </c>
      <c r="W68" s="1578" t="s">
        <v>5591</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7567</v>
      </c>
      <c r="AL68" s="1578" t="s">
        <v>10101</v>
      </c>
      <c r="AM68" s="1578" t="s">
        <v>2907</v>
      </c>
      <c r="AN68" s="1578" t="s">
        <v>5157</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8066</v>
      </c>
      <c r="B69" s="1503" t="s">
        <v>8738</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4294</v>
      </c>
      <c r="W69" s="1479" t="s">
        <v>10121</v>
      </c>
      <c r="X69" s="1479" t="s">
        <v>10122</v>
      </c>
      <c r="Y69" s="1478" t="s">
        <v>9617</v>
      </c>
      <c r="Z69" s="1627" t="s">
        <v>8754</v>
      </c>
      <c r="AA69" s="1479" t="s">
        <v>971</v>
      </c>
      <c r="AB69" s="1478" t="s">
        <v>4359</v>
      </c>
      <c r="AC69" s="1479">
        <v>49.53</v>
      </c>
      <c r="AD69" s="1479" t="s">
        <v>1941</v>
      </c>
      <c r="AE69" s="1478" t="s">
        <v>10123</v>
      </c>
      <c r="AF69" s="1479" t="s">
        <v>8908</v>
      </c>
      <c r="AG69" s="1479" t="s">
        <v>10124</v>
      </c>
      <c r="AH69" s="1479">
        <v>59.93</v>
      </c>
      <c r="AI69" s="1479" t="s">
        <v>10125</v>
      </c>
      <c r="AJ69" s="1479" t="s">
        <v>10126</v>
      </c>
      <c r="AK69" s="1479" t="s">
        <v>5920</v>
      </c>
      <c r="AL69" s="1479">
        <v>59.13</v>
      </c>
      <c r="AM69" s="1479" t="s">
        <v>10063</v>
      </c>
      <c r="AN69" s="1479">
        <v>57.86</v>
      </c>
      <c r="AO69" s="1479" t="s">
        <v>7851</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8713</v>
      </c>
      <c r="C70" s="1628">
        <v>0.05181712962962963</v>
      </c>
      <c r="D70" s="1468" t="s">
        <v>10131</v>
      </c>
      <c r="E70" s="1468" t="s">
        <v>6697</v>
      </c>
      <c r="F70" s="1468" t="s">
        <v>10132</v>
      </c>
      <c r="G70" s="1468" t="s">
        <v>10133</v>
      </c>
      <c r="H70" s="1468" t="s">
        <v>10134</v>
      </c>
      <c r="I70" s="1468" t="s">
        <v>5019</v>
      </c>
      <c r="J70" s="1468" t="s">
        <v>9084</v>
      </c>
      <c r="K70" s="1468" t="s">
        <v>8723</v>
      </c>
      <c r="L70" s="1468" t="s">
        <v>10099</v>
      </c>
      <c r="M70" s="1468" t="s">
        <v>1459</v>
      </c>
      <c r="N70" s="1468" t="s">
        <v>9586</v>
      </c>
      <c r="O70" s="1468" t="s">
        <v>7616</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4716</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8713</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5102</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8583</v>
      </c>
      <c r="AC71" s="360" t="s">
        <v>5707</v>
      </c>
      <c r="AD71" s="360" t="s">
        <v>10165</v>
      </c>
      <c r="AE71" s="360" t="s">
        <v>1187</v>
      </c>
      <c r="AF71" s="360" t="s">
        <v>10166</v>
      </c>
      <c r="AG71" s="360" t="s">
        <v>10167</v>
      </c>
      <c r="AH71" s="360" t="s">
        <v>5219</v>
      </c>
      <c r="AI71" s="360" t="s">
        <v>10100</v>
      </c>
      <c r="AJ71" s="360" t="s">
        <v>10168</v>
      </c>
      <c r="AK71" s="360" t="s">
        <v>1845</v>
      </c>
      <c r="AL71" s="360" t="s">
        <v>10142</v>
      </c>
      <c r="AM71" s="360" t="s">
        <v>10169</v>
      </c>
      <c r="AN71" s="360" t="s">
        <v>9605</v>
      </c>
      <c r="AO71" s="360" t="s">
        <v>8903</v>
      </c>
      <c r="AP71" s="360" t="s">
        <v>10170</v>
      </c>
      <c r="AQ71" s="360" t="s">
        <v>10171</v>
      </c>
      <c r="AR71" s="360" t="s">
        <v>2190</v>
      </c>
      <c r="AS71" s="360" t="s">
        <v>4822</v>
      </c>
      <c r="AT71" s="360" t="s">
        <v>10172</v>
      </c>
      <c r="AU71" s="360" t="s">
        <v>10173</v>
      </c>
      <c r="AV71" s="1379" t="str">
        <f t="shared" si="1"/>
        <v>2:06</v>
      </c>
      <c r="AW71" s="1621" t="s">
        <v>10174</v>
      </c>
    </row>
    <row r="72" ht="15.75" customHeight="1">
      <c r="A72" s="1459" t="s">
        <v>1130</v>
      </c>
      <c r="B72" s="1460" t="s">
        <v>8686</v>
      </c>
      <c r="C72" s="1591">
        <v>0.051875</v>
      </c>
      <c r="D72" s="772" t="s">
        <v>10175</v>
      </c>
      <c r="E72" s="360" t="s">
        <v>3227</v>
      </c>
      <c r="F72" s="360" t="s">
        <v>10176</v>
      </c>
      <c r="G72" s="360" t="s">
        <v>10177</v>
      </c>
      <c r="H72" s="360" t="s">
        <v>10178</v>
      </c>
      <c r="I72" s="360" t="s">
        <v>10179</v>
      </c>
      <c r="J72" s="360" t="s">
        <v>2526</v>
      </c>
      <c r="K72" s="360" t="s">
        <v>10180</v>
      </c>
      <c r="L72" s="360" t="s">
        <v>8924</v>
      </c>
      <c r="M72" s="360" t="s">
        <v>7725</v>
      </c>
      <c r="N72" s="360" t="s">
        <v>9180</v>
      </c>
      <c r="O72" s="360" t="s">
        <v>4456</v>
      </c>
      <c r="P72" s="360" t="s">
        <v>1533</v>
      </c>
      <c r="Q72" s="360" t="s">
        <v>10181</v>
      </c>
      <c r="R72" s="360" t="s">
        <v>2077</v>
      </c>
      <c r="S72" s="360" t="s">
        <v>4421</v>
      </c>
      <c r="T72" s="360" t="s">
        <v>10182</v>
      </c>
      <c r="U72" s="360" t="s">
        <v>9977</v>
      </c>
      <c r="V72" s="360" t="s">
        <v>6513</v>
      </c>
      <c r="W72" s="360" t="s">
        <v>4456</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5590</v>
      </c>
      <c r="AM72" s="360" t="s">
        <v>10189</v>
      </c>
      <c r="AN72" s="360" t="s">
        <v>6321</v>
      </c>
      <c r="AO72" s="1578" t="s">
        <v>9778</v>
      </c>
      <c r="AP72" s="360" t="s">
        <v>10190</v>
      </c>
      <c r="AQ72" s="360" t="s">
        <v>10191</v>
      </c>
      <c r="AR72" s="360" t="s">
        <v>9434</v>
      </c>
      <c r="AS72" s="360" t="s">
        <v>4734</v>
      </c>
      <c r="AT72" s="360" t="s">
        <v>10192</v>
      </c>
      <c r="AU72" s="1578" t="s">
        <v>10193</v>
      </c>
      <c r="AV72" s="1379" t="str">
        <f t="shared" si="1"/>
        <v>0:37</v>
      </c>
      <c r="AW72" s="1625" t="s">
        <v>10194</v>
      </c>
    </row>
    <row r="73">
      <c r="A73" s="1505" t="s">
        <v>8033</v>
      </c>
      <c r="B73" s="1500" t="s">
        <v>8686</v>
      </c>
      <c r="C73" s="1461">
        <v>0.05188657407407407</v>
      </c>
      <c r="D73" s="1578" t="s">
        <v>10195</v>
      </c>
      <c r="E73" s="772" t="s">
        <v>938</v>
      </c>
      <c r="F73" s="772" t="s">
        <v>10196</v>
      </c>
      <c r="G73" s="772" t="s">
        <v>10197</v>
      </c>
      <c r="H73" s="772" t="s">
        <v>10198</v>
      </c>
      <c r="I73" s="772" t="s">
        <v>680</v>
      </c>
      <c r="J73" s="772" t="s">
        <v>4133</v>
      </c>
      <c r="K73" s="772" t="s">
        <v>9408</v>
      </c>
      <c r="L73" s="772" t="s">
        <v>2731</v>
      </c>
      <c r="M73" s="772" t="s">
        <v>10199</v>
      </c>
      <c r="N73" s="772" t="s">
        <v>4007</v>
      </c>
      <c r="O73" s="772" t="s">
        <v>10200</v>
      </c>
      <c r="P73" s="772" t="s">
        <v>5161</v>
      </c>
      <c r="Q73" s="772" t="s">
        <v>10201</v>
      </c>
      <c r="R73" s="772" t="s">
        <v>5507</v>
      </c>
      <c r="S73" s="772" t="s">
        <v>10202</v>
      </c>
      <c r="T73" s="772" t="s">
        <v>8759</v>
      </c>
      <c r="U73" s="772" t="s">
        <v>10203</v>
      </c>
      <c r="V73" s="772" t="s">
        <v>5415</v>
      </c>
      <c r="W73" s="772" t="s">
        <v>10204</v>
      </c>
      <c r="X73" s="772" t="s">
        <v>10205</v>
      </c>
      <c r="Y73" s="772" t="s">
        <v>10206</v>
      </c>
      <c r="Z73" s="772" t="s">
        <v>9419</v>
      </c>
      <c r="AA73" s="772" t="s">
        <v>5121</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8629</v>
      </c>
      <c r="B74" s="1503" t="s">
        <v>8686</v>
      </c>
      <c r="C74" s="1461">
        <v>0.05193287037037037</v>
      </c>
      <c r="D74" s="1598" t="s">
        <v>10214</v>
      </c>
      <c r="E74" s="1578" t="s">
        <v>7747</v>
      </c>
      <c r="F74" s="1578" t="s">
        <v>10215</v>
      </c>
      <c r="G74" s="1578" t="s">
        <v>10216</v>
      </c>
      <c r="H74" s="1578" t="s">
        <v>10217</v>
      </c>
      <c r="I74" s="1578" t="s">
        <v>2383</v>
      </c>
      <c r="J74" s="1578" t="s">
        <v>4229</v>
      </c>
      <c r="K74" s="1578" t="s">
        <v>9346</v>
      </c>
      <c r="L74" s="1578"/>
      <c r="M74" s="1578" t="s">
        <v>7393</v>
      </c>
      <c r="N74" s="1578" t="s">
        <v>4671</v>
      </c>
      <c r="O74" s="1578" t="s">
        <v>8752</v>
      </c>
      <c r="P74" s="1578" t="s">
        <v>9836</v>
      </c>
      <c r="Q74" s="1578" t="s">
        <v>10218</v>
      </c>
      <c r="R74" s="1578" t="s">
        <v>10219</v>
      </c>
      <c r="S74" s="1578" t="s">
        <v>9005</v>
      </c>
      <c r="T74" s="1578" t="s">
        <v>9362</v>
      </c>
      <c r="U74" s="1578" t="s">
        <v>2270</v>
      </c>
      <c r="V74" s="1578" t="s">
        <v>9197</v>
      </c>
      <c r="W74" s="1578" t="s">
        <v>5925</v>
      </c>
      <c r="X74" s="1578" t="s">
        <v>629</v>
      </c>
      <c r="Y74" s="1578" t="s">
        <v>9161</v>
      </c>
      <c r="Z74" s="1578" t="s">
        <v>8775</v>
      </c>
      <c r="AA74" s="1578" t="s">
        <v>7863</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8686</v>
      </c>
      <c r="C75" s="1591">
        <v>0.05199074074074074</v>
      </c>
      <c r="D75" s="772" t="s">
        <v>10235</v>
      </c>
      <c r="E75" s="360" t="s">
        <v>10236</v>
      </c>
      <c r="F75" s="360" t="s">
        <v>10237</v>
      </c>
      <c r="G75" s="360" t="s">
        <v>10238</v>
      </c>
      <c r="H75" s="360" t="s">
        <v>7669</v>
      </c>
      <c r="I75" s="360" t="s">
        <v>9792</v>
      </c>
      <c r="J75" s="360" t="s">
        <v>10239</v>
      </c>
      <c r="K75" s="360" t="s">
        <v>10240</v>
      </c>
      <c r="L75" s="360" t="s">
        <v>3124</v>
      </c>
      <c r="M75" s="360" t="s">
        <v>10241</v>
      </c>
      <c r="N75" s="360" t="s">
        <v>9494</v>
      </c>
      <c r="O75" s="360" t="s">
        <v>10242</v>
      </c>
      <c r="P75" s="360" t="s">
        <v>2436</v>
      </c>
      <c r="Q75" s="360" t="s">
        <v>5080</v>
      </c>
      <c r="R75" s="360" t="s">
        <v>5247</v>
      </c>
      <c r="S75" s="360" t="s">
        <v>10243</v>
      </c>
      <c r="T75" s="360" t="s">
        <v>5765</v>
      </c>
      <c r="U75" s="360" t="s">
        <v>10244</v>
      </c>
      <c r="V75" s="360" t="s">
        <v>6513</v>
      </c>
      <c r="W75" s="360" t="s">
        <v>8041</v>
      </c>
      <c r="X75" s="360" t="s">
        <v>10245</v>
      </c>
      <c r="Y75" s="360" t="s">
        <v>2097</v>
      </c>
      <c r="Z75" s="360" t="s">
        <v>10246</v>
      </c>
      <c r="AA75" s="360" t="s">
        <v>9934</v>
      </c>
      <c r="AB75" s="360" t="s">
        <v>10247</v>
      </c>
      <c r="AC75" s="360" t="s">
        <v>8758</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7629</v>
      </c>
      <c r="AP75" s="1578" t="s">
        <v>10254</v>
      </c>
      <c r="AQ75" s="360" t="s">
        <v>5326</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8686</v>
      </c>
      <c r="C76" s="1591">
        <v>0.052002314814814814</v>
      </c>
      <c r="D76" s="772" t="s">
        <v>10257</v>
      </c>
      <c r="E76" s="360" t="s">
        <v>9029</v>
      </c>
      <c r="F76" s="360" t="s">
        <v>10258</v>
      </c>
      <c r="G76" s="360" t="s">
        <v>10259</v>
      </c>
      <c r="H76" s="360" t="s">
        <v>10260</v>
      </c>
      <c r="I76" s="360" t="s">
        <v>3545</v>
      </c>
      <c r="J76" s="360" t="s">
        <v>9383</v>
      </c>
      <c r="K76" s="360" t="s">
        <v>4421</v>
      </c>
      <c r="L76" s="360" t="s">
        <v>3652</v>
      </c>
      <c r="M76" s="360" t="s">
        <v>9976</v>
      </c>
      <c r="N76" s="360" t="s">
        <v>4459</v>
      </c>
      <c r="O76" s="360" t="s">
        <v>10261</v>
      </c>
      <c r="P76" s="360" t="s">
        <v>10262</v>
      </c>
      <c r="Q76" s="360" t="s">
        <v>4901</v>
      </c>
      <c r="R76" s="360" t="s">
        <v>1459</v>
      </c>
      <c r="S76" s="360" t="s">
        <v>9466</v>
      </c>
      <c r="T76" s="360" t="s">
        <v>529</v>
      </c>
      <c r="U76" s="360" t="s">
        <v>1927</v>
      </c>
      <c r="V76" s="360" t="s">
        <v>466</v>
      </c>
      <c r="W76" s="360" t="s">
        <v>5682</v>
      </c>
      <c r="X76" s="360" t="s">
        <v>9748</v>
      </c>
      <c r="Y76" s="360" t="s">
        <v>161</v>
      </c>
      <c r="Z76" s="360" t="s">
        <v>5398</v>
      </c>
      <c r="AA76" s="360" t="s">
        <v>9494</v>
      </c>
      <c r="AB76" s="360" t="s">
        <v>10263</v>
      </c>
      <c r="AC76" s="360" t="s">
        <v>3097</v>
      </c>
      <c r="AD76" s="360" t="s">
        <v>10264</v>
      </c>
      <c r="AE76" s="360" t="s">
        <v>5161</v>
      </c>
      <c r="AF76" s="360" t="s">
        <v>10265</v>
      </c>
      <c r="AG76" s="360" t="s">
        <v>10266</v>
      </c>
      <c r="AH76" s="360" t="s">
        <v>2215</v>
      </c>
      <c r="AI76" s="360" t="s">
        <v>10267</v>
      </c>
      <c r="AJ76" s="360" t="s">
        <v>10268</v>
      </c>
      <c r="AK76" s="360" t="s">
        <v>4620</v>
      </c>
      <c r="AL76" s="360" t="s">
        <v>6112</v>
      </c>
      <c r="AM76" s="360" t="s">
        <v>1464</v>
      </c>
      <c r="AN76" s="360" t="s">
        <v>8852</v>
      </c>
      <c r="AO76" s="360" t="s">
        <v>9192</v>
      </c>
      <c r="AP76" s="360" t="s">
        <v>4666</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8713</v>
      </c>
      <c r="C77" s="1591">
        <v>0.05201388888888889</v>
      </c>
      <c r="D77" s="772" t="s">
        <v>10276</v>
      </c>
      <c r="E77" s="1578" t="s">
        <v>10277</v>
      </c>
      <c r="F77" s="360" t="s">
        <v>10278</v>
      </c>
      <c r="G77" s="360" t="s">
        <v>10279</v>
      </c>
      <c r="H77" s="360" t="s">
        <v>127</v>
      </c>
      <c r="I77" s="360" t="s">
        <v>10280</v>
      </c>
      <c r="J77" s="360" t="s">
        <v>10281</v>
      </c>
      <c r="K77" s="360" t="s">
        <v>4199</v>
      </c>
      <c r="L77" s="360" t="s">
        <v>10282</v>
      </c>
      <c r="M77" s="360" t="s">
        <v>10283</v>
      </c>
      <c r="N77" s="360" t="s">
        <v>10284</v>
      </c>
      <c r="O77" s="360" t="s">
        <v>10285</v>
      </c>
      <c r="P77" s="360" t="s">
        <v>1603</v>
      </c>
      <c r="Q77" s="360" t="s">
        <v>10286</v>
      </c>
      <c r="R77" s="360" t="s">
        <v>7547</v>
      </c>
      <c r="S77" s="360" t="s">
        <v>10287</v>
      </c>
      <c r="T77" s="360" t="s">
        <v>10288</v>
      </c>
      <c r="U77" s="360" t="s">
        <v>10289</v>
      </c>
      <c r="V77" s="360" t="s">
        <v>8303</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8753</v>
      </c>
      <c r="AS77" s="360" t="s">
        <v>9822</v>
      </c>
      <c r="AT77" s="360" t="s">
        <v>10295</v>
      </c>
      <c r="AU77" s="360" t="s">
        <v>10296</v>
      </c>
      <c r="AV77" s="1379" t="str">
        <f t="shared" si="1"/>
        <v>2:58</v>
      </c>
      <c r="AW77" s="1625" t="s">
        <v>10297</v>
      </c>
    </row>
    <row r="78" ht="15.75" customHeight="1">
      <c r="A78" s="1459" t="s">
        <v>6593</v>
      </c>
      <c r="B78" s="1562" t="s">
        <v>8713</v>
      </c>
      <c r="C78" s="1591">
        <v>0.05207175925925926</v>
      </c>
      <c r="D78" s="772" t="s">
        <v>10298</v>
      </c>
      <c r="E78" s="360" t="s">
        <v>10299</v>
      </c>
      <c r="F78" s="360" t="s">
        <v>10300</v>
      </c>
      <c r="G78" s="360" t="s">
        <v>10301</v>
      </c>
      <c r="H78" s="360" t="s">
        <v>9011</v>
      </c>
      <c r="I78" s="360" t="s">
        <v>4852</v>
      </c>
      <c r="J78" s="360" t="s">
        <v>9289</v>
      </c>
      <c r="K78" s="360" t="s">
        <v>9942</v>
      </c>
      <c r="L78" s="360" t="s">
        <v>10302</v>
      </c>
      <c r="M78" s="360" t="s">
        <v>2715</v>
      </c>
      <c r="N78" s="360" t="s">
        <v>10303</v>
      </c>
      <c r="O78" s="360" t="s">
        <v>10304</v>
      </c>
      <c r="P78" s="360" t="s">
        <v>767</v>
      </c>
      <c r="Q78" s="360" t="s">
        <v>10305</v>
      </c>
      <c r="R78" s="360" t="s">
        <v>4919</v>
      </c>
      <c r="S78" s="360" t="s">
        <v>6087</v>
      </c>
      <c r="T78" s="360" t="s">
        <v>5765</v>
      </c>
      <c r="U78" s="360" t="s">
        <v>10306</v>
      </c>
      <c r="V78" s="360" t="s">
        <v>2419</v>
      </c>
      <c r="W78" s="360" t="s">
        <v>8757</v>
      </c>
      <c r="X78" s="360" t="s">
        <v>10307</v>
      </c>
      <c r="Y78" s="360" t="s">
        <v>1415</v>
      </c>
      <c r="Z78" s="360" t="s">
        <v>7469</v>
      </c>
      <c r="AA78" s="360" t="s">
        <v>1492</v>
      </c>
      <c r="AB78" s="360" t="s">
        <v>10308</v>
      </c>
      <c r="AC78" s="360" t="s">
        <v>239</v>
      </c>
      <c r="AD78" s="360" t="s">
        <v>4236</v>
      </c>
      <c r="AE78" s="360" t="s">
        <v>142</v>
      </c>
      <c r="AF78" s="360" t="s">
        <v>10309</v>
      </c>
      <c r="AG78" s="360" t="s">
        <v>9748</v>
      </c>
      <c r="AH78" s="360" t="s">
        <v>7258</v>
      </c>
      <c r="AI78" s="360" t="s">
        <v>10100</v>
      </c>
      <c r="AJ78" s="360" t="s">
        <v>10310</v>
      </c>
      <c r="AK78" s="360" t="s">
        <v>10311</v>
      </c>
      <c r="AL78" s="360" t="s">
        <v>4373</v>
      </c>
      <c r="AM78" s="360" t="s">
        <v>9860</v>
      </c>
      <c r="AN78" s="360" t="s">
        <v>3958</v>
      </c>
      <c r="AO78" s="360" t="s">
        <v>4199</v>
      </c>
      <c r="AP78" s="360" t="s">
        <v>9577</v>
      </c>
      <c r="AQ78" s="360" t="s">
        <v>10312</v>
      </c>
      <c r="AR78" s="360" t="s">
        <v>1491</v>
      </c>
      <c r="AS78" s="360" t="s">
        <v>6248</v>
      </c>
      <c r="AT78" s="360" t="s">
        <v>7830</v>
      </c>
      <c r="AU78" s="360" t="s">
        <v>10313</v>
      </c>
      <c r="AV78" s="1379" t="str">
        <f t="shared" si="1"/>
        <v>3:10</v>
      </c>
      <c r="AW78" s="1625" t="s">
        <v>10314</v>
      </c>
    </row>
    <row r="79">
      <c r="A79" s="1202" t="s">
        <v>3798</v>
      </c>
      <c r="B79" s="1611" t="s">
        <v>8738</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5765</v>
      </c>
      <c r="O79" s="1575" t="s">
        <v>5510</v>
      </c>
      <c r="P79" s="1575" t="s">
        <v>1852</v>
      </c>
      <c r="Q79" s="1575" t="s">
        <v>10319</v>
      </c>
      <c r="R79" s="1575" t="s">
        <v>8969</v>
      </c>
      <c r="S79" s="1633" t="s">
        <v>2268</v>
      </c>
      <c r="T79" s="1575" t="s">
        <v>8996</v>
      </c>
      <c r="U79" s="1575" t="s">
        <v>3448</v>
      </c>
      <c r="V79" s="1575" t="s">
        <v>10320</v>
      </c>
      <c r="W79" s="1575" t="s">
        <v>10321</v>
      </c>
      <c r="X79" s="1575" t="s">
        <v>4445</v>
      </c>
      <c r="Y79" s="1575" t="s">
        <v>3584</v>
      </c>
      <c r="Z79" s="1575" t="s">
        <v>4169</v>
      </c>
      <c r="AA79" s="1575" t="s">
        <v>401</v>
      </c>
      <c r="AB79" s="1575" t="s">
        <v>626</v>
      </c>
      <c r="AC79" s="1575" t="s">
        <v>142</v>
      </c>
      <c r="AD79" s="1468" t="s">
        <v>9117</v>
      </c>
      <c r="AE79" s="1575" t="s">
        <v>480</v>
      </c>
      <c r="AF79" s="1575" t="s">
        <v>10322</v>
      </c>
      <c r="AG79" s="1575" t="s">
        <v>10323</v>
      </c>
      <c r="AH79" s="1575" t="s">
        <v>4559</v>
      </c>
      <c r="AI79" s="1575" t="s">
        <v>10324</v>
      </c>
      <c r="AJ79" s="1575" t="s">
        <v>10325</v>
      </c>
      <c r="AK79" s="1575" t="s">
        <v>10326</v>
      </c>
      <c r="AL79" s="1575" t="s">
        <v>5082</v>
      </c>
      <c r="AM79" s="1575" t="s">
        <v>9983</v>
      </c>
      <c r="AN79" s="1575" t="s">
        <v>4298</v>
      </c>
      <c r="AO79" s="1575" t="s">
        <v>9100</v>
      </c>
      <c r="AP79" s="1575" t="s">
        <v>10327</v>
      </c>
      <c r="AQ79" s="1631" t="s">
        <v>8766</v>
      </c>
      <c r="AR79" s="1575" t="s">
        <v>10328</v>
      </c>
      <c r="AS79" s="1634" t="s">
        <v>756</v>
      </c>
      <c r="AT79" s="1575" t="s">
        <v>10329</v>
      </c>
      <c r="AU79" s="1498" t="s">
        <v>10330</v>
      </c>
      <c r="AV79" s="1379" t="str">
        <f t="shared" si="1"/>
        <v>4:08</v>
      </c>
      <c r="AW79" s="1635" t="s">
        <v>10331</v>
      </c>
    </row>
    <row r="80">
      <c r="A80" s="1505" t="s">
        <v>3866</v>
      </c>
      <c r="B80" s="1503" t="s">
        <v>8686</v>
      </c>
      <c r="C80" s="1461">
        <v>0.0522337962962963</v>
      </c>
      <c r="D80" s="1598" t="s">
        <v>10332</v>
      </c>
      <c r="E80" s="1578" t="s">
        <v>10333</v>
      </c>
      <c r="F80" s="1578" t="s">
        <v>10334</v>
      </c>
      <c r="G80" s="1578" t="s">
        <v>10335</v>
      </c>
      <c r="H80" s="1578" t="s">
        <v>10336</v>
      </c>
      <c r="I80" s="1578" t="s">
        <v>1912</v>
      </c>
      <c r="J80" s="1578" t="s">
        <v>8361</v>
      </c>
      <c r="K80" s="1578" t="s">
        <v>4421</v>
      </c>
      <c r="L80" s="1578" t="s">
        <v>6290</v>
      </c>
      <c r="M80" s="1578" t="s">
        <v>10337</v>
      </c>
      <c r="N80" s="1578" t="s">
        <v>9725</v>
      </c>
      <c r="O80" s="1578" t="s">
        <v>10338</v>
      </c>
      <c r="P80" s="1578" t="s">
        <v>5161</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7666</v>
      </c>
      <c r="AE80" s="1578" t="s">
        <v>4923</v>
      </c>
      <c r="AF80" s="1255" t="s">
        <v>10344</v>
      </c>
      <c r="AG80" s="1578" t="s">
        <v>10345</v>
      </c>
      <c r="AH80" s="1578" t="s">
        <v>5037</v>
      </c>
      <c r="AI80" s="1578" t="s">
        <v>6806</v>
      </c>
      <c r="AJ80" s="1578" t="s">
        <v>10346</v>
      </c>
      <c r="AK80" s="1578" t="s">
        <v>10347</v>
      </c>
      <c r="AL80" s="1578" t="s">
        <v>10061</v>
      </c>
      <c r="AM80" s="1578" t="s">
        <v>9727</v>
      </c>
      <c r="AN80" s="1578" t="s">
        <v>1081</v>
      </c>
      <c r="AO80" s="1578" t="s">
        <v>6443</v>
      </c>
      <c r="AP80" s="1578" t="s">
        <v>5593</v>
      </c>
      <c r="AQ80" s="1578" t="s">
        <v>10348</v>
      </c>
      <c r="AR80" s="1578" t="s">
        <v>692</v>
      </c>
      <c r="AS80" s="1255" t="s">
        <v>2793</v>
      </c>
      <c r="AT80" s="1578" t="s">
        <v>10349</v>
      </c>
      <c r="AU80" s="1578" t="s">
        <v>10350</v>
      </c>
      <c r="AV80" s="1379" t="str">
        <f t="shared" si="1"/>
        <v>4:32</v>
      </c>
      <c r="AW80" s="1621" t="s">
        <v>10351</v>
      </c>
    </row>
    <row r="81">
      <c r="A81" s="1505" t="s">
        <v>5169</v>
      </c>
      <c r="B81" s="1500" t="s">
        <v>8713</v>
      </c>
      <c r="C81" s="1461">
        <v>0.05232638888888889</v>
      </c>
      <c r="D81" s="1598" t="s">
        <v>10352</v>
      </c>
      <c r="E81" s="1578" t="s">
        <v>1235</v>
      </c>
      <c r="F81" s="1578" t="s">
        <v>10353</v>
      </c>
      <c r="G81" s="1578" t="s">
        <v>10354</v>
      </c>
      <c r="H81" s="1578" t="s">
        <v>10355</v>
      </c>
      <c r="I81" s="1578" t="s">
        <v>115</v>
      </c>
      <c r="J81" s="1578" t="s">
        <v>7965</v>
      </c>
      <c r="K81" s="1578" t="s">
        <v>9953</v>
      </c>
      <c r="L81" s="1578" t="s">
        <v>10356</v>
      </c>
      <c r="M81" s="1578" t="s">
        <v>7694</v>
      </c>
      <c r="N81" s="1578" t="s">
        <v>10357</v>
      </c>
      <c r="O81" s="1578" t="s">
        <v>10358</v>
      </c>
      <c r="P81" s="1578" t="s">
        <v>521</v>
      </c>
      <c r="Q81" s="1578" t="s">
        <v>9789</v>
      </c>
      <c r="R81" s="1578" t="s">
        <v>5216</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8296</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7693</v>
      </c>
      <c r="AR81" s="1578" t="s">
        <v>6272</v>
      </c>
      <c r="AS81" s="1578" t="s">
        <v>10367</v>
      </c>
      <c r="AT81" s="1578" t="s">
        <v>10368</v>
      </c>
      <c r="AU81" s="1578" t="s">
        <v>10369</v>
      </c>
      <c r="AV81" s="1379" t="str">
        <f t="shared" si="1"/>
        <v>3:48</v>
      </c>
      <c r="AW81" s="1625"/>
    </row>
    <row r="82" ht="15.75" customHeight="1">
      <c r="A82" s="1459" t="s">
        <v>10370</v>
      </c>
      <c r="B82" s="1460" t="s">
        <v>8686</v>
      </c>
      <c r="C82" s="1591">
        <v>0.05240740740740741</v>
      </c>
      <c r="D82" s="772" t="s">
        <v>10371</v>
      </c>
      <c r="E82" s="360" t="s">
        <v>1665</v>
      </c>
      <c r="F82" s="360" t="s">
        <v>7955</v>
      </c>
      <c r="G82" s="360" t="s">
        <v>10081</v>
      </c>
      <c r="H82" s="360" t="s">
        <v>10372</v>
      </c>
      <c r="I82" s="360" t="s">
        <v>10373</v>
      </c>
      <c r="J82" s="360" t="s">
        <v>10374</v>
      </c>
      <c r="K82" s="360" t="s">
        <v>10375</v>
      </c>
      <c r="L82" s="360" t="s">
        <v>4450</v>
      </c>
      <c r="M82" s="360" t="s">
        <v>3284</v>
      </c>
      <c r="N82" s="360" t="s">
        <v>4840</v>
      </c>
      <c r="O82" s="360" t="s">
        <v>10376</v>
      </c>
      <c r="P82" s="360" t="s">
        <v>10377</v>
      </c>
      <c r="Q82" s="360" t="s">
        <v>4212</v>
      </c>
      <c r="R82" s="360" t="s">
        <v>9695</v>
      </c>
      <c r="S82" s="360" t="s">
        <v>9862</v>
      </c>
      <c r="T82" s="360" t="s">
        <v>5038</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8686</v>
      </c>
      <c r="C83" s="1591">
        <v>0.05263888888888889</v>
      </c>
      <c r="D83" s="772" t="s">
        <v>10393</v>
      </c>
      <c r="E83" s="360" t="s">
        <v>6697</v>
      </c>
      <c r="F83" s="360" t="s">
        <v>10394</v>
      </c>
      <c r="G83" s="360" t="s">
        <v>10395</v>
      </c>
      <c r="H83" s="360" t="s">
        <v>10396</v>
      </c>
      <c r="I83" s="360" t="s">
        <v>10397</v>
      </c>
      <c r="J83" s="360" t="s">
        <v>10398</v>
      </c>
      <c r="K83" s="360" t="s">
        <v>4133</v>
      </c>
      <c r="L83" s="360" t="s">
        <v>4204</v>
      </c>
      <c r="M83" s="360" t="s">
        <v>9417</v>
      </c>
      <c r="N83" s="360" t="s">
        <v>10399</v>
      </c>
      <c r="O83" s="360" t="s">
        <v>8726</v>
      </c>
      <c r="P83" s="360" t="s">
        <v>484</v>
      </c>
      <c r="Q83" s="360" t="s">
        <v>10400</v>
      </c>
      <c r="R83" s="360" t="s">
        <v>5507</v>
      </c>
      <c r="S83" s="360" t="s">
        <v>6482</v>
      </c>
      <c r="T83" s="360" t="s">
        <v>10401</v>
      </c>
      <c r="U83" s="360" t="s">
        <v>10402</v>
      </c>
      <c r="V83" s="360" t="s">
        <v>10403</v>
      </c>
      <c r="W83" s="360" t="s">
        <v>10404</v>
      </c>
      <c r="X83" s="360" t="s">
        <v>5760</v>
      </c>
      <c r="Y83" s="360" t="s">
        <v>1547</v>
      </c>
      <c r="Z83" s="360" t="s">
        <v>6623</v>
      </c>
      <c r="AA83" s="1578" t="s">
        <v>6439</v>
      </c>
      <c r="AB83" s="360" t="s">
        <v>9308</v>
      </c>
      <c r="AC83" s="360" t="s">
        <v>10139</v>
      </c>
      <c r="AD83" s="360" t="s">
        <v>3030</v>
      </c>
      <c r="AE83" s="360" t="s">
        <v>4765</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8738</v>
      </c>
      <c r="C84" s="1461">
        <v>0.052662037037037035</v>
      </c>
      <c r="D84" s="772" t="s">
        <v>10415</v>
      </c>
      <c r="E84" s="772" t="s">
        <v>533</v>
      </c>
      <c r="F84" s="772" t="s">
        <v>10416</v>
      </c>
      <c r="G84" s="772" t="s">
        <v>10417</v>
      </c>
      <c r="H84" s="772" t="s">
        <v>8923</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8757</v>
      </c>
      <c r="AE84" s="772" t="s">
        <v>335</v>
      </c>
      <c r="AF84" s="772" t="s">
        <v>10428</v>
      </c>
      <c r="AG84" s="772" t="s">
        <v>7618</v>
      </c>
      <c r="AH84" s="772" t="s">
        <v>3759</v>
      </c>
      <c r="AI84" s="772" t="s">
        <v>10429</v>
      </c>
      <c r="AJ84" s="772" t="s">
        <v>10430</v>
      </c>
      <c r="AK84" s="772" t="s">
        <v>10431</v>
      </c>
      <c r="AL84" s="772" t="s">
        <v>4586</v>
      </c>
      <c r="AM84" s="772" t="s">
        <v>5681</v>
      </c>
      <c r="AN84" s="1636" t="s">
        <v>8763</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8686</v>
      </c>
      <c r="C85" s="1461">
        <v>0.05267361111111111</v>
      </c>
      <c r="D85" s="1598" t="s">
        <v>9825</v>
      </c>
      <c r="E85" s="1578" t="s">
        <v>938</v>
      </c>
      <c r="F85" s="1578" t="s">
        <v>7642</v>
      </c>
      <c r="G85" s="1578" t="s">
        <v>10439</v>
      </c>
      <c r="H85" s="1578" t="s">
        <v>10440</v>
      </c>
      <c r="I85" s="1578" t="s">
        <v>5586</v>
      </c>
      <c r="J85" s="772" t="s">
        <v>10441</v>
      </c>
      <c r="K85" s="1578" t="s">
        <v>10442</v>
      </c>
      <c r="L85" s="1578" t="s">
        <v>3759</v>
      </c>
      <c r="M85" s="1578" t="s">
        <v>7600</v>
      </c>
      <c r="N85" s="1578" t="s">
        <v>10443</v>
      </c>
      <c r="O85" s="1578" t="s">
        <v>10444</v>
      </c>
      <c r="P85" s="1578" t="s">
        <v>9792</v>
      </c>
      <c r="Q85" s="1578" t="s">
        <v>10445</v>
      </c>
      <c r="R85" s="1578" t="s">
        <v>5554</v>
      </c>
      <c r="S85" s="1578" t="s">
        <v>7635</v>
      </c>
      <c r="T85" s="1578" t="s">
        <v>10446</v>
      </c>
      <c r="U85" s="1578" t="s">
        <v>10447</v>
      </c>
      <c r="V85" s="1578" t="s">
        <v>3817</v>
      </c>
      <c r="W85" s="1578" t="s">
        <v>10448</v>
      </c>
      <c r="X85" s="1578" t="s">
        <v>2413</v>
      </c>
      <c r="Y85" s="1578" t="s">
        <v>9379</v>
      </c>
      <c r="Z85" s="1578" t="s">
        <v>8873</v>
      </c>
      <c r="AA85" s="1578" t="s">
        <v>10449</v>
      </c>
      <c r="AB85" s="1578" t="s">
        <v>10012</v>
      </c>
      <c r="AC85" s="1578" t="s">
        <v>9266</v>
      </c>
      <c r="AD85" s="1578" t="s">
        <v>10450</v>
      </c>
      <c r="AE85" s="1578" t="s">
        <v>2383</v>
      </c>
      <c r="AF85" s="1578" t="s">
        <v>10451</v>
      </c>
      <c r="AG85" s="1578" t="s">
        <v>10452</v>
      </c>
      <c r="AH85" s="1578" t="s">
        <v>4204</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8713</v>
      </c>
      <c r="C86" s="1591">
        <v>0.05275462962962963</v>
      </c>
      <c r="D86" s="772" t="s">
        <v>10460</v>
      </c>
      <c r="E86" s="360" t="s">
        <v>5979</v>
      </c>
      <c r="F86" s="360" t="s">
        <v>10461</v>
      </c>
      <c r="G86" s="360" t="s">
        <v>8908</v>
      </c>
      <c r="H86" s="360" t="s">
        <v>7463</v>
      </c>
      <c r="I86" s="360" t="s">
        <v>2284</v>
      </c>
      <c r="J86" s="360" t="s">
        <v>4147</v>
      </c>
      <c r="K86" s="360" t="s">
        <v>10159</v>
      </c>
      <c r="L86" s="360" t="s">
        <v>5301</v>
      </c>
      <c r="M86" s="360" t="s">
        <v>4132</v>
      </c>
      <c r="N86" s="360" t="s">
        <v>10462</v>
      </c>
      <c r="O86" s="360" t="s">
        <v>10463</v>
      </c>
      <c r="P86" s="360" t="s">
        <v>6338</v>
      </c>
      <c r="Q86" s="360" t="s">
        <v>10464</v>
      </c>
      <c r="R86" s="360" t="s">
        <v>10465</v>
      </c>
      <c r="S86" s="360" t="s">
        <v>8703</v>
      </c>
      <c r="T86" s="360" t="s">
        <v>2574</v>
      </c>
      <c r="U86" s="360" t="s">
        <v>499</v>
      </c>
      <c r="V86" s="360" t="s">
        <v>4081</v>
      </c>
      <c r="W86" s="360" t="s">
        <v>10466</v>
      </c>
      <c r="X86" s="360" t="s">
        <v>10467</v>
      </c>
      <c r="Y86" s="360" t="s">
        <v>5710</v>
      </c>
      <c r="Z86" s="360" t="s">
        <v>9052</v>
      </c>
      <c r="AA86" s="360" t="s">
        <v>10468</v>
      </c>
      <c r="AB86" s="360" t="s">
        <v>492</v>
      </c>
      <c r="AC86" s="360" t="s">
        <v>10039</v>
      </c>
      <c r="AD86" s="360" t="s">
        <v>10469</v>
      </c>
      <c r="AE86" s="360" t="s">
        <v>10470</v>
      </c>
      <c r="AF86" s="360" t="s">
        <v>9546</v>
      </c>
      <c r="AG86" s="360" t="s">
        <v>7083</v>
      </c>
      <c r="AH86" s="360" t="s">
        <v>724</v>
      </c>
      <c r="AI86" s="360" t="s">
        <v>5255</v>
      </c>
      <c r="AJ86" s="360" t="s">
        <v>10471</v>
      </c>
      <c r="AK86" s="360" t="s">
        <v>9004</v>
      </c>
      <c r="AL86" s="360" t="s">
        <v>5227</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8738</v>
      </c>
      <c r="C87" s="1591">
        <v>0.05291666666666667</v>
      </c>
      <c r="D87" s="772" t="s">
        <v>10478</v>
      </c>
      <c r="E87" s="360" t="s">
        <v>10479</v>
      </c>
      <c r="F87" s="360" t="s">
        <v>5865</v>
      </c>
      <c r="G87" s="360" t="s">
        <v>9682</v>
      </c>
      <c r="H87" s="360" t="s">
        <v>10031</v>
      </c>
      <c r="I87" s="360" t="s">
        <v>3104</v>
      </c>
      <c r="J87" s="360" t="s">
        <v>10480</v>
      </c>
      <c r="K87" s="360" t="s">
        <v>5393</v>
      </c>
      <c r="L87" s="360" t="s">
        <v>7930</v>
      </c>
      <c r="M87" s="360" t="s">
        <v>10481</v>
      </c>
      <c r="N87" s="360" t="s">
        <v>10482</v>
      </c>
      <c r="O87" s="360" t="s">
        <v>10483</v>
      </c>
      <c r="P87" s="360" t="s">
        <v>9899</v>
      </c>
      <c r="Q87" s="360" t="s">
        <v>10484</v>
      </c>
      <c r="R87" s="360" t="s">
        <v>5890</v>
      </c>
      <c r="S87" s="360" t="s">
        <v>4569</v>
      </c>
      <c r="T87" s="360" t="s">
        <v>8907</v>
      </c>
      <c r="U87" s="360" t="s">
        <v>5466</v>
      </c>
      <c r="V87" s="360" t="s">
        <v>1151</v>
      </c>
      <c r="W87" s="360" t="s">
        <v>1835</v>
      </c>
      <c r="X87" s="360" t="s">
        <v>3347</v>
      </c>
      <c r="Y87" s="360" t="s">
        <v>660</v>
      </c>
      <c r="Z87" s="360" t="s">
        <v>10485</v>
      </c>
      <c r="AA87" s="1578" t="s">
        <v>7858</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8535</v>
      </c>
      <c r="AQ87" s="360" t="s">
        <v>10495</v>
      </c>
      <c r="AR87" s="360" t="s">
        <v>10401</v>
      </c>
      <c r="AS87" s="360" t="s">
        <v>4381</v>
      </c>
      <c r="AT87" s="360" t="s">
        <v>10496</v>
      </c>
      <c r="AU87" s="360" t="s">
        <v>10497</v>
      </c>
      <c r="AV87" s="1379" t="str">
        <f t="shared" si="1"/>
        <v>2:38</v>
      </c>
      <c r="AW87" s="1625"/>
    </row>
    <row r="88" ht="15.75" customHeight="1">
      <c r="A88" s="1505" t="s">
        <v>6390</v>
      </c>
      <c r="B88" s="1503" t="s">
        <v>8686</v>
      </c>
      <c r="C88" s="1461">
        <v>0.05324074074074074</v>
      </c>
      <c r="D88" s="772" t="s">
        <v>10498</v>
      </c>
      <c r="E88" s="772" t="s">
        <v>10499</v>
      </c>
      <c r="F88" s="772" t="s">
        <v>10500</v>
      </c>
      <c r="G88" s="772" t="s">
        <v>9423</v>
      </c>
      <c r="H88" s="772" t="s">
        <v>10501</v>
      </c>
      <c r="I88" s="772" t="s">
        <v>142</v>
      </c>
      <c r="J88" s="772" t="s">
        <v>1799</v>
      </c>
      <c r="K88" s="772" t="s">
        <v>4254</v>
      </c>
      <c r="L88" s="772" t="s">
        <v>10502</v>
      </c>
      <c r="M88" s="772" t="s">
        <v>10503</v>
      </c>
      <c r="N88" s="772" t="s">
        <v>10504</v>
      </c>
      <c r="O88" s="772" t="s">
        <v>10505</v>
      </c>
      <c r="P88" s="772" t="s">
        <v>10506</v>
      </c>
      <c r="Q88" s="772" t="s">
        <v>10507</v>
      </c>
      <c r="R88" s="772" t="s">
        <v>8699</v>
      </c>
      <c r="S88" s="772" t="s">
        <v>10381</v>
      </c>
      <c r="T88" s="772" t="s">
        <v>10508</v>
      </c>
      <c r="U88" s="772" t="s">
        <v>10509</v>
      </c>
      <c r="V88" s="772" t="s">
        <v>2753</v>
      </c>
      <c r="W88" s="772" t="s">
        <v>10510</v>
      </c>
      <c r="X88" s="772" t="s">
        <v>10511</v>
      </c>
      <c r="Y88" s="772" t="s">
        <v>5586</v>
      </c>
      <c r="Z88" s="772" t="s">
        <v>4045</v>
      </c>
      <c r="AA88" s="1578" t="s">
        <v>10512</v>
      </c>
      <c r="AB88" s="772" t="s">
        <v>9831</v>
      </c>
      <c r="AC88" s="772" t="s">
        <v>5506</v>
      </c>
      <c r="AD88" s="772" t="s">
        <v>10513</v>
      </c>
      <c r="AE88" s="772" t="s">
        <v>9619</v>
      </c>
      <c r="AF88" s="772" t="s">
        <v>10514</v>
      </c>
      <c r="AG88" s="772" t="s">
        <v>10323</v>
      </c>
      <c r="AH88" s="772" t="s">
        <v>5684</v>
      </c>
      <c r="AI88" s="772" t="s">
        <v>10515</v>
      </c>
      <c r="AJ88" s="772" t="s">
        <v>10516</v>
      </c>
      <c r="AK88" s="1578" t="s">
        <v>10517</v>
      </c>
      <c r="AL88" s="772" t="s">
        <v>10142</v>
      </c>
      <c r="AM88" s="772" t="s">
        <v>10518</v>
      </c>
      <c r="AN88" s="772" t="s">
        <v>9978</v>
      </c>
      <c r="AO88" s="772" t="s">
        <v>4519</v>
      </c>
      <c r="AP88" s="772" t="s">
        <v>10519</v>
      </c>
      <c r="AQ88" s="772" t="s">
        <v>10520</v>
      </c>
      <c r="AR88" s="1578" t="s">
        <v>3758</v>
      </c>
      <c r="AS88" s="772" t="s">
        <v>10521</v>
      </c>
      <c r="AT88" s="772" t="s">
        <v>10522</v>
      </c>
      <c r="AU88" s="1578" t="s">
        <v>10436</v>
      </c>
      <c r="AV88" s="1379" t="str">
        <f t="shared" si="1"/>
        <v>3:53</v>
      </c>
      <c r="AW88" s="1621" t="s">
        <v>10523</v>
      </c>
    </row>
    <row r="89">
      <c r="A89" s="1505" t="s">
        <v>4779</v>
      </c>
      <c r="B89" s="1500" t="s">
        <v>8738</v>
      </c>
      <c r="C89" s="1461">
        <v>0.05331018518518518</v>
      </c>
      <c r="D89" s="1578" t="s">
        <v>10524</v>
      </c>
      <c r="E89" s="1578" t="s">
        <v>8026</v>
      </c>
      <c r="F89" s="1578" t="s">
        <v>10300</v>
      </c>
      <c r="G89" s="1578" t="s">
        <v>10525</v>
      </c>
      <c r="H89" s="772" t="s">
        <v>10526</v>
      </c>
      <c r="I89" s="1578" t="s">
        <v>10527</v>
      </c>
      <c r="J89" s="1578" t="s">
        <v>10072</v>
      </c>
      <c r="K89" s="1578" t="s">
        <v>8903</v>
      </c>
      <c r="L89" s="1578" t="s">
        <v>4078</v>
      </c>
      <c r="M89" s="1578" t="s">
        <v>10528</v>
      </c>
      <c r="N89" s="1578" t="s">
        <v>9860</v>
      </c>
      <c r="O89" s="1578" t="s">
        <v>10529</v>
      </c>
      <c r="P89" s="1578" t="s">
        <v>6273</v>
      </c>
      <c r="Q89" s="1578" t="s">
        <v>10530</v>
      </c>
      <c r="R89" s="1578" t="s">
        <v>2148</v>
      </c>
      <c r="S89" s="1578" t="s">
        <v>7894</v>
      </c>
      <c r="T89" s="1578" t="s">
        <v>7445</v>
      </c>
      <c r="U89" s="1578" t="s">
        <v>10531</v>
      </c>
      <c r="V89" s="1578" t="s">
        <v>10053</v>
      </c>
      <c r="W89" s="1578" t="s">
        <v>10532</v>
      </c>
      <c r="X89" s="1578" t="s">
        <v>7084</v>
      </c>
      <c r="Y89" s="1578" t="s">
        <v>5435</v>
      </c>
      <c r="Z89" s="1578" t="s">
        <v>9862</v>
      </c>
      <c r="AA89" s="1578" t="s">
        <v>10533</v>
      </c>
      <c r="AB89" s="1578" t="s">
        <v>3465</v>
      </c>
      <c r="AC89" s="1578" t="s">
        <v>10534</v>
      </c>
      <c r="AD89" s="1578" t="s">
        <v>10535</v>
      </c>
      <c r="AE89" s="1578" t="s">
        <v>5710</v>
      </c>
      <c r="AF89" s="1578" t="s">
        <v>10536</v>
      </c>
      <c r="AG89" s="1578" t="s">
        <v>9186</v>
      </c>
      <c r="AH89" s="1578" t="s">
        <v>10537</v>
      </c>
      <c r="AI89" s="1578" t="s">
        <v>10538</v>
      </c>
      <c r="AJ89" s="1578" t="s">
        <v>10539</v>
      </c>
      <c r="AK89" s="1578" t="s">
        <v>2190</v>
      </c>
      <c r="AL89" s="1578" t="s">
        <v>2159</v>
      </c>
      <c r="AM89" s="1578" t="s">
        <v>10540</v>
      </c>
      <c r="AN89" s="1578" t="s">
        <v>4661</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8738</v>
      </c>
      <c r="C90" s="1461">
        <v>0.05348379629629629</v>
      </c>
      <c r="D90" s="772" t="s">
        <v>10546</v>
      </c>
      <c r="E90" s="360" t="s">
        <v>10333</v>
      </c>
      <c r="F90" s="360" t="s">
        <v>6494</v>
      </c>
      <c r="G90" s="360" t="s">
        <v>10547</v>
      </c>
      <c r="H90" s="360" t="s">
        <v>10548</v>
      </c>
      <c r="I90" s="360" t="s">
        <v>2350</v>
      </c>
      <c r="J90" s="360" t="s">
        <v>9240</v>
      </c>
      <c r="K90" s="360" t="s">
        <v>8750</v>
      </c>
      <c r="L90" s="360" t="s">
        <v>4838</v>
      </c>
      <c r="M90" s="360" t="s">
        <v>10549</v>
      </c>
      <c r="N90" s="360" t="s">
        <v>10550</v>
      </c>
      <c r="O90" s="360" t="s">
        <v>4300</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5729</v>
      </c>
      <c r="AH90" s="360" t="s">
        <v>9321</v>
      </c>
      <c r="AI90" s="360" t="s">
        <v>2599</v>
      </c>
      <c r="AJ90" s="360" t="s">
        <v>10556</v>
      </c>
      <c r="AK90" s="360" t="s">
        <v>9154</v>
      </c>
      <c r="AL90" s="360" t="s">
        <v>10557</v>
      </c>
      <c r="AM90" s="360" t="s">
        <v>8887</v>
      </c>
      <c r="AN90" s="360" t="s">
        <v>10142</v>
      </c>
      <c r="AO90" s="360" t="s">
        <v>8833</v>
      </c>
      <c r="AP90" s="360" t="s">
        <v>10558</v>
      </c>
      <c r="AQ90" s="360" t="s">
        <v>4447</v>
      </c>
      <c r="AR90" s="360" t="s">
        <v>1387</v>
      </c>
      <c r="AS90" s="360" t="s">
        <v>8919</v>
      </c>
      <c r="AT90" s="360" t="s">
        <v>4690</v>
      </c>
      <c r="AU90" s="360" t="s">
        <v>10559</v>
      </c>
      <c r="AV90" s="1379" t="str">
        <f t="shared" si="1"/>
        <v>3:27</v>
      </c>
      <c r="AW90" s="1621" t="s">
        <v>10560</v>
      </c>
    </row>
    <row r="91">
      <c r="A91" s="1505" t="s">
        <v>5347</v>
      </c>
      <c r="B91" s="1503" t="s">
        <v>8686</v>
      </c>
      <c r="C91" s="1461">
        <v>0.05376157407407407</v>
      </c>
      <c r="D91" s="1578" t="s">
        <v>10561</v>
      </c>
      <c r="E91" s="1578" t="s">
        <v>5743</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4387</v>
      </c>
      <c r="R91" s="1578" t="s">
        <v>10568</v>
      </c>
      <c r="S91" s="1639" t="s">
        <v>10569</v>
      </c>
      <c r="T91" s="1639" t="s">
        <v>9286</v>
      </c>
      <c r="U91" s="1578" t="s">
        <v>10570</v>
      </c>
      <c r="V91" s="1578" t="s">
        <v>10571</v>
      </c>
      <c r="W91" s="1578" t="s">
        <v>7843</v>
      </c>
      <c r="X91" s="1578" t="s">
        <v>10572</v>
      </c>
      <c r="Y91" s="1578" t="s">
        <v>2123</v>
      </c>
      <c r="Z91" s="1578" t="s">
        <v>9871</v>
      </c>
      <c r="AA91" s="1578" t="s">
        <v>10573</v>
      </c>
      <c r="AB91" s="1578" t="s">
        <v>10574</v>
      </c>
      <c r="AC91" s="1578" t="s">
        <v>7797</v>
      </c>
      <c r="AD91" s="1578" t="s">
        <v>6037</v>
      </c>
      <c r="AE91" s="1578" t="s">
        <v>161</v>
      </c>
      <c r="AF91" s="1578" t="s">
        <v>10575</v>
      </c>
      <c r="AG91" s="1578" t="s">
        <v>10576</v>
      </c>
      <c r="AH91" s="1578" t="s">
        <v>4977</v>
      </c>
      <c r="AI91" s="1578" t="s">
        <v>7686</v>
      </c>
      <c r="AJ91" s="1578" t="s">
        <v>10577</v>
      </c>
      <c r="AK91" s="1578" t="s">
        <v>4830</v>
      </c>
      <c r="AL91" s="1578" t="s">
        <v>10578</v>
      </c>
      <c r="AM91" s="1578" t="s">
        <v>4841</v>
      </c>
      <c r="AN91" s="1578" t="s">
        <v>10579</v>
      </c>
      <c r="AO91" s="1578" t="s">
        <v>8698</v>
      </c>
      <c r="AP91" s="1578" t="s">
        <v>10580</v>
      </c>
      <c r="AQ91" s="1578" t="s">
        <v>10581</v>
      </c>
      <c r="AR91" s="1578" t="s">
        <v>5158</v>
      </c>
      <c r="AS91" s="1578" t="s">
        <v>8866</v>
      </c>
      <c r="AT91" s="1578" t="s">
        <v>10582</v>
      </c>
      <c r="AU91" s="1578" t="s">
        <v>10583</v>
      </c>
      <c r="AV91" s="1379" t="str">
        <f t="shared" si="1"/>
        <v>4:58</v>
      </c>
      <c r="AW91" s="1640"/>
    </row>
    <row r="92" ht="15.75" customHeight="1">
      <c r="A92" s="1579" t="s">
        <v>6546</v>
      </c>
      <c r="B92" s="1611" t="s">
        <v>8738</v>
      </c>
      <c r="C92" s="1591">
        <v>0.05386574074074074</v>
      </c>
      <c r="D92" s="360" t="s">
        <v>10584</v>
      </c>
      <c r="E92" s="360" t="s">
        <v>7427</v>
      </c>
      <c r="F92" s="360" t="s">
        <v>10585</v>
      </c>
      <c r="G92" s="360" t="s">
        <v>4262</v>
      </c>
      <c r="H92" s="360" t="s">
        <v>10586</v>
      </c>
      <c r="I92" s="360" t="s">
        <v>10527</v>
      </c>
      <c r="J92" s="360" t="s">
        <v>10587</v>
      </c>
      <c r="K92" s="360" t="s">
        <v>10588</v>
      </c>
      <c r="L92" s="360" t="s">
        <v>1440</v>
      </c>
      <c r="M92" s="360" t="s">
        <v>4540</v>
      </c>
      <c r="N92" s="360" t="s">
        <v>7594</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8723</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4513</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5279</v>
      </c>
      <c r="B93" s="1503" t="s">
        <v>8738</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8979</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4267</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5396</v>
      </c>
      <c r="B94" s="1503" t="s">
        <v>8686</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5038</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4447</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5467</v>
      </c>
      <c r="B95" s="1500" t="s">
        <v>8686</v>
      </c>
      <c r="C95" s="1461">
        <v>0.05559027777777778</v>
      </c>
      <c r="D95" s="1598" t="s">
        <v>10655</v>
      </c>
      <c r="E95" s="1578" t="s">
        <v>10656</v>
      </c>
      <c r="F95" s="1578" t="s">
        <v>10657</v>
      </c>
      <c r="G95" s="1578" t="s">
        <v>8418</v>
      </c>
      <c r="H95" s="1578" t="s">
        <v>5876</v>
      </c>
      <c r="I95" s="1578" t="s">
        <v>1850</v>
      </c>
      <c r="J95" s="1578" t="s">
        <v>10658</v>
      </c>
      <c r="K95" s="1578" t="s">
        <v>6276</v>
      </c>
      <c r="L95" s="1578" t="s">
        <v>8524</v>
      </c>
      <c r="M95" s="1578" t="s">
        <v>7469</v>
      </c>
      <c r="N95" s="1578" t="s">
        <v>10659</v>
      </c>
      <c r="O95" s="1578" t="s">
        <v>10660</v>
      </c>
      <c r="P95" s="1578" t="s">
        <v>189</v>
      </c>
      <c r="Q95" s="1578" t="s">
        <v>1762</v>
      </c>
      <c r="R95" s="1578" t="s">
        <v>10661</v>
      </c>
      <c r="S95" s="1578" t="s">
        <v>5191</v>
      </c>
      <c r="T95" s="1578" t="s">
        <v>10662</v>
      </c>
      <c r="U95" s="1578" t="s">
        <v>10663</v>
      </c>
      <c r="V95" s="1578" t="s">
        <v>6542</v>
      </c>
      <c r="W95" s="1578" t="s">
        <v>9430</v>
      </c>
      <c r="X95" s="1578" t="s">
        <v>4979</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4534</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4916</v>
      </c>
      <c r="B96" s="1500" t="s">
        <v>8713</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5273</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4841</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8713</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5310</v>
      </c>
      <c r="AE97" s="360" t="s">
        <v>2576</v>
      </c>
      <c r="AF97" s="360" t="s">
        <v>10721</v>
      </c>
      <c r="AG97" s="360" t="s">
        <v>5732</v>
      </c>
      <c r="AH97" s="360" t="s">
        <v>10722</v>
      </c>
      <c r="AI97" s="360" t="s">
        <v>4877</v>
      </c>
      <c r="AJ97" s="360" t="s">
        <v>10723</v>
      </c>
      <c r="AK97" s="360" t="s">
        <v>10724</v>
      </c>
      <c r="AL97" s="360" t="s">
        <v>3927</v>
      </c>
      <c r="AM97" s="360" t="s">
        <v>4885</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5381</v>
      </c>
      <c r="Q98" s="1648" t="s">
        <v>10739</v>
      </c>
      <c r="R98" s="1648" t="s">
        <v>10740</v>
      </c>
      <c r="S98" s="1648" t="s">
        <v>10741</v>
      </c>
      <c r="T98" s="1648" t="s">
        <v>10742</v>
      </c>
      <c r="U98" s="1648" t="s">
        <v>10743</v>
      </c>
      <c r="V98" s="1648" t="s">
        <v>10744</v>
      </c>
      <c r="W98" s="1649" t="s">
        <v>6386</v>
      </c>
      <c r="X98" s="1649" t="s">
        <v>10745</v>
      </c>
      <c r="Y98" s="1649" t="s">
        <v>10470</v>
      </c>
      <c r="Z98" s="1649" t="s">
        <v>7582</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4467</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8713</v>
      </c>
      <c r="C99" s="1461">
        <v>0.06635416666666667</v>
      </c>
      <c r="D99" s="772" t="s">
        <v>10758</v>
      </c>
      <c r="E99" s="772" t="s">
        <v>8580</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4549</v>
      </c>
      <c r="S99" s="772" t="s">
        <v>10767</v>
      </c>
      <c r="T99" s="772" t="s">
        <v>6535</v>
      </c>
      <c r="U99" s="772" t="s">
        <v>10768</v>
      </c>
      <c r="V99" s="772" t="s">
        <v>8026</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4089</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8713</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4632</v>
      </c>
      <c r="B101" s="1503" t="s">
        <v>8713</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8727</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8648</v>
      </c>
      <c r="C1" s="1392" t="s">
        <v>8649</v>
      </c>
      <c r="D1" s="1663" t="s">
        <v>10787</v>
      </c>
      <c r="E1" s="1664" t="s">
        <v>6835</v>
      </c>
      <c r="F1" s="1665" t="s">
        <v>7133</v>
      </c>
      <c r="G1" s="1666" t="s">
        <v>38</v>
      </c>
      <c r="H1" s="1667" t="s">
        <v>36</v>
      </c>
      <c r="I1" s="1663" t="s">
        <v>10788</v>
      </c>
      <c r="J1" s="1668" t="s">
        <v>39</v>
      </c>
      <c r="K1" s="1669" t="s">
        <v>7073</v>
      </c>
      <c r="L1" s="1400" t="s">
        <v>8681</v>
      </c>
      <c r="M1" s="1401" t="s">
        <v>8682</v>
      </c>
      <c r="N1" s="1670" t="s">
        <v>8683</v>
      </c>
      <c r="O1" s="1671" t="s">
        <v>8684</v>
      </c>
    </row>
    <row r="2" ht="15.75" customHeight="1">
      <c r="A2" s="1672" t="s">
        <v>8685</v>
      </c>
      <c r="B2" s="1673" t="s">
        <v>8686</v>
      </c>
      <c r="C2" s="1674">
        <v>0.0496875</v>
      </c>
      <c r="D2" s="1675" t="s">
        <v>10789</v>
      </c>
      <c r="E2" s="1676" t="s">
        <v>10790</v>
      </c>
      <c r="F2" s="1677" t="s">
        <v>10791</v>
      </c>
      <c r="G2" s="1678" t="s">
        <v>10792</v>
      </c>
      <c r="H2" s="1679" t="s">
        <v>10793</v>
      </c>
      <c r="I2" s="1680" t="s">
        <v>10794</v>
      </c>
      <c r="J2" s="1681" t="s">
        <v>10795</v>
      </c>
      <c r="K2" s="1682" t="s">
        <v>10796</v>
      </c>
      <c r="L2" s="1683" t="s">
        <v>8710</v>
      </c>
      <c r="M2" s="1674">
        <v>0.05047453703703704</v>
      </c>
      <c r="N2" s="1684" t="str">
        <f t="shared" ref="N2:N40" si="1">TEXT(M2-C2, "m:ss")</f>
        <v>1:08</v>
      </c>
      <c r="O2" s="1685"/>
    </row>
    <row r="3" ht="15.75" customHeight="1">
      <c r="A3" s="1686" t="s">
        <v>8712</v>
      </c>
      <c r="B3" s="1687" t="s">
        <v>8713</v>
      </c>
      <c r="C3" s="1688">
        <v>0.051458333333333335</v>
      </c>
      <c r="D3" s="1430" t="s">
        <v>10797</v>
      </c>
      <c r="E3" s="1431" t="s">
        <v>5984</v>
      </c>
      <c r="F3" s="1432" t="s">
        <v>10798</v>
      </c>
      <c r="G3" s="1433" t="s">
        <v>10799</v>
      </c>
      <c r="H3" s="1435" t="s">
        <v>10800</v>
      </c>
      <c r="I3" s="1430" t="s">
        <v>10801</v>
      </c>
      <c r="J3" s="1437" t="s">
        <v>10802</v>
      </c>
      <c r="K3" s="1440" t="s">
        <v>10803</v>
      </c>
      <c r="L3" s="1432" t="s">
        <v>9292</v>
      </c>
      <c r="M3" s="1688">
        <v>0.05236111111111111</v>
      </c>
      <c r="N3" s="1689" t="str">
        <f t="shared" si="1"/>
        <v>1:18</v>
      </c>
      <c r="O3" s="1690"/>
    </row>
    <row r="4" ht="15.75" customHeight="1">
      <c r="A4" s="1691" t="s">
        <v>8737</v>
      </c>
      <c r="B4" s="1692" t="s">
        <v>8738</v>
      </c>
      <c r="C4" s="1693">
        <f>C25</f>
        <v>0.05158564815</v>
      </c>
      <c r="D4" s="1694" t="s">
        <v>10804</v>
      </c>
      <c r="E4" s="1695" t="s">
        <v>10805</v>
      </c>
      <c r="F4" s="1696" t="s">
        <v>10806</v>
      </c>
      <c r="G4" s="1697" t="s">
        <v>10807</v>
      </c>
      <c r="H4" s="1698" t="s">
        <v>10808</v>
      </c>
      <c r="I4" s="1694" t="s">
        <v>10809</v>
      </c>
      <c r="J4" s="1699" t="s">
        <v>10810</v>
      </c>
      <c r="K4" s="1700" t="s">
        <v>10811</v>
      </c>
      <c r="L4" s="1701" t="s">
        <v>8767</v>
      </c>
      <c r="M4" s="1702">
        <f>M25</f>
        <v>0.0521412037</v>
      </c>
      <c r="N4" s="1702" t="str">
        <f t="shared" si="1"/>
        <v>0:48</v>
      </c>
      <c r="O4" s="1685"/>
    </row>
    <row r="5" ht="15.75" customHeight="1">
      <c r="A5" s="1202" t="s">
        <v>1061</v>
      </c>
      <c r="B5" s="1607" t="s">
        <v>8686</v>
      </c>
      <c r="C5" s="1703">
        <v>0.04986111111111111</v>
      </c>
      <c r="D5" s="1704" t="s">
        <v>10789</v>
      </c>
      <c r="E5" s="1484" t="s">
        <v>10812</v>
      </c>
      <c r="F5" s="1704" t="s">
        <v>10791</v>
      </c>
      <c r="G5" s="1704" t="s">
        <v>10792</v>
      </c>
      <c r="H5" s="1704" t="s">
        <v>10793</v>
      </c>
      <c r="I5" s="1481" t="s">
        <v>10813</v>
      </c>
      <c r="J5" s="1705" t="s">
        <v>10814</v>
      </c>
      <c r="K5" s="1704" t="s">
        <v>10796</v>
      </c>
      <c r="L5" s="1463" t="s">
        <v>10815</v>
      </c>
      <c r="M5" s="1706">
        <v>0.05047453703703704</v>
      </c>
      <c r="N5" s="1707" t="str">
        <f t="shared" si="1"/>
        <v>0:53</v>
      </c>
      <c r="O5" s="1517" t="s">
        <v>10816</v>
      </c>
    </row>
    <row r="6" ht="15.75" customHeight="1">
      <c r="A6" s="1708" t="s">
        <v>436</v>
      </c>
      <c r="B6" s="1460" t="s">
        <v>8686</v>
      </c>
      <c r="C6" s="1709">
        <v>0.04998842592592593</v>
      </c>
      <c r="D6" s="1481" t="s">
        <v>10817</v>
      </c>
      <c r="E6" s="1710" t="s">
        <v>10790</v>
      </c>
      <c r="F6" s="1481" t="s">
        <v>10818</v>
      </c>
      <c r="G6" s="1481" t="s">
        <v>10819</v>
      </c>
      <c r="H6" s="1481" t="s">
        <v>10820</v>
      </c>
      <c r="I6" s="1481" t="s">
        <v>10821</v>
      </c>
      <c r="J6" s="1711" t="s">
        <v>10795</v>
      </c>
      <c r="K6" s="1481" t="s">
        <v>10822</v>
      </c>
      <c r="L6" s="1481" t="s">
        <v>8797</v>
      </c>
      <c r="M6" s="1712">
        <v>0.0508912037037037</v>
      </c>
      <c r="N6" s="1713" t="str">
        <f t="shared" si="1"/>
        <v>1:18</v>
      </c>
      <c r="O6" s="1517" t="s">
        <v>10823</v>
      </c>
    </row>
    <row r="7" ht="15.75" customHeight="1">
      <c r="A7" s="1655" t="s">
        <v>1814</v>
      </c>
      <c r="B7" s="1460" t="s">
        <v>8686</v>
      </c>
      <c r="C7" s="1714">
        <v>0.050150462962962966</v>
      </c>
      <c r="D7" s="1481" t="s">
        <v>10824</v>
      </c>
      <c r="E7" s="1481" t="s">
        <v>10825</v>
      </c>
      <c r="F7" s="1481" t="s">
        <v>10826</v>
      </c>
      <c r="G7" s="1481" t="s">
        <v>10827</v>
      </c>
      <c r="H7" s="1481" t="s">
        <v>10828</v>
      </c>
      <c r="I7" s="1481" t="s">
        <v>10829</v>
      </c>
      <c r="J7" s="1481" t="s">
        <v>10830</v>
      </c>
      <c r="K7" s="1481" t="s">
        <v>10831</v>
      </c>
      <c r="L7" s="1715" t="s">
        <v>8710</v>
      </c>
      <c r="M7" s="1712">
        <v>0.05056712962962963</v>
      </c>
      <c r="N7" s="1713" t="str">
        <f t="shared" si="1"/>
        <v>0:36</v>
      </c>
      <c r="O7" s="1517" t="s">
        <v>10823</v>
      </c>
    </row>
    <row r="8" ht="15.75" customHeight="1">
      <c r="A8" s="1708" t="s">
        <v>6536</v>
      </c>
      <c r="B8" s="1546" t="s">
        <v>8686</v>
      </c>
      <c r="C8" s="1714">
        <v>0.05025462962962963</v>
      </c>
      <c r="D8" s="1716" t="s">
        <v>10832</v>
      </c>
      <c r="E8" s="1482" t="s">
        <v>10833</v>
      </c>
      <c r="F8" s="1481" t="s">
        <v>10834</v>
      </c>
      <c r="G8" s="1481" t="s">
        <v>10835</v>
      </c>
      <c r="H8" s="1481" t="s">
        <v>10836</v>
      </c>
      <c r="I8" s="1481" t="s">
        <v>10590</v>
      </c>
      <c r="J8" s="1481" t="s">
        <v>10837</v>
      </c>
      <c r="K8" s="1481" t="s">
        <v>10838</v>
      </c>
      <c r="L8" s="1481" t="s">
        <v>8889</v>
      </c>
      <c r="M8" s="1712">
        <v>0.0506712962962963</v>
      </c>
      <c r="N8" s="1713" t="str">
        <f t="shared" si="1"/>
        <v>0:36</v>
      </c>
      <c r="O8" s="1517"/>
    </row>
    <row r="9">
      <c r="A9" s="1717" t="s">
        <v>2643</v>
      </c>
      <c r="B9" s="1718" t="s">
        <v>8686</v>
      </c>
      <c r="C9" s="1709">
        <v>0.050303819444444446</v>
      </c>
      <c r="D9" s="1719" t="s">
        <v>10839</v>
      </c>
      <c r="E9" s="1720" t="s">
        <v>10840</v>
      </c>
      <c r="F9" s="1705" t="s">
        <v>10841</v>
      </c>
      <c r="G9" s="1705" t="s">
        <v>10842</v>
      </c>
      <c r="H9" s="1705" t="s">
        <v>10843</v>
      </c>
      <c r="I9" s="1705" t="s">
        <v>10844</v>
      </c>
      <c r="J9" s="1705" t="s">
        <v>10845</v>
      </c>
      <c r="K9" s="1705" t="s">
        <v>10846</v>
      </c>
      <c r="L9" s="1705" t="s">
        <v>3569</v>
      </c>
      <c r="M9" s="1712">
        <v>0.051284722222222225</v>
      </c>
      <c r="N9" s="1712" t="str">
        <f t="shared" si="1"/>
        <v>1:25</v>
      </c>
      <c r="O9" s="1517"/>
    </row>
    <row r="10" ht="15.75" customHeight="1">
      <c r="A10" s="1655" t="s">
        <v>6595</v>
      </c>
      <c r="B10" s="1460" t="s">
        <v>8686</v>
      </c>
      <c r="C10" s="1714">
        <v>0.050416666666666665</v>
      </c>
      <c r="D10" s="1481" t="s">
        <v>10847</v>
      </c>
      <c r="E10" s="1482" t="s">
        <v>10848</v>
      </c>
      <c r="F10" s="1484" t="s">
        <v>10849</v>
      </c>
      <c r="G10" s="1484" t="s">
        <v>10850</v>
      </c>
      <c r="H10" s="1481" t="s">
        <v>10851</v>
      </c>
      <c r="I10" s="1711" t="s">
        <v>10794</v>
      </c>
      <c r="J10" s="1481" t="s">
        <v>10852</v>
      </c>
      <c r="K10" s="1481" t="s">
        <v>10853</v>
      </c>
      <c r="L10" s="1484" t="s">
        <v>10854</v>
      </c>
      <c r="M10" s="1712">
        <v>0.0512037037037037</v>
      </c>
      <c r="N10" s="1713" t="str">
        <f t="shared" si="1"/>
        <v>1:08</v>
      </c>
      <c r="O10" s="1517" t="s">
        <v>10823</v>
      </c>
    </row>
    <row r="11">
      <c r="A11" s="1721" t="s">
        <v>828</v>
      </c>
      <c r="B11" s="1722" t="s">
        <v>8686</v>
      </c>
      <c r="C11" s="1714">
        <v>0.05047453703703704</v>
      </c>
      <c r="D11" s="769" t="s">
        <v>10855</v>
      </c>
      <c r="E11" s="1482" t="s">
        <v>10856</v>
      </c>
      <c r="F11" s="1705" t="s">
        <v>10857</v>
      </c>
      <c r="G11" s="1481" t="s">
        <v>10858</v>
      </c>
      <c r="H11" s="1481" t="s">
        <v>10859</v>
      </c>
      <c r="I11" s="1481" t="s">
        <v>10860</v>
      </c>
      <c r="J11" s="1481" t="s">
        <v>10861</v>
      </c>
      <c r="K11" s="1481" t="s">
        <v>10862</v>
      </c>
      <c r="L11" s="1481" t="s">
        <v>3569</v>
      </c>
      <c r="M11" s="1712">
        <v>0.051076388888888886</v>
      </c>
      <c r="N11" s="1713" t="str">
        <f t="shared" si="1"/>
        <v>0:52</v>
      </c>
      <c r="O11" s="1517" t="s">
        <v>10863</v>
      </c>
    </row>
    <row r="12">
      <c r="A12" s="1641" t="s">
        <v>2023</v>
      </c>
      <c r="B12" s="1722" t="s">
        <v>8686</v>
      </c>
      <c r="C12" s="1709">
        <v>0.05059429398148148</v>
      </c>
      <c r="D12" s="1716" t="s">
        <v>10864</v>
      </c>
      <c r="E12" s="1482" t="s">
        <v>10865</v>
      </c>
      <c r="F12" s="1481" t="s">
        <v>10866</v>
      </c>
      <c r="G12" s="1481" t="s">
        <v>10867</v>
      </c>
      <c r="H12" s="1481" t="s">
        <v>10868</v>
      </c>
      <c r="I12" s="1481" t="s">
        <v>10869</v>
      </c>
      <c r="J12" s="1481" t="s">
        <v>10870</v>
      </c>
      <c r="K12" s="1481" t="s">
        <v>10871</v>
      </c>
      <c r="L12" s="1481" t="s">
        <v>10872</v>
      </c>
      <c r="M12" s="1712">
        <v>0.051319444444444445</v>
      </c>
      <c r="N12" s="1713" t="str">
        <f t="shared" si="1"/>
        <v>1:03</v>
      </c>
      <c r="O12" s="1517"/>
    </row>
    <row r="13" ht="15.75" customHeight="1">
      <c r="A13" s="1202" t="s">
        <v>1560</v>
      </c>
      <c r="B13" s="1723" t="s">
        <v>8686</v>
      </c>
      <c r="C13" s="1714">
        <v>0.05061342592592592</v>
      </c>
      <c r="D13" s="1724" t="s">
        <v>10873</v>
      </c>
      <c r="E13" s="1482" t="s">
        <v>10874</v>
      </c>
      <c r="F13" s="1725" t="s">
        <v>10875</v>
      </c>
      <c r="G13" s="1481" t="s">
        <v>10876</v>
      </c>
      <c r="H13" s="1725" t="s">
        <v>10877</v>
      </c>
      <c r="I13" s="1725" t="s">
        <v>10878</v>
      </c>
      <c r="J13" s="1481" t="s">
        <v>10879</v>
      </c>
      <c r="K13" s="1481" t="s">
        <v>10880</v>
      </c>
      <c r="L13" s="1481" t="s">
        <v>3665</v>
      </c>
      <c r="M13" s="1712">
        <v>0.05122685185185185</v>
      </c>
      <c r="N13" s="1713" t="str">
        <f t="shared" si="1"/>
        <v>0:53</v>
      </c>
      <c r="O13" s="1517" t="s">
        <v>10881</v>
      </c>
    </row>
    <row r="14" ht="15.75" customHeight="1">
      <c r="A14" s="1659" t="s">
        <v>2085</v>
      </c>
      <c r="B14" s="1460" t="s">
        <v>8686</v>
      </c>
      <c r="C14" s="1709">
        <v>0.05061342592592592</v>
      </c>
      <c r="D14" s="769" t="s">
        <v>10882</v>
      </c>
      <c r="E14" s="1726" t="s">
        <v>10883</v>
      </c>
      <c r="F14" s="1481" t="s">
        <v>10884</v>
      </c>
      <c r="G14" s="1481" t="s">
        <v>10885</v>
      </c>
      <c r="H14" s="1481" t="s">
        <v>10886</v>
      </c>
      <c r="I14" s="1481" t="s">
        <v>10887</v>
      </c>
      <c r="J14" s="1481" t="s">
        <v>10888</v>
      </c>
      <c r="K14" s="1481" t="s">
        <v>10889</v>
      </c>
      <c r="L14" s="1481" t="s">
        <v>6502</v>
      </c>
      <c r="M14" s="1712">
        <v>0.05153935185185185</v>
      </c>
      <c r="N14" s="1713" t="str">
        <f t="shared" si="1"/>
        <v>1:20</v>
      </c>
      <c r="O14" s="1517" t="s">
        <v>10823</v>
      </c>
    </row>
    <row r="15" ht="15.75" customHeight="1">
      <c r="A15" s="1708" t="s">
        <v>330</v>
      </c>
      <c r="B15" s="1460" t="s">
        <v>8686</v>
      </c>
      <c r="C15" s="1709">
        <v>0.05068287037037037</v>
      </c>
      <c r="D15" s="1481" t="s">
        <v>10890</v>
      </c>
      <c r="E15" s="1726" t="s">
        <v>10891</v>
      </c>
      <c r="F15" s="1481" t="s">
        <v>10892</v>
      </c>
      <c r="G15" s="1481" t="s">
        <v>10893</v>
      </c>
      <c r="H15" s="1481" t="s">
        <v>10894</v>
      </c>
      <c r="I15" s="1481" t="s">
        <v>6458</v>
      </c>
      <c r="J15" s="1481" t="s">
        <v>10895</v>
      </c>
      <c r="K15" s="1481" t="s">
        <v>10896</v>
      </c>
      <c r="L15" s="1481" t="s">
        <v>8867</v>
      </c>
      <c r="M15" s="1712">
        <v>0.05164351851851852</v>
      </c>
      <c r="N15" s="1713" t="str">
        <f t="shared" si="1"/>
        <v>1:23</v>
      </c>
      <c r="O15" s="1517" t="s">
        <v>10823</v>
      </c>
    </row>
    <row r="16" ht="15.75" customHeight="1">
      <c r="A16" s="1641" t="s">
        <v>2227</v>
      </c>
      <c r="B16" s="1607" t="s">
        <v>8713</v>
      </c>
      <c r="C16" s="1727">
        <v>0.05096064814814815</v>
      </c>
      <c r="D16" s="1716" t="s">
        <v>10897</v>
      </c>
      <c r="E16" s="1728" t="s">
        <v>10898</v>
      </c>
      <c r="F16" s="1728" t="s">
        <v>10899</v>
      </c>
      <c r="G16" s="1728" t="s">
        <v>10900</v>
      </c>
      <c r="H16" s="1728" t="s">
        <v>10901</v>
      </c>
      <c r="I16" s="1728" t="s">
        <v>10902</v>
      </c>
      <c r="J16" s="1728" t="s">
        <v>10903</v>
      </c>
      <c r="K16" s="1481" t="s">
        <v>10904</v>
      </c>
      <c r="L16" s="1729" t="s">
        <v>8735</v>
      </c>
      <c r="M16" s="1712">
        <v>0.0528125</v>
      </c>
      <c r="N16" s="1713" t="str">
        <f t="shared" si="1"/>
        <v>2:40</v>
      </c>
      <c r="O16" s="1517" t="s">
        <v>10823</v>
      </c>
    </row>
    <row r="17" ht="15.75" customHeight="1">
      <c r="A17" s="1730" t="s">
        <v>2667</v>
      </c>
      <c r="B17" s="1460" t="s">
        <v>8686</v>
      </c>
      <c r="C17" s="1731">
        <v>0.05103009259259259</v>
      </c>
      <c r="D17" s="1481" t="s">
        <v>10905</v>
      </c>
      <c r="E17" s="1726" t="s">
        <v>10405</v>
      </c>
      <c r="F17" s="1481" t="s">
        <v>10906</v>
      </c>
      <c r="G17" s="1481" t="s">
        <v>10907</v>
      </c>
      <c r="H17" s="1705" t="s">
        <v>10908</v>
      </c>
      <c r="I17" s="1481" t="s">
        <v>10909</v>
      </c>
      <c r="J17" s="1481" t="s">
        <v>10910</v>
      </c>
      <c r="K17" s="1481" t="s">
        <v>10911</v>
      </c>
      <c r="L17" s="1481" t="s">
        <v>10912</v>
      </c>
      <c r="M17" s="1712">
        <v>0.051909722222222225</v>
      </c>
      <c r="N17" s="1713" t="str">
        <f t="shared" si="1"/>
        <v>1:16</v>
      </c>
      <c r="O17" s="1517" t="s">
        <v>10823</v>
      </c>
    </row>
    <row r="18" ht="15.75" customHeight="1">
      <c r="A18" s="1641" t="s">
        <v>2265</v>
      </c>
      <c r="B18" s="1546" t="s">
        <v>8686</v>
      </c>
      <c r="C18" s="1709">
        <v>0.051145833333333335</v>
      </c>
      <c r="D18" s="769" t="s">
        <v>10913</v>
      </c>
      <c r="E18" s="1482" t="s">
        <v>10914</v>
      </c>
      <c r="F18" s="1481" t="s">
        <v>10915</v>
      </c>
      <c r="G18" s="1481" t="s">
        <v>10916</v>
      </c>
      <c r="H18" s="1481" t="s">
        <v>10917</v>
      </c>
      <c r="I18" s="1481" t="s">
        <v>10918</v>
      </c>
      <c r="J18" s="1481" t="s">
        <v>10919</v>
      </c>
      <c r="K18" s="1481" t="s">
        <v>10920</v>
      </c>
      <c r="L18" s="1481" t="s">
        <v>3105</v>
      </c>
      <c r="M18" s="1712">
        <v>0.05228009259259259</v>
      </c>
      <c r="N18" s="1713" t="str">
        <f t="shared" si="1"/>
        <v>1:38</v>
      </c>
      <c r="O18" s="1517" t="s">
        <v>10921</v>
      </c>
    </row>
    <row r="19" ht="15.75" customHeight="1">
      <c r="A19" s="1708" t="s">
        <v>1420</v>
      </c>
      <c r="B19" s="1460" t="s">
        <v>8686</v>
      </c>
      <c r="C19" s="1709">
        <v>0.05122685185185185</v>
      </c>
      <c r="D19" s="1481" t="s">
        <v>10922</v>
      </c>
      <c r="E19" s="1726" t="s">
        <v>8742</v>
      </c>
      <c r="F19" s="1481" t="s">
        <v>10923</v>
      </c>
      <c r="G19" s="1481" t="s">
        <v>10924</v>
      </c>
      <c r="H19" s="1481" t="s">
        <v>10792</v>
      </c>
      <c r="I19" s="1481" t="s">
        <v>10925</v>
      </c>
      <c r="J19" s="1481" t="s">
        <v>10926</v>
      </c>
      <c r="K19" s="1481" t="s">
        <v>10927</v>
      </c>
      <c r="L19" s="1481" t="s">
        <v>10928</v>
      </c>
      <c r="M19" s="1712">
        <v>0.052037037037037034</v>
      </c>
      <c r="N19" s="1713" t="str">
        <f t="shared" si="1"/>
        <v>1:10</v>
      </c>
      <c r="O19" s="1517" t="s">
        <v>10823</v>
      </c>
    </row>
    <row r="20" ht="15.75" customHeight="1">
      <c r="A20" s="1641" t="s">
        <v>1729</v>
      </c>
      <c r="B20" s="1546" t="s">
        <v>8686</v>
      </c>
      <c r="C20" s="1709">
        <v>0.05122685185185185</v>
      </c>
      <c r="D20" s="1716" t="s">
        <v>10929</v>
      </c>
      <c r="E20" s="1482" t="s">
        <v>10930</v>
      </c>
      <c r="F20" s="1481" t="s">
        <v>10931</v>
      </c>
      <c r="G20" s="1481" t="s">
        <v>10932</v>
      </c>
      <c r="H20" s="1481" t="s">
        <v>10933</v>
      </c>
      <c r="I20" s="1481" t="s">
        <v>10934</v>
      </c>
      <c r="J20" s="1481" t="s">
        <v>10935</v>
      </c>
      <c r="K20" s="1481" t="s">
        <v>10936</v>
      </c>
      <c r="L20" s="1481" t="s">
        <v>6059</v>
      </c>
      <c r="M20" s="1712">
        <v>0.05224537037037037</v>
      </c>
      <c r="N20" s="1713" t="str">
        <f t="shared" si="1"/>
        <v>1:28</v>
      </c>
      <c r="O20" s="1517" t="s">
        <v>10937</v>
      </c>
    </row>
    <row r="21" ht="15.75" customHeight="1">
      <c r="A21" s="1641" t="s">
        <v>6584</v>
      </c>
      <c r="B21" s="1546" t="s">
        <v>8686</v>
      </c>
      <c r="C21" s="1709">
        <v>0.05133101851851852</v>
      </c>
      <c r="D21" s="1481" t="s">
        <v>10938</v>
      </c>
      <c r="E21" s="1482" t="s">
        <v>10939</v>
      </c>
      <c r="F21" s="1481" t="s">
        <v>10940</v>
      </c>
      <c r="G21" s="1484" t="s">
        <v>10941</v>
      </c>
      <c r="H21" s="1484" t="s">
        <v>10942</v>
      </c>
      <c r="I21" s="1481" t="s">
        <v>10943</v>
      </c>
      <c r="J21" s="1481" t="s">
        <v>10944</v>
      </c>
      <c r="K21" s="1481" t="s">
        <v>10945</v>
      </c>
      <c r="L21" s="1481" t="s">
        <v>10946</v>
      </c>
      <c r="M21" s="1712">
        <v>0.05197916666666667</v>
      </c>
      <c r="N21" s="1713" t="str">
        <f t="shared" si="1"/>
        <v>0:56</v>
      </c>
      <c r="O21" s="1517" t="s">
        <v>10947</v>
      </c>
    </row>
    <row r="22" ht="15.75" customHeight="1">
      <c r="A22" s="1655" t="s">
        <v>9135</v>
      </c>
      <c r="B22" s="1460" t="s">
        <v>8686</v>
      </c>
      <c r="C22" s="1714">
        <v>0.05144675925925926</v>
      </c>
      <c r="D22" s="1481" t="s">
        <v>10948</v>
      </c>
      <c r="E22" s="1726" t="s">
        <v>10949</v>
      </c>
      <c r="F22" s="1481" t="s">
        <v>10950</v>
      </c>
      <c r="G22" s="1481" t="s">
        <v>10951</v>
      </c>
      <c r="H22" s="1481" t="s">
        <v>10952</v>
      </c>
      <c r="I22" s="1481" t="s">
        <v>10953</v>
      </c>
      <c r="J22" s="1481" t="s">
        <v>10954</v>
      </c>
      <c r="K22" s="1481" t="s">
        <v>10955</v>
      </c>
      <c r="L22" s="934" t="s">
        <v>9035</v>
      </c>
      <c r="M22" s="1712">
        <v>0.05258101851851852</v>
      </c>
      <c r="N22" s="1713" t="str">
        <f t="shared" si="1"/>
        <v>1:38</v>
      </c>
      <c r="O22" s="1517" t="s">
        <v>10823</v>
      </c>
    </row>
    <row r="23" ht="15.75" customHeight="1">
      <c r="A23" s="1641" t="s">
        <v>9278</v>
      </c>
      <c r="B23" s="1546" t="s">
        <v>8713</v>
      </c>
      <c r="C23" s="1709">
        <v>0.05146990740740741</v>
      </c>
      <c r="D23" s="1728" t="s">
        <v>10797</v>
      </c>
      <c r="E23" s="1482" t="s">
        <v>10238</v>
      </c>
      <c r="F23" s="1482" t="s">
        <v>10798</v>
      </c>
      <c r="G23" s="1482" t="s">
        <v>10799</v>
      </c>
      <c r="H23" s="1482" t="s">
        <v>10800</v>
      </c>
      <c r="I23" s="1481" t="s">
        <v>10956</v>
      </c>
      <c r="J23" s="769" t="s">
        <v>10802</v>
      </c>
      <c r="K23" s="1728" t="s">
        <v>10803</v>
      </c>
      <c r="L23" s="769" t="s">
        <v>9292</v>
      </c>
      <c r="M23" s="1732">
        <v>0.05236111111111111</v>
      </c>
      <c r="N23" s="1713" t="str">
        <f t="shared" si="1"/>
        <v>1:17</v>
      </c>
      <c r="O23" s="1517" t="s">
        <v>10823</v>
      </c>
    </row>
    <row r="24" ht="15.75" customHeight="1">
      <c r="A24" s="1708" t="s">
        <v>902</v>
      </c>
      <c r="B24" s="1460" t="s">
        <v>8686</v>
      </c>
      <c r="C24" s="1714">
        <v>0.051550925925925924</v>
      </c>
      <c r="D24" s="1481" t="s">
        <v>10957</v>
      </c>
      <c r="E24" s="1726" t="s">
        <v>10222</v>
      </c>
      <c r="F24" s="1481" t="s">
        <v>10958</v>
      </c>
      <c r="G24" s="1481" t="s">
        <v>10959</v>
      </c>
      <c r="H24" s="1481" t="s">
        <v>10960</v>
      </c>
      <c r="I24" s="1481" t="s">
        <v>10961</v>
      </c>
      <c r="J24" s="1481" t="s">
        <v>10962</v>
      </c>
      <c r="K24" s="1481" t="s">
        <v>10963</v>
      </c>
      <c r="L24" s="934" t="s">
        <v>10964</v>
      </c>
      <c r="M24" s="1712">
        <v>0.05229166666666667</v>
      </c>
      <c r="N24" s="1713" t="str">
        <f t="shared" si="1"/>
        <v>1:04</v>
      </c>
      <c r="O24" s="1517" t="s">
        <v>10823</v>
      </c>
    </row>
    <row r="25">
      <c r="A25" s="1717" t="s">
        <v>1814</v>
      </c>
      <c r="B25" s="1607" t="s">
        <v>8738</v>
      </c>
      <c r="C25" s="1733">
        <v>0.05158564814814815</v>
      </c>
      <c r="D25" s="1734" t="s">
        <v>10804</v>
      </c>
      <c r="E25" s="1735" t="s">
        <v>10805</v>
      </c>
      <c r="F25" s="1734" t="s">
        <v>10806</v>
      </c>
      <c r="G25" s="1734" t="s">
        <v>10807</v>
      </c>
      <c r="H25" s="1734" t="s">
        <v>10808</v>
      </c>
      <c r="I25" s="1734" t="s">
        <v>10809</v>
      </c>
      <c r="J25" s="1734" t="s">
        <v>10810</v>
      </c>
      <c r="K25" s="1734" t="s">
        <v>10811</v>
      </c>
      <c r="L25" s="1734" t="s">
        <v>8767</v>
      </c>
      <c r="M25" s="1736">
        <v>0.052141203703703703</v>
      </c>
      <c r="N25" s="1713" t="str">
        <f t="shared" si="1"/>
        <v>0:48</v>
      </c>
      <c r="O25" s="1517" t="s">
        <v>10965</v>
      </c>
    </row>
    <row r="26" ht="15.75" customHeight="1">
      <c r="A26" s="1202" t="s">
        <v>2788</v>
      </c>
      <c r="B26" s="1546" t="s">
        <v>8686</v>
      </c>
      <c r="C26" s="1714">
        <v>0.051706365740740744</v>
      </c>
      <c r="D26" s="769" t="s">
        <v>10966</v>
      </c>
      <c r="E26" s="1482" t="s">
        <v>10967</v>
      </c>
      <c r="F26" s="1481" t="s">
        <v>10968</v>
      </c>
      <c r="G26" s="1481" t="s">
        <v>10969</v>
      </c>
      <c r="H26" s="1481" t="s">
        <v>10970</v>
      </c>
      <c r="I26" s="1481" t="s">
        <v>10971</v>
      </c>
      <c r="J26" s="1481" t="s">
        <v>10972</v>
      </c>
      <c r="K26" s="1481" t="s">
        <v>10973</v>
      </c>
      <c r="L26" s="1481" t="s">
        <v>9590</v>
      </c>
      <c r="M26" s="1712">
        <v>0.0525</v>
      </c>
      <c r="N26" s="1712" t="str">
        <f t="shared" si="1"/>
        <v>1:09</v>
      </c>
      <c r="O26" s="1517"/>
    </row>
    <row r="27" ht="15.75" customHeight="1">
      <c r="A27" s="1737" t="s">
        <v>2103</v>
      </c>
      <c r="B27" s="1599" t="s">
        <v>8686</v>
      </c>
      <c r="C27" s="1714">
        <v>0.05171296296296296</v>
      </c>
      <c r="D27" s="1738" t="s">
        <v>10974</v>
      </c>
      <c r="E27" s="1738" t="s">
        <v>10975</v>
      </c>
      <c r="F27" s="1738" t="s">
        <v>10976</v>
      </c>
      <c r="G27" s="1738" t="s">
        <v>10977</v>
      </c>
      <c r="H27" s="769" t="s">
        <v>10978</v>
      </c>
      <c r="I27" s="1738" t="s">
        <v>10979</v>
      </c>
      <c r="J27" s="769" t="s">
        <v>10980</v>
      </c>
      <c r="K27" s="1738" t="s">
        <v>10981</v>
      </c>
      <c r="L27" s="769" t="s">
        <v>8185</v>
      </c>
      <c r="M27" s="1712">
        <v>0.054375</v>
      </c>
      <c r="N27" s="1713" t="str">
        <f t="shared" si="1"/>
        <v>3:50</v>
      </c>
      <c r="O27" s="1517" t="s">
        <v>10982</v>
      </c>
    </row>
    <row r="28" ht="15.75" customHeight="1">
      <c r="A28" s="1641" t="s">
        <v>3080</v>
      </c>
      <c r="B28" s="1546" t="s">
        <v>8686</v>
      </c>
      <c r="C28" s="1709">
        <v>0.05180160879629629</v>
      </c>
      <c r="D28" s="769" t="s">
        <v>10983</v>
      </c>
      <c r="E28" s="1482" t="s">
        <v>10984</v>
      </c>
      <c r="F28" s="1481" t="s">
        <v>10985</v>
      </c>
      <c r="G28" s="1481" t="s">
        <v>10986</v>
      </c>
      <c r="H28" s="1481" t="s">
        <v>10987</v>
      </c>
      <c r="I28" s="1481" t="s">
        <v>10988</v>
      </c>
      <c r="J28" s="1481" t="s">
        <v>10989</v>
      </c>
      <c r="K28" s="1481" t="s">
        <v>10990</v>
      </c>
      <c r="L28" s="1481" t="s">
        <v>10991</v>
      </c>
      <c r="M28" s="1712">
        <v>0.05303240740740741</v>
      </c>
      <c r="N28" s="1713" t="str">
        <f t="shared" si="1"/>
        <v>1:46</v>
      </c>
      <c r="O28" s="1517"/>
    </row>
    <row r="29" ht="15.75" customHeight="1">
      <c r="A29" s="1202" t="s">
        <v>1351</v>
      </c>
      <c r="B29" s="1607" t="s">
        <v>8738</v>
      </c>
      <c r="C29" s="1714">
        <v>0.052088194444444444</v>
      </c>
      <c r="D29" s="769" t="s">
        <v>10992</v>
      </c>
      <c r="E29" s="1482" t="s">
        <v>10993</v>
      </c>
      <c r="F29" s="1481" t="s">
        <v>10994</v>
      </c>
      <c r="G29" s="1481" t="s">
        <v>10995</v>
      </c>
      <c r="H29" s="1481" t="s">
        <v>10996</v>
      </c>
      <c r="I29" s="1481" t="s">
        <v>10997</v>
      </c>
      <c r="J29" s="1481" t="s">
        <v>10998</v>
      </c>
      <c r="K29" s="1481" t="s">
        <v>10999</v>
      </c>
      <c r="L29" s="1481" t="s">
        <v>9904</v>
      </c>
      <c r="M29" s="1712">
        <v>0.053043981481481484</v>
      </c>
      <c r="N29" s="1713" t="str">
        <f t="shared" si="1"/>
        <v>1:23</v>
      </c>
      <c r="O29" s="1517" t="s">
        <v>10823</v>
      </c>
    </row>
    <row r="30" ht="15.75" customHeight="1">
      <c r="A30" s="1202" t="s">
        <v>2540</v>
      </c>
      <c r="B30" s="1546" t="s">
        <v>8713</v>
      </c>
      <c r="C30" s="1714">
        <v>0.05215277777777778</v>
      </c>
      <c r="D30" s="1481" t="s">
        <v>11000</v>
      </c>
      <c r="E30" s="1481" t="s">
        <v>5984</v>
      </c>
      <c r="F30" s="1481" t="s">
        <v>11001</v>
      </c>
      <c r="G30" s="1481" t="s">
        <v>11002</v>
      </c>
      <c r="H30" s="1481" t="s">
        <v>11003</v>
      </c>
      <c r="I30" s="1481" t="s">
        <v>10874</v>
      </c>
      <c r="J30" s="1481" t="s">
        <v>11004</v>
      </c>
      <c r="K30" s="1481" t="s">
        <v>11005</v>
      </c>
      <c r="L30" s="1481" t="s">
        <v>9640</v>
      </c>
      <c r="M30" s="1712">
        <v>0.05399305555555556</v>
      </c>
      <c r="N30" s="1713" t="str">
        <f t="shared" si="1"/>
        <v>2:39</v>
      </c>
      <c r="O30" s="1517" t="s">
        <v>11006</v>
      </c>
    </row>
    <row r="31" ht="15.75" customHeight="1">
      <c r="A31" s="1641" t="s">
        <v>2975</v>
      </c>
      <c r="B31" s="1546" t="s">
        <v>8686</v>
      </c>
      <c r="C31" s="1709">
        <v>0.05216435185185185</v>
      </c>
      <c r="D31" s="1481" t="s">
        <v>11007</v>
      </c>
      <c r="E31" s="1482" t="s">
        <v>11008</v>
      </c>
      <c r="F31" s="1481" t="s">
        <v>11009</v>
      </c>
      <c r="G31" s="1481" t="s">
        <v>11010</v>
      </c>
      <c r="H31" s="1481" t="s">
        <v>11011</v>
      </c>
      <c r="I31" s="1481" t="s">
        <v>11012</v>
      </c>
      <c r="J31" s="1481" t="s">
        <v>11013</v>
      </c>
      <c r="K31" s="1481" t="s">
        <v>11014</v>
      </c>
      <c r="L31" s="1481" t="s">
        <v>11015</v>
      </c>
      <c r="M31" s="1712">
        <v>0.05337962962962963</v>
      </c>
      <c r="N31" s="1713" t="str">
        <f t="shared" si="1"/>
        <v>1:45</v>
      </c>
      <c r="O31" s="1517" t="s">
        <v>11016</v>
      </c>
    </row>
    <row r="32" ht="15.75" customHeight="1">
      <c r="A32" s="1202" t="s">
        <v>741</v>
      </c>
      <c r="B32" s="1546" t="s">
        <v>8713</v>
      </c>
      <c r="C32" s="1714">
        <v>0.05224537037037037</v>
      </c>
      <c r="D32" s="1481" t="s">
        <v>11017</v>
      </c>
      <c r="E32" s="1739" t="s">
        <v>11018</v>
      </c>
      <c r="F32" s="1481" t="s">
        <v>11019</v>
      </c>
      <c r="G32" s="1481" t="s">
        <v>11020</v>
      </c>
      <c r="H32" s="1481" t="s">
        <v>11021</v>
      </c>
      <c r="I32" s="1481" t="s">
        <v>10801</v>
      </c>
      <c r="J32" s="1481" t="s">
        <v>11022</v>
      </c>
      <c r="K32" s="1484" t="s">
        <v>11023</v>
      </c>
      <c r="L32" s="1481" t="s">
        <v>11024</v>
      </c>
      <c r="M32" s="1712">
        <v>0.053043981481481484</v>
      </c>
      <c r="N32" s="1713" t="str">
        <f t="shared" si="1"/>
        <v>1:09</v>
      </c>
      <c r="O32" s="1517" t="s">
        <v>11025</v>
      </c>
    </row>
    <row r="33" ht="15.75" customHeight="1">
      <c r="A33" s="1641" t="s">
        <v>3080</v>
      </c>
      <c r="B33" s="1607" t="s">
        <v>8713</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10823</v>
      </c>
    </row>
    <row r="34" ht="15.75" customHeight="1">
      <c r="A34" s="1202" t="s">
        <v>3982</v>
      </c>
      <c r="B34" s="1546" t="s">
        <v>8686</v>
      </c>
      <c r="C34" s="1714">
        <v>0.05238425925925926</v>
      </c>
      <c r="D34" s="1716" t="s">
        <v>11034</v>
      </c>
      <c r="E34" s="1482" t="s">
        <v>11008</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8686</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8686</v>
      </c>
      <c r="C36" s="1709">
        <v>0.05268518518518518</v>
      </c>
      <c r="D36" s="769" t="s">
        <v>11051</v>
      </c>
      <c r="E36" s="1482" t="s">
        <v>11052</v>
      </c>
      <c r="F36" s="1481" t="s">
        <v>11053</v>
      </c>
      <c r="G36" s="1481" t="s">
        <v>11054</v>
      </c>
      <c r="H36" s="1481" t="s">
        <v>11055</v>
      </c>
      <c r="I36" s="1481" t="s">
        <v>8008</v>
      </c>
      <c r="J36" s="1481" t="s">
        <v>11056</v>
      </c>
      <c r="K36" s="1481" t="s">
        <v>11057</v>
      </c>
      <c r="L36" s="1481" t="s">
        <v>9966</v>
      </c>
      <c r="M36" s="1712">
        <v>0.05331018518518518</v>
      </c>
      <c r="N36" s="1713" t="str">
        <f t="shared" si="1"/>
        <v>0:54</v>
      </c>
      <c r="O36" s="1517" t="s">
        <v>11058</v>
      </c>
    </row>
    <row r="37" ht="15.75" customHeight="1">
      <c r="A37" s="1641" t="s">
        <v>3678</v>
      </c>
      <c r="B37" s="1722" t="s">
        <v>8686</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10823</v>
      </c>
    </row>
    <row r="38">
      <c r="A38" s="1741" t="s">
        <v>3469</v>
      </c>
      <c r="B38" s="1722" t="s">
        <v>8686</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10823</v>
      </c>
    </row>
    <row r="39" ht="15.75" customHeight="1">
      <c r="A39" s="1202" t="s">
        <v>986</v>
      </c>
      <c r="B39" s="1687" t="s">
        <v>8713</v>
      </c>
      <c r="C39" s="1714">
        <v>0.05378472222222222</v>
      </c>
      <c r="D39" s="769" t="s">
        <v>11077</v>
      </c>
      <c r="E39" s="1482" t="s">
        <v>11078</v>
      </c>
      <c r="F39" s="1481" t="s">
        <v>11079</v>
      </c>
      <c r="G39" s="1481" t="s">
        <v>11080</v>
      </c>
      <c r="H39" s="1481" t="s">
        <v>11081</v>
      </c>
      <c r="I39" s="1481" t="s">
        <v>8296</v>
      </c>
      <c r="J39" s="1481" t="s">
        <v>11082</v>
      </c>
      <c r="K39" s="1481" t="s">
        <v>11083</v>
      </c>
      <c r="L39" s="1481" t="s">
        <v>9688</v>
      </c>
      <c r="M39" s="1712">
        <v>0.054560185185185184</v>
      </c>
      <c r="N39" s="1713" t="str">
        <f t="shared" si="1"/>
        <v>1:07</v>
      </c>
      <c r="O39" s="1517"/>
    </row>
    <row r="40" ht="15.75" customHeight="1">
      <c r="A40" s="1202" t="s">
        <v>4916</v>
      </c>
      <c r="B40" s="1607" t="s">
        <v>8713</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10823</v>
      </c>
    </row>
    <row r="41" ht="15.75" customHeight="1">
      <c r="A41" s="1202" t="s">
        <v>6521</v>
      </c>
      <c r="B41" s="1642" t="s">
        <v>10731</v>
      </c>
      <c r="C41" s="1742">
        <v>0.06118055555555556</v>
      </c>
      <c r="D41" s="1650" t="s">
        <v>11092</v>
      </c>
      <c r="E41" s="1743" t="s">
        <v>8610</v>
      </c>
      <c r="F41" s="1743" t="s">
        <v>11093</v>
      </c>
      <c r="G41" s="1743" t="s">
        <v>11094</v>
      </c>
      <c r="H41" s="1743" t="s">
        <v>11095</v>
      </c>
      <c r="I41" s="1743" t="s">
        <v>8288</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8648</v>
      </c>
      <c r="C1" s="1770" t="s">
        <v>10787</v>
      </c>
      <c r="D1" s="1771" t="s">
        <v>6835</v>
      </c>
      <c r="E1" s="1772" t="s">
        <v>7133</v>
      </c>
      <c r="F1" s="1773" t="s">
        <v>38</v>
      </c>
      <c r="G1" s="1774" t="s">
        <v>36</v>
      </c>
      <c r="H1" s="1770" t="s">
        <v>10788</v>
      </c>
      <c r="I1" s="1775" t="s">
        <v>39</v>
      </c>
      <c r="J1" s="1669" t="s">
        <v>7073</v>
      </c>
      <c r="K1" s="1401" t="s">
        <v>8682</v>
      </c>
      <c r="L1" s="1671" t="s">
        <v>8684</v>
      </c>
    </row>
    <row r="2" ht="15.75" customHeight="1">
      <c r="A2" s="1672" t="s">
        <v>8685</v>
      </c>
      <c r="B2" s="1673" t="s">
        <v>8686</v>
      </c>
      <c r="C2" s="1675" t="s">
        <v>10789</v>
      </c>
      <c r="D2" s="1776" t="s">
        <v>11101</v>
      </c>
      <c r="E2" s="1677" t="s">
        <v>11102</v>
      </c>
      <c r="F2" s="1777" t="s">
        <v>11103</v>
      </c>
      <c r="G2" s="1679" t="s">
        <v>11104</v>
      </c>
      <c r="H2" s="1675" t="s">
        <v>11105</v>
      </c>
      <c r="I2" s="1778" t="s">
        <v>11106</v>
      </c>
      <c r="J2" s="1682" t="s">
        <v>11107</v>
      </c>
      <c r="K2" s="1779" t="s">
        <v>8711</v>
      </c>
      <c r="L2" s="1780"/>
    </row>
    <row r="3" ht="15.75" customHeight="1">
      <c r="A3" s="1686" t="s">
        <v>8712</v>
      </c>
      <c r="B3" s="1687" t="s">
        <v>8713</v>
      </c>
      <c r="C3" s="1430" t="s">
        <v>11000</v>
      </c>
      <c r="D3" s="1438" t="s">
        <v>11108</v>
      </c>
      <c r="E3" s="1432" t="s">
        <v>11109</v>
      </c>
      <c r="F3" s="1433" t="s">
        <v>11110</v>
      </c>
      <c r="G3" s="1435" t="s">
        <v>11111</v>
      </c>
      <c r="H3" s="1430" t="s">
        <v>11112</v>
      </c>
      <c r="I3" s="1437" t="s">
        <v>11113</v>
      </c>
      <c r="J3" s="1440" t="s">
        <v>11114</v>
      </c>
      <c r="K3" s="1688">
        <v>0.053043981481481484</v>
      </c>
      <c r="L3" s="1781"/>
    </row>
    <row r="4" ht="15.75" customHeight="1">
      <c r="A4" s="1691" t="s">
        <v>8737</v>
      </c>
      <c r="B4" s="1692" t="s">
        <v>8738</v>
      </c>
      <c r="C4" s="1694" t="s">
        <v>10992</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8686</v>
      </c>
      <c r="C5" s="1704" t="s">
        <v>10789</v>
      </c>
      <c r="D5" s="1704" t="s">
        <v>11101</v>
      </c>
      <c r="E5" s="1704" t="s">
        <v>11102</v>
      </c>
      <c r="F5" s="1704" t="s">
        <v>11103</v>
      </c>
      <c r="G5" s="1783" t="s">
        <v>11104</v>
      </c>
      <c r="H5" s="1783" t="s">
        <v>11105</v>
      </c>
      <c r="I5" s="1783" t="s">
        <v>11106</v>
      </c>
      <c r="J5" s="1783" t="s">
        <v>11107</v>
      </c>
      <c r="K5" s="1784" t="s">
        <v>8711</v>
      </c>
      <c r="L5" s="1517" t="s">
        <v>11122</v>
      </c>
    </row>
    <row r="6" ht="15.75" customHeight="1">
      <c r="A6" s="1655" t="s">
        <v>1814</v>
      </c>
      <c r="B6" s="1785" t="s">
        <v>8686</v>
      </c>
      <c r="C6" s="1786" t="s">
        <v>10824</v>
      </c>
      <c r="D6" s="1787" t="s">
        <v>11123</v>
      </c>
      <c r="E6" s="1788" t="s">
        <v>11124</v>
      </c>
      <c r="F6" s="1789" t="s">
        <v>11125</v>
      </c>
      <c r="G6" s="1790" t="s">
        <v>11126</v>
      </c>
      <c r="H6" s="1791" t="s">
        <v>11127</v>
      </c>
      <c r="I6" s="1792" t="s">
        <v>11128</v>
      </c>
      <c r="J6" s="1793" t="s">
        <v>11129</v>
      </c>
      <c r="K6" s="1481" t="s">
        <v>8842</v>
      </c>
      <c r="L6" s="1794" t="s">
        <v>11130</v>
      </c>
    </row>
    <row r="7" ht="15.75" customHeight="1">
      <c r="A7" s="1795" t="s">
        <v>6536</v>
      </c>
      <c r="B7" s="1546" t="s">
        <v>8686</v>
      </c>
      <c r="C7" s="1632" t="s">
        <v>10832</v>
      </c>
      <c r="D7" s="1481" t="s">
        <v>11131</v>
      </c>
      <c r="E7" s="1481" t="s">
        <v>11132</v>
      </c>
      <c r="F7" s="1481" t="s">
        <v>11133</v>
      </c>
      <c r="G7" s="1796" t="s">
        <v>11134</v>
      </c>
      <c r="H7" s="1796" t="s">
        <v>11135</v>
      </c>
      <c r="I7" s="1796" t="s">
        <v>11136</v>
      </c>
      <c r="J7" s="1796" t="s">
        <v>11137</v>
      </c>
      <c r="K7" s="1481" t="s">
        <v>8890</v>
      </c>
      <c r="L7" s="1517"/>
    </row>
    <row r="8" ht="15.75" customHeight="1">
      <c r="A8" s="1708" t="s">
        <v>436</v>
      </c>
      <c r="B8" s="1460" t="s">
        <v>8686</v>
      </c>
      <c r="C8" s="1632" t="s">
        <v>10817</v>
      </c>
      <c r="D8" s="1481" t="s">
        <v>11138</v>
      </c>
      <c r="E8" s="1481" t="s">
        <v>11139</v>
      </c>
      <c r="F8" s="1481" t="s">
        <v>11140</v>
      </c>
      <c r="G8" s="1071" t="s">
        <v>11141</v>
      </c>
      <c r="H8" s="1786" t="s">
        <v>11142</v>
      </c>
      <c r="I8" s="1792" t="s">
        <v>11143</v>
      </c>
      <c r="J8" s="1793" t="s">
        <v>11144</v>
      </c>
      <c r="K8" s="1481" t="s">
        <v>8798</v>
      </c>
      <c r="L8" s="1517"/>
    </row>
    <row r="9" ht="15.75" customHeight="1">
      <c r="A9" s="1655" t="s">
        <v>6595</v>
      </c>
      <c r="B9" s="1460" t="s">
        <v>8686</v>
      </c>
      <c r="C9" s="1481" t="s">
        <v>11145</v>
      </c>
      <c r="D9" s="1481" t="s">
        <v>11146</v>
      </c>
      <c r="E9" s="1481" t="s">
        <v>11147</v>
      </c>
      <c r="F9" s="1484" t="s">
        <v>11148</v>
      </c>
      <c r="G9" s="1797" t="s">
        <v>11149</v>
      </c>
      <c r="H9" s="1798" t="s">
        <v>11150</v>
      </c>
      <c r="I9" s="1797" t="s">
        <v>11151</v>
      </c>
      <c r="J9" s="1797" t="s">
        <v>11152</v>
      </c>
      <c r="K9" s="1481" t="s">
        <v>8821</v>
      </c>
      <c r="L9" s="1517"/>
    </row>
    <row r="10" ht="15.75" customHeight="1">
      <c r="A10" s="1202" t="s">
        <v>1560</v>
      </c>
      <c r="B10" s="1546" t="s">
        <v>8686</v>
      </c>
      <c r="C10" s="1799" t="s">
        <v>10873</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8686</v>
      </c>
      <c r="C11" s="1719" t="s">
        <v>10839</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8686</v>
      </c>
      <c r="C12" s="1804" t="s">
        <v>10855</v>
      </c>
      <c r="D12" s="1481" t="s">
        <v>11168</v>
      </c>
      <c r="E12" s="1481" t="s">
        <v>11169</v>
      </c>
      <c r="F12" s="1481" t="s">
        <v>11170</v>
      </c>
      <c r="G12" s="1071" t="s">
        <v>11171</v>
      </c>
      <c r="H12" s="1786" t="s">
        <v>11172</v>
      </c>
      <c r="I12" s="1792" t="s">
        <v>11173</v>
      </c>
      <c r="J12" s="1793" t="s">
        <v>11174</v>
      </c>
      <c r="K12" s="1481" t="s">
        <v>8913</v>
      </c>
      <c r="L12" s="1517" t="s">
        <v>11175</v>
      </c>
    </row>
    <row r="13" ht="15.75" customHeight="1">
      <c r="A13" s="1659" t="s">
        <v>2085</v>
      </c>
      <c r="B13" s="1460" t="s">
        <v>8686</v>
      </c>
      <c r="C13" s="1799" t="s">
        <v>10882</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8686</v>
      </c>
      <c r="C14" s="1481" t="s">
        <v>11183</v>
      </c>
      <c r="D14" s="1481" t="s">
        <v>11184</v>
      </c>
      <c r="E14" s="1481" t="s">
        <v>11185</v>
      </c>
      <c r="F14" s="1481" t="s">
        <v>11186</v>
      </c>
      <c r="G14" s="1071" t="s">
        <v>11187</v>
      </c>
      <c r="H14" s="1786" t="s">
        <v>11188</v>
      </c>
      <c r="I14" s="1792" t="s">
        <v>11189</v>
      </c>
      <c r="J14" s="1793" t="s">
        <v>11190</v>
      </c>
      <c r="K14" s="1481" t="s">
        <v>8868</v>
      </c>
      <c r="L14" s="1517"/>
    </row>
    <row r="15" ht="16.5" customHeight="1">
      <c r="A15" s="1730" t="s">
        <v>2667</v>
      </c>
      <c r="B15" s="1460" t="s">
        <v>8686</v>
      </c>
      <c r="C15" s="1481" t="s">
        <v>10905</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8686</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8686</v>
      </c>
      <c r="C17" s="1481" t="s">
        <v>10938</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8686</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8686</v>
      </c>
      <c r="C19" s="1804" t="s">
        <v>10913</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8686</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8686</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8686</v>
      </c>
      <c r="C22" s="1481" t="s">
        <v>10948</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8713</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8738</v>
      </c>
      <c r="C24" s="1601" t="s">
        <v>10992</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8686</v>
      </c>
      <c r="C25" s="1738" t="s">
        <v>10974</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8686</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8713</v>
      </c>
      <c r="C27" s="1804" t="s">
        <v>11274</v>
      </c>
      <c r="D27" s="1481"/>
      <c r="E27" s="1481" t="s">
        <v>11275</v>
      </c>
      <c r="F27" s="1481" t="s">
        <v>11276</v>
      </c>
      <c r="G27" s="1796"/>
      <c r="H27" s="1796"/>
      <c r="I27" s="1796"/>
      <c r="J27" s="1796"/>
      <c r="K27" s="1481" t="s">
        <v>9800</v>
      </c>
      <c r="L27" s="1517"/>
    </row>
    <row r="28" ht="15.75" customHeight="1">
      <c r="A28" s="1641" t="s">
        <v>2918</v>
      </c>
      <c r="B28" s="1546" t="s">
        <v>8686</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8713</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8713</v>
      </c>
      <c r="C30" s="1728" t="s">
        <v>11000</v>
      </c>
      <c r="D30" s="1481" t="s">
        <v>11296</v>
      </c>
      <c r="E30" s="1481" t="s">
        <v>11297</v>
      </c>
      <c r="F30" s="1481" t="s">
        <v>11298</v>
      </c>
      <c r="G30" s="1071" t="s">
        <v>11299</v>
      </c>
      <c r="H30" s="1786" t="s">
        <v>11300</v>
      </c>
      <c r="I30" s="1792" t="s">
        <v>11301</v>
      </c>
      <c r="J30" s="1793" t="s">
        <v>11302</v>
      </c>
      <c r="K30" s="1481" t="s">
        <v>9641</v>
      </c>
      <c r="L30" s="1517"/>
    </row>
    <row r="31" ht="15.75" customHeight="1">
      <c r="A31" s="1641" t="s">
        <v>5396</v>
      </c>
      <c r="B31" s="1546" t="s">
        <v>8686</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4916</v>
      </c>
      <c r="B32" s="1546" t="s">
        <v>8713</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5806</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4357</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4357</v>
      </c>
      <c r="D13" s="1840" t="s">
        <v>11361</v>
      </c>
      <c r="E13" s="1839" t="s">
        <v>11345</v>
      </c>
      <c r="F13" s="1841">
        <v>44250.0</v>
      </c>
    </row>
    <row r="14" ht="15.75" customHeight="1">
      <c r="A14" s="1837" t="s">
        <v>11362</v>
      </c>
      <c r="B14" s="1842" t="s">
        <v>11347</v>
      </c>
      <c r="C14" s="1839" t="s">
        <v>4230</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5279</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5396</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4357</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4779</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5279</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5279</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4114</v>
      </c>
      <c r="D127" s="1862">
        <v>0.06892361111111112</v>
      </c>
      <c r="E127" s="1839" t="s">
        <v>11355</v>
      </c>
      <c r="F127" s="1841">
        <v>44652.0</v>
      </c>
    </row>
    <row r="128">
      <c r="A128" s="1861"/>
      <c r="B128" s="1843" t="s">
        <v>11350</v>
      </c>
      <c r="C128" s="1848" t="s">
        <v>5347</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4230</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